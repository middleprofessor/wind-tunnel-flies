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<sst xmlns="http://schemas.openxmlformats.org/spreadsheetml/2006/main" count="205" uniqueCount="201">
  <si>
    <t xml:space="preserve">file name </t>
  </si>
  <si>
    <t>line</t>
  </si>
  <si>
    <t>des</t>
  </si>
  <si>
    <t>sex</t>
  </si>
  <si>
    <t>Hz</t>
  </si>
  <si>
    <t>line/sex</t>
  </si>
  <si>
    <t xml:space="preserve">date </t>
  </si>
  <si>
    <t>Angle</t>
  </si>
  <si>
    <t>Length</t>
  </si>
  <si>
    <t>wind(cm/sec)</t>
  </si>
  <si>
    <t>θ</t>
  </si>
  <si>
    <t>w</t>
  </si>
  <si>
    <t>T</t>
  </si>
  <si>
    <t>T cm/sec</t>
  </si>
  <si>
    <t>θrad</t>
  </si>
  <si>
    <t>aa1f09.11.21.09-01</t>
  </si>
  <si>
    <t>aa1f09.11.21.09-02</t>
  </si>
  <si>
    <t>aa1f11.11.21.09-01</t>
  </si>
  <si>
    <t>aa1f11.11.21.09-02</t>
  </si>
  <si>
    <t>aa1f15.11.21.09-01</t>
  </si>
  <si>
    <t>aa1f15.11.21.09-02</t>
  </si>
  <si>
    <t>aa1f15.11.21.09-03</t>
  </si>
  <si>
    <t>aa1f17.11.21.09-01</t>
  </si>
  <si>
    <t>aa1f21.11.21.09-01</t>
  </si>
  <si>
    <t>aa1f21.11.21.09-02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</si>
  <si>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</si>
  <si>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</si>
  <si>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</si>
  <si>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</si>
  <si>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</si>
  <si>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</si>
  <si>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</si>
  <si>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aa1f23.11.21.09-01</t>
  </si>
  <si>
    <t>aa1f23.11.21.09-02</t>
  </si>
  <si>
    <t>aa1f23.11.21.09-03</t>
  </si>
  <si>
    <t>aa1f23.11.21.09-04</t>
  </si>
  <si>
    <t>aa1f23.11.21.09-05</t>
  </si>
  <si>
    <t>aa1f23.11.21.09-06</t>
  </si>
  <si>
    <t>aa1m07.11.12.09-02</t>
  </si>
  <si>
    <t>aa1m07.11.21.09-01</t>
  </si>
  <si>
    <t>aa1m09.11.12.09-01</t>
  </si>
  <si>
    <t>aa1m11.11.12.09-02</t>
  </si>
  <si>
    <t>aa1m11.11.12.09-03</t>
  </si>
  <si>
    <t>aa1m11.11.12.09-04</t>
  </si>
  <si>
    <t>aa1m11.11.12.09-05</t>
  </si>
  <si>
    <t>aa1m13.11.21.09-01</t>
  </si>
  <si>
    <t>aa1m17.11.21.09-01</t>
  </si>
  <si>
    <t>aa1m19.11.21.09-01</t>
  </si>
  <si>
    <t>aa1m21.11.21.09-01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</si>
  <si>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</si>
  <si>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</si>
  <si>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</si>
  <si>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</si>
  <si>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</si>
  <si>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</si>
  <si>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</si>
  <si>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</si>
  <si>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</si>
  <si>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</si>
  <si>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</si>
  <si>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aa1m27.11.21.09-01</t>
  </si>
  <si>
    <t>aa2f15.11.21.09-01</t>
  </si>
  <si>
    <t>aa2f15.11.21.09-02</t>
  </si>
  <si>
    <t>aa2f17.11.21.09-01</t>
  </si>
  <si>
    <t>aa2f17.11.21.09-02</t>
  </si>
  <si>
    <t>aa2f19.11.21.09-01</t>
  </si>
  <si>
    <t>aa2f19.11.21.09-02</t>
  </si>
  <si>
    <t>aa2f19.11.21.09-03</t>
  </si>
  <si>
    <t>aa2f19.11.21.09-04</t>
  </si>
  <si>
    <t>aa2f19.11.21.09-05</t>
  </si>
  <si>
    <t>aa2f19.11.21.09-06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</si>
  <si>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</si>
  <si>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</si>
  <si>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</si>
  <si>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</si>
  <si>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</si>
  <si>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</si>
  <si>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aa2f23.11.21.09-01</t>
  </si>
  <si>
    <t>aa2f23.11.21.09-02</t>
  </si>
  <si>
    <t>aa2f23.11.21.09-03</t>
  </si>
  <si>
    <t>aa2f23.11.21.09-04</t>
  </si>
  <si>
    <t>aa2f25.11.21.09-01</t>
  </si>
  <si>
    <t>cn1m03.11.21.09-01</t>
  </si>
  <si>
    <t>cn1m05.11.21.09-01</t>
  </si>
  <si>
    <t>cn1m05.11.21.09-02</t>
  </si>
  <si>
    <t>cn1m05.11.21.09-03</t>
  </si>
  <si>
    <t>cn1m05.11.21.09-04</t>
  </si>
  <si>
    <t>cn1m07.11.21.09-01</t>
  </si>
  <si>
    <t>cn1m07.11.21.09-02</t>
  </si>
  <si>
    <t>cn1m07.11.21.09-03</t>
  </si>
  <si>
    <t>cn1m07.11.21.09-04</t>
  </si>
  <si>
    <t>cn1m07.11.21.09-05</t>
  </si>
  <si>
    <t>cn1m09.11.21.09-01</t>
  </si>
  <si>
    <t>cn1m09.11.21.09-02</t>
  </si>
  <si>
    <t>cn1m09.11.21.09-03</t>
  </si>
  <si>
    <t>cn1m09.11.21.09-04</t>
  </si>
  <si>
    <t>cn1m09.11.21.09-05</t>
  </si>
  <si>
    <t>cn1m11.11.21.09-01</t>
  </si>
  <si>
    <t>cn1m11.11.21.09-02</t>
  </si>
  <si>
    <t>cn1m11.11.21.09-03</t>
  </si>
  <si>
    <t>cn1m11.11.21.09-04</t>
  </si>
  <si>
    <t>cn1m11.11.21.09-05</t>
  </si>
  <si>
    <t>cn1m13.11.21.09-01</t>
  </si>
  <si>
    <t>cn2f05.11.21.09-01</t>
  </si>
  <si>
    <t>cn2f09.11.21.09-01</t>
  </si>
  <si>
    <t>cn2f09.11.21.09-02</t>
  </si>
  <si>
    <t>cn2f09.11.21.09-03</t>
  </si>
  <si>
    <t>cn2f09.11.21.09-04</t>
  </si>
  <si>
    <t>cn2f11.11.21.09-01</t>
  </si>
  <si>
    <t>cn2f11.11.21.09-02</t>
  </si>
  <si>
    <t>cn2f11.11.21.09-03</t>
  </si>
  <si>
    <t>cn2f11.11.21.09-04</t>
  </si>
  <si>
    <t>cn2f11.11.21.09-05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</si>
  <si>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</si>
  <si>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</si>
  <si>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</si>
  <si>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</si>
  <si>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</si>
  <si>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</si>
  <si>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cn2f17.11.21.09-01</t>
  </si>
  <si>
    <t>cn2f17.11.21.09-02</t>
  </si>
  <si>
    <t>cn2f17.11.21.09-03</t>
  </si>
  <si>
    <t>cn2f17.11.21.09-04</t>
  </si>
  <si>
    <t>cn2f17.11.21.09-05</t>
  </si>
  <si>
    <t>cn2f19.11.21.09-01</t>
  </si>
  <si>
    <t>cn2f19.11.21.09-02</t>
  </si>
  <si>
    <t>cn2f21.11.21.09.02</t>
  </si>
  <si>
    <t>cn2f21.11.21.09-01</t>
  </si>
  <si>
    <t>cn2m03.11.21.09-02</t>
  </si>
  <si>
    <t>cn2m03.11.21.09-03</t>
  </si>
  <si>
    <t>cn2m05.11.21.09-01</t>
  </si>
  <si>
    <t>cn2m07.11.21.09-01</t>
  </si>
  <si>
    <t>cn2m07.11.21.09-04</t>
  </si>
  <si>
    <t>cn2m09.11.21.09-01</t>
  </si>
  <si>
    <t>cn2m09.11.21.09-02</t>
  </si>
  <si>
    <t>cn2m09.11.21.09-03</t>
  </si>
  <si>
    <t>cn2m11.11.21.09-01</t>
  </si>
  <si>
    <t>cn2m13.11.21.09-02</t>
  </si>
  <si>
    <t>cn2m13.11.21.09-03</t>
  </si>
  <si>
    <t>cn2m13.11.21.09-04</t>
  </si>
  <si>
    <t>cn2m13.11.21.09-05</t>
  </si>
  <si>
    <t>cn2m15.11.21.09-01</t>
  </si>
  <si>
    <t>cn2m15.11.21.09-02</t>
  </si>
  <si>
    <t>cn2m15.11.21.09-03</t>
  </si>
  <si>
    <t>cn2m15.11.21.09-04</t>
  </si>
  <si>
    <t>k45f17.11.21.09-01</t>
  </si>
  <si>
    <t>k45f19.11.21.09-01</t>
  </si>
  <si>
    <t>k45f19.11.21.09-02</t>
  </si>
  <si>
    <t>k45f19.11.21.09-03</t>
  </si>
  <si>
    <t>k45f19.11.21.09-04</t>
  </si>
  <si>
    <t>k45f21.11.21.09-01</t>
  </si>
  <si>
    <t>k45m13.11.21.09-02</t>
  </si>
  <si>
    <t>k45m13.11.21.09-03</t>
  </si>
  <si>
    <t>k45m13.11.21.09-04</t>
  </si>
  <si>
    <t>k45m13.11.21.09-05</t>
  </si>
  <si>
    <t>k45m13.11.21.09-06</t>
  </si>
  <si>
    <t>k45m15.11.21.09-01</t>
  </si>
  <si>
    <t>k45m15.11.21.09-02</t>
  </si>
  <si>
    <t>k45m17.11.21.09-01</t>
  </si>
  <si>
    <t>k45m19.11.21.09-02</t>
  </si>
  <si>
    <t>k45m19.11.21.09-03</t>
  </si>
  <si>
    <t>k45m19.11.21.09-04</t>
  </si>
  <si>
    <t>k45m21.11.21.09-01</t>
  </si>
  <si>
    <t>k45m21.11.21.09-02</t>
  </si>
  <si>
    <t>k45m23.11.21.09-01</t>
  </si>
  <si>
    <t>n60f03.11.21.09-01</t>
  </si>
  <si>
    <t>n60f09.11.21.09-01</t>
  </si>
  <si>
    <t>n60f09.11.21.09-02</t>
  </si>
  <si>
    <t>n60f09.11.21.09-03</t>
  </si>
  <si>
    <t>n60f09.11.21.09-04</t>
  </si>
  <si>
    <t>n60f11.11.21.09-03</t>
  </si>
  <si>
    <t>n60f13.11.21.09-01</t>
  </si>
  <si>
    <t>n60f13.11.21.09-02</t>
  </si>
  <si>
    <t>n60f15.11.21.09-01</t>
  </si>
  <si>
    <t>n60f15.11.21.09-02</t>
  </si>
  <si>
    <t>n60f15.11.21.09-03</t>
  </si>
  <si>
    <t>n60f15.11.21.09-04</t>
  </si>
  <si>
    <t>n60f17.11.21.09-01</t>
  </si>
  <si>
    <t>n60f21.11.21.09-01</t>
  </si>
  <si>
    <t>n60f23.11.21.09-01</t>
  </si>
  <si>
    <t>n60m03.11.21.09-01</t>
  </si>
  <si>
    <t>n60m11.11.21.09-01</t>
  </si>
  <si>
    <t>n60m15.11.21.09-01</t>
  </si>
  <si>
    <t>n60m15.11.21.09-02</t>
  </si>
  <si>
    <t>n60m17.11.21.09-01</t>
  </si>
  <si>
    <t>n60m17.11.21.09-02</t>
  </si>
  <si>
    <t>n60m17.11.21.09-03</t>
  </si>
  <si>
    <t>n60m17.11.21.09-04</t>
  </si>
  <si>
    <t>n60m17.11.21.09-05</t>
  </si>
  <si>
    <t>n60m17.11.21.09-06</t>
  </si>
  <si>
    <t>n60m17.11.21.09-08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</si>
  <si>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</si>
  <si>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</si>
  <si>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</si>
  <si>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</si>
  <si>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</si>
  <si>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</si>
  <si>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</si>
  <si>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n60m21.11.21.09-01</t>
  </si>
  <si>
    <t>n60m21.11.21.09-02</t>
  </si>
  <si>
    <t>n60m23.21.09-01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</si>
</sst>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5"/>
    <col customWidth="1" min="2" max="2" width="15.5"/>
    <col customWidth="1" min="3" max="3" width="3.88"/>
    <col customWidth="1" min="4" max="5" width="3.38"/>
    <col customWidth="1" min="6" max="6" width="2.88"/>
    <col customWidth="1" min="7" max="7" width="6.5"/>
    <col customWidth="1" min="8" max="8" width="7.13"/>
    <col customWidth="1" min="9" max="9" width="8.13"/>
    <col customWidth="1" min="10" max="10" width="7.0"/>
    <col customWidth="1" min="11" max="11" width="11.25"/>
    <col customWidth="1" min="12" max="13" width="8.13"/>
    <col customWidth="1" min="14" max="14" width="9.25"/>
    <col customWidth="1" min="15" max="15" width="9.0"/>
    <col customWidth="1" min="16" max="16" width="8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B2" s="1" t="s">
        <v>15</v>
      </c>
      <c r="C2" s="2" t="str">
        <f t="shared" ref="C2:C191" si="1">MID(B2,1,3)</f>
        <v>aa1</v>
      </c>
      <c r="D2" s="2" t="str">
        <f t="shared" ref="D2:D191" si="2">MID(B2,1,2)</f>
        <v>aa</v>
      </c>
      <c r="E2" s="2" t="str">
        <f t="shared" ref="E2:E191" si="3">MID(B2,4,1)</f>
        <v>f</v>
      </c>
      <c r="F2" s="2" t="str">
        <f t="shared" ref="F2:F191" si="4">MID(B2,5,2)</f>
        <v>09</v>
      </c>
      <c r="G2" s="2" t="str">
        <f t="shared" ref="G2:G191" si="5">MID(B2,1,4)</f>
        <v>aa1f</v>
      </c>
      <c r="H2" s="2" t="str">
        <f t="shared" ref="H2:H191" si="6">MID(B2,8,8)</f>
        <v>11.21.09</v>
      </c>
      <c r="I2" s="3">
        <v>166.759</v>
      </c>
      <c r="J2" s="3">
        <v>2.0145</v>
      </c>
      <c r="K2" s="4">
        <f t="shared" ref="K2:K191" si="7">F2*4.33</f>
        <v>38.97</v>
      </c>
      <c r="L2" s="4">
        <f t="shared" ref="L2:L191" si="8">180-(ABS(I2))</f>
        <v>13.241</v>
      </c>
      <c r="M2" s="4">
        <f t="shared" ref="M2:M191" si="9">K2*(1/15)</f>
        <v>2.598</v>
      </c>
      <c r="N2" s="4">
        <f t="shared" ref="N2:N191" si="10">(((M2)^2)+((2*M2*J2)*(COS(P2)))+J2^2)^(1/2)</f>
        <v>4.582235761</v>
      </c>
      <c r="O2" s="4">
        <f t="shared" ref="O2:O191" si="11">N2/(1/30)</f>
        <v>137.4670728</v>
      </c>
      <c r="P2" s="4">
        <f t="shared" ref="P2:P191" si="12">RADIANS(L2)</f>
        <v>0.2310990463</v>
      </c>
    </row>
    <row r="3">
      <c r="B3" s="1" t="s">
        <v>16</v>
      </c>
      <c r="C3" s="2" t="str">
        <f t="shared" si="1"/>
        <v>aa1</v>
      </c>
      <c r="D3" s="2" t="str">
        <f t="shared" si="2"/>
        <v>aa</v>
      </c>
      <c r="E3" s="2" t="str">
        <f t="shared" si="3"/>
        <v>f</v>
      </c>
      <c r="F3" s="2" t="str">
        <f t="shared" si="4"/>
        <v>09</v>
      </c>
      <c r="G3" s="2" t="str">
        <f t="shared" si="5"/>
        <v>aa1f</v>
      </c>
      <c r="H3" s="2" t="str">
        <f t="shared" si="6"/>
        <v>11.21.09</v>
      </c>
      <c r="I3" s="3">
        <v>-168.311</v>
      </c>
      <c r="J3" s="3">
        <v>1.743</v>
      </c>
      <c r="K3" s="4">
        <f t="shared" si="7"/>
        <v>38.97</v>
      </c>
      <c r="L3" s="4">
        <f t="shared" si="8"/>
        <v>11.689</v>
      </c>
      <c r="M3" s="4">
        <f t="shared" si="9"/>
        <v>2.598</v>
      </c>
      <c r="N3" s="4">
        <f t="shared" si="10"/>
        <v>4.319312695</v>
      </c>
      <c r="O3" s="4">
        <f t="shared" si="11"/>
        <v>129.5793809</v>
      </c>
      <c r="P3" s="4">
        <f t="shared" si="12"/>
        <v>0.2040115363</v>
      </c>
    </row>
    <row r="4">
      <c r="B4" s="1" t="s">
        <v>17</v>
      </c>
      <c r="C4" s="2" t="str">
        <f t="shared" si="1"/>
        <v>aa1</v>
      </c>
      <c r="D4" s="2" t="str">
        <f t="shared" si="2"/>
        <v>aa</v>
      </c>
      <c r="E4" s="2" t="str">
        <f t="shared" si="3"/>
        <v>f</v>
      </c>
      <c r="F4" s="2" t="str">
        <f t="shared" si="4"/>
        <v>11</v>
      </c>
      <c r="G4" s="2" t="str">
        <f t="shared" si="5"/>
        <v>aa1f</v>
      </c>
      <c r="H4" s="2" t="str">
        <f t="shared" si="6"/>
        <v>11.21.09</v>
      </c>
      <c r="I4" s="3">
        <v>-141.34</v>
      </c>
      <c r="J4" s="3">
        <v>1.4775</v>
      </c>
      <c r="K4" s="4">
        <f t="shared" si="7"/>
        <v>47.63</v>
      </c>
      <c r="L4" s="4">
        <f t="shared" si="8"/>
        <v>38.66</v>
      </c>
      <c r="M4" s="4">
        <f t="shared" si="9"/>
        <v>3.175333333</v>
      </c>
      <c r="N4" s="4">
        <f t="shared" si="10"/>
        <v>4.426364913</v>
      </c>
      <c r="O4" s="4">
        <f t="shared" si="11"/>
        <v>132.7909474</v>
      </c>
      <c r="P4" s="4">
        <f t="shared" si="12"/>
        <v>0.6747442888</v>
      </c>
    </row>
    <row r="5">
      <c r="B5" s="1" t="s">
        <v>18</v>
      </c>
      <c r="C5" s="2" t="str">
        <f t="shared" si="1"/>
        <v>aa1</v>
      </c>
      <c r="D5" s="2" t="str">
        <f t="shared" si="2"/>
        <v>aa</v>
      </c>
      <c r="E5" s="2" t="str">
        <f t="shared" si="3"/>
        <v>f</v>
      </c>
      <c r="F5" s="2" t="str">
        <f t="shared" si="4"/>
        <v>11</v>
      </c>
      <c r="G5" s="2" t="str">
        <f t="shared" si="5"/>
        <v>aa1f</v>
      </c>
      <c r="H5" s="2" t="str">
        <f t="shared" si="6"/>
        <v>11.21.09</v>
      </c>
      <c r="I5" s="3">
        <v>146.821</v>
      </c>
      <c r="J5" s="3">
        <v>1.7955</v>
      </c>
      <c r="K5" s="4">
        <f t="shared" si="7"/>
        <v>47.63</v>
      </c>
      <c r="L5" s="4">
        <f t="shared" si="8"/>
        <v>33.179</v>
      </c>
      <c r="M5" s="4">
        <f t="shared" si="9"/>
        <v>3.175333333</v>
      </c>
      <c r="N5" s="4">
        <f t="shared" si="10"/>
        <v>4.780183781</v>
      </c>
      <c r="O5" s="4">
        <f t="shared" si="11"/>
        <v>143.4055134</v>
      </c>
      <c r="P5" s="4">
        <f t="shared" si="12"/>
        <v>0.5790827925</v>
      </c>
    </row>
    <row r="6">
      <c r="B6" s="1" t="s">
        <v>19</v>
      </c>
      <c r="C6" s="2" t="str">
        <f t="shared" si="1"/>
        <v>aa1</v>
      </c>
      <c r="D6" s="2" t="str">
        <f t="shared" si="2"/>
        <v>aa</v>
      </c>
      <c r="E6" s="2" t="str">
        <f t="shared" si="3"/>
        <v>f</v>
      </c>
      <c r="F6" s="2" t="str">
        <f t="shared" si="4"/>
        <v>15</v>
      </c>
      <c r="G6" s="2" t="str">
        <f t="shared" si="5"/>
        <v>aa1f</v>
      </c>
      <c r="H6" s="2" t="str">
        <f t="shared" si="6"/>
        <v>11.21.09</v>
      </c>
      <c r="I6" s="3">
        <v>166.43</v>
      </c>
      <c r="J6" s="3">
        <v>1.7535</v>
      </c>
      <c r="K6" s="4">
        <f t="shared" si="7"/>
        <v>64.95</v>
      </c>
      <c r="L6" s="4">
        <f t="shared" si="8"/>
        <v>13.57</v>
      </c>
      <c r="M6" s="4">
        <f t="shared" si="9"/>
        <v>4.33</v>
      </c>
      <c r="N6" s="4">
        <f t="shared" si="10"/>
        <v>6.048558419</v>
      </c>
      <c r="O6" s="4">
        <f t="shared" si="11"/>
        <v>181.4567526</v>
      </c>
      <c r="P6" s="4">
        <f t="shared" si="12"/>
        <v>0.2368411795</v>
      </c>
    </row>
    <row r="7">
      <c r="B7" s="1" t="s">
        <v>20</v>
      </c>
      <c r="C7" s="2" t="str">
        <f t="shared" si="1"/>
        <v>aa1</v>
      </c>
      <c r="D7" s="2" t="str">
        <f t="shared" si="2"/>
        <v>aa</v>
      </c>
      <c r="E7" s="2" t="str">
        <f t="shared" si="3"/>
        <v>f</v>
      </c>
      <c r="F7" s="2" t="str">
        <f t="shared" si="4"/>
        <v>15</v>
      </c>
      <c r="G7" s="2" t="str">
        <f t="shared" si="5"/>
        <v>aa1f</v>
      </c>
      <c r="H7" s="2" t="str">
        <f t="shared" si="6"/>
        <v>11.21.09</v>
      </c>
      <c r="I7" s="3">
        <v>-170.538</v>
      </c>
      <c r="J7" s="3">
        <v>1.053</v>
      </c>
      <c r="K7" s="4">
        <f t="shared" si="7"/>
        <v>64.95</v>
      </c>
      <c r="L7" s="4">
        <f t="shared" si="8"/>
        <v>9.462</v>
      </c>
      <c r="M7" s="4">
        <f t="shared" si="9"/>
        <v>4.33</v>
      </c>
      <c r="N7" s="4">
        <f t="shared" si="10"/>
        <v>5.37146385</v>
      </c>
      <c r="O7" s="4">
        <f t="shared" si="11"/>
        <v>161.1439155</v>
      </c>
      <c r="P7" s="4">
        <f t="shared" si="12"/>
        <v>0.1651430538</v>
      </c>
    </row>
    <row r="8">
      <c r="B8" s="1" t="s">
        <v>21</v>
      </c>
      <c r="C8" s="2" t="str">
        <f t="shared" si="1"/>
        <v>aa1</v>
      </c>
      <c r="D8" s="2" t="str">
        <f t="shared" si="2"/>
        <v>aa</v>
      </c>
      <c r="E8" s="2" t="str">
        <f t="shared" si="3"/>
        <v>f</v>
      </c>
      <c r="F8" s="2" t="str">
        <f t="shared" si="4"/>
        <v>15</v>
      </c>
      <c r="G8" s="2" t="str">
        <f t="shared" si="5"/>
        <v>aa1f</v>
      </c>
      <c r="H8" s="2" t="str">
        <f t="shared" si="6"/>
        <v>11.21.09</v>
      </c>
      <c r="I8" s="3">
        <v>128.157</v>
      </c>
      <c r="J8" s="3">
        <v>3.0855</v>
      </c>
      <c r="K8" s="4">
        <f t="shared" si="7"/>
        <v>64.95</v>
      </c>
      <c r="L8" s="4">
        <f t="shared" si="8"/>
        <v>51.843</v>
      </c>
      <c r="M8" s="4">
        <f t="shared" si="9"/>
        <v>4.33</v>
      </c>
      <c r="N8" s="4">
        <f t="shared" si="10"/>
        <v>6.691605539</v>
      </c>
      <c r="O8" s="4">
        <f t="shared" si="11"/>
        <v>200.7481662</v>
      </c>
      <c r="P8" s="4">
        <f t="shared" si="12"/>
        <v>0.9048310441</v>
      </c>
    </row>
    <row r="9">
      <c r="B9" s="1" t="s">
        <v>22</v>
      </c>
      <c r="C9" s="2" t="str">
        <f t="shared" si="1"/>
        <v>aa1</v>
      </c>
      <c r="D9" s="2" t="str">
        <f t="shared" si="2"/>
        <v>aa</v>
      </c>
      <c r="E9" s="2" t="str">
        <f t="shared" si="3"/>
        <v>f</v>
      </c>
      <c r="F9" s="2" t="str">
        <f t="shared" si="4"/>
        <v>17</v>
      </c>
      <c r="G9" s="2" t="str">
        <f t="shared" si="5"/>
        <v>aa1f</v>
      </c>
      <c r="H9" s="2" t="str">
        <f t="shared" si="6"/>
        <v>11.21.09</v>
      </c>
      <c r="I9" s="3">
        <v>-160.096</v>
      </c>
      <c r="J9" s="3">
        <v>3.591</v>
      </c>
      <c r="K9" s="4">
        <f t="shared" si="7"/>
        <v>73.61</v>
      </c>
      <c r="L9" s="4">
        <f t="shared" si="8"/>
        <v>19.904</v>
      </c>
      <c r="M9" s="4">
        <f t="shared" si="9"/>
        <v>4.907333333</v>
      </c>
      <c r="N9" s="4">
        <f t="shared" si="10"/>
        <v>8.373548749</v>
      </c>
      <c r="O9" s="4">
        <f t="shared" si="11"/>
        <v>251.2064625</v>
      </c>
      <c r="P9" s="4">
        <f t="shared" si="12"/>
        <v>0.3473903343</v>
      </c>
    </row>
    <row r="10">
      <c r="B10" s="1" t="s">
        <v>23</v>
      </c>
      <c r="C10" s="2" t="str">
        <f t="shared" si="1"/>
        <v>aa1</v>
      </c>
      <c r="D10" s="2" t="str">
        <f t="shared" si="2"/>
        <v>aa</v>
      </c>
      <c r="E10" s="2" t="str">
        <f t="shared" si="3"/>
        <v>f</v>
      </c>
      <c r="F10" s="2" t="str">
        <f t="shared" si="4"/>
        <v>21</v>
      </c>
      <c r="G10" s="2" t="str">
        <f t="shared" si="5"/>
        <v>aa1f</v>
      </c>
      <c r="H10" s="2" t="str">
        <f t="shared" si="6"/>
        <v>11.21.09</v>
      </c>
      <c r="I10" s="3">
        <v>-116.565</v>
      </c>
      <c r="J10" s="3">
        <v>3.204</v>
      </c>
      <c r="K10" s="4">
        <f t="shared" si="7"/>
        <v>90.93</v>
      </c>
      <c r="L10" s="4">
        <f t="shared" si="8"/>
        <v>63.435</v>
      </c>
      <c r="M10" s="4">
        <f t="shared" si="9"/>
        <v>6.062</v>
      </c>
      <c r="N10" s="4">
        <f t="shared" si="10"/>
        <v>8.024062154</v>
      </c>
      <c r="O10" s="4">
        <f t="shared" si="11"/>
        <v>240.7218646</v>
      </c>
      <c r="P10" s="4">
        <f t="shared" si="12"/>
        <v>1.107149611</v>
      </c>
    </row>
    <row r="11">
      <c r="B11" s="1" t="s">
        <v>24</v>
      </c>
      <c r="C11" s="2" t="str">
        <f t="shared" si="1"/>
        <v>aa1</v>
      </c>
      <c r="D11" s="2" t="str">
        <f t="shared" si="2"/>
        <v>aa</v>
      </c>
      <c r="E11" s="2" t="str">
        <f t="shared" si="3"/>
        <v>f</v>
      </c>
      <c r="F11" s="2" t="str">
        <f t="shared" si="4"/>
        <v>21</v>
      </c>
      <c r="G11" s="2" t="str">
        <f t="shared" si="5"/>
        <v>aa1f</v>
      </c>
      <c r="H11" s="2" t="str">
        <f t="shared" si="6"/>
        <v>11.21.09</v>
      </c>
      <c r="I11" s="3">
        <v>171.119</v>
      </c>
      <c r="J11" s="3">
        <v>1.869</v>
      </c>
      <c r="K11" s="4">
        <f t="shared" si="7"/>
        <v>90.93</v>
      </c>
      <c r="L11" s="4">
        <f t="shared" si="8"/>
        <v>8.881</v>
      </c>
      <c r="M11" s="4">
        <f t="shared" si="9"/>
        <v>6.062</v>
      </c>
      <c r="N11" s="4">
        <f t="shared" si="10"/>
        <v>7.913854674</v>
      </c>
      <c r="O11" s="4">
        <f t="shared" si="11"/>
        <v>237.4156402</v>
      </c>
      <c r="P11" s="4">
        <f t="shared" si="12"/>
        <v>0.1550026909</v>
      </c>
    </row>
    <row r="12">
      <c r="B12" s="1" t="s">
        <v>24</v>
      </c>
      <c r="C12" s="2" t="str">
        <f t="shared" si="1"/>
        <v>aa1</v>
      </c>
      <c r="D12" s="2" t="str">
        <f t="shared" si="2"/>
        <v>aa</v>
      </c>
      <c r="E12" s="2" t="str">
        <f t="shared" si="3"/>
        <v>f</v>
      </c>
      <c r="F12" s="2" t="str">
        <f t="shared" si="4"/>
        <v>21</v>
      </c>
      <c r="G12" s="2" t="str">
        <f t="shared" si="5"/>
        <v>aa1f</v>
      </c>
      <c r="H12" s="2" t="str">
        <f t="shared" si="6"/>
        <v>11.21.09</v>
      </c>
      <c r="I12" s="3">
        <v>171.119</v>
      </c>
      <c r="J12" s="3">
        <v>1.869</v>
      </c>
      <c r="K12" s="4">
        <f t="shared" si="7"/>
        <v>90.93</v>
      </c>
      <c r="L12" s="4">
        <f t="shared" si="8"/>
        <v>8.881</v>
      </c>
      <c r="M12" s="4">
        <f t="shared" si="9"/>
        <v>6.062</v>
      </c>
      <c r="N12" s="4">
        <f t="shared" si="10"/>
        <v>7.913854674</v>
      </c>
      <c r="O12" s="4">
        <f t="shared" si="11"/>
        <v>237.4156402</v>
      </c>
      <c r="P12" s="4">
        <f t="shared" si="12"/>
        <v>0.1550026909</v>
      </c>
    </row>
    <row r="13">
      <c r="B13" s="1" t="s">
        <v>25</v>
      </c>
      <c r="C13" s="2" t="str">
        <f t="shared" si="1"/>
        <v>aa1</v>
      </c>
      <c r="D13" s="2" t="str">
        <f t="shared" si="2"/>
        <v>aa</v>
      </c>
      <c r="E13" s="2" t="str">
        <f t="shared" si="3"/>
        <v>f</v>
      </c>
      <c r="F13" s="2" t="str">
        <f t="shared" si="4"/>
        <v>21</v>
      </c>
      <c r="G13" s="2" t="str">
        <f t="shared" si="5"/>
        <v>aa1f</v>
      </c>
      <c r="H13" s="2" t="str">
        <f t="shared" si="6"/>
        <v>11.21.09</v>
      </c>
      <c r="I13" s="3">
        <v>171.119</v>
      </c>
      <c r="J13" s="3">
        <v>1.869</v>
      </c>
      <c r="K13" s="4">
        <f t="shared" si="7"/>
        <v>90.93</v>
      </c>
      <c r="L13" s="4">
        <f t="shared" si="8"/>
        <v>8.881</v>
      </c>
      <c r="M13" s="4">
        <f t="shared" si="9"/>
        <v>6.062</v>
      </c>
      <c r="N13" s="4">
        <f t="shared" si="10"/>
        <v>7.913854674</v>
      </c>
      <c r="O13" s="4">
        <f t="shared" si="11"/>
        <v>237.4156402</v>
      </c>
      <c r="P13" s="4">
        <f t="shared" si="12"/>
        <v>0.1550026909</v>
      </c>
    </row>
    <row r="14">
      <c r="B14" s="1" t="s">
        <v>26</v>
      </c>
      <c r="C14" s="2" t="str">
        <f t="shared" si="1"/>
        <v>aa1</v>
      </c>
      <c r="D14" s="2" t="str">
        <f t="shared" si="2"/>
        <v>aa</v>
      </c>
      <c r="E14" s="2" t="str">
        <f t="shared" si="3"/>
        <v>f</v>
      </c>
      <c r="F14" s="2" t="str">
        <f t="shared" si="4"/>
        <v>21</v>
      </c>
      <c r="G14" s="2" t="str">
        <f t="shared" si="5"/>
        <v>aa1f</v>
      </c>
      <c r="H14" s="2" t="str">
        <f t="shared" si="6"/>
        <v>11.21.09</v>
      </c>
      <c r="I14" s="3">
        <v>-169.509</v>
      </c>
      <c r="J14" s="3">
        <v>1.584</v>
      </c>
      <c r="K14" s="4">
        <f t="shared" si="7"/>
        <v>90.93</v>
      </c>
      <c r="L14" s="4">
        <f t="shared" si="8"/>
        <v>10.491</v>
      </c>
      <c r="M14" s="4">
        <f t="shared" si="9"/>
        <v>6.062</v>
      </c>
      <c r="N14" s="4">
        <f t="shared" si="10"/>
        <v>7.624977756</v>
      </c>
      <c r="O14" s="4">
        <f t="shared" si="11"/>
        <v>228.7493327</v>
      </c>
      <c r="P14" s="4">
        <f t="shared" si="12"/>
        <v>0.1831024918</v>
      </c>
    </row>
    <row r="15">
      <c r="B15" s="1" t="s">
        <v>27</v>
      </c>
      <c r="C15" s="2" t="str">
        <f t="shared" si="1"/>
        <v>aa1</v>
      </c>
      <c r="D15" s="2" t="str">
        <f t="shared" si="2"/>
        <v>aa</v>
      </c>
      <c r="E15" s="2" t="str">
        <f t="shared" si="3"/>
        <v>f</v>
      </c>
      <c r="F15" s="2" t="str">
        <f t="shared" si="4"/>
        <v>21</v>
      </c>
      <c r="G15" s="2" t="str">
        <f t="shared" si="5"/>
        <v>aa1f</v>
      </c>
      <c r="H15" s="2" t="str">
        <f t="shared" si="6"/>
        <v>11.21.09</v>
      </c>
      <c r="I15" s="3">
        <v>-148.392</v>
      </c>
      <c r="J15" s="3">
        <v>1.725</v>
      </c>
      <c r="K15" s="4">
        <f t="shared" si="7"/>
        <v>90.93</v>
      </c>
      <c r="L15" s="4">
        <f t="shared" si="8"/>
        <v>31.608</v>
      </c>
      <c r="M15" s="4">
        <f t="shared" si="9"/>
        <v>6.062</v>
      </c>
      <c r="N15" s="4">
        <f t="shared" si="10"/>
        <v>7.585174398</v>
      </c>
      <c r="O15" s="4">
        <f t="shared" si="11"/>
        <v>227.5552319</v>
      </c>
      <c r="P15" s="4">
        <f t="shared" si="12"/>
        <v>0.55166367</v>
      </c>
    </row>
    <row r="16">
      <c r="B16" s="1" t="s">
        <v>28</v>
      </c>
      <c r="C16" s="2" t="str">
        <f t="shared" si="1"/>
        <v>aa1</v>
      </c>
      <c r="D16" s="2" t="str">
        <f t="shared" si="2"/>
        <v>aa</v>
      </c>
      <c r="E16" s="2" t="str">
        <f t="shared" si="3"/>
        <v>f</v>
      </c>
      <c r="F16" s="2" t="str">
        <f t="shared" si="4"/>
        <v>21</v>
      </c>
      <c r="G16" s="2" t="str">
        <f t="shared" si="5"/>
        <v>aa1f</v>
      </c>
      <c r="H16" s="2" t="str">
        <f t="shared" si="6"/>
        <v>11.21.09</v>
      </c>
      <c r="I16" s="3">
        <v>-135.0</v>
      </c>
      <c r="J16" s="3">
        <v>2.0085</v>
      </c>
      <c r="K16" s="4">
        <f t="shared" si="7"/>
        <v>90.93</v>
      </c>
      <c r="L16" s="4">
        <f t="shared" si="8"/>
        <v>45</v>
      </c>
      <c r="M16" s="4">
        <f t="shared" si="9"/>
        <v>6.062</v>
      </c>
      <c r="N16" s="4">
        <f t="shared" si="10"/>
        <v>7.615819829</v>
      </c>
      <c r="O16" s="4">
        <f t="shared" si="11"/>
        <v>228.4745949</v>
      </c>
      <c r="P16" s="4">
        <f t="shared" si="12"/>
        <v>0.7853981634</v>
      </c>
    </row>
    <row r="17">
      <c r="B17" s="1" t="s">
        <v>29</v>
      </c>
      <c r="C17" s="2" t="str">
        <f t="shared" si="1"/>
        <v>aa1</v>
      </c>
      <c r="D17" s="2" t="str">
        <f t="shared" si="2"/>
        <v>aa</v>
      </c>
      <c r="E17" s="2" t="str">
        <f t="shared" si="3"/>
        <v>f</v>
      </c>
      <c r="F17" s="2" t="str">
        <f t="shared" si="4"/>
        <v>21</v>
      </c>
      <c r="G17" s="2" t="str">
        <f t="shared" si="5"/>
        <v>aa1f</v>
      </c>
      <c r="H17" s="2" t="str">
        <f t="shared" si="6"/>
        <v>11.21.09</v>
      </c>
      <c r="I17" s="3">
        <v>-133.025</v>
      </c>
      <c r="J17" s="3">
        <v>1.152</v>
      </c>
      <c r="K17" s="4">
        <f t="shared" si="7"/>
        <v>90.93</v>
      </c>
      <c r="L17" s="4">
        <f t="shared" si="8"/>
        <v>46.975</v>
      </c>
      <c r="M17" s="4">
        <f t="shared" si="9"/>
        <v>6.062</v>
      </c>
      <c r="N17" s="4">
        <f t="shared" si="10"/>
        <v>6.899621115</v>
      </c>
      <c r="O17" s="4">
        <f t="shared" si="11"/>
        <v>206.9886335</v>
      </c>
      <c r="P17" s="4">
        <f t="shared" si="12"/>
        <v>0.8198684161</v>
      </c>
    </row>
    <row r="18">
      <c r="B18" s="1" t="s">
        <v>30</v>
      </c>
      <c r="C18" s="2" t="str">
        <f t="shared" si="1"/>
        <v>aa1</v>
      </c>
      <c r="D18" s="2" t="str">
        <f t="shared" si="2"/>
        <v>aa</v>
      </c>
      <c r="E18" s="2" t="str">
        <f t="shared" si="3"/>
        <v>f</v>
      </c>
      <c r="F18" s="2" t="str">
        <f t="shared" si="4"/>
        <v>21</v>
      </c>
      <c r="G18" s="2" t="str">
        <f t="shared" si="5"/>
        <v>aa1f</v>
      </c>
      <c r="H18" s="2" t="str">
        <f t="shared" si="6"/>
        <v>11.21.09</v>
      </c>
      <c r="I18" s="3">
        <v>-146.976</v>
      </c>
      <c r="J18" s="3">
        <v>2.763</v>
      </c>
      <c r="K18" s="4">
        <f t="shared" si="7"/>
        <v>90.93</v>
      </c>
      <c r="L18" s="4">
        <f t="shared" si="8"/>
        <v>33.024</v>
      </c>
      <c r="M18" s="4">
        <f t="shared" si="9"/>
        <v>6.062</v>
      </c>
      <c r="N18" s="4">
        <f t="shared" si="10"/>
        <v>8.512853117</v>
      </c>
      <c r="O18" s="4">
        <f t="shared" si="11"/>
        <v>255.3855935</v>
      </c>
      <c r="P18" s="4">
        <f t="shared" si="12"/>
        <v>0.5763775322</v>
      </c>
    </row>
    <row r="19">
      <c r="B19" s="1" t="s">
        <v>31</v>
      </c>
      <c r="C19" s="2" t="str">
        <f t="shared" si="1"/>
        <v>aa1</v>
      </c>
      <c r="D19" s="2" t="str">
        <f t="shared" si="2"/>
        <v>aa</v>
      </c>
      <c r="E19" s="2" t="str">
        <f t="shared" si="3"/>
        <v>f</v>
      </c>
      <c r="F19" s="2" t="str">
        <f t="shared" si="4"/>
        <v>21</v>
      </c>
      <c r="G19" s="2" t="str">
        <f t="shared" si="5"/>
        <v>aa1f</v>
      </c>
      <c r="H19" s="2" t="str">
        <f t="shared" si="6"/>
        <v>11.21.09</v>
      </c>
      <c r="I19" s="3">
        <v>168.111</v>
      </c>
      <c r="J19" s="3">
        <v>2.241</v>
      </c>
      <c r="K19" s="4">
        <f t="shared" si="7"/>
        <v>90.93</v>
      </c>
      <c r="L19" s="4">
        <f t="shared" si="8"/>
        <v>11.889</v>
      </c>
      <c r="M19" s="4">
        <f t="shared" si="9"/>
        <v>6.062</v>
      </c>
      <c r="N19" s="4">
        <f t="shared" si="10"/>
        <v>8.267827752</v>
      </c>
      <c r="O19" s="4">
        <f t="shared" si="11"/>
        <v>248.0348326</v>
      </c>
      <c r="P19" s="4">
        <f t="shared" si="12"/>
        <v>0.2075021948</v>
      </c>
    </row>
    <row r="20">
      <c r="B20" s="1" t="s">
        <v>32</v>
      </c>
      <c r="C20" s="2" t="str">
        <f t="shared" si="1"/>
        <v>aa1</v>
      </c>
      <c r="D20" s="2" t="str">
        <f t="shared" si="2"/>
        <v>aa</v>
      </c>
      <c r="E20" s="2" t="str">
        <f t="shared" si="3"/>
        <v>f</v>
      </c>
      <c r="F20" s="2" t="str">
        <f t="shared" si="4"/>
        <v>23</v>
      </c>
      <c r="G20" s="2" t="str">
        <f t="shared" si="5"/>
        <v>aa1f</v>
      </c>
      <c r="H20" s="2" t="str">
        <f t="shared" si="6"/>
        <v>11.21.09</v>
      </c>
      <c r="I20" s="3">
        <v>-170.538</v>
      </c>
      <c r="J20" s="3">
        <v>2.1795</v>
      </c>
      <c r="K20" s="4">
        <f t="shared" si="7"/>
        <v>99.59</v>
      </c>
      <c r="L20" s="4">
        <f t="shared" si="8"/>
        <v>9.462</v>
      </c>
      <c r="M20" s="4">
        <f t="shared" si="9"/>
        <v>6.639333333</v>
      </c>
      <c r="N20" s="4">
        <f t="shared" si="10"/>
        <v>8.796480924</v>
      </c>
      <c r="O20" s="4">
        <f t="shared" si="11"/>
        <v>263.8944277</v>
      </c>
      <c r="P20" s="4">
        <f t="shared" si="12"/>
        <v>0.1651430538</v>
      </c>
    </row>
    <row r="21">
      <c r="B21" s="1" t="s">
        <v>33</v>
      </c>
      <c r="C21" s="2" t="str">
        <f t="shared" si="1"/>
        <v>aa1</v>
      </c>
      <c r="D21" s="2" t="str">
        <f t="shared" si="2"/>
        <v>aa</v>
      </c>
      <c r="E21" s="2" t="str">
        <f t="shared" si="3"/>
        <v>f</v>
      </c>
      <c r="F21" s="2" t="str">
        <f t="shared" si="4"/>
        <v>23</v>
      </c>
      <c r="G21" s="2" t="str">
        <f t="shared" si="5"/>
        <v>aa1f</v>
      </c>
      <c r="H21" s="2" t="str">
        <f t="shared" si="6"/>
        <v>11.21.09</v>
      </c>
      <c r="I21" s="3">
        <v>-157.694</v>
      </c>
      <c r="J21" s="3">
        <v>3.7755</v>
      </c>
      <c r="K21" s="4">
        <f t="shared" si="7"/>
        <v>99.59</v>
      </c>
      <c r="L21" s="4">
        <f t="shared" si="8"/>
        <v>22.306</v>
      </c>
      <c r="M21" s="4">
        <f t="shared" si="9"/>
        <v>6.639333333</v>
      </c>
      <c r="N21" s="4">
        <f t="shared" si="10"/>
        <v>10.2331449</v>
      </c>
      <c r="O21" s="4">
        <f t="shared" si="11"/>
        <v>306.9943469</v>
      </c>
      <c r="P21" s="4">
        <f t="shared" si="12"/>
        <v>0.3893131429</v>
      </c>
    </row>
    <row r="22">
      <c r="B22" s="1" t="s">
        <v>34</v>
      </c>
      <c r="C22" s="2" t="str">
        <f t="shared" si="1"/>
        <v>aa1</v>
      </c>
      <c r="D22" s="2" t="str">
        <f t="shared" si="2"/>
        <v>aa</v>
      </c>
      <c r="E22" s="2" t="str">
        <f t="shared" si="3"/>
        <v>f</v>
      </c>
      <c r="F22" s="2" t="str">
        <f t="shared" si="4"/>
        <v>23</v>
      </c>
      <c r="G22" s="2" t="str">
        <f t="shared" si="5"/>
        <v>aa1f</v>
      </c>
      <c r="H22" s="2" t="str">
        <f t="shared" si="6"/>
        <v>11.21.09</v>
      </c>
      <c r="I22" s="3">
        <v>165.466</v>
      </c>
      <c r="J22" s="3">
        <v>2.5275</v>
      </c>
      <c r="K22" s="4">
        <f t="shared" si="7"/>
        <v>99.59</v>
      </c>
      <c r="L22" s="4">
        <f t="shared" si="8"/>
        <v>14.534</v>
      </c>
      <c r="M22" s="4">
        <f t="shared" si="9"/>
        <v>6.639333333</v>
      </c>
      <c r="N22" s="4">
        <f t="shared" si="10"/>
        <v>9.108063328</v>
      </c>
      <c r="O22" s="4">
        <f t="shared" si="11"/>
        <v>273.2418999</v>
      </c>
      <c r="P22" s="4">
        <f t="shared" si="12"/>
        <v>0.2536661535</v>
      </c>
    </row>
    <row r="23">
      <c r="B23" s="1" t="s">
        <v>35</v>
      </c>
      <c r="C23" s="2" t="str">
        <f t="shared" si="1"/>
        <v>aa1</v>
      </c>
      <c r="D23" s="2" t="str">
        <f t="shared" si="2"/>
        <v>aa</v>
      </c>
      <c r="E23" s="2" t="str">
        <f t="shared" si="3"/>
        <v>f</v>
      </c>
      <c r="F23" s="2" t="str">
        <f t="shared" si="4"/>
        <v>23</v>
      </c>
      <c r="G23" s="2" t="str">
        <f t="shared" si="5"/>
        <v>aa1f</v>
      </c>
      <c r="H23" s="2" t="str">
        <f t="shared" si="6"/>
        <v>11.21.09</v>
      </c>
      <c r="I23" s="3">
        <v>-173.211</v>
      </c>
      <c r="J23" s="3">
        <v>3.7635</v>
      </c>
      <c r="K23" s="4">
        <f t="shared" si="7"/>
        <v>99.59</v>
      </c>
      <c r="L23" s="4">
        <f t="shared" si="8"/>
        <v>6.789</v>
      </c>
      <c r="M23" s="4">
        <f t="shared" si="9"/>
        <v>6.639333333</v>
      </c>
      <c r="N23" s="4">
        <f t="shared" si="10"/>
        <v>10.38597771</v>
      </c>
      <c r="O23" s="4">
        <f t="shared" si="11"/>
        <v>311.5793312</v>
      </c>
      <c r="P23" s="4">
        <f t="shared" si="12"/>
        <v>0.1184904029</v>
      </c>
    </row>
    <row r="24">
      <c r="B24" s="1" t="s">
        <v>36</v>
      </c>
      <c r="C24" s="2" t="str">
        <f t="shared" si="1"/>
        <v>aa1</v>
      </c>
      <c r="D24" s="2" t="str">
        <f t="shared" si="2"/>
        <v>aa</v>
      </c>
      <c r="E24" s="2" t="str">
        <f t="shared" si="3"/>
        <v>f</v>
      </c>
      <c r="F24" s="2" t="str">
        <f t="shared" si="4"/>
        <v>23</v>
      </c>
      <c r="G24" s="2" t="str">
        <f t="shared" si="5"/>
        <v>aa1f</v>
      </c>
      <c r="H24" s="2" t="str">
        <f t="shared" si="6"/>
        <v>11.21.09</v>
      </c>
      <c r="I24" s="3">
        <v>-141.009</v>
      </c>
      <c r="J24" s="3">
        <v>2.4195</v>
      </c>
      <c r="K24" s="4">
        <f t="shared" si="7"/>
        <v>99.59</v>
      </c>
      <c r="L24" s="4">
        <f t="shared" si="8"/>
        <v>38.991</v>
      </c>
      <c r="M24" s="4">
        <f t="shared" si="9"/>
        <v>6.639333333</v>
      </c>
      <c r="N24" s="4">
        <f t="shared" si="10"/>
        <v>8.6548161</v>
      </c>
      <c r="O24" s="4">
        <f t="shared" si="11"/>
        <v>259.644483</v>
      </c>
      <c r="P24" s="4">
        <f t="shared" si="12"/>
        <v>0.6805213286</v>
      </c>
    </row>
    <row r="25">
      <c r="B25" s="1" t="s">
        <v>37</v>
      </c>
      <c r="C25" s="2" t="str">
        <f t="shared" si="1"/>
        <v>aa1</v>
      </c>
      <c r="D25" s="2" t="str">
        <f t="shared" si="2"/>
        <v>aa</v>
      </c>
      <c r="E25" s="2" t="str">
        <f t="shared" si="3"/>
        <v>f</v>
      </c>
      <c r="F25" s="2" t="str">
        <f t="shared" si="4"/>
        <v>23</v>
      </c>
      <c r="G25" s="2" t="str">
        <f t="shared" si="5"/>
        <v>aa1f</v>
      </c>
      <c r="H25" s="2" t="str">
        <f t="shared" si="6"/>
        <v>11.21.09</v>
      </c>
      <c r="I25" s="3">
        <v>-172.235</v>
      </c>
      <c r="J25" s="3">
        <v>2.01</v>
      </c>
      <c r="K25" s="4">
        <f t="shared" si="7"/>
        <v>99.59</v>
      </c>
      <c r="L25" s="4">
        <f t="shared" si="8"/>
        <v>7.765</v>
      </c>
      <c r="M25" s="4">
        <f t="shared" si="9"/>
        <v>6.639333333</v>
      </c>
      <c r="N25" s="4">
        <f t="shared" si="10"/>
        <v>8.63517421</v>
      </c>
      <c r="O25" s="4">
        <f t="shared" si="11"/>
        <v>259.0552263</v>
      </c>
      <c r="P25" s="4">
        <f t="shared" si="12"/>
        <v>0.1355248164</v>
      </c>
    </row>
    <row r="26">
      <c r="B26" s="1" t="s">
        <v>38</v>
      </c>
      <c r="C26" s="2" t="str">
        <f t="shared" si="1"/>
        <v>aa1</v>
      </c>
      <c r="D26" s="2" t="str">
        <f t="shared" si="2"/>
        <v>aa</v>
      </c>
      <c r="E26" s="2" t="str">
        <f t="shared" si="3"/>
        <v>m</v>
      </c>
      <c r="F26" s="2" t="str">
        <f t="shared" si="4"/>
        <v>07</v>
      </c>
      <c r="G26" s="2" t="str">
        <f t="shared" si="5"/>
        <v>aa1m</v>
      </c>
      <c r="H26" s="2" t="str">
        <f t="shared" si="6"/>
        <v>11.12.09</v>
      </c>
      <c r="I26" s="3">
        <v>-167.471</v>
      </c>
      <c r="J26" s="3">
        <v>0.355</v>
      </c>
      <c r="K26" s="4">
        <f t="shared" si="7"/>
        <v>30.31</v>
      </c>
      <c r="L26" s="4">
        <f t="shared" si="8"/>
        <v>12.529</v>
      </c>
      <c r="M26" s="4">
        <f t="shared" si="9"/>
        <v>2.020666667</v>
      </c>
      <c r="N26" s="4">
        <f t="shared" si="10"/>
        <v>2.368465173</v>
      </c>
      <c r="O26" s="4">
        <f t="shared" si="11"/>
        <v>71.0539552</v>
      </c>
      <c r="P26" s="4">
        <f t="shared" si="12"/>
        <v>0.218672302</v>
      </c>
    </row>
    <row r="27">
      <c r="B27" s="1" t="s">
        <v>39</v>
      </c>
      <c r="C27" s="2" t="str">
        <f t="shared" si="1"/>
        <v>aa1</v>
      </c>
      <c r="D27" s="2" t="str">
        <f t="shared" si="2"/>
        <v>aa</v>
      </c>
      <c r="E27" s="2" t="str">
        <f t="shared" si="3"/>
        <v>m</v>
      </c>
      <c r="F27" s="2" t="str">
        <f t="shared" si="4"/>
        <v>07</v>
      </c>
      <c r="G27" s="2" t="str">
        <f t="shared" si="5"/>
        <v>aa1m</v>
      </c>
      <c r="H27" s="2" t="str">
        <f t="shared" si="6"/>
        <v>11.21.09</v>
      </c>
      <c r="I27" s="3">
        <v>152.301</v>
      </c>
      <c r="J27" s="3">
        <v>1.738</v>
      </c>
      <c r="K27" s="4">
        <f t="shared" si="7"/>
        <v>30.31</v>
      </c>
      <c r="L27" s="4">
        <f t="shared" si="8"/>
        <v>27.699</v>
      </c>
      <c r="M27" s="4">
        <f t="shared" si="9"/>
        <v>2.020666667</v>
      </c>
      <c r="N27" s="4">
        <f t="shared" si="10"/>
        <v>3.65002131</v>
      </c>
      <c r="O27" s="4">
        <f t="shared" si="11"/>
        <v>109.5006393</v>
      </c>
      <c r="P27" s="4">
        <f t="shared" si="12"/>
        <v>0.4834387495</v>
      </c>
    </row>
    <row r="28">
      <c r="B28" s="1" t="s">
        <v>40</v>
      </c>
      <c r="C28" s="2" t="str">
        <f t="shared" si="1"/>
        <v>aa1</v>
      </c>
      <c r="D28" s="2" t="str">
        <f t="shared" si="2"/>
        <v>aa</v>
      </c>
      <c r="E28" s="2" t="str">
        <f t="shared" si="3"/>
        <v>m</v>
      </c>
      <c r="F28" s="2" t="str">
        <f t="shared" si="4"/>
        <v>09</v>
      </c>
      <c r="G28" s="2" t="str">
        <f t="shared" si="5"/>
        <v>aa1m</v>
      </c>
      <c r="H28" s="2" t="str">
        <f t="shared" si="6"/>
        <v>11.12.09</v>
      </c>
      <c r="I28" s="3">
        <v>-176.186</v>
      </c>
      <c r="J28" s="3">
        <v>1.156</v>
      </c>
      <c r="K28" s="4">
        <f t="shared" si="7"/>
        <v>38.97</v>
      </c>
      <c r="L28" s="4">
        <f t="shared" si="8"/>
        <v>3.814</v>
      </c>
      <c r="M28" s="4">
        <f t="shared" si="9"/>
        <v>2.598</v>
      </c>
      <c r="N28" s="4">
        <f t="shared" si="10"/>
        <v>3.752227726</v>
      </c>
      <c r="O28" s="4">
        <f t="shared" si="11"/>
        <v>112.5668318</v>
      </c>
      <c r="P28" s="4">
        <f t="shared" si="12"/>
        <v>0.06656685767</v>
      </c>
    </row>
    <row r="29">
      <c r="B29" s="1" t="s">
        <v>41</v>
      </c>
      <c r="C29" s="2" t="str">
        <f t="shared" si="1"/>
        <v>aa1</v>
      </c>
      <c r="D29" s="2" t="str">
        <f t="shared" si="2"/>
        <v>aa</v>
      </c>
      <c r="E29" s="2" t="str">
        <f t="shared" si="3"/>
        <v>m</v>
      </c>
      <c r="F29" s="2" t="str">
        <f t="shared" si="4"/>
        <v>11</v>
      </c>
      <c r="G29" s="2" t="str">
        <f t="shared" si="5"/>
        <v>aa1m</v>
      </c>
      <c r="H29" s="2" t="str">
        <f t="shared" si="6"/>
        <v>11.12.09</v>
      </c>
      <c r="I29" s="3">
        <v>169.216</v>
      </c>
      <c r="J29" s="3">
        <v>0.822</v>
      </c>
      <c r="K29" s="4">
        <f t="shared" si="7"/>
        <v>47.63</v>
      </c>
      <c r="L29" s="4">
        <f t="shared" si="8"/>
        <v>10.784</v>
      </c>
      <c r="M29" s="4">
        <f t="shared" si="9"/>
        <v>3.175333333</v>
      </c>
      <c r="N29" s="4">
        <f t="shared" si="10"/>
        <v>3.985784966</v>
      </c>
      <c r="O29" s="4">
        <f t="shared" si="11"/>
        <v>119.573549</v>
      </c>
      <c r="P29" s="4">
        <f t="shared" si="12"/>
        <v>0.1882163065</v>
      </c>
    </row>
    <row r="30">
      <c r="B30" s="1" t="s">
        <v>42</v>
      </c>
      <c r="C30" s="2" t="str">
        <f t="shared" si="1"/>
        <v>aa1</v>
      </c>
      <c r="D30" s="2" t="str">
        <f t="shared" si="2"/>
        <v>aa</v>
      </c>
      <c r="E30" s="2" t="str">
        <f t="shared" si="3"/>
        <v>m</v>
      </c>
      <c r="F30" s="2" t="str">
        <f t="shared" si="4"/>
        <v>11</v>
      </c>
      <c r="G30" s="2" t="str">
        <f t="shared" si="5"/>
        <v>aa1m</v>
      </c>
      <c r="H30" s="2" t="str">
        <f t="shared" si="6"/>
        <v>11.12.09</v>
      </c>
      <c r="I30" s="3">
        <v>106.557</v>
      </c>
      <c r="J30" s="3">
        <v>1.503</v>
      </c>
      <c r="K30" s="4">
        <f t="shared" si="7"/>
        <v>47.63</v>
      </c>
      <c r="L30" s="4">
        <f t="shared" si="8"/>
        <v>73.443</v>
      </c>
      <c r="M30" s="4">
        <f t="shared" si="9"/>
        <v>3.175333333</v>
      </c>
      <c r="N30" s="4">
        <f t="shared" si="10"/>
        <v>3.880952899</v>
      </c>
      <c r="O30" s="4">
        <f t="shared" si="11"/>
        <v>116.428587</v>
      </c>
      <c r="P30" s="4">
        <f t="shared" si="12"/>
        <v>1.281822163</v>
      </c>
    </row>
    <row r="31">
      <c r="B31" s="1" t="s">
        <v>43</v>
      </c>
      <c r="C31" s="2" t="str">
        <f t="shared" si="1"/>
        <v>aa1</v>
      </c>
      <c r="D31" s="2" t="str">
        <f t="shared" si="2"/>
        <v>aa</v>
      </c>
      <c r="E31" s="2" t="str">
        <f t="shared" si="3"/>
        <v>m</v>
      </c>
      <c r="F31" s="2" t="str">
        <f t="shared" si="4"/>
        <v>11</v>
      </c>
      <c r="G31" s="2" t="str">
        <f t="shared" si="5"/>
        <v>aa1m</v>
      </c>
      <c r="H31" s="2" t="str">
        <f t="shared" si="6"/>
        <v>11.12.09</v>
      </c>
      <c r="I31" s="3">
        <v>-174.806</v>
      </c>
      <c r="J31" s="3">
        <v>1.687</v>
      </c>
      <c r="K31" s="4">
        <f t="shared" si="7"/>
        <v>47.63</v>
      </c>
      <c r="L31" s="4">
        <f t="shared" si="8"/>
        <v>5.194</v>
      </c>
      <c r="M31" s="4">
        <f t="shared" si="9"/>
        <v>3.175333333</v>
      </c>
      <c r="N31" s="4">
        <f t="shared" si="10"/>
        <v>4.857807558</v>
      </c>
      <c r="O31" s="4">
        <f t="shared" si="11"/>
        <v>145.7342267</v>
      </c>
      <c r="P31" s="4">
        <f t="shared" si="12"/>
        <v>0.09065240135</v>
      </c>
    </row>
    <row r="32">
      <c r="B32" s="1" t="s">
        <v>44</v>
      </c>
      <c r="C32" s="2" t="str">
        <f t="shared" si="1"/>
        <v>aa1</v>
      </c>
      <c r="D32" s="2" t="str">
        <f t="shared" si="2"/>
        <v>aa</v>
      </c>
      <c r="E32" s="2" t="str">
        <f t="shared" si="3"/>
        <v>m</v>
      </c>
      <c r="F32" s="2" t="str">
        <f t="shared" si="4"/>
        <v>11</v>
      </c>
      <c r="G32" s="2" t="str">
        <f t="shared" si="5"/>
        <v>aa1m</v>
      </c>
      <c r="H32" s="2" t="str">
        <f t="shared" si="6"/>
        <v>11.12.09</v>
      </c>
      <c r="I32" s="3">
        <v>-176.186</v>
      </c>
      <c r="J32" s="3">
        <v>1.156</v>
      </c>
      <c r="K32" s="4">
        <f t="shared" si="7"/>
        <v>47.63</v>
      </c>
      <c r="L32" s="4">
        <f t="shared" si="8"/>
        <v>3.814</v>
      </c>
      <c r="M32" s="4">
        <f t="shared" si="9"/>
        <v>3.175333333</v>
      </c>
      <c r="N32" s="4">
        <f t="shared" si="10"/>
        <v>4.329455983</v>
      </c>
      <c r="O32" s="4">
        <f t="shared" si="11"/>
        <v>129.8836795</v>
      </c>
      <c r="P32" s="4">
        <f t="shared" si="12"/>
        <v>0.06656685767</v>
      </c>
    </row>
    <row r="33">
      <c r="B33" s="1" t="s">
        <v>45</v>
      </c>
      <c r="C33" s="2" t="str">
        <f t="shared" si="1"/>
        <v>aa1</v>
      </c>
      <c r="D33" s="2" t="str">
        <f t="shared" si="2"/>
        <v>aa</v>
      </c>
      <c r="E33" s="2" t="str">
        <f t="shared" si="3"/>
        <v>m</v>
      </c>
      <c r="F33" s="2" t="str">
        <f t="shared" si="4"/>
        <v>13</v>
      </c>
      <c r="G33" s="2" t="str">
        <f t="shared" si="5"/>
        <v>aa1m</v>
      </c>
      <c r="H33" s="2" t="str">
        <f t="shared" si="6"/>
        <v>11.21.09</v>
      </c>
      <c r="I33" s="3">
        <v>176.634</v>
      </c>
      <c r="J33" s="3">
        <v>0.643</v>
      </c>
      <c r="K33" s="4">
        <f t="shared" si="7"/>
        <v>56.29</v>
      </c>
      <c r="L33" s="4">
        <f t="shared" si="8"/>
        <v>3.366</v>
      </c>
      <c r="M33" s="4">
        <f t="shared" si="9"/>
        <v>3.752666667</v>
      </c>
      <c r="N33" s="4">
        <f t="shared" si="10"/>
        <v>4.394719555</v>
      </c>
      <c r="O33" s="4">
        <f t="shared" si="11"/>
        <v>131.8415867</v>
      </c>
      <c r="P33" s="4">
        <f t="shared" si="12"/>
        <v>0.05874778262</v>
      </c>
    </row>
    <row r="34">
      <c r="B34" s="1" t="s">
        <v>46</v>
      </c>
      <c r="C34" s="2" t="str">
        <f t="shared" si="1"/>
        <v>aa1</v>
      </c>
      <c r="D34" s="2" t="str">
        <f t="shared" si="2"/>
        <v>aa</v>
      </c>
      <c r="E34" s="2" t="str">
        <f t="shared" si="3"/>
        <v>m</v>
      </c>
      <c r="F34" s="2" t="str">
        <f t="shared" si="4"/>
        <v>17</v>
      </c>
      <c r="G34" s="2" t="str">
        <f t="shared" si="5"/>
        <v>aa1m</v>
      </c>
      <c r="H34" s="2" t="str">
        <f t="shared" si="6"/>
        <v>11.21.09</v>
      </c>
      <c r="I34" s="3">
        <v>172.648</v>
      </c>
      <c r="J34" s="3">
        <v>1.177</v>
      </c>
      <c r="K34" s="4">
        <f t="shared" si="7"/>
        <v>73.61</v>
      </c>
      <c r="L34" s="4">
        <f t="shared" si="8"/>
        <v>7.352</v>
      </c>
      <c r="M34" s="4">
        <f t="shared" si="9"/>
        <v>4.907333333</v>
      </c>
      <c r="N34" s="4">
        <f t="shared" si="10"/>
        <v>6.076523755</v>
      </c>
      <c r="O34" s="4">
        <f t="shared" si="11"/>
        <v>182.2957126</v>
      </c>
      <c r="P34" s="4">
        <f t="shared" si="12"/>
        <v>0.1283166066</v>
      </c>
    </row>
    <row r="35">
      <c r="B35" s="1" t="s">
        <v>47</v>
      </c>
      <c r="C35" s="2" t="str">
        <f t="shared" si="1"/>
        <v>aa1</v>
      </c>
      <c r="D35" s="2" t="str">
        <f t="shared" si="2"/>
        <v>aa</v>
      </c>
      <c r="E35" s="2" t="str">
        <f t="shared" si="3"/>
        <v>m</v>
      </c>
      <c r="F35" s="2" t="str">
        <f t="shared" si="4"/>
        <v>19</v>
      </c>
      <c r="G35" s="2" t="str">
        <f t="shared" si="5"/>
        <v>aa1m</v>
      </c>
      <c r="H35" s="2" t="str">
        <f t="shared" si="6"/>
        <v>11.21.09</v>
      </c>
      <c r="I35" s="3">
        <v>161.565</v>
      </c>
      <c r="J35" s="3">
        <v>1.338</v>
      </c>
      <c r="K35" s="4">
        <f t="shared" si="7"/>
        <v>82.27</v>
      </c>
      <c r="L35" s="4">
        <f t="shared" si="8"/>
        <v>18.435</v>
      </c>
      <c r="M35" s="4">
        <f t="shared" si="9"/>
        <v>5.484666667</v>
      </c>
      <c r="N35" s="4">
        <f t="shared" si="10"/>
        <v>6.767244839</v>
      </c>
      <c r="O35" s="4">
        <f t="shared" si="11"/>
        <v>203.0173452</v>
      </c>
      <c r="P35" s="4">
        <f t="shared" si="12"/>
        <v>0.3217514476</v>
      </c>
    </row>
    <row r="36">
      <c r="B36" s="1" t="s">
        <v>48</v>
      </c>
      <c r="C36" s="2" t="str">
        <f t="shared" si="1"/>
        <v>aa1</v>
      </c>
      <c r="D36" s="2" t="str">
        <f t="shared" si="2"/>
        <v>aa</v>
      </c>
      <c r="E36" s="2" t="str">
        <f t="shared" si="3"/>
        <v>m</v>
      </c>
      <c r="F36" s="2" t="str">
        <f t="shared" si="4"/>
        <v>21</v>
      </c>
      <c r="G36" s="2" t="str">
        <f t="shared" si="5"/>
        <v>aa1m</v>
      </c>
      <c r="H36" s="2" t="str">
        <f t="shared" si="6"/>
        <v>11.21.09</v>
      </c>
      <c r="I36" s="3">
        <v>-164.876</v>
      </c>
      <c r="J36" s="3">
        <v>1.483</v>
      </c>
      <c r="K36" s="4">
        <f t="shared" si="7"/>
        <v>90.93</v>
      </c>
      <c r="L36" s="4">
        <f t="shared" si="8"/>
        <v>15.124</v>
      </c>
      <c r="M36" s="4">
        <f t="shared" si="9"/>
        <v>6.062</v>
      </c>
      <c r="N36" s="4">
        <f t="shared" si="10"/>
        <v>7.503616671</v>
      </c>
      <c r="O36" s="4">
        <f t="shared" si="11"/>
        <v>225.1085001</v>
      </c>
      <c r="P36" s="4">
        <f t="shared" si="12"/>
        <v>0.2639635961</v>
      </c>
    </row>
    <row r="37">
      <c r="B37" s="1" t="s">
        <v>49</v>
      </c>
      <c r="C37" s="2" t="str">
        <f t="shared" si="1"/>
        <v>aa1</v>
      </c>
      <c r="D37" s="2" t="str">
        <f t="shared" si="2"/>
        <v>aa</v>
      </c>
      <c r="E37" s="2" t="str">
        <f t="shared" si="3"/>
        <v>m</v>
      </c>
      <c r="F37" s="2" t="str">
        <f t="shared" si="4"/>
        <v>23</v>
      </c>
      <c r="G37" s="2" t="str">
        <f t="shared" si="5"/>
        <v>aa1m</v>
      </c>
      <c r="H37" s="2" t="str">
        <f t="shared" si="6"/>
        <v>11.21.09</v>
      </c>
      <c r="I37" s="3">
        <v>137.726</v>
      </c>
      <c r="J37" s="3">
        <v>0.572</v>
      </c>
      <c r="K37" s="4">
        <f t="shared" si="7"/>
        <v>99.59</v>
      </c>
      <c r="L37" s="4">
        <f t="shared" si="8"/>
        <v>42.274</v>
      </c>
      <c r="M37" s="4">
        <f t="shared" si="9"/>
        <v>6.639333333</v>
      </c>
      <c r="N37" s="4">
        <f t="shared" si="10"/>
        <v>7.07305042</v>
      </c>
      <c r="O37" s="4">
        <f t="shared" si="11"/>
        <v>212.1915126</v>
      </c>
      <c r="P37" s="4">
        <f t="shared" si="12"/>
        <v>0.737820488</v>
      </c>
    </row>
    <row r="38">
      <c r="B38" s="1" t="s">
        <v>50</v>
      </c>
      <c r="C38" s="2" t="str">
        <f t="shared" si="1"/>
        <v>aa1</v>
      </c>
      <c r="D38" s="2" t="str">
        <f t="shared" si="2"/>
        <v>aa</v>
      </c>
      <c r="E38" s="2" t="str">
        <f t="shared" si="3"/>
        <v>m</v>
      </c>
      <c r="F38" s="2" t="str">
        <f t="shared" si="4"/>
        <v>23</v>
      </c>
      <c r="G38" s="2" t="str">
        <f t="shared" si="5"/>
        <v>aa1m</v>
      </c>
      <c r="H38" s="2" t="str">
        <f t="shared" si="6"/>
        <v>11.21.09</v>
      </c>
      <c r="I38" s="3">
        <v>-144.583</v>
      </c>
      <c r="J38" s="3">
        <v>2.124</v>
      </c>
      <c r="K38" s="4">
        <f t="shared" si="7"/>
        <v>99.59</v>
      </c>
      <c r="L38" s="4">
        <f t="shared" si="8"/>
        <v>35.417</v>
      </c>
      <c r="M38" s="4">
        <f t="shared" si="9"/>
        <v>6.639333333</v>
      </c>
      <c r="N38" s="4">
        <f t="shared" si="10"/>
        <v>8.460321955</v>
      </c>
      <c r="O38" s="4">
        <f t="shared" si="11"/>
        <v>253.8096586</v>
      </c>
      <c r="P38" s="4">
        <f t="shared" si="12"/>
        <v>0.6181432612</v>
      </c>
    </row>
    <row r="39">
      <c r="B39" s="1" t="s">
        <v>51</v>
      </c>
      <c r="C39" s="2" t="str">
        <f t="shared" si="1"/>
        <v>aa1</v>
      </c>
      <c r="D39" s="2" t="str">
        <f t="shared" si="2"/>
        <v>aa</v>
      </c>
      <c r="E39" s="2" t="str">
        <f t="shared" si="3"/>
        <v>m</v>
      </c>
      <c r="F39" s="2" t="str">
        <f t="shared" si="4"/>
        <v>23</v>
      </c>
      <c r="G39" s="2" t="str">
        <f t="shared" si="5"/>
        <v>aa1m</v>
      </c>
      <c r="H39" s="2" t="str">
        <f t="shared" si="6"/>
        <v>11.21.09</v>
      </c>
      <c r="I39" s="3">
        <v>-140.356</v>
      </c>
      <c r="J39" s="3">
        <v>1.712</v>
      </c>
      <c r="K39" s="4">
        <f t="shared" si="7"/>
        <v>99.59</v>
      </c>
      <c r="L39" s="4">
        <f t="shared" si="8"/>
        <v>39.644</v>
      </c>
      <c r="M39" s="4">
        <f t="shared" si="9"/>
        <v>6.639333333</v>
      </c>
      <c r="N39" s="4">
        <f t="shared" si="10"/>
        <v>8.032228526</v>
      </c>
      <c r="O39" s="4">
        <f t="shared" si="11"/>
        <v>240.9668558</v>
      </c>
      <c r="P39" s="4">
        <f t="shared" si="12"/>
        <v>0.6919183287</v>
      </c>
    </row>
    <row r="40">
      <c r="B40" s="1" t="s">
        <v>52</v>
      </c>
      <c r="C40" s="2" t="str">
        <f t="shared" si="1"/>
        <v>aa1</v>
      </c>
      <c r="D40" s="2" t="str">
        <f t="shared" si="2"/>
        <v>aa</v>
      </c>
      <c r="E40" s="2" t="str">
        <f t="shared" si="3"/>
        <v>m</v>
      </c>
      <c r="F40" s="2" t="str">
        <f t="shared" si="4"/>
        <v>23</v>
      </c>
      <c r="G40" s="2" t="str">
        <f t="shared" si="5"/>
        <v>aa1m</v>
      </c>
      <c r="H40" s="2" t="str">
        <f t="shared" si="6"/>
        <v>11.21.09</v>
      </c>
      <c r="I40" s="3">
        <v>-174.289</v>
      </c>
      <c r="J40" s="3">
        <v>1.14</v>
      </c>
      <c r="K40" s="4">
        <f t="shared" si="7"/>
        <v>99.59</v>
      </c>
      <c r="L40" s="4">
        <f t="shared" si="8"/>
        <v>5.711</v>
      </c>
      <c r="M40" s="4">
        <f t="shared" si="9"/>
        <v>6.639333333</v>
      </c>
      <c r="N40" s="4">
        <f t="shared" si="10"/>
        <v>7.77450262</v>
      </c>
      <c r="O40" s="4">
        <f t="shared" si="11"/>
        <v>233.2350786</v>
      </c>
      <c r="P40" s="4">
        <f t="shared" si="12"/>
        <v>0.09967575358</v>
      </c>
    </row>
    <row r="41">
      <c r="B41" s="1" t="s">
        <v>53</v>
      </c>
      <c r="C41" s="2" t="str">
        <f t="shared" si="1"/>
        <v>aa1</v>
      </c>
      <c r="D41" s="2" t="str">
        <f t="shared" si="2"/>
        <v>aa</v>
      </c>
      <c r="E41" s="2" t="str">
        <f t="shared" si="3"/>
        <v>m</v>
      </c>
      <c r="F41" s="2" t="str">
        <f t="shared" si="4"/>
        <v>23</v>
      </c>
      <c r="G41" s="2" t="str">
        <f t="shared" si="5"/>
        <v>aa1m</v>
      </c>
      <c r="H41" s="2" t="str">
        <f t="shared" si="6"/>
        <v>11.21.09</v>
      </c>
      <c r="I41" s="3">
        <v>-128.66</v>
      </c>
      <c r="J41" s="3">
        <v>1.221</v>
      </c>
      <c r="K41" s="4">
        <f t="shared" si="7"/>
        <v>99.59</v>
      </c>
      <c r="L41" s="4">
        <f t="shared" si="8"/>
        <v>51.34</v>
      </c>
      <c r="M41" s="4">
        <f t="shared" si="9"/>
        <v>6.639333333</v>
      </c>
      <c r="N41" s="4">
        <f t="shared" si="10"/>
        <v>7.463241167</v>
      </c>
      <c r="O41" s="4">
        <f t="shared" si="11"/>
        <v>223.897235</v>
      </c>
      <c r="P41" s="4">
        <f t="shared" si="12"/>
        <v>0.896052038</v>
      </c>
    </row>
    <row r="42">
      <c r="B42" s="1" t="s">
        <v>54</v>
      </c>
      <c r="C42" s="2" t="str">
        <f t="shared" si="1"/>
        <v>aa1</v>
      </c>
      <c r="D42" s="2" t="str">
        <f t="shared" si="2"/>
        <v>aa</v>
      </c>
      <c r="E42" s="2" t="str">
        <f t="shared" si="3"/>
        <v>m</v>
      </c>
      <c r="F42" s="2" t="str">
        <f t="shared" si="4"/>
        <v>23</v>
      </c>
      <c r="G42" s="2" t="str">
        <f t="shared" si="5"/>
        <v>aa1m</v>
      </c>
      <c r="H42" s="2" t="str">
        <f t="shared" si="6"/>
        <v>11.21.09</v>
      </c>
      <c r="I42" s="3">
        <v>-135.0</v>
      </c>
      <c r="J42" s="3">
        <v>0.517</v>
      </c>
      <c r="K42" s="4">
        <f t="shared" si="7"/>
        <v>99.59</v>
      </c>
      <c r="L42" s="4">
        <f t="shared" si="8"/>
        <v>45</v>
      </c>
      <c r="M42" s="4">
        <f t="shared" si="9"/>
        <v>6.639333333</v>
      </c>
      <c r="N42" s="4">
        <f t="shared" si="10"/>
        <v>7.014440401</v>
      </c>
      <c r="O42" s="4">
        <f t="shared" si="11"/>
        <v>210.433212</v>
      </c>
      <c r="P42" s="4">
        <f t="shared" si="12"/>
        <v>0.7853981634</v>
      </c>
    </row>
    <row r="43">
      <c r="B43" s="1" t="s">
        <v>55</v>
      </c>
      <c r="C43" s="2" t="str">
        <f t="shared" si="1"/>
        <v>aa1</v>
      </c>
      <c r="D43" s="2" t="str">
        <f t="shared" si="2"/>
        <v>aa</v>
      </c>
      <c r="E43" s="2" t="str">
        <f t="shared" si="3"/>
        <v>m</v>
      </c>
      <c r="F43" s="2" t="str">
        <f t="shared" si="4"/>
        <v>23</v>
      </c>
      <c r="G43" s="2" t="str">
        <f t="shared" si="5"/>
        <v>aa1m</v>
      </c>
      <c r="H43" s="2" t="str">
        <f t="shared" si="6"/>
        <v>11.21.09</v>
      </c>
      <c r="I43" s="3">
        <v>164.476</v>
      </c>
      <c r="J43" s="3">
        <v>0.697</v>
      </c>
      <c r="K43" s="4">
        <f t="shared" si="7"/>
        <v>99.59</v>
      </c>
      <c r="L43" s="4">
        <f t="shared" si="8"/>
        <v>15.524</v>
      </c>
      <c r="M43" s="4">
        <f t="shared" si="9"/>
        <v>6.639333333</v>
      </c>
      <c r="N43" s="4">
        <f t="shared" si="10"/>
        <v>7.313285268</v>
      </c>
      <c r="O43" s="4">
        <f t="shared" si="11"/>
        <v>219.398558</v>
      </c>
      <c r="P43" s="4">
        <f t="shared" si="12"/>
        <v>0.2709449131</v>
      </c>
    </row>
    <row r="44">
      <c r="B44" s="1" t="s">
        <v>56</v>
      </c>
      <c r="C44" s="2" t="str">
        <f t="shared" si="1"/>
        <v>aa1</v>
      </c>
      <c r="D44" s="2" t="str">
        <f t="shared" si="2"/>
        <v>aa</v>
      </c>
      <c r="E44" s="2" t="str">
        <f t="shared" si="3"/>
        <v>m</v>
      </c>
      <c r="F44" s="2" t="str">
        <f t="shared" si="4"/>
        <v>23</v>
      </c>
      <c r="G44" s="2" t="str">
        <f t="shared" si="5"/>
        <v>aa1m</v>
      </c>
      <c r="H44" s="2" t="str">
        <f t="shared" si="6"/>
        <v>11.21.09</v>
      </c>
      <c r="I44" s="3">
        <v>110.136</v>
      </c>
      <c r="J44" s="3">
        <v>1.223</v>
      </c>
      <c r="K44" s="4">
        <f t="shared" si="7"/>
        <v>99.59</v>
      </c>
      <c r="L44" s="4">
        <f t="shared" si="8"/>
        <v>69.864</v>
      </c>
      <c r="M44" s="4">
        <f t="shared" si="9"/>
        <v>6.639333333</v>
      </c>
      <c r="N44" s="4">
        <f t="shared" si="10"/>
        <v>7.153112975</v>
      </c>
      <c r="O44" s="4">
        <f t="shared" si="11"/>
        <v>214.5933892</v>
      </c>
      <c r="P44" s="4">
        <f t="shared" si="12"/>
        <v>1.219356829</v>
      </c>
    </row>
    <row r="45">
      <c r="B45" s="1" t="s">
        <v>57</v>
      </c>
      <c r="C45" s="2" t="str">
        <f t="shared" si="1"/>
        <v>aa1</v>
      </c>
      <c r="D45" s="2" t="str">
        <f t="shared" si="2"/>
        <v>aa</v>
      </c>
      <c r="E45" s="2" t="str">
        <f t="shared" si="3"/>
        <v>m</v>
      </c>
      <c r="F45" s="2" t="str">
        <f t="shared" si="4"/>
        <v>23</v>
      </c>
      <c r="G45" s="2" t="str">
        <f t="shared" si="5"/>
        <v>aa1m</v>
      </c>
      <c r="H45" s="2" t="str">
        <f t="shared" si="6"/>
        <v>11.21.09</v>
      </c>
      <c r="I45" s="3">
        <v>-125.838</v>
      </c>
      <c r="J45" s="3">
        <v>0.836</v>
      </c>
      <c r="K45" s="4">
        <f t="shared" si="7"/>
        <v>99.59</v>
      </c>
      <c r="L45" s="4">
        <f t="shared" si="8"/>
        <v>54.162</v>
      </c>
      <c r="M45" s="4">
        <f t="shared" si="9"/>
        <v>6.639333333</v>
      </c>
      <c r="N45" s="4">
        <f t="shared" si="10"/>
        <v>7.160950214</v>
      </c>
      <c r="O45" s="4">
        <f t="shared" si="11"/>
        <v>214.8285064</v>
      </c>
      <c r="P45" s="4">
        <f t="shared" si="12"/>
        <v>0.9453052295</v>
      </c>
    </row>
    <row r="46">
      <c r="B46" s="1" t="s">
        <v>58</v>
      </c>
      <c r="C46" s="2" t="str">
        <f t="shared" si="1"/>
        <v>aa1</v>
      </c>
      <c r="D46" s="2" t="str">
        <f t="shared" si="2"/>
        <v>aa</v>
      </c>
      <c r="E46" s="2" t="str">
        <f t="shared" si="3"/>
        <v>m</v>
      </c>
      <c r="F46" s="2" t="str">
        <f t="shared" si="4"/>
        <v>23</v>
      </c>
      <c r="G46" s="2" t="str">
        <f t="shared" si="5"/>
        <v>aa1m</v>
      </c>
      <c r="H46" s="2" t="str">
        <f t="shared" si="6"/>
        <v>11.21.09</v>
      </c>
      <c r="I46" s="3">
        <v>178.452</v>
      </c>
      <c r="J46" s="3">
        <v>1.423</v>
      </c>
      <c r="K46" s="4">
        <f t="shared" si="7"/>
        <v>99.59</v>
      </c>
      <c r="L46" s="4">
        <f t="shared" si="8"/>
        <v>1.548</v>
      </c>
      <c r="M46" s="4">
        <f t="shared" si="9"/>
        <v>6.639333333</v>
      </c>
      <c r="N46" s="4">
        <f t="shared" si="10"/>
        <v>8.061905652</v>
      </c>
      <c r="O46" s="4">
        <f t="shared" si="11"/>
        <v>241.8571696</v>
      </c>
      <c r="P46" s="4">
        <f t="shared" si="12"/>
        <v>0.02701769682</v>
      </c>
    </row>
    <row r="47">
      <c r="B47" s="1" t="s">
        <v>59</v>
      </c>
      <c r="C47" s="2" t="str">
        <f t="shared" si="1"/>
        <v>aa1</v>
      </c>
      <c r="D47" s="2" t="str">
        <f t="shared" si="2"/>
        <v>aa</v>
      </c>
      <c r="E47" s="2" t="str">
        <f t="shared" si="3"/>
        <v>m</v>
      </c>
      <c r="F47" s="2" t="str">
        <f t="shared" si="4"/>
        <v>23</v>
      </c>
      <c r="G47" s="2" t="str">
        <f t="shared" si="5"/>
        <v>aa1m</v>
      </c>
      <c r="H47" s="2" t="str">
        <f t="shared" si="6"/>
        <v>11.21.09</v>
      </c>
      <c r="I47" s="3">
        <v>-161.565</v>
      </c>
      <c r="J47" s="3">
        <v>0.73</v>
      </c>
      <c r="K47" s="4">
        <f t="shared" si="7"/>
        <v>99.59</v>
      </c>
      <c r="L47" s="4">
        <f t="shared" si="8"/>
        <v>18.435</v>
      </c>
      <c r="M47" s="4">
        <f t="shared" si="9"/>
        <v>6.639333333</v>
      </c>
      <c r="N47" s="4">
        <f t="shared" si="10"/>
        <v>7.335505187</v>
      </c>
      <c r="O47" s="4">
        <f t="shared" si="11"/>
        <v>220.0651556</v>
      </c>
      <c r="P47" s="4">
        <f t="shared" si="12"/>
        <v>0.3217514476</v>
      </c>
    </row>
    <row r="48">
      <c r="A48" s="3">
        <v>1.0</v>
      </c>
      <c r="B48" s="1" t="s">
        <v>60</v>
      </c>
      <c r="C48" s="2" t="str">
        <f t="shared" si="1"/>
        <v>aa1</v>
      </c>
      <c r="D48" s="2" t="str">
        <f t="shared" si="2"/>
        <v>aa</v>
      </c>
      <c r="E48" s="2" t="str">
        <f t="shared" si="3"/>
        <v>m</v>
      </c>
      <c r="F48" s="2" t="str">
        <f t="shared" si="4"/>
        <v>27</v>
      </c>
      <c r="G48" s="2" t="str">
        <f t="shared" si="5"/>
        <v>aa1m</v>
      </c>
      <c r="H48" s="2" t="str">
        <f t="shared" si="6"/>
        <v>11.21.09</v>
      </c>
      <c r="I48" s="3">
        <v>-120.466</v>
      </c>
      <c r="J48" s="3">
        <v>0.737</v>
      </c>
      <c r="K48" s="4">
        <f t="shared" si="7"/>
        <v>116.91</v>
      </c>
      <c r="L48" s="4">
        <f t="shared" si="8"/>
        <v>59.534</v>
      </c>
      <c r="M48" s="4">
        <f t="shared" si="9"/>
        <v>7.794</v>
      </c>
      <c r="N48" s="4">
        <f t="shared" si="10"/>
        <v>8.19234468</v>
      </c>
      <c r="O48" s="4">
        <f t="shared" si="11"/>
        <v>245.7703404</v>
      </c>
      <c r="P48" s="4">
        <f t="shared" si="12"/>
        <v>1.039064317</v>
      </c>
    </row>
    <row r="49">
      <c r="A49" s="3">
        <v>1.0</v>
      </c>
      <c r="B49" s="1" t="s">
        <v>61</v>
      </c>
      <c r="C49" s="2" t="str">
        <f t="shared" si="1"/>
        <v>aa2</v>
      </c>
      <c r="D49" s="2" t="str">
        <f t="shared" si="2"/>
        <v>aa</v>
      </c>
      <c r="E49" s="2" t="str">
        <f t="shared" si="3"/>
        <v>f</v>
      </c>
      <c r="F49" s="2" t="str">
        <f t="shared" si="4"/>
        <v>15</v>
      </c>
      <c r="G49" s="2" t="str">
        <f t="shared" si="5"/>
        <v>aa2f</v>
      </c>
      <c r="H49" s="2" t="str">
        <f t="shared" si="6"/>
        <v>11.21.09</v>
      </c>
      <c r="I49" s="3">
        <v>-175.914</v>
      </c>
      <c r="J49" s="3">
        <v>1.631</v>
      </c>
      <c r="K49" s="4">
        <f t="shared" si="7"/>
        <v>64.95</v>
      </c>
      <c r="L49" s="4">
        <f t="shared" si="8"/>
        <v>4.086</v>
      </c>
      <c r="M49" s="4">
        <f t="shared" si="9"/>
        <v>4.33</v>
      </c>
      <c r="N49" s="4">
        <f t="shared" si="10"/>
        <v>5.957987897</v>
      </c>
      <c r="O49" s="4">
        <f t="shared" si="11"/>
        <v>178.7396369</v>
      </c>
      <c r="P49" s="4">
        <f t="shared" si="12"/>
        <v>0.07131415324</v>
      </c>
    </row>
    <row r="50">
      <c r="A50" s="3">
        <v>1.0</v>
      </c>
      <c r="B50" s="1" t="s">
        <v>62</v>
      </c>
      <c r="C50" s="2" t="str">
        <f t="shared" si="1"/>
        <v>aa2</v>
      </c>
      <c r="D50" s="2" t="str">
        <f t="shared" si="2"/>
        <v>aa</v>
      </c>
      <c r="E50" s="2" t="str">
        <f t="shared" si="3"/>
        <v>f</v>
      </c>
      <c r="F50" s="2" t="str">
        <f t="shared" si="4"/>
        <v>15</v>
      </c>
      <c r="G50" s="2" t="str">
        <f t="shared" si="5"/>
        <v>aa2f</v>
      </c>
      <c r="H50" s="2" t="str">
        <f t="shared" si="6"/>
        <v>11.21.09</v>
      </c>
      <c r="I50" s="3">
        <v>-152.103</v>
      </c>
      <c r="J50" s="3">
        <v>3.716</v>
      </c>
      <c r="K50" s="4">
        <f t="shared" si="7"/>
        <v>64.95</v>
      </c>
      <c r="L50" s="4">
        <f t="shared" si="8"/>
        <v>27.897</v>
      </c>
      <c r="M50" s="4">
        <f t="shared" si="9"/>
        <v>4.33</v>
      </c>
      <c r="N50" s="4">
        <f t="shared" si="10"/>
        <v>7.810148353</v>
      </c>
      <c r="O50" s="4">
        <f t="shared" si="11"/>
        <v>234.3044506</v>
      </c>
      <c r="P50" s="4">
        <f t="shared" si="12"/>
        <v>0.4868945014</v>
      </c>
    </row>
    <row r="51">
      <c r="A51" s="3">
        <v>1.0</v>
      </c>
      <c r="B51" s="1" t="s">
        <v>63</v>
      </c>
      <c r="C51" s="2" t="str">
        <f t="shared" si="1"/>
        <v>aa2</v>
      </c>
      <c r="D51" s="2" t="str">
        <f t="shared" si="2"/>
        <v>aa</v>
      </c>
      <c r="E51" s="2" t="str">
        <f t="shared" si="3"/>
        <v>f</v>
      </c>
      <c r="F51" s="2" t="str">
        <f t="shared" si="4"/>
        <v>17</v>
      </c>
      <c r="G51" s="2" t="str">
        <f t="shared" si="5"/>
        <v>aa2f</v>
      </c>
      <c r="H51" s="2" t="str">
        <f t="shared" si="6"/>
        <v>11.21.09</v>
      </c>
      <c r="I51" s="3">
        <v>167.32</v>
      </c>
      <c r="J51" s="3">
        <v>1.58</v>
      </c>
      <c r="K51" s="4">
        <f t="shared" si="7"/>
        <v>73.61</v>
      </c>
      <c r="L51" s="4">
        <f t="shared" si="8"/>
        <v>12.68</v>
      </c>
      <c r="M51" s="4">
        <f t="shared" si="9"/>
        <v>4.907333333</v>
      </c>
      <c r="N51" s="4">
        <f t="shared" si="10"/>
        <v>6.458118365</v>
      </c>
      <c r="O51" s="4">
        <f t="shared" si="11"/>
        <v>193.743551</v>
      </c>
      <c r="P51" s="4">
        <f t="shared" si="12"/>
        <v>0.2213077492</v>
      </c>
    </row>
    <row r="52">
      <c r="A52" s="3">
        <v>1.0</v>
      </c>
      <c r="B52" s="1" t="s">
        <v>63</v>
      </c>
      <c r="C52" s="2" t="str">
        <f t="shared" si="1"/>
        <v>aa2</v>
      </c>
      <c r="D52" s="2" t="str">
        <f t="shared" si="2"/>
        <v>aa</v>
      </c>
      <c r="E52" s="2" t="str">
        <f t="shared" si="3"/>
        <v>f</v>
      </c>
      <c r="F52" s="2" t="str">
        <f t="shared" si="4"/>
        <v>17</v>
      </c>
      <c r="G52" s="2" t="str">
        <f t="shared" si="5"/>
        <v>aa2f</v>
      </c>
      <c r="H52" s="2" t="str">
        <f t="shared" si="6"/>
        <v>11.21.09</v>
      </c>
      <c r="I52" s="3">
        <v>167.32</v>
      </c>
      <c r="J52" s="3">
        <v>1.58</v>
      </c>
      <c r="K52" s="4">
        <f t="shared" si="7"/>
        <v>73.61</v>
      </c>
      <c r="L52" s="4">
        <f t="shared" si="8"/>
        <v>12.68</v>
      </c>
      <c r="M52" s="4">
        <f t="shared" si="9"/>
        <v>4.907333333</v>
      </c>
      <c r="N52" s="4">
        <f t="shared" si="10"/>
        <v>6.458118365</v>
      </c>
      <c r="O52" s="4">
        <f t="shared" si="11"/>
        <v>193.743551</v>
      </c>
      <c r="P52" s="4">
        <f t="shared" si="12"/>
        <v>0.2213077492</v>
      </c>
    </row>
    <row r="53">
      <c r="A53" s="3">
        <v>1.0</v>
      </c>
      <c r="B53" s="1" t="s">
        <v>64</v>
      </c>
      <c r="C53" s="2" t="str">
        <f t="shared" si="1"/>
        <v>aa2</v>
      </c>
      <c r="D53" s="2" t="str">
        <f t="shared" si="2"/>
        <v>aa</v>
      </c>
      <c r="E53" s="2" t="str">
        <f t="shared" si="3"/>
        <v>f</v>
      </c>
      <c r="F53" s="2" t="str">
        <f t="shared" si="4"/>
        <v>17</v>
      </c>
      <c r="G53" s="2" t="str">
        <f t="shared" si="5"/>
        <v>aa2f</v>
      </c>
      <c r="H53" s="2" t="str">
        <f t="shared" si="6"/>
        <v>11.21.09</v>
      </c>
      <c r="I53" s="3">
        <v>-100.784</v>
      </c>
      <c r="J53" s="3">
        <v>1.644</v>
      </c>
      <c r="K53" s="4">
        <f t="shared" si="7"/>
        <v>73.61</v>
      </c>
      <c r="L53" s="4">
        <f t="shared" si="8"/>
        <v>79.216</v>
      </c>
      <c r="M53" s="4">
        <f t="shared" si="9"/>
        <v>4.907333333</v>
      </c>
      <c r="N53" s="4">
        <f t="shared" si="10"/>
        <v>5.459275252</v>
      </c>
      <c r="O53" s="4">
        <f t="shared" si="11"/>
        <v>163.7782576</v>
      </c>
      <c r="P53" s="4">
        <f t="shared" si="12"/>
        <v>1.38258002</v>
      </c>
    </row>
    <row r="54">
      <c r="A54" s="3">
        <v>1.0</v>
      </c>
      <c r="B54" s="1" t="s">
        <v>64</v>
      </c>
      <c r="C54" s="2" t="str">
        <f t="shared" si="1"/>
        <v>aa2</v>
      </c>
      <c r="D54" s="2" t="str">
        <f t="shared" si="2"/>
        <v>aa</v>
      </c>
      <c r="E54" s="2" t="str">
        <f t="shared" si="3"/>
        <v>f</v>
      </c>
      <c r="F54" s="2" t="str">
        <f t="shared" si="4"/>
        <v>17</v>
      </c>
      <c r="G54" s="2" t="str">
        <f t="shared" si="5"/>
        <v>aa2f</v>
      </c>
      <c r="H54" s="2" t="str">
        <f t="shared" si="6"/>
        <v>11.21.09</v>
      </c>
      <c r="I54" s="3">
        <v>-177.138</v>
      </c>
      <c r="J54" s="3">
        <v>0.772</v>
      </c>
      <c r="K54" s="4">
        <f t="shared" si="7"/>
        <v>73.61</v>
      </c>
      <c r="L54" s="4">
        <f t="shared" si="8"/>
        <v>2.862</v>
      </c>
      <c r="M54" s="4">
        <f t="shared" si="9"/>
        <v>4.907333333</v>
      </c>
      <c r="N54" s="4">
        <f t="shared" si="10"/>
        <v>5.678501242</v>
      </c>
      <c r="O54" s="4">
        <f t="shared" si="11"/>
        <v>170.3550373</v>
      </c>
      <c r="P54" s="4">
        <f t="shared" si="12"/>
        <v>0.04995132319</v>
      </c>
    </row>
    <row r="55">
      <c r="A55" s="3">
        <v>1.0</v>
      </c>
      <c r="B55" s="1" t="s">
        <v>65</v>
      </c>
      <c r="C55" s="2" t="str">
        <f t="shared" si="1"/>
        <v>aa2</v>
      </c>
      <c r="D55" s="2" t="str">
        <f t="shared" si="2"/>
        <v>aa</v>
      </c>
      <c r="E55" s="2" t="str">
        <f t="shared" si="3"/>
        <v>f</v>
      </c>
      <c r="F55" s="2" t="str">
        <f t="shared" si="4"/>
        <v>19</v>
      </c>
      <c r="G55" s="2" t="str">
        <f t="shared" si="5"/>
        <v>aa2f</v>
      </c>
      <c r="H55" s="2" t="str">
        <f t="shared" si="6"/>
        <v>11.21.09</v>
      </c>
      <c r="I55" s="3">
        <v>161.565</v>
      </c>
      <c r="J55" s="3">
        <v>0.831</v>
      </c>
      <c r="K55" s="4">
        <f t="shared" si="7"/>
        <v>82.27</v>
      </c>
      <c r="L55" s="4">
        <f t="shared" si="8"/>
        <v>18.435</v>
      </c>
      <c r="M55" s="4">
        <f t="shared" si="9"/>
        <v>5.484666667</v>
      </c>
      <c r="N55" s="4">
        <f t="shared" si="10"/>
        <v>6.278524082</v>
      </c>
      <c r="O55" s="4">
        <f t="shared" si="11"/>
        <v>188.3557225</v>
      </c>
      <c r="P55" s="4">
        <f t="shared" si="12"/>
        <v>0.3217514476</v>
      </c>
    </row>
    <row r="56">
      <c r="A56" s="3">
        <v>1.0</v>
      </c>
      <c r="B56" s="1" t="s">
        <v>66</v>
      </c>
      <c r="C56" s="2" t="str">
        <f t="shared" si="1"/>
        <v>aa2</v>
      </c>
      <c r="D56" s="2" t="str">
        <f t="shared" si="2"/>
        <v>aa</v>
      </c>
      <c r="E56" s="2" t="str">
        <f t="shared" si="3"/>
        <v>f</v>
      </c>
      <c r="F56" s="2" t="str">
        <f t="shared" si="4"/>
        <v>19</v>
      </c>
      <c r="G56" s="2" t="str">
        <f t="shared" si="5"/>
        <v>aa2f</v>
      </c>
      <c r="H56" s="2" t="str">
        <f t="shared" si="6"/>
        <v>11.21.09</v>
      </c>
      <c r="I56" s="3">
        <v>125.91</v>
      </c>
      <c r="J56" s="3">
        <v>1.395</v>
      </c>
      <c r="K56" s="4">
        <f t="shared" si="7"/>
        <v>82.27</v>
      </c>
      <c r="L56" s="4">
        <f t="shared" si="8"/>
        <v>54.09</v>
      </c>
      <c r="M56" s="4">
        <f t="shared" si="9"/>
        <v>5.484666667</v>
      </c>
      <c r="N56" s="4">
        <f t="shared" si="10"/>
        <v>6.403323787</v>
      </c>
      <c r="O56" s="4">
        <f t="shared" si="11"/>
        <v>192.0997136</v>
      </c>
      <c r="P56" s="4">
        <f t="shared" si="12"/>
        <v>0.9440485924</v>
      </c>
    </row>
    <row r="57">
      <c r="A57" s="3">
        <v>1.0</v>
      </c>
      <c r="B57" s="1" t="s">
        <v>67</v>
      </c>
      <c r="C57" s="2" t="str">
        <f t="shared" si="1"/>
        <v>aa2</v>
      </c>
      <c r="D57" s="2" t="str">
        <f t="shared" si="2"/>
        <v>aa</v>
      </c>
      <c r="E57" s="2" t="str">
        <f t="shared" si="3"/>
        <v>f</v>
      </c>
      <c r="F57" s="2" t="str">
        <f t="shared" si="4"/>
        <v>19</v>
      </c>
      <c r="G57" s="2" t="str">
        <f t="shared" si="5"/>
        <v>aa2f</v>
      </c>
      <c r="H57" s="2" t="str">
        <f t="shared" si="6"/>
        <v>11.21.09</v>
      </c>
      <c r="I57" s="3">
        <v>145.62</v>
      </c>
      <c r="J57" s="3">
        <v>1.771</v>
      </c>
      <c r="K57" s="4">
        <f t="shared" si="7"/>
        <v>82.27</v>
      </c>
      <c r="L57" s="4">
        <f t="shared" si="8"/>
        <v>34.38</v>
      </c>
      <c r="M57" s="4">
        <f t="shared" si="9"/>
        <v>5.484666667</v>
      </c>
      <c r="N57" s="4">
        <f t="shared" si="10"/>
        <v>7.017910174</v>
      </c>
      <c r="O57" s="4">
        <f t="shared" si="11"/>
        <v>210.5373052</v>
      </c>
      <c r="P57" s="4">
        <f t="shared" si="12"/>
        <v>0.6000441968</v>
      </c>
    </row>
    <row r="58">
      <c r="A58" s="3">
        <v>1.0</v>
      </c>
      <c r="B58" s="1" t="s">
        <v>68</v>
      </c>
      <c r="C58" s="2" t="str">
        <f t="shared" si="1"/>
        <v>aa2</v>
      </c>
      <c r="D58" s="2" t="str">
        <f t="shared" si="2"/>
        <v>aa</v>
      </c>
      <c r="E58" s="2" t="str">
        <f t="shared" si="3"/>
        <v>f</v>
      </c>
      <c r="F58" s="2" t="str">
        <f t="shared" si="4"/>
        <v>19</v>
      </c>
      <c r="G58" s="2" t="str">
        <f t="shared" si="5"/>
        <v>aa2f</v>
      </c>
      <c r="H58" s="2" t="str">
        <f t="shared" si="6"/>
        <v>11.21.09</v>
      </c>
      <c r="I58" s="3">
        <v>-168.69</v>
      </c>
      <c r="J58" s="3">
        <v>1.383</v>
      </c>
      <c r="K58" s="4">
        <f t="shared" si="7"/>
        <v>82.27</v>
      </c>
      <c r="L58" s="4">
        <f t="shared" si="8"/>
        <v>11.31</v>
      </c>
      <c r="M58" s="4">
        <f t="shared" si="9"/>
        <v>5.484666667</v>
      </c>
      <c r="N58" s="4">
        <f t="shared" si="10"/>
        <v>6.846184293</v>
      </c>
      <c r="O58" s="4">
        <f t="shared" si="11"/>
        <v>205.3855288</v>
      </c>
      <c r="P58" s="4">
        <f t="shared" si="12"/>
        <v>0.1973967384</v>
      </c>
    </row>
    <row r="59">
      <c r="A59" s="3">
        <v>1.0</v>
      </c>
      <c r="B59" s="1" t="s">
        <v>69</v>
      </c>
      <c r="C59" s="2" t="str">
        <f t="shared" si="1"/>
        <v>aa2</v>
      </c>
      <c r="D59" s="2" t="str">
        <f t="shared" si="2"/>
        <v>aa</v>
      </c>
      <c r="E59" s="2" t="str">
        <f t="shared" si="3"/>
        <v>f</v>
      </c>
      <c r="F59" s="2" t="str">
        <f t="shared" si="4"/>
        <v>19</v>
      </c>
      <c r="G59" s="2" t="str">
        <f t="shared" si="5"/>
        <v>aa2f</v>
      </c>
      <c r="H59" s="2" t="str">
        <f t="shared" si="6"/>
        <v>11.21.09</v>
      </c>
      <c r="I59" s="3">
        <v>147.529</v>
      </c>
      <c r="J59" s="3">
        <v>0.992</v>
      </c>
      <c r="K59" s="4">
        <f t="shared" si="7"/>
        <v>82.27</v>
      </c>
      <c r="L59" s="4">
        <f t="shared" si="8"/>
        <v>32.471</v>
      </c>
      <c r="M59" s="4">
        <f t="shared" si="9"/>
        <v>5.484666667</v>
      </c>
      <c r="N59" s="4">
        <f t="shared" si="10"/>
        <v>6.343975165</v>
      </c>
      <c r="O59" s="4">
        <f t="shared" si="11"/>
        <v>190.319255</v>
      </c>
      <c r="P59" s="4">
        <f t="shared" si="12"/>
        <v>0.5667258614</v>
      </c>
    </row>
    <row r="60">
      <c r="A60" s="3">
        <v>1.0</v>
      </c>
      <c r="B60" s="1" t="s">
        <v>70</v>
      </c>
      <c r="C60" s="2" t="str">
        <f t="shared" si="1"/>
        <v>aa2</v>
      </c>
      <c r="D60" s="2" t="str">
        <f t="shared" si="2"/>
        <v>aa</v>
      </c>
      <c r="E60" s="2" t="str">
        <f t="shared" si="3"/>
        <v>f</v>
      </c>
      <c r="F60" s="2" t="str">
        <f t="shared" si="4"/>
        <v>19</v>
      </c>
      <c r="G60" s="2" t="str">
        <f t="shared" si="5"/>
        <v>aa2f</v>
      </c>
      <c r="H60" s="2" t="str">
        <f t="shared" si="6"/>
        <v>11.21.09</v>
      </c>
      <c r="I60" s="3">
        <v>-173.66</v>
      </c>
      <c r="J60" s="3">
        <v>1.045</v>
      </c>
      <c r="K60" s="4">
        <f t="shared" si="7"/>
        <v>82.27</v>
      </c>
      <c r="L60" s="4">
        <f t="shared" si="8"/>
        <v>6.34</v>
      </c>
      <c r="M60" s="4">
        <f t="shared" si="9"/>
        <v>5.484666667</v>
      </c>
      <c r="N60" s="4">
        <f t="shared" si="10"/>
        <v>6.524296173</v>
      </c>
      <c r="O60" s="4">
        <f t="shared" si="11"/>
        <v>195.7288852</v>
      </c>
      <c r="P60" s="4">
        <f t="shared" si="12"/>
        <v>0.1106538746</v>
      </c>
    </row>
    <row r="61">
      <c r="A61" s="3">
        <v>1.0</v>
      </c>
      <c r="B61" s="1" t="s">
        <v>71</v>
      </c>
      <c r="C61" s="2" t="str">
        <f t="shared" si="1"/>
        <v>aa2</v>
      </c>
      <c r="D61" s="2" t="str">
        <f t="shared" si="2"/>
        <v>aa</v>
      </c>
      <c r="E61" s="2" t="str">
        <f t="shared" si="3"/>
        <v>f</v>
      </c>
      <c r="F61" s="2" t="str">
        <f t="shared" si="4"/>
        <v>21</v>
      </c>
      <c r="G61" s="2" t="str">
        <f t="shared" si="5"/>
        <v>aa2f</v>
      </c>
      <c r="H61" s="2" t="str">
        <f t="shared" si="6"/>
        <v>11.21.09</v>
      </c>
      <c r="I61" s="3">
        <v>155.283</v>
      </c>
      <c r="J61" s="3">
        <v>2.667</v>
      </c>
      <c r="K61" s="4">
        <f t="shared" si="7"/>
        <v>90.93</v>
      </c>
      <c r="L61" s="4">
        <f t="shared" si="8"/>
        <v>24.717</v>
      </c>
      <c r="M61" s="4">
        <f t="shared" si="9"/>
        <v>6.062</v>
      </c>
      <c r="N61" s="4">
        <f t="shared" si="10"/>
        <v>8.557632229</v>
      </c>
      <c r="O61" s="4">
        <f t="shared" si="11"/>
        <v>256.7289669</v>
      </c>
      <c r="P61" s="4">
        <f t="shared" si="12"/>
        <v>0.4313930312</v>
      </c>
    </row>
    <row r="62">
      <c r="A62" s="3">
        <v>1.0</v>
      </c>
      <c r="B62" s="1" t="s">
        <v>71</v>
      </c>
      <c r="C62" s="2" t="str">
        <f t="shared" si="1"/>
        <v>aa2</v>
      </c>
      <c r="D62" s="2" t="str">
        <f t="shared" si="2"/>
        <v>aa</v>
      </c>
      <c r="E62" s="2" t="str">
        <f t="shared" si="3"/>
        <v>f</v>
      </c>
      <c r="F62" s="2" t="str">
        <f t="shared" si="4"/>
        <v>21</v>
      </c>
      <c r="G62" s="2" t="str">
        <f t="shared" si="5"/>
        <v>aa2f</v>
      </c>
      <c r="H62" s="2" t="str">
        <f t="shared" si="6"/>
        <v>11.21.09</v>
      </c>
      <c r="I62" s="3">
        <v>-171.87</v>
      </c>
      <c r="J62" s="3">
        <v>1.062</v>
      </c>
      <c r="K62" s="4">
        <f t="shared" si="7"/>
        <v>90.93</v>
      </c>
      <c r="L62" s="4">
        <f t="shared" si="8"/>
        <v>8.13</v>
      </c>
      <c r="M62" s="4">
        <f t="shared" si="9"/>
        <v>6.062</v>
      </c>
      <c r="N62" s="4">
        <f t="shared" si="10"/>
        <v>7.114911951</v>
      </c>
      <c r="O62" s="4">
        <f t="shared" si="11"/>
        <v>213.4473585</v>
      </c>
      <c r="P62" s="4">
        <f t="shared" si="12"/>
        <v>0.1418952682</v>
      </c>
    </row>
    <row r="63">
      <c r="A63" s="3">
        <v>1.0</v>
      </c>
      <c r="B63" s="1" t="s">
        <v>72</v>
      </c>
      <c r="C63" s="2" t="str">
        <f t="shared" si="1"/>
        <v>aa2</v>
      </c>
      <c r="D63" s="2" t="str">
        <f t="shared" si="2"/>
        <v>aa</v>
      </c>
      <c r="E63" s="2" t="str">
        <f t="shared" si="3"/>
        <v>f</v>
      </c>
      <c r="F63" s="2" t="str">
        <f t="shared" si="4"/>
        <v>21</v>
      </c>
      <c r="G63" s="2" t="str">
        <f t="shared" si="5"/>
        <v>aa2f</v>
      </c>
      <c r="H63" s="2" t="str">
        <f t="shared" si="6"/>
        <v>11.21.09</v>
      </c>
      <c r="I63" s="3">
        <v>169.992</v>
      </c>
      <c r="J63" s="3">
        <v>0.664</v>
      </c>
      <c r="K63" s="4">
        <f t="shared" si="7"/>
        <v>90.93</v>
      </c>
      <c r="L63" s="4">
        <f t="shared" si="8"/>
        <v>10.008</v>
      </c>
      <c r="M63" s="4">
        <f t="shared" si="9"/>
        <v>6.062</v>
      </c>
      <c r="N63" s="4">
        <f t="shared" si="10"/>
        <v>6.716887526</v>
      </c>
      <c r="O63" s="4">
        <f t="shared" si="11"/>
        <v>201.5066258</v>
      </c>
      <c r="P63" s="4">
        <f t="shared" si="12"/>
        <v>0.1746725515</v>
      </c>
    </row>
    <row r="64">
      <c r="A64" s="3">
        <v>1.0</v>
      </c>
      <c r="B64" s="1" t="s">
        <v>73</v>
      </c>
      <c r="C64" s="2" t="str">
        <f t="shared" si="1"/>
        <v>aa2</v>
      </c>
      <c r="D64" s="2" t="str">
        <f t="shared" si="2"/>
        <v>aa</v>
      </c>
      <c r="E64" s="2" t="str">
        <f t="shared" si="3"/>
        <v>f</v>
      </c>
      <c r="F64" s="2" t="str">
        <f t="shared" si="4"/>
        <v>21</v>
      </c>
      <c r="G64" s="2" t="str">
        <f t="shared" si="5"/>
        <v>aa2f</v>
      </c>
      <c r="H64" s="2" t="str">
        <f t="shared" si="6"/>
        <v>11.21.09</v>
      </c>
      <c r="I64" s="3">
        <v>176.73</v>
      </c>
      <c r="J64" s="3">
        <v>1.373</v>
      </c>
      <c r="K64" s="4">
        <f t="shared" si="7"/>
        <v>90.93</v>
      </c>
      <c r="L64" s="4">
        <f t="shared" si="8"/>
        <v>3.27</v>
      </c>
      <c r="M64" s="4">
        <f t="shared" si="9"/>
        <v>6.062</v>
      </c>
      <c r="N64" s="4">
        <f t="shared" si="10"/>
        <v>7.433177107</v>
      </c>
      <c r="O64" s="4">
        <f t="shared" si="11"/>
        <v>222.9953132</v>
      </c>
      <c r="P64" s="4">
        <f t="shared" si="12"/>
        <v>0.05707226654</v>
      </c>
    </row>
    <row r="65">
      <c r="A65" s="3">
        <v>1.0</v>
      </c>
      <c r="B65" s="1" t="s">
        <v>74</v>
      </c>
      <c r="C65" s="2" t="str">
        <f t="shared" si="1"/>
        <v>aa2</v>
      </c>
      <c r="D65" s="2" t="str">
        <f t="shared" si="2"/>
        <v>aa</v>
      </c>
      <c r="E65" s="2" t="str">
        <f t="shared" si="3"/>
        <v>f</v>
      </c>
      <c r="F65" s="2" t="str">
        <f t="shared" si="4"/>
        <v>21</v>
      </c>
      <c r="G65" s="2" t="str">
        <f t="shared" si="5"/>
        <v>aa2f</v>
      </c>
      <c r="H65" s="2" t="str">
        <f t="shared" si="6"/>
        <v>11.21.09</v>
      </c>
      <c r="I65" s="3">
        <v>115.821</v>
      </c>
      <c r="J65" s="3">
        <v>1.325</v>
      </c>
      <c r="K65" s="4">
        <f t="shared" si="7"/>
        <v>90.93</v>
      </c>
      <c r="L65" s="4">
        <f t="shared" si="8"/>
        <v>64.179</v>
      </c>
      <c r="M65" s="4">
        <f t="shared" si="9"/>
        <v>6.062</v>
      </c>
      <c r="N65" s="4">
        <f t="shared" si="10"/>
        <v>6.745402319</v>
      </c>
      <c r="O65" s="4">
        <f t="shared" si="11"/>
        <v>202.3620696</v>
      </c>
      <c r="P65" s="4">
        <f t="shared" si="12"/>
        <v>1.120134861</v>
      </c>
    </row>
    <row r="66">
      <c r="A66" s="3">
        <v>1.0</v>
      </c>
      <c r="B66" s="1" t="s">
        <v>75</v>
      </c>
      <c r="C66" s="2" t="str">
        <f t="shared" si="1"/>
        <v>aa2</v>
      </c>
      <c r="D66" s="2" t="str">
        <f t="shared" si="2"/>
        <v>aa</v>
      </c>
      <c r="E66" s="2" t="str">
        <f t="shared" si="3"/>
        <v>f</v>
      </c>
      <c r="F66" s="2" t="str">
        <f t="shared" si="4"/>
        <v>21</v>
      </c>
      <c r="G66" s="2" t="str">
        <f t="shared" si="5"/>
        <v>aa2f</v>
      </c>
      <c r="H66" s="2" t="str">
        <f t="shared" si="6"/>
        <v>11.21.09</v>
      </c>
      <c r="I66" s="3">
        <v>141.34</v>
      </c>
      <c r="J66" s="3">
        <v>4.443</v>
      </c>
      <c r="K66" s="4">
        <f t="shared" si="7"/>
        <v>90.93</v>
      </c>
      <c r="L66" s="4">
        <f t="shared" si="8"/>
        <v>38.66</v>
      </c>
      <c r="M66" s="4">
        <f t="shared" si="9"/>
        <v>6.062</v>
      </c>
      <c r="N66" s="4">
        <f t="shared" si="10"/>
        <v>9.927284999</v>
      </c>
      <c r="O66" s="4">
        <f t="shared" si="11"/>
        <v>297.81855</v>
      </c>
      <c r="P66" s="4">
        <f t="shared" si="12"/>
        <v>0.6747442888</v>
      </c>
    </row>
    <row r="67">
      <c r="A67" s="3">
        <v>1.0</v>
      </c>
      <c r="B67" s="1" t="s">
        <v>76</v>
      </c>
      <c r="C67" s="2" t="str">
        <f t="shared" si="1"/>
        <v>aa2</v>
      </c>
      <c r="D67" s="2" t="str">
        <f t="shared" si="2"/>
        <v>aa</v>
      </c>
      <c r="E67" s="2" t="str">
        <f t="shared" si="3"/>
        <v>f</v>
      </c>
      <c r="F67" s="2" t="str">
        <f t="shared" si="4"/>
        <v>21</v>
      </c>
      <c r="G67" s="2" t="str">
        <f t="shared" si="5"/>
        <v>aa2f</v>
      </c>
      <c r="H67" s="2" t="str">
        <f t="shared" si="6"/>
        <v>11.21.09</v>
      </c>
      <c r="I67" s="3">
        <v>-161.565</v>
      </c>
      <c r="J67" s="3">
        <v>0.973</v>
      </c>
      <c r="K67" s="4">
        <f t="shared" si="7"/>
        <v>90.93</v>
      </c>
      <c r="L67" s="4">
        <f t="shared" si="8"/>
        <v>18.435</v>
      </c>
      <c r="M67" s="4">
        <f t="shared" si="9"/>
        <v>6.062</v>
      </c>
      <c r="N67" s="4">
        <f t="shared" si="10"/>
        <v>6.991842132</v>
      </c>
      <c r="O67" s="4">
        <f t="shared" si="11"/>
        <v>209.7552639</v>
      </c>
      <c r="P67" s="4">
        <f t="shared" si="12"/>
        <v>0.3217514476</v>
      </c>
    </row>
    <row r="68">
      <c r="A68" s="3">
        <v>1.0</v>
      </c>
      <c r="B68" s="1" t="s">
        <v>77</v>
      </c>
      <c r="C68" s="2" t="str">
        <f t="shared" si="1"/>
        <v>aa2</v>
      </c>
      <c r="D68" s="2" t="str">
        <f t="shared" si="2"/>
        <v>aa</v>
      </c>
      <c r="E68" s="2" t="str">
        <f t="shared" si="3"/>
        <v>f</v>
      </c>
      <c r="F68" s="2" t="str">
        <f t="shared" si="4"/>
        <v>23</v>
      </c>
      <c r="G68" s="2" t="str">
        <f t="shared" si="5"/>
        <v>aa2f</v>
      </c>
      <c r="H68" s="2" t="str">
        <f t="shared" si="6"/>
        <v>11.21.09</v>
      </c>
      <c r="I68" s="3">
        <v>-165.069</v>
      </c>
      <c r="J68" s="3">
        <v>0.597</v>
      </c>
      <c r="K68" s="4">
        <f t="shared" si="7"/>
        <v>99.59</v>
      </c>
      <c r="L68" s="4">
        <f t="shared" si="8"/>
        <v>14.931</v>
      </c>
      <c r="M68" s="4">
        <f t="shared" si="9"/>
        <v>6.639333333</v>
      </c>
      <c r="N68" s="4">
        <f t="shared" si="10"/>
        <v>7.217815948</v>
      </c>
      <c r="O68" s="4">
        <f t="shared" si="11"/>
        <v>216.5344784</v>
      </c>
      <c r="P68" s="4">
        <f t="shared" si="12"/>
        <v>0.2605951106</v>
      </c>
    </row>
    <row r="69">
      <c r="A69" s="3">
        <v>1.0</v>
      </c>
      <c r="B69" s="1" t="s">
        <v>78</v>
      </c>
      <c r="C69" s="2" t="str">
        <f t="shared" si="1"/>
        <v>aa2</v>
      </c>
      <c r="D69" s="2" t="str">
        <f t="shared" si="2"/>
        <v>aa</v>
      </c>
      <c r="E69" s="2" t="str">
        <f t="shared" si="3"/>
        <v>f</v>
      </c>
      <c r="F69" s="2" t="str">
        <f t="shared" si="4"/>
        <v>23</v>
      </c>
      <c r="G69" s="2" t="str">
        <f t="shared" si="5"/>
        <v>aa2f</v>
      </c>
      <c r="H69" s="2" t="str">
        <f t="shared" si="6"/>
        <v>11.21.09</v>
      </c>
      <c r="I69" s="3">
        <v>-173.884</v>
      </c>
      <c r="J69" s="3">
        <v>1.083</v>
      </c>
      <c r="K69" s="4">
        <f t="shared" si="7"/>
        <v>99.59</v>
      </c>
      <c r="L69" s="4">
        <f t="shared" si="8"/>
        <v>6.116</v>
      </c>
      <c r="M69" s="4">
        <f t="shared" si="9"/>
        <v>6.639333333</v>
      </c>
      <c r="N69" s="4">
        <f t="shared" si="10"/>
        <v>7.717031809</v>
      </c>
      <c r="O69" s="4">
        <f t="shared" si="11"/>
        <v>231.5109543</v>
      </c>
      <c r="P69" s="4">
        <f t="shared" si="12"/>
        <v>0.1067443371</v>
      </c>
    </row>
    <row r="70">
      <c r="A70" s="3">
        <v>1.0</v>
      </c>
      <c r="B70" s="1" t="s">
        <v>79</v>
      </c>
      <c r="C70" s="2" t="str">
        <f t="shared" si="1"/>
        <v>aa2</v>
      </c>
      <c r="D70" s="2" t="str">
        <f t="shared" si="2"/>
        <v>aa</v>
      </c>
      <c r="E70" s="2" t="str">
        <f t="shared" si="3"/>
        <v>f</v>
      </c>
      <c r="F70" s="2" t="str">
        <f t="shared" si="4"/>
        <v>23</v>
      </c>
      <c r="G70" s="2" t="str">
        <f t="shared" si="5"/>
        <v>aa2f</v>
      </c>
      <c r="H70" s="2" t="str">
        <f t="shared" si="6"/>
        <v>11.21.09</v>
      </c>
      <c r="I70" s="3">
        <v>169.695</v>
      </c>
      <c r="J70" s="3">
        <v>0.86</v>
      </c>
      <c r="K70" s="4">
        <f t="shared" si="7"/>
        <v>99.59</v>
      </c>
      <c r="L70" s="4">
        <f t="shared" si="8"/>
        <v>10.305</v>
      </c>
      <c r="M70" s="4">
        <f t="shared" si="9"/>
        <v>6.639333333</v>
      </c>
      <c r="N70" s="4">
        <f t="shared" si="10"/>
        <v>7.487041801</v>
      </c>
      <c r="O70" s="4">
        <f t="shared" si="11"/>
        <v>224.611254</v>
      </c>
      <c r="P70" s="4">
        <f t="shared" si="12"/>
        <v>0.1798561794</v>
      </c>
    </row>
    <row r="71">
      <c r="A71" s="3">
        <v>1.0</v>
      </c>
      <c r="B71" s="1" t="s">
        <v>80</v>
      </c>
      <c r="C71" s="2" t="str">
        <f t="shared" si="1"/>
        <v>aa2</v>
      </c>
      <c r="D71" s="2" t="str">
        <f t="shared" si="2"/>
        <v>aa</v>
      </c>
      <c r="E71" s="2" t="str">
        <f t="shared" si="3"/>
        <v>f</v>
      </c>
      <c r="F71" s="2" t="str">
        <f t="shared" si="4"/>
        <v>23</v>
      </c>
      <c r="G71" s="2" t="str">
        <f t="shared" si="5"/>
        <v>aa2f</v>
      </c>
      <c r="H71" s="2" t="str">
        <f t="shared" si="6"/>
        <v>11.21.09</v>
      </c>
      <c r="I71" s="3">
        <v>180.0</v>
      </c>
      <c r="J71" s="3">
        <v>1.026</v>
      </c>
      <c r="K71" s="4">
        <f t="shared" si="7"/>
        <v>99.59</v>
      </c>
      <c r="L71" s="4">
        <f t="shared" si="8"/>
        <v>0</v>
      </c>
      <c r="M71" s="4">
        <f t="shared" si="9"/>
        <v>6.639333333</v>
      </c>
      <c r="N71" s="4">
        <f t="shared" si="10"/>
        <v>7.665333333</v>
      </c>
      <c r="O71" s="4">
        <f t="shared" si="11"/>
        <v>229.96</v>
      </c>
      <c r="P71" s="4">
        <f t="shared" si="12"/>
        <v>0</v>
      </c>
    </row>
    <row r="72">
      <c r="A72" s="3">
        <v>1.0</v>
      </c>
      <c r="B72" s="1" t="s">
        <v>81</v>
      </c>
      <c r="C72" s="2" t="str">
        <f t="shared" si="1"/>
        <v>aa2</v>
      </c>
      <c r="D72" s="2" t="str">
        <f t="shared" si="2"/>
        <v>aa</v>
      </c>
      <c r="E72" s="2" t="str">
        <f t="shared" si="3"/>
        <v>f</v>
      </c>
      <c r="F72" s="2" t="str">
        <f t="shared" si="4"/>
        <v>25</v>
      </c>
      <c r="G72" s="2" t="str">
        <f t="shared" si="5"/>
        <v>aa2f</v>
      </c>
      <c r="H72" s="2" t="str">
        <f t="shared" si="6"/>
        <v>11.21.09</v>
      </c>
      <c r="I72" s="3">
        <v>135.0</v>
      </c>
      <c r="J72" s="3">
        <v>0.449</v>
      </c>
      <c r="K72" s="4">
        <f t="shared" si="7"/>
        <v>108.25</v>
      </c>
      <c r="L72" s="4">
        <f t="shared" si="8"/>
        <v>45</v>
      </c>
      <c r="M72" s="4">
        <f t="shared" si="9"/>
        <v>7.216666667</v>
      </c>
      <c r="N72" s="4">
        <f t="shared" si="10"/>
        <v>7.540844211</v>
      </c>
      <c r="O72" s="4">
        <f t="shared" si="11"/>
        <v>226.2253263</v>
      </c>
      <c r="P72" s="4">
        <f t="shared" si="12"/>
        <v>0.7853981634</v>
      </c>
    </row>
    <row r="73">
      <c r="A73" s="3">
        <v>1.0</v>
      </c>
      <c r="B73" s="1" t="s">
        <v>82</v>
      </c>
      <c r="C73" s="2" t="str">
        <f t="shared" si="1"/>
        <v>cn1</v>
      </c>
      <c r="D73" s="2" t="str">
        <f t="shared" si="2"/>
        <v>cn</v>
      </c>
      <c r="E73" s="2" t="str">
        <f t="shared" si="3"/>
        <v>m</v>
      </c>
      <c r="F73" s="2" t="str">
        <f t="shared" si="4"/>
        <v>03</v>
      </c>
      <c r="G73" s="2" t="str">
        <f t="shared" si="5"/>
        <v>cn1m</v>
      </c>
      <c r="H73" s="2" t="str">
        <f t="shared" si="6"/>
        <v>11.21.09</v>
      </c>
      <c r="I73" s="3">
        <v>-162.897</v>
      </c>
      <c r="J73" s="3">
        <v>0.561</v>
      </c>
      <c r="K73" s="4">
        <f t="shared" si="7"/>
        <v>12.99</v>
      </c>
      <c r="L73" s="4">
        <f t="shared" si="8"/>
        <v>17.103</v>
      </c>
      <c r="M73" s="4">
        <f t="shared" si="9"/>
        <v>0.866</v>
      </c>
      <c r="N73" s="4">
        <f t="shared" si="10"/>
        <v>1.411864099</v>
      </c>
      <c r="O73" s="4">
        <f t="shared" si="11"/>
        <v>42.35592297</v>
      </c>
      <c r="P73" s="4">
        <f t="shared" si="12"/>
        <v>0.298503662</v>
      </c>
    </row>
    <row r="74">
      <c r="A74" s="3">
        <v>1.0</v>
      </c>
      <c r="B74" s="1" t="s">
        <v>83</v>
      </c>
      <c r="C74" s="2" t="str">
        <f t="shared" si="1"/>
        <v>cn1</v>
      </c>
      <c r="D74" s="2" t="str">
        <f t="shared" si="2"/>
        <v>cn</v>
      </c>
      <c r="E74" s="2" t="str">
        <f t="shared" si="3"/>
        <v>m</v>
      </c>
      <c r="F74" s="2" t="str">
        <f t="shared" si="4"/>
        <v>05</v>
      </c>
      <c r="G74" s="2" t="str">
        <f t="shared" si="5"/>
        <v>cn1m</v>
      </c>
      <c r="H74" s="2" t="str">
        <f t="shared" si="6"/>
        <v>11.21.09</v>
      </c>
      <c r="I74" s="3">
        <v>-138.814</v>
      </c>
      <c r="J74" s="3">
        <v>0.414</v>
      </c>
      <c r="K74" s="4">
        <f t="shared" si="7"/>
        <v>21.65</v>
      </c>
      <c r="L74" s="4">
        <f t="shared" si="8"/>
        <v>41.186</v>
      </c>
      <c r="M74" s="4">
        <f t="shared" si="9"/>
        <v>1.443333333</v>
      </c>
      <c r="N74" s="4">
        <f t="shared" si="10"/>
        <v>1.775949166</v>
      </c>
      <c r="O74" s="4">
        <f t="shared" si="11"/>
        <v>53.27847497</v>
      </c>
      <c r="P74" s="4">
        <f t="shared" si="12"/>
        <v>0.7188313057</v>
      </c>
    </row>
    <row r="75">
      <c r="A75" s="3">
        <v>1.0</v>
      </c>
      <c r="B75" s="1" t="s">
        <v>84</v>
      </c>
      <c r="C75" s="2" t="str">
        <f t="shared" si="1"/>
        <v>cn1</v>
      </c>
      <c r="D75" s="2" t="str">
        <f t="shared" si="2"/>
        <v>cn</v>
      </c>
      <c r="E75" s="2" t="str">
        <f t="shared" si="3"/>
        <v>m</v>
      </c>
      <c r="F75" s="2" t="str">
        <f t="shared" si="4"/>
        <v>05</v>
      </c>
      <c r="G75" s="2" t="str">
        <f t="shared" si="5"/>
        <v>cn1m</v>
      </c>
      <c r="H75" s="2" t="str">
        <f t="shared" si="6"/>
        <v>11.21.09</v>
      </c>
      <c r="I75" s="3">
        <v>-172.569</v>
      </c>
      <c r="J75" s="3">
        <v>0.893</v>
      </c>
      <c r="K75" s="4">
        <f t="shared" si="7"/>
        <v>21.65</v>
      </c>
      <c r="L75" s="4">
        <f t="shared" si="8"/>
        <v>7.431</v>
      </c>
      <c r="M75" s="4">
        <f t="shared" si="9"/>
        <v>1.443333333</v>
      </c>
      <c r="N75" s="4">
        <f t="shared" si="10"/>
        <v>2.331695395</v>
      </c>
      <c r="O75" s="4">
        <f t="shared" si="11"/>
        <v>69.95086185</v>
      </c>
      <c r="P75" s="4">
        <f t="shared" si="12"/>
        <v>0.1296954167</v>
      </c>
    </row>
    <row r="76">
      <c r="A76" s="3">
        <v>1.0</v>
      </c>
      <c r="B76" s="1" t="s">
        <v>85</v>
      </c>
      <c r="C76" s="2" t="str">
        <f t="shared" si="1"/>
        <v>cn1</v>
      </c>
      <c r="D76" s="2" t="str">
        <f t="shared" si="2"/>
        <v>cn</v>
      </c>
      <c r="E76" s="2" t="str">
        <f t="shared" si="3"/>
        <v>m</v>
      </c>
      <c r="F76" s="2" t="str">
        <f t="shared" si="4"/>
        <v>05</v>
      </c>
      <c r="G76" s="2" t="str">
        <f t="shared" si="5"/>
        <v>cn1m</v>
      </c>
      <c r="H76" s="2" t="str">
        <f t="shared" si="6"/>
        <v>11.21.09</v>
      </c>
      <c r="I76" s="3">
        <v>180.0</v>
      </c>
      <c r="J76" s="3">
        <v>1.14</v>
      </c>
      <c r="K76" s="4">
        <f t="shared" si="7"/>
        <v>21.65</v>
      </c>
      <c r="L76" s="4">
        <f t="shared" si="8"/>
        <v>0</v>
      </c>
      <c r="M76" s="4">
        <f t="shared" si="9"/>
        <v>1.443333333</v>
      </c>
      <c r="N76" s="4">
        <f t="shared" si="10"/>
        <v>2.583333333</v>
      </c>
      <c r="O76" s="4">
        <f t="shared" si="11"/>
        <v>77.5</v>
      </c>
      <c r="P76" s="4">
        <f t="shared" si="12"/>
        <v>0</v>
      </c>
    </row>
    <row r="77">
      <c r="A77" s="3">
        <v>1.0</v>
      </c>
      <c r="B77" s="1" t="s">
        <v>86</v>
      </c>
      <c r="C77" s="2" t="str">
        <f t="shared" si="1"/>
        <v>cn1</v>
      </c>
      <c r="D77" s="2" t="str">
        <f t="shared" si="2"/>
        <v>cn</v>
      </c>
      <c r="E77" s="2" t="str">
        <f t="shared" si="3"/>
        <v>m</v>
      </c>
      <c r="F77" s="2" t="str">
        <f t="shared" si="4"/>
        <v>05</v>
      </c>
      <c r="G77" s="2" t="str">
        <f t="shared" si="5"/>
        <v>cn1m</v>
      </c>
      <c r="H77" s="2" t="str">
        <f t="shared" si="6"/>
        <v>11.21.09</v>
      </c>
      <c r="I77" s="3">
        <v>180.0</v>
      </c>
      <c r="J77" s="3">
        <v>0.779</v>
      </c>
      <c r="K77" s="4">
        <f t="shared" si="7"/>
        <v>21.65</v>
      </c>
      <c r="L77" s="4">
        <f t="shared" si="8"/>
        <v>0</v>
      </c>
      <c r="M77" s="4">
        <f t="shared" si="9"/>
        <v>1.443333333</v>
      </c>
      <c r="N77" s="4">
        <f t="shared" si="10"/>
        <v>2.222333333</v>
      </c>
      <c r="O77" s="4">
        <f t="shared" si="11"/>
        <v>66.67</v>
      </c>
      <c r="P77" s="4">
        <f t="shared" si="12"/>
        <v>0</v>
      </c>
    </row>
    <row r="78">
      <c r="A78" s="3">
        <v>1.0</v>
      </c>
      <c r="B78" s="1" t="s">
        <v>87</v>
      </c>
      <c r="C78" s="2" t="str">
        <f t="shared" si="1"/>
        <v>cn1</v>
      </c>
      <c r="D78" s="2" t="str">
        <f t="shared" si="2"/>
        <v>cn</v>
      </c>
      <c r="E78" s="2" t="str">
        <f t="shared" si="3"/>
        <v>m</v>
      </c>
      <c r="F78" s="2" t="str">
        <f t="shared" si="4"/>
        <v>07</v>
      </c>
      <c r="G78" s="2" t="str">
        <f t="shared" si="5"/>
        <v>cn1m</v>
      </c>
      <c r="H78" s="2" t="str">
        <f t="shared" si="6"/>
        <v>11.21.09</v>
      </c>
      <c r="I78" s="3">
        <v>-173.884</v>
      </c>
      <c r="J78" s="3">
        <v>1.11</v>
      </c>
      <c r="K78" s="4">
        <f t="shared" si="7"/>
        <v>30.31</v>
      </c>
      <c r="L78" s="4">
        <f t="shared" si="8"/>
        <v>6.116</v>
      </c>
      <c r="M78" s="4">
        <f t="shared" si="9"/>
        <v>2.020666667</v>
      </c>
      <c r="N78" s="4">
        <f t="shared" si="10"/>
        <v>3.126586187</v>
      </c>
      <c r="O78" s="4">
        <f t="shared" si="11"/>
        <v>93.79758561</v>
      </c>
      <c r="P78" s="4">
        <f t="shared" si="12"/>
        <v>0.1067443371</v>
      </c>
    </row>
    <row r="79">
      <c r="A79" s="3">
        <v>1.0</v>
      </c>
      <c r="B79" s="1" t="s">
        <v>88</v>
      </c>
      <c r="C79" s="2" t="str">
        <f t="shared" si="1"/>
        <v>cn1</v>
      </c>
      <c r="D79" s="2" t="str">
        <f t="shared" si="2"/>
        <v>cn</v>
      </c>
      <c r="E79" s="2" t="str">
        <f t="shared" si="3"/>
        <v>m</v>
      </c>
      <c r="F79" s="2" t="str">
        <f t="shared" si="4"/>
        <v>07</v>
      </c>
      <c r="G79" s="2" t="str">
        <f t="shared" si="5"/>
        <v>cn1m</v>
      </c>
      <c r="H79" s="2" t="str">
        <f t="shared" si="6"/>
        <v>11.21.09</v>
      </c>
      <c r="I79" s="3">
        <v>129.094</v>
      </c>
      <c r="J79" s="3">
        <v>0.798</v>
      </c>
      <c r="K79" s="4">
        <f t="shared" si="7"/>
        <v>30.31</v>
      </c>
      <c r="L79" s="4">
        <f t="shared" si="8"/>
        <v>50.906</v>
      </c>
      <c r="M79" s="4">
        <f t="shared" si="9"/>
        <v>2.020666667</v>
      </c>
      <c r="N79" s="4">
        <f t="shared" si="10"/>
        <v>2.598760295</v>
      </c>
      <c r="O79" s="4">
        <f t="shared" si="11"/>
        <v>77.96280884</v>
      </c>
      <c r="P79" s="4">
        <f t="shared" si="12"/>
        <v>0.888477309</v>
      </c>
    </row>
    <row r="80">
      <c r="A80" s="3">
        <v>1.0</v>
      </c>
      <c r="B80" s="1" t="s">
        <v>89</v>
      </c>
      <c r="C80" s="2" t="str">
        <f t="shared" si="1"/>
        <v>cn1</v>
      </c>
      <c r="D80" s="2" t="str">
        <f t="shared" si="2"/>
        <v>cn</v>
      </c>
      <c r="E80" s="2" t="str">
        <f t="shared" si="3"/>
        <v>m</v>
      </c>
      <c r="F80" s="2" t="str">
        <f t="shared" si="4"/>
        <v>07</v>
      </c>
      <c r="G80" s="2" t="str">
        <f t="shared" si="5"/>
        <v>cn1m</v>
      </c>
      <c r="H80" s="2" t="str">
        <f t="shared" si="6"/>
        <v>11.21.09</v>
      </c>
      <c r="I80" s="3">
        <v>169.695</v>
      </c>
      <c r="J80" s="3">
        <v>0.416</v>
      </c>
      <c r="K80" s="4">
        <f t="shared" si="7"/>
        <v>30.31</v>
      </c>
      <c r="L80" s="4">
        <f t="shared" si="8"/>
        <v>10.305</v>
      </c>
      <c r="M80" s="4">
        <f t="shared" si="9"/>
        <v>2.020666667</v>
      </c>
      <c r="N80" s="4">
        <f t="shared" si="10"/>
        <v>2.4310956</v>
      </c>
      <c r="O80" s="4">
        <f t="shared" si="11"/>
        <v>72.93286801</v>
      </c>
      <c r="P80" s="4">
        <f t="shared" si="12"/>
        <v>0.1798561794</v>
      </c>
    </row>
    <row r="81">
      <c r="A81" s="3">
        <v>1.0</v>
      </c>
      <c r="B81" s="1" t="s">
        <v>90</v>
      </c>
      <c r="C81" s="2" t="str">
        <f t="shared" si="1"/>
        <v>cn1</v>
      </c>
      <c r="D81" s="2" t="str">
        <f t="shared" si="2"/>
        <v>cn</v>
      </c>
      <c r="E81" s="2" t="str">
        <f t="shared" si="3"/>
        <v>m</v>
      </c>
      <c r="F81" s="2" t="str">
        <f t="shared" si="4"/>
        <v>07</v>
      </c>
      <c r="G81" s="2" t="str">
        <f t="shared" si="5"/>
        <v>cn1m</v>
      </c>
      <c r="H81" s="2" t="str">
        <f t="shared" si="6"/>
        <v>11.21.09</v>
      </c>
      <c r="I81" s="3">
        <v>-163.61</v>
      </c>
      <c r="J81" s="3">
        <v>0.696</v>
      </c>
      <c r="K81" s="4">
        <f t="shared" si="7"/>
        <v>30.31</v>
      </c>
      <c r="L81" s="4">
        <f t="shared" si="8"/>
        <v>16.39</v>
      </c>
      <c r="M81" s="4">
        <f t="shared" si="9"/>
        <v>2.020666667</v>
      </c>
      <c r="N81" s="4">
        <f t="shared" si="10"/>
        <v>2.695547439</v>
      </c>
      <c r="O81" s="4">
        <f t="shared" si="11"/>
        <v>80.86642316</v>
      </c>
      <c r="P81" s="4">
        <f t="shared" si="12"/>
        <v>0.2860594644</v>
      </c>
    </row>
    <row r="82">
      <c r="A82" s="3">
        <v>1.0</v>
      </c>
      <c r="B82" s="1" t="s">
        <v>91</v>
      </c>
      <c r="C82" s="2" t="str">
        <f t="shared" si="1"/>
        <v>cn1</v>
      </c>
      <c r="D82" s="2" t="str">
        <f t="shared" si="2"/>
        <v>cn</v>
      </c>
      <c r="E82" s="2" t="str">
        <f t="shared" si="3"/>
        <v>m</v>
      </c>
      <c r="F82" s="2" t="str">
        <f t="shared" si="4"/>
        <v>07</v>
      </c>
      <c r="G82" s="2" t="str">
        <f t="shared" si="5"/>
        <v>cn1m</v>
      </c>
      <c r="H82" s="2" t="str">
        <f t="shared" si="6"/>
        <v>11.21.09</v>
      </c>
      <c r="I82" s="3">
        <v>-111.801</v>
      </c>
      <c r="J82" s="3">
        <v>1.276</v>
      </c>
      <c r="K82" s="4">
        <f t="shared" si="7"/>
        <v>30.31</v>
      </c>
      <c r="L82" s="4">
        <f t="shared" si="8"/>
        <v>68.199</v>
      </c>
      <c r="M82" s="4">
        <f t="shared" si="9"/>
        <v>2.020666667</v>
      </c>
      <c r="N82" s="4">
        <f t="shared" si="10"/>
        <v>2.761593962</v>
      </c>
      <c r="O82" s="4">
        <f t="shared" si="11"/>
        <v>82.84781886</v>
      </c>
      <c r="P82" s="4">
        <f t="shared" si="12"/>
        <v>1.190297097</v>
      </c>
    </row>
    <row r="83">
      <c r="A83" s="3">
        <v>1.0</v>
      </c>
      <c r="B83" s="1" t="s">
        <v>92</v>
      </c>
      <c r="C83" s="2" t="str">
        <f t="shared" si="1"/>
        <v>cn1</v>
      </c>
      <c r="D83" s="2" t="str">
        <f t="shared" si="2"/>
        <v>cn</v>
      </c>
      <c r="E83" s="2" t="str">
        <f t="shared" si="3"/>
        <v>m</v>
      </c>
      <c r="F83" s="2" t="str">
        <f t="shared" si="4"/>
        <v>09</v>
      </c>
      <c r="G83" s="2" t="str">
        <f t="shared" si="5"/>
        <v>cn1m</v>
      </c>
      <c r="H83" s="2" t="str">
        <f t="shared" si="6"/>
        <v>11.21.09</v>
      </c>
      <c r="I83" s="3">
        <v>173.991</v>
      </c>
      <c r="J83" s="3">
        <v>0.718</v>
      </c>
      <c r="K83" s="4">
        <f t="shared" si="7"/>
        <v>38.97</v>
      </c>
      <c r="L83" s="4">
        <f t="shared" si="8"/>
        <v>6.009</v>
      </c>
      <c r="M83" s="4">
        <f t="shared" si="9"/>
        <v>2.598</v>
      </c>
      <c r="N83" s="4">
        <f t="shared" si="10"/>
        <v>3.312907693</v>
      </c>
      <c r="O83" s="4">
        <f t="shared" si="11"/>
        <v>99.38723078</v>
      </c>
      <c r="P83" s="4">
        <f t="shared" si="12"/>
        <v>0.1048768348</v>
      </c>
    </row>
    <row r="84">
      <c r="A84" s="3">
        <v>1.0</v>
      </c>
      <c r="B84" s="1" t="s">
        <v>93</v>
      </c>
      <c r="C84" s="2" t="str">
        <f t="shared" si="1"/>
        <v>cn1</v>
      </c>
      <c r="D84" s="2" t="str">
        <f t="shared" si="2"/>
        <v>cn</v>
      </c>
      <c r="E84" s="2" t="str">
        <f t="shared" si="3"/>
        <v>m</v>
      </c>
      <c r="F84" s="2" t="str">
        <f t="shared" si="4"/>
        <v>09</v>
      </c>
      <c r="G84" s="2" t="str">
        <f t="shared" si="5"/>
        <v>cn1m</v>
      </c>
      <c r="H84" s="2" t="str">
        <f t="shared" si="6"/>
        <v>11.21.09</v>
      </c>
      <c r="I84" s="3">
        <v>-168.69</v>
      </c>
      <c r="J84" s="3">
        <v>0.781</v>
      </c>
      <c r="K84" s="4">
        <f t="shared" si="7"/>
        <v>38.97</v>
      </c>
      <c r="L84" s="4">
        <f t="shared" si="8"/>
        <v>11.31</v>
      </c>
      <c r="M84" s="4">
        <f t="shared" si="9"/>
        <v>2.598</v>
      </c>
      <c r="N84" s="4">
        <f t="shared" si="10"/>
        <v>3.367318662</v>
      </c>
      <c r="O84" s="4">
        <f t="shared" si="11"/>
        <v>101.0195598</v>
      </c>
      <c r="P84" s="4">
        <f t="shared" si="12"/>
        <v>0.1973967384</v>
      </c>
    </row>
    <row r="85">
      <c r="A85" s="3">
        <v>1.0</v>
      </c>
      <c r="B85" s="1" t="s">
        <v>94</v>
      </c>
      <c r="C85" s="2" t="str">
        <f t="shared" si="1"/>
        <v>cn1</v>
      </c>
      <c r="D85" s="2" t="str">
        <f t="shared" si="2"/>
        <v>cn</v>
      </c>
      <c r="E85" s="2" t="str">
        <f t="shared" si="3"/>
        <v>m</v>
      </c>
      <c r="F85" s="2" t="str">
        <f t="shared" si="4"/>
        <v>09</v>
      </c>
      <c r="G85" s="2" t="str">
        <f t="shared" si="5"/>
        <v>cn1m</v>
      </c>
      <c r="H85" s="2" t="str">
        <f t="shared" si="6"/>
        <v>11.21.09</v>
      </c>
      <c r="I85" s="3">
        <v>140.194</v>
      </c>
      <c r="J85" s="3">
        <v>0.323</v>
      </c>
      <c r="K85" s="4">
        <f t="shared" si="7"/>
        <v>38.97</v>
      </c>
      <c r="L85" s="4">
        <f t="shared" si="8"/>
        <v>39.806</v>
      </c>
      <c r="M85" s="4">
        <f t="shared" si="9"/>
        <v>2.598</v>
      </c>
      <c r="N85" s="4">
        <f t="shared" si="10"/>
        <v>2.853635729</v>
      </c>
      <c r="O85" s="4">
        <f t="shared" si="11"/>
        <v>85.60907188</v>
      </c>
      <c r="P85" s="4">
        <f t="shared" si="12"/>
        <v>0.694745762</v>
      </c>
    </row>
    <row r="86">
      <c r="A86" s="3">
        <v>1.0</v>
      </c>
      <c r="B86" s="1" t="s">
        <v>95</v>
      </c>
      <c r="C86" s="2" t="str">
        <f t="shared" si="1"/>
        <v>cn1</v>
      </c>
      <c r="D86" s="2" t="str">
        <f t="shared" si="2"/>
        <v>cn</v>
      </c>
      <c r="E86" s="2" t="str">
        <f t="shared" si="3"/>
        <v>m</v>
      </c>
      <c r="F86" s="2" t="str">
        <f t="shared" si="4"/>
        <v>09</v>
      </c>
      <c r="G86" s="2" t="str">
        <f t="shared" si="5"/>
        <v>cn1m</v>
      </c>
      <c r="H86" s="2" t="str">
        <f t="shared" si="6"/>
        <v>11.21.09</v>
      </c>
      <c r="I86" s="3">
        <v>176.186</v>
      </c>
      <c r="J86" s="3">
        <v>0.585</v>
      </c>
      <c r="K86" s="4">
        <f t="shared" si="7"/>
        <v>38.97</v>
      </c>
      <c r="L86" s="4">
        <f t="shared" si="8"/>
        <v>3.814</v>
      </c>
      <c r="M86" s="4">
        <f t="shared" si="9"/>
        <v>2.598</v>
      </c>
      <c r="N86" s="4">
        <f t="shared" si="10"/>
        <v>3.181942315</v>
      </c>
      <c r="O86" s="4">
        <f t="shared" si="11"/>
        <v>95.45826945</v>
      </c>
      <c r="P86" s="4">
        <f t="shared" si="12"/>
        <v>0.06656685767</v>
      </c>
    </row>
    <row r="87">
      <c r="A87" s="3">
        <v>1.0</v>
      </c>
      <c r="B87" s="1" t="s">
        <v>96</v>
      </c>
      <c r="C87" s="2" t="str">
        <f t="shared" si="1"/>
        <v>cn1</v>
      </c>
      <c r="D87" s="2" t="str">
        <f t="shared" si="2"/>
        <v>cn</v>
      </c>
      <c r="E87" s="2" t="str">
        <f t="shared" si="3"/>
        <v>m</v>
      </c>
      <c r="F87" s="2" t="str">
        <f t="shared" si="4"/>
        <v>09</v>
      </c>
      <c r="G87" s="2" t="str">
        <f t="shared" si="5"/>
        <v>cn1m</v>
      </c>
      <c r="H87" s="2" t="str">
        <f t="shared" si="6"/>
        <v>11.21.09</v>
      </c>
      <c r="I87" s="3">
        <v>-164.745</v>
      </c>
      <c r="J87" s="3">
        <v>0.464</v>
      </c>
      <c r="K87" s="4">
        <f t="shared" si="7"/>
        <v>38.97</v>
      </c>
      <c r="L87" s="4">
        <f t="shared" si="8"/>
        <v>15.255</v>
      </c>
      <c r="M87" s="4">
        <f t="shared" si="9"/>
        <v>2.598</v>
      </c>
      <c r="N87" s="4">
        <f t="shared" si="10"/>
        <v>3.048096596</v>
      </c>
      <c r="O87" s="4">
        <f t="shared" si="11"/>
        <v>91.44289789</v>
      </c>
      <c r="P87" s="4">
        <f t="shared" si="12"/>
        <v>0.2662499774</v>
      </c>
    </row>
    <row r="88">
      <c r="A88" s="3">
        <v>1.0</v>
      </c>
      <c r="B88" s="1" t="s">
        <v>97</v>
      </c>
      <c r="C88" s="2" t="str">
        <f t="shared" si="1"/>
        <v>cn1</v>
      </c>
      <c r="D88" s="2" t="str">
        <f t="shared" si="2"/>
        <v>cn</v>
      </c>
      <c r="E88" s="2" t="str">
        <f t="shared" si="3"/>
        <v>m</v>
      </c>
      <c r="F88" s="2" t="str">
        <f t="shared" si="4"/>
        <v>11</v>
      </c>
      <c r="G88" s="2" t="str">
        <f t="shared" si="5"/>
        <v>cn1m</v>
      </c>
      <c r="H88" s="2" t="str">
        <f t="shared" si="6"/>
        <v>11.21.09</v>
      </c>
      <c r="I88" s="3">
        <v>-155.695</v>
      </c>
      <c r="J88" s="3">
        <v>1.307</v>
      </c>
      <c r="K88" s="4">
        <f t="shared" si="7"/>
        <v>47.63</v>
      </c>
      <c r="L88" s="4">
        <f t="shared" si="8"/>
        <v>24.305</v>
      </c>
      <c r="M88" s="4">
        <f t="shared" si="9"/>
        <v>3.175333333</v>
      </c>
      <c r="N88" s="4">
        <f t="shared" si="10"/>
        <v>4.399503692</v>
      </c>
      <c r="O88" s="4">
        <f t="shared" si="11"/>
        <v>131.9851108</v>
      </c>
      <c r="P88" s="4">
        <f t="shared" si="12"/>
        <v>0.4242022747</v>
      </c>
    </row>
    <row r="89">
      <c r="A89" s="3">
        <v>1.0</v>
      </c>
      <c r="B89" s="1" t="s">
        <v>98</v>
      </c>
      <c r="C89" s="2" t="str">
        <f t="shared" si="1"/>
        <v>cn1</v>
      </c>
      <c r="D89" s="2" t="str">
        <f t="shared" si="2"/>
        <v>cn</v>
      </c>
      <c r="E89" s="2" t="str">
        <f t="shared" si="3"/>
        <v>m</v>
      </c>
      <c r="F89" s="2" t="str">
        <f t="shared" si="4"/>
        <v>11</v>
      </c>
      <c r="G89" s="2" t="str">
        <f t="shared" si="5"/>
        <v>cn1m</v>
      </c>
      <c r="H89" s="2" t="str">
        <f t="shared" si="6"/>
        <v>11.21.09</v>
      </c>
      <c r="I89" s="3">
        <v>-149.036</v>
      </c>
      <c r="J89" s="3">
        <v>0.927</v>
      </c>
      <c r="K89" s="4">
        <f t="shared" si="7"/>
        <v>47.63</v>
      </c>
      <c r="L89" s="4">
        <f t="shared" si="8"/>
        <v>30.964</v>
      </c>
      <c r="M89" s="4">
        <f t="shared" si="9"/>
        <v>3.175333333</v>
      </c>
      <c r="N89" s="4">
        <f t="shared" si="10"/>
        <v>3.998771945</v>
      </c>
      <c r="O89" s="4">
        <f t="shared" si="11"/>
        <v>119.9631584</v>
      </c>
      <c r="P89" s="4">
        <f t="shared" si="12"/>
        <v>0.5404237496</v>
      </c>
    </row>
    <row r="90">
      <c r="A90" s="3">
        <v>1.0</v>
      </c>
      <c r="B90" s="1" t="s">
        <v>99</v>
      </c>
      <c r="C90" s="2" t="str">
        <f t="shared" si="1"/>
        <v>cn1</v>
      </c>
      <c r="D90" s="2" t="str">
        <f t="shared" si="2"/>
        <v>cn</v>
      </c>
      <c r="E90" s="2" t="str">
        <f t="shared" si="3"/>
        <v>m</v>
      </c>
      <c r="F90" s="2" t="str">
        <f t="shared" si="4"/>
        <v>11</v>
      </c>
      <c r="G90" s="2" t="str">
        <f t="shared" si="5"/>
        <v>cn1m</v>
      </c>
      <c r="H90" s="2" t="str">
        <f t="shared" si="6"/>
        <v>11.21.09</v>
      </c>
      <c r="I90" s="3">
        <v>104.036</v>
      </c>
      <c r="J90" s="3">
        <v>0.964</v>
      </c>
      <c r="K90" s="4">
        <f t="shared" si="7"/>
        <v>47.63</v>
      </c>
      <c r="L90" s="4">
        <f t="shared" si="8"/>
        <v>75.964</v>
      </c>
      <c r="M90" s="4">
        <f t="shared" si="9"/>
        <v>3.175333333</v>
      </c>
      <c r="N90" s="4">
        <f t="shared" si="10"/>
        <v>3.535085004</v>
      </c>
      <c r="O90" s="4">
        <f t="shared" si="11"/>
        <v>106.0525501</v>
      </c>
      <c r="P90" s="4">
        <f t="shared" si="12"/>
        <v>1.325821913</v>
      </c>
    </row>
    <row r="91">
      <c r="A91" s="3">
        <v>1.0</v>
      </c>
      <c r="B91" s="1" t="s">
        <v>100</v>
      </c>
      <c r="C91" s="2" t="str">
        <f t="shared" si="1"/>
        <v>cn1</v>
      </c>
      <c r="D91" s="2" t="str">
        <f t="shared" si="2"/>
        <v>cn</v>
      </c>
      <c r="E91" s="2" t="str">
        <f t="shared" si="3"/>
        <v>m</v>
      </c>
      <c r="F91" s="2" t="str">
        <f t="shared" si="4"/>
        <v>11</v>
      </c>
      <c r="G91" s="2" t="str">
        <f t="shared" si="5"/>
        <v>cn1m</v>
      </c>
      <c r="H91" s="2" t="str">
        <f t="shared" si="6"/>
        <v>11.21.09</v>
      </c>
      <c r="I91" s="3">
        <v>142.125</v>
      </c>
      <c r="J91" s="3">
        <v>0.429</v>
      </c>
      <c r="K91" s="4">
        <f t="shared" si="7"/>
        <v>47.63</v>
      </c>
      <c r="L91" s="4">
        <f t="shared" si="8"/>
        <v>37.875</v>
      </c>
      <c r="M91" s="4">
        <f t="shared" si="9"/>
        <v>3.175333333</v>
      </c>
      <c r="N91" s="4">
        <f t="shared" si="10"/>
        <v>3.523822058</v>
      </c>
      <c r="O91" s="4">
        <f t="shared" si="11"/>
        <v>105.7146617</v>
      </c>
      <c r="P91" s="4">
        <f t="shared" si="12"/>
        <v>0.6610434542</v>
      </c>
    </row>
    <row r="92">
      <c r="A92" s="3">
        <v>1.0</v>
      </c>
      <c r="B92" s="1" t="s">
        <v>101</v>
      </c>
      <c r="C92" s="2" t="str">
        <f t="shared" si="1"/>
        <v>cn1</v>
      </c>
      <c r="D92" s="2" t="str">
        <f t="shared" si="2"/>
        <v>cn</v>
      </c>
      <c r="E92" s="2" t="str">
        <f t="shared" si="3"/>
        <v>m</v>
      </c>
      <c r="F92" s="2" t="str">
        <f t="shared" si="4"/>
        <v>11</v>
      </c>
      <c r="G92" s="2" t="str">
        <f t="shared" si="5"/>
        <v>cn1m</v>
      </c>
      <c r="H92" s="2" t="str">
        <f t="shared" si="6"/>
        <v>11.21.09</v>
      </c>
      <c r="I92" s="3">
        <v>158.199</v>
      </c>
      <c r="J92" s="3">
        <v>0.432</v>
      </c>
      <c r="K92" s="4">
        <f t="shared" si="7"/>
        <v>47.63</v>
      </c>
      <c r="L92" s="4">
        <f t="shared" si="8"/>
        <v>21.801</v>
      </c>
      <c r="M92" s="4">
        <f t="shared" si="9"/>
        <v>3.175333333</v>
      </c>
      <c r="N92" s="4">
        <f t="shared" si="10"/>
        <v>3.580033201</v>
      </c>
      <c r="O92" s="4">
        <f t="shared" si="11"/>
        <v>107.400996</v>
      </c>
      <c r="P92" s="4">
        <f t="shared" si="12"/>
        <v>0.3804992302</v>
      </c>
    </row>
    <row r="93">
      <c r="A93" s="3">
        <v>1.0</v>
      </c>
      <c r="B93" s="1" t="s">
        <v>102</v>
      </c>
      <c r="C93" s="2" t="str">
        <f t="shared" si="1"/>
        <v>cn1</v>
      </c>
      <c r="D93" s="2" t="str">
        <f t="shared" si="2"/>
        <v>cn</v>
      </c>
      <c r="E93" s="2" t="str">
        <f t="shared" si="3"/>
        <v>m</v>
      </c>
      <c r="F93" s="2" t="str">
        <f t="shared" si="4"/>
        <v>13</v>
      </c>
      <c r="G93" s="2" t="str">
        <f t="shared" si="5"/>
        <v>cn1m</v>
      </c>
      <c r="H93" s="2" t="str">
        <f t="shared" si="6"/>
        <v>11.21.09</v>
      </c>
      <c r="I93" s="3">
        <v>-158.749</v>
      </c>
      <c r="J93" s="3">
        <v>0.731</v>
      </c>
      <c r="K93" s="4">
        <f t="shared" si="7"/>
        <v>56.29</v>
      </c>
      <c r="L93" s="4">
        <f t="shared" si="8"/>
        <v>21.251</v>
      </c>
      <c r="M93" s="4">
        <f t="shared" si="9"/>
        <v>3.752666667</v>
      </c>
      <c r="N93" s="4">
        <f t="shared" si="10"/>
        <v>4.441868991</v>
      </c>
      <c r="O93" s="4">
        <f t="shared" si="11"/>
        <v>133.2560697</v>
      </c>
      <c r="P93" s="4">
        <f t="shared" si="12"/>
        <v>0.3708999193</v>
      </c>
    </row>
    <row r="94">
      <c r="A94" s="3">
        <v>1.0</v>
      </c>
      <c r="B94" s="1" t="s">
        <v>103</v>
      </c>
      <c r="C94" s="2" t="str">
        <f t="shared" si="1"/>
        <v>cn2</v>
      </c>
      <c r="D94" s="2" t="str">
        <f t="shared" si="2"/>
        <v>cn</v>
      </c>
      <c r="E94" s="2" t="str">
        <f t="shared" si="3"/>
        <v>f</v>
      </c>
      <c r="F94" s="2" t="str">
        <f t="shared" si="4"/>
        <v>05</v>
      </c>
      <c r="G94" s="2" t="str">
        <f t="shared" si="5"/>
        <v>cn2f</v>
      </c>
      <c r="H94" s="2" t="str">
        <f t="shared" si="6"/>
        <v>11.21.09</v>
      </c>
      <c r="I94" s="3">
        <v>160.017</v>
      </c>
      <c r="J94" s="3">
        <v>0.921</v>
      </c>
      <c r="K94" s="4">
        <f t="shared" si="7"/>
        <v>21.65</v>
      </c>
      <c r="L94" s="4">
        <f t="shared" si="8"/>
        <v>19.983</v>
      </c>
      <c r="M94" s="4">
        <f t="shared" si="9"/>
        <v>1.443333333</v>
      </c>
      <c r="N94" s="4">
        <f t="shared" si="10"/>
        <v>2.330237626</v>
      </c>
      <c r="O94" s="4">
        <f t="shared" si="11"/>
        <v>69.90712877</v>
      </c>
      <c r="P94" s="4">
        <f t="shared" si="12"/>
        <v>0.3487691444</v>
      </c>
    </row>
    <row r="95">
      <c r="A95" s="3">
        <v>1.0</v>
      </c>
      <c r="B95" s="1" t="s">
        <v>104</v>
      </c>
      <c r="C95" s="2" t="str">
        <f t="shared" si="1"/>
        <v>cn2</v>
      </c>
      <c r="D95" s="2" t="str">
        <f t="shared" si="2"/>
        <v>cn</v>
      </c>
      <c r="E95" s="2" t="str">
        <f t="shared" si="3"/>
        <v>f</v>
      </c>
      <c r="F95" s="2" t="str">
        <f t="shared" si="4"/>
        <v>09</v>
      </c>
      <c r="G95" s="2" t="str">
        <f t="shared" si="5"/>
        <v>cn2f</v>
      </c>
      <c r="H95" s="2" t="str">
        <f t="shared" si="6"/>
        <v>11.21.09</v>
      </c>
      <c r="I95" s="3">
        <v>180.0</v>
      </c>
      <c r="J95" s="3">
        <v>0.545</v>
      </c>
      <c r="K95" s="4">
        <f t="shared" si="7"/>
        <v>38.97</v>
      </c>
      <c r="L95" s="4">
        <f t="shared" si="8"/>
        <v>0</v>
      </c>
      <c r="M95" s="4">
        <f t="shared" si="9"/>
        <v>2.598</v>
      </c>
      <c r="N95" s="4">
        <f t="shared" si="10"/>
        <v>3.143</v>
      </c>
      <c r="O95" s="4">
        <f t="shared" si="11"/>
        <v>94.29</v>
      </c>
      <c r="P95" s="4">
        <f t="shared" si="12"/>
        <v>0</v>
      </c>
    </row>
    <row r="96">
      <c r="A96" s="3">
        <v>1.0</v>
      </c>
      <c r="B96" s="1" t="s">
        <v>105</v>
      </c>
      <c r="C96" s="2" t="str">
        <f t="shared" si="1"/>
        <v>cn2</v>
      </c>
      <c r="D96" s="2" t="str">
        <f t="shared" si="2"/>
        <v>cn</v>
      </c>
      <c r="E96" s="2" t="str">
        <f t="shared" si="3"/>
        <v>f</v>
      </c>
      <c r="F96" s="2" t="str">
        <f t="shared" si="4"/>
        <v>09</v>
      </c>
      <c r="G96" s="2" t="str">
        <f t="shared" si="5"/>
        <v>cn2f</v>
      </c>
      <c r="H96" s="2" t="str">
        <f t="shared" si="6"/>
        <v>11.21.09</v>
      </c>
      <c r="I96" s="3">
        <v>165.964</v>
      </c>
      <c r="J96" s="3">
        <v>0.948</v>
      </c>
      <c r="K96" s="4">
        <f t="shared" si="7"/>
        <v>38.97</v>
      </c>
      <c r="L96" s="4">
        <f t="shared" si="8"/>
        <v>14.036</v>
      </c>
      <c r="M96" s="4">
        <f t="shared" si="9"/>
        <v>2.598</v>
      </c>
      <c r="N96" s="4">
        <f t="shared" si="10"/>
        <v>3.525201947</v>
      </c>
      <c r="O96" s="4">
        <f t="shared" si="11"/>
        <v>105.7560584</v>
      </c>
      <c r="P96" s="4">
        <f t="shared" si="12"/>
        <v>0.2449744138</v>
      </c>
    </row>
    <row r="97">
      <c r="A97" s="3">
        <v>1.0</v>
      </c>
      <c r="B97" s="1" t="s">
        <v>106</v>
      </c>
      <c r="C97" s="2" t="str">
        <f t="shared" si="1"/>
        <v>cn2</v>
      </c>
      <c r="D97" s="2" t="str">
        <f t="shared" si="2"/>
        <v>cn</v>
      </c>
      <c r="E97" s="2" t="str">
        <f t="shared" si="3"/>
        <v>f</v>
      </c>
      <c r="F97" s="2" t="str">
        <f t="shared" si="4"/>
        <v>09</v>
      </c>
      <c r="G97" s="2" t="str">
        <f t="shared" si="5"/>
        <v>cn2f</v>
      </c>
      <c r="H97" s="2" t="str">
        <f t="shared" si="6"/>
        <v>11.21.09</v>
      </c>
      <c r="I97" s="3">
        <v>168.69</v>
      </c>
      <c r="J97" s="3">
        <v>0.797</v>
      </c>
      <c r="K97" s="4">
        <f t="shared" si="7"/>
        <v>38.97</v>
      </c>
      <c r="L97" s="4">
        <f t="shared" si="8"/>
        <v>11.31</v>
      </c>
      <c r="M97" s="4">
        <f t="shared" si="9"/>
        <v>2.598</v>
      </c>
      <c r="N97" s="4">
        <f t="shared" si="10"/>
        <v>3.383135307</v>
      </c>
      <c r="O97" s="4">
        <f t="shared" si="11"/>
        <v>101.4940592</v>
      </c>
      <c r="P97" s="4">
        <f t="shared" si="12"/>
        <v>0.1973967384</v>
      </c>
    </row>
    <row r="98">
      <c r="A98" s="3">
        <v>1.0</v>
      </c>
      <c r="B98" s="1" t="s">
        <v>107</v>
      </c>
      <c r="C98" s="2" t="str">
        <f t="shared" si="1"/>
        <v>cn2</v>
      </c>
      <c r="D98" s="2" t="str">
        <f t="shared" si="2"/>
        <v>cn</v>
      </c>
      <c r="E98" s="2" t="str">
        <f t="shared" si="3"/>
        <v>f</v>
      </c>
      <c r="F98" s="2" t="str">
        <f t="shared" si="4"/>
        <v>09</v>
      </c>
      <c r="G98" s="2" t="str">
        <f t="shared" si="5"/>
        <v>cn2f</v>
      </c>
      <c r="H98" s="2" t="str">
        <f t="shared" si="6"/>
        <v>11.21.09</v>
      </c>
      <c r="I98" s="3">
        <v>-164.055</v>
      </c>
      <c r="J98" s="3">
        <v>0.567</v>
      </c>
      <c r="K98" s="4">
        <f t="shared" si="7"/>
        <v>38.97</v>
      </c>
      <c r="L98" s="4">
        <f t="shared" si="8"/>
        <v>15.945</v>
      </c>
      <c r="M98" s="4">
        <f t="shared" si="9"/>
        <v>2.598</v>
      </c>
      <c r="N98" s="4">
        <f t="shared" si="10"/>
        <v>3.147042272</v>
      </c>
      <c r="O98" s="4">
        <f t="shared" si="11"/>
        <v>94.41126817</v>
      </c>
      <c r="P98" s="4">
        <f t="shared" si="12"/>
        <v>0.2782927492</v>
      </c>
    </row>
    <row r="99">
      <c r="A99" s="3">
        <v>1.0</v>
      </c>
      <c r="B99" s="1" t="s">
        <v>108</v>
      </c>
      <c r="C99" s="2" t="str">
        <f t="shared" si="1"/>
        <v>cn2</v>
      </c>
      <c r="D99" s="2" t="str">
        <f t="shared" si="2"/>
        <v>cn</v>
      </c>
      <c r="E99" s="2" t="str">
        <f t="shared" si="3"/>
        <v>f</v>
      </c>
      <c r="F99" s="2" t="str">
        <f t="shared" si="4"/>
        <v>11</v>
      </c>
      <c r="G99" s="2" t="str">
        <f t="shared" si="5"/>
        <v>cn2f</v>
      </c>
      <c r="H99" s="2" t="str">
        <f t="shared" si="6"/>
        <v>11.21.09</v>
      </c>
      <c r="I99" s="3">
        <v>135.0</v>
      </c>
      <c r="J99" s="3">
        <v>0.393</v>
      </c>
      <c r="K99" s="4">
        <f t="shared" si="7"/>
        <v>47.63</v>
      </c>
      <c r="L99" s="4">
        <f t="shared" si="8"/>
        <v>45</v>
      </c>
      <c r="M99" s="4">
        <f t="shared" si="9"/>
        <v>3.175333333</v>
      </c>
      <c r="N99" s="4">
        <f t="shared" si="10"/>
        <v>3.464389754</v>
      </c>
      <c r="O99" s="4">
        <f t="shared" si="11"/>
        <v>103.9316926</v>
      </c>
      <c r="P99" s="4">
        <f t="shared" si="12"/>
        <v>0.7853981634</v>
      </c>
    </row>
    <row r="100">
      <c r="A100" s="3">
        <v>1.0</v>
      </c>
      <c r="B100" s="1" t="s">
        <v>109</v>
      </c>
      <c r="C100" s="2" t="str">
        <f t="shared" si="1"/>
        <v>cn2</v>
      </c>
      <c r="D100" s="2" t="str">
        <f t="shared" si="2"/>
        <v>cn</v>
      </c>
      <c r="E100" s="2" t="str">
        <f t="shared" si="3"/>
        <v>f</v>
      </c>
      <c r="F100" s="2" t="str">
        <f t="shared" si="4"/>
        <v>11</v>
      </c>
      <c r="G100" s="2" t="str">
        <f t="shared" si="5"/>
        <v>cn2f</v>
      </c>
      <c r="H100" s="2" t="str">
        <f t="shared" si="6"/>
        <v>11.21.09</v>
      </c>
      <c r="I100" s="3">
        <v>148.671</v>
      </c>
      <c r="J100" s="3">
        <v>1.047</v>
      </c>
      <c r="K100" s="4">
        <f t="shared" si="7"/>
        <v>47.63</v>
      </c>
      <c r="L100" s="4">
        <f t="shared" si="8"/>
        <v>31.329</v>
      </c>
      <c r="M100" s="4">
        <f t="shared" si="9"/>
        <v>3.175333333</v>
      </c>
      <c r="N100" s="4">
        <f t="shared" si="10"/>
        <v>4.105925579</v>
      </c>
      <c r="O100" s="4">
        <f t="shared" si="11"/>
        <v>123.1777674</v>
      </c>
      <c r="P100" s="4">
        <f t="shared" si="12"/>
        <v>0.5467942014</v>
      </c>
    </row>
    <row r="101">
      <c r="A101" s="3">
        <v>1.0</v>
      </c>
      <c r="B101" s="1" t="s">
        <v>110</v>
      </c>
      <c r="C101" s="2" t="str">
        <f t="shared" si="1"/>
        <v>cn2</v>
      </c>
      <c r="D101" s="2" t="str">
        <f t="shared" si="2"/>
        <v>cn</v>
      </c>
      <c r="E101" s="2" t="str">
        <f t="shared" si="3"/>
        <v>f</v>
      </c>
      <c r="F101" s="2" t="str">
        <f t="shared" si="4"/>
        <v>11</v>
      </c>
      <c r="G101" s="2" t="str">
        <f t="shared" si="5"/>
        <v>cn2f</v>
      </c>
      <c r="H101" s="2" t="str">
        <f t="shared" si="6"/>
        <v>11.21.09</v>
      </c>
      <c r="I101" s="3">
        <v>-169.695</v>
      </c>
      <c r="J101" s="3">
        <v>0.87</v>
      </c>
      <c r="K101" s="4">
        <f t="shared" si="7"/>
        <v>47.63</v>
      </c>
      <c r="L101" s="4">
        <f t="shared" si="8"/>
        <v>10.305</v>
      </c>
      <c r="M101" s="4">
        <f t="shared" si="9"/>
        <v>3.175333333</v>
      </c>
      <c r="N101" s="4">
        <f t="shared" si="10"/>
        <v>4.034302801</v>
      </c>
      <c r="O101" s="4">
        <f t="shared" si="11"/>
        <v>121.029084</v>
      </c>
      <c r="P101" s="4">
        <f t="shared" si="12"/>
        <v>0.1798561794</v>
      </c>
    </row>
    <row r="102">
      <c r="A102" s="3">
        <v>1.0</v>
      </c>
      <c r="B102" s="1" t="s">
        <v>111</v>
      </c>
      <c r="C102" s="2" t="str">
        <f t="shared" si="1"/>
        <v>cn2</v>
      </c>
      <c r="D102" s="2" t="str">
        <f t="shared" si="2"/>
        <v>cn</v>
      </c>
      <c r="E102" s="2" t="str">
        <f t="shared" si="3"/>
        <v>f</v>
      </c>
      <c r="F102" s="2" t="str">
        <f t="shared" si="4"/>
        <v>11</v>
      </c>
      <c r="G102" s="2" t="str">
        <f t="shared" si="5"/>
        <v>cn2f</v>
      </c>
      <c r="H102" s="2" t="str">
        <f t="shared" si="6"/>
        <v>11.21.09</v>
      </c>
      <c r="I102" s="3">
        <v>153.435</v>
      </c>
      <c r="J102" s="3">
        <v>0.592</v>
      </c>
      <c r="K102" s="4">
        <f t="shared" si="7"/>
        <v>47.63</v>
      </c>
      <c r="L102" s="4">
        <f t="shared" si="8"/>
        <v>26.565</v>
      </c>
      <c r="M102" s="4">
        <f t="shared" si="9"/>
        <v>3.175333333</v>
      </c>
      <c r="N102" s="4">
        <f t="shared" si="10"/>
        <v>3.714282027</v>
      </c>
      <c r="O102" s="4">
        <f t="shared" si="11"/>
        <v>111.4284608</v>
      </c>
      <c r="P102" s="4">
        <f t="shared" si="12"/>
        <v>0.4636467158</v>
      </c>
    </row>
    <row r="103">
      <c r="A103" s="3">
        <v>1.0</v>
      </c>
      <c r="B103" s="1" t="s">
        <v>112</v>
      </c>
      <c r="C103" s="2" t="str">
        <f t="shared" si="1"/>
        <v>cn2</v>
      </c>
      <c r="D103" s="2" t="str">
        <f t="shared" si="2"/>
        <v>cn</v>
      </c>
      <c r="E103" s="2" t="str">
        <f t="shared" si="3"/>
        <v>f</v>
      </c>
      <c r="F103" s="2" t="str">
        <f t="shared" si="4"/>
        <v>11</v>
      </c>
      <c r="G103" s="2" t="str">
        <f t="shared" si="5"/>
        <v>cn2f</v>
      </c>
      <c r="H103" s="2" t="str">
        <f t="shared" si="6"/>
        <v>11.21.09</v>
      </c>
      <c r="I103" s="3">
        <v>180.0</v>
      </c>
      <c r="J103" s="3">
        <v>0.545</v>
      </c>
      <c r="K103" s="4">
        <f t="shared" si="7"/>
        <v>47.63</v>
      </c>
      <c r="L103" s="4">
        <f t="shared" si="8"/>
        <v>0</v>
      </c>
      <c r="M103" s="4">
        <f t="shared" si="9"/>
        <v>3.175333333</v>
      </c>
      <c r="N103" s="4">
        <f t="shared" si="10"/>
        <v>3.720333333</v>
      </c>
      <c r="O103" s="4">
        <f t="shared" si="11"/>
        <v>111.61</v>
      </c>
      <c r="P103" s="4">
        <f t="shared" si="12"/>
        <v>0</v>
      </c>
    </row>
    <row r="104">
      <c r="A104" s="3">
        <v>1.0</v>
      </c>
      <c r="B104" s="1" t="s">
        <v>113</v>
      </c>
      <c r="C104" s="2" t="str">
        <f t="shared" si="1"/>
        <v>cn2</v>
      </c>
      <c r="D104" s="2" t="str">
        <f t="shared" si="2"/>
        <v>cn</v>
      </c>
      <c r="E104" s="2" t="str">
        <f t="shared" si="3"/>
        <v>f</v>
      </c>
      <c r="F104" s="2" t="str">
        <f t="shared" si="4"/>
        <v>13</v>
      </c>
      <c r="G104" s="2" t="str">
        <f t="shared" si="5"/>
        <v>cn2f</v>
      </c>
      <c r="H104" s="2" t="str">
        <f t="shared" si="6"/>
        <v>11.21.09</v>
      </c>
      <c r="I104" s="3">
        <v>157.62</v>
      </c>
      <c r="J104" s="3">
        <v>0.731</v>
      </c>
      <c r="K104" s="4">
        <f t="shared" si="7"/>
        <v>56.29</v>
      </c>
      <c r="L104" s="4">
        <f t="shared" si="8"/>
        <v>22.38</v>
      </c>
      <c r="M104" s="4">
        <f t="shared" si="9"/>
        <v>3.752666667</v>
      </c>
      <c r="N104" s="4">
        <f t="shared" si="10"/>
        <v>4.437344445</v>
      </c>
      <c r="O104" s="4">
        <f t="shared" si="11"/>
        <v>133.1203333</v>
      </c>
      <c r="P104" s="4">
        <f t="shared" si="12"/>
        <v>0.3906046866</v>
      </c>
    </row>
    <row r="105">
      <c r="A105" s="3">
        <v>1.0</v>
      </c>
      <c r="B105" s="1" t="s">
        <v>114</v>
      </c>
      <c r="C105" s="2" t="str">
        <f t="shared" si="1"/>
        <v>cn2</v>
      </c>
      <c r="D105" s="2" t="str">
        <f t="shared" si="2"/>
        <v>cn</v>
      </c>
      <c r="E105" s="2" t="str">
        <f t="shared" si="3"/>
        <v>f</v>
      </c>
      <c r="F105" s="2" t="str">
        <f t="shared" si="4"/>
        <v>13</v>
      </c>
      <c r="G105" s="2" t="str">
        <f t="shared" si="5"/>
        <v>cn2f</v>
      </c>
      <c r="H105" s="2" t="str">
        <f t="shared" si="6"/>
        <v>11.21.09</v>
      </c>
      <c r="I105" s="3">
        <v>176.348</v>
      </c>
      <c r="J105" s="3">
        <v>1.847</v>
      </c>
      <c r="K105" s="4">
        <f t="shared" si="7"/>
        <v>56.29</v>
      </c>
      <c r="L105" s="4">
        <f t="shared" si="8"/>
        <v>3.652</v>
      </c>
      <c r="M105" s="4">
        <f t="shared" si="9"/>
        <v>3.752666667</v>
      </c>
      <c r="N105" s="4">
        <f t="shared" si="10"/>
        <v>5.597152573</v>
      </c>
      <c r="O105" s="4">
        <f t="shared" si="11"/>
        <v>167.9145772</v>
      </c>
      <c r="P105" s="4">
        <f t="shared" si="12"/>
        <v>0.06373942428</v>
      </c>
    </row>
    <row r="106">
      <c r="A106" s="3">
        <v>1.0</v>
      </c>
      <c r="B106" s="1" t="s">
        <v>115</v>
      </c>
      <c r="C106" s="2" t="str">
        <f t="shared" si="1"/>
        <v>cn2</v>
      </c>
      <c r="D106" s="2" t="str">
        <f t="shared" si="2"/>
        <v>cn</v>
      </c>
      <c r="E106" s="2" t="str">
        <f t="shared" si="3"/>
        <v>f</v>
      </c>
      <c r="F106" s="2" t="str">
        <f t="shared" si="4"/>
        <v>13</v>
      </c>
      <c r="G106" s="2" t="str">
        <f t="shared" si="5"/>
        <v>cn2f</v>
      </c>
      <c r="H106" s="2" t="str">
        <f t="shared" si="6"/>
        <v>11.21.09</v>
      </c>
      <c r="I106" s="3">
        <v>167.471</v>
      </c>
      <c r="J106" s="3">
        <v>0.699</v>
      </c>
      <c r="K106" s="4">
        <f t="shared" si="7"/>
        <v>56.29</v>
      </c>
      <c r="L106" s="4">
        <f t="shared" si="8"/>
        <v>12.529</v>
      </c>
      <c r="M106" s="4">
        <f t="shared" si="9"/>
        <v>3.752666667</v>
      </c>
      <c r="N106" s="4">
        <f t="shared" si="10"/>
        <v>4.437612441</v>
      </c>
      <c r="O106" s="4">
        <f t="shared" si="11"/>
        <v>133.1283732</v>
      </c>
      <c r="P106" s="4">
        <f t="shared" si="12"/>
        <v>0.218672302</v>
      </c>
    </row>
    <row r="107">
      <c r="A107" s="3">
        <v>1.0</v>
      </c>
      <c r="B107" s="1" t="s">
        <v>116</v>
      </c>
      <c r="C107" s="2" t="str">
        <f t="shared" si="1"/>
        <v>cn2</v>
      </c>
      <c r="D107" s="2" t="str">
        <f t="shared" si="2"/>
        <v>cn</v>
      </c>
      <c r="E107" s="2" t="str">
        <f t="shared" si="3"/>
        <v>f</v>
      </c>
      <c r="F107" s="2" t="str">
        <f t="shared" si="4"/>
        <v>13</v>
      </c>
      <c r="G107" s="2" t="str">
        <f t="shared" si="5"/>
        <v>cn2f</v>
      </c>
      <c r="H107" s="2" t="str">
        <f t="shared" si="6"/>
        <v>11.21.09</v>
      </c>
      <c r="I107" s="3">
        <v>-159.444</v>
      </c>
      <c r="J107" s="3">
        <v>0.666</v>
      </c>
      <c r="K107" s="4">
        <f t="shared" si="7"/>
        <v>56.29</v>
      </c>
      <c r="L107" s="4">
        <f t="shared" si="8"/>
        <v>20.556</v>
      </c>
      <c r="M107" s="4">
        <f t="shared" si="9"/>
        <v>3.752666667</v>
      </c>
      <c r="N107" s="4">
        <f t="shared" si="10"/>
        <v>4.382505514</v>
      </c>
      <c r="O107" s="4">
        <f t="shared" si="11"/>
        <v>131.4751654</v>
      </c>
      <c r="P107" s="4">
        <f t="shared" si="12"/>
        <v>0.358769881</v>
      </c>
    </row>
    <row r="108">
      <c r="A108" s="3">
        <v>1.0</v>
      </c>
      <c r="B108" s="1" t="s">
        <v>117</v>
      </c>
      <c r="C108" s="2" t="str">
        <f t="shared" si="1"/>
        <v>cn2</v>
      </c>
      <c r="D108" s="2" t="str">
        <f t="shared" si="2"/>
        <v>cn</v>
      </c>
      <c r="E108" s="2" t="str">
        <f t="shared" si="3"/>
        <v>f</v>
      </c>
      <c r="F108" s="2" t="str">
        <f t="shared" si="4"/>
        <v>13</v>
      </c>
      <c r="G108" s="2" t="str">
        <f t="shared" si="5"/>
        <v>cn2f</v>
      </c>
      <c r="H108" s="2" t="str">
        <f t="shared" si="6"/>
        <v>11.21.09</v>
      </c>
      <c r="I108" s="3">
        <v>153.435</v>
      </c>
      <c r="J108" s="3">
        <v>1.015</v>
      </c>
      <c r="K108" s="4">
        <f t="shared" si="7"/>
        <v>56.29</v>
      </c>
      <c r="L108" s="4">
        <f t="shared" si="8"/>
        <v>26.565</v>
      </c>
      <c r="M108" s="4">
        <f t="shared" si="9"/>
        <v>3.752666667</v>
      </c>
      <c r="N108" s="4">
        <f t="shared" si="10"/>
        <v>4.682563825</v>
      </c>
      <c r="O108" s="4">
        <f t="shared" si="11"/>
        <v>140.4769148</v>
      </c>
      <c r="P108" s="4">
        <f t="shared" si="12"/>
        <v>0.4636467158</v>
      </c>
    </row>
    <row r="109">
      <c r="A109" s="3">
        <v>1.0</v>
      </c>
      <c r="B109" s="1" t="s">
        <v>118</v>
      </c>
      <c r="C109" s="2" t="str">
        <f t="shared" si="1"/>
        <v>cn2</v>
      </c>
      <c r="D109" s="2" t="str">
        <f t="shared" si="2"/>
        <v>cn</v>
      </c>
      <c r="E109" s="2" t="str">
        <f t="shared" si="3"/>
        <v>f</v>
      </c>
      <c r="F109" s="2" t="str">
        <f t="shared" si="4"/>
        <v>13</v>
      </c>
      <c r="G109" s="2" t="str">
        <f t="shared" si="5"/>
        <v>cn2f</v>
      </c>
      <c r="H109" s="2" t="str">
        <f t="shared" si="6"/>
        <v>11.21.09</v>
      </c>
      <c r="I109" s="3">
        <v>132.274</v>
      </c>
      <c r="J109" s="3">
        <v>0.579</v>
      </c>
      <c r="K109" s="4">
        <f t="shared" si="7"/>
        <v>56.29</v>
      </c>
      <c r="L109" s="4">
        <f t="shared" si="8"/>
        <v>47.726</v>
      </c>
      <c r="M109" s="4">
        <f t="shared" si="9"/>
        <v>3.752666667</v>
      </c>
      <c r="N109" s="4">
        <f t="shared" si="10"/>
        <v>4.164243555</v>
      </c>
      <c r="O109" s="4">
        <f t="shared" si="11"/>
        <v>124.9273067</v>
      </c>
      <c r="P109" s="4">
        <f t="shared" si="12"/>
        <v>0.8329758388</v>
      </c>
    </row>
    <row r="110">
      <c r="A110" s="3">
        <v>1.0</v>
      </c>
      <c r="B110" s="1" t="s">
        <v>119</v>
      </c>
      <c r="C110" s="2" t="str">
        <f t="shared" si="1"/>
        <v>cn2</v>
      </c>
      <c r="D110" s="2" t="str">
        <f t="shared" si="2"/>
        <v>cn</v>
      </c>
      <c r="E110" s="2" t="str">
        <f t="shared" si="3"/>
        <v>f</v>
      </c>
      <c r="F110" s="2" t="str">
        <f t="shared" si="4"/>
        <v>17</v>
      </c>
      <c r="G110" s="2" t="str">
        <f t="shared" si="5"/>
        <v>cn2f</v>
      </c>
      <c r="H110" s="2" t="str">
        <f t="shared" si="6"/>
        <v>11.21.09</v>
      </c>
      <c r="I110" s="3">
        <v>159.775</v>
      </c>
      <c r="J110" s="3">
        <v>0.786</v>
      </c>
      <c r="K110" s="4">
        <f t="shared" si="7"/>
        <v>73.61</v>
      </c>
      <c r="L110" s="4">
        <f t="shared" si="8"/>
        <v>20.225</v>
      </c>
      <c r="M110" s="4">
        <f t="shared" si="9"/>
        <v>4.907333333</v>
      </c>
      <c r="N110" s="4">
        <f t="shared" si="10"/>
        <v>5.651406593</v>
      </c>
      <c r="O110" s="4">
        <f t="shared" si="11"/>
        <v>169.5421978</v>
      </c>
      <c r="P110" s="4">
        <f t="shared" si="12"/>
        <v>0.3529928412</v>
      </c>
    </row>
    <row r="111">
      <c r="A111" s="3">
        <v>1.0</v>
      </c>
      <c r="B111" s="1" t="s">
        <v>120</v>
      </c>
      <c r="C111" s="2" t="str">
        <f t="shared" si="1"/>
        <v>cn2</v>
      </c>
      <c r="D111" s="2" t="str">
        <f t="shared" si="2"/>
        <v>cn</v>
      </c>
      <c r="E111" s="2" t="str">
        <f t="shared" si="3"/>
        <v>f</v>
      </c>
      <c r="F111" s="2" t="str">
        <f t="shared" si="4"/>
        <v>17</v>
      </c>
      <c r="G111" s="2" t="str">
        <f t="shared" si="5"/>
        <v>cn2f</v>
      </c>
      <c r="H111" s="2" t="str">
        <f t="shared" si="6"/>
        <v>11.21.09</v>
      </c>
      <c r="I111" s="3">
        <v>175.03</v>
      </c>
      <c r="J111" s="3">
        <v>0.879</v>
      </c>
      <c r="K111" s="4">
        <f t="shared" si="7"/>
        <v>73.61</v>
      </c>
      <c r="L111" s="4">
        <f t="shared" si="8"/>
        <v>4.97</v>
      </c>
      <c r="M111" s="4">
        <f t="shared" si="9"/>
        <v>4.907333333</v>
      </c>
      <c r="N111" s="4">
        <f t="shared" si="10"/>
        <v>5.783529828</v>
      </c>
      <c r="O111" s="4">
        <f t="shared" si="11"/>
        <v>173.5058948</v>
      </c>
      <c r="P111" s="4">
        <f t="shared" si="12"/>
        <v>0.08674286382</v>
      </c>
    </row>
    <row r="112">
      <c r="A112" s="3">
        <v>1.0</v>
      </c>
      <c r="B112" s="1" t="s">
        <v>121</v>
      </c>
      <c r="C112" s="2" t="str">
        <f t="shared" si="1"/>
        <v>cn2</v>
      </c>
      <c r="D112" s="2" t="str">
        <f t="shared" si="2"/>
        <v>cn</v>
      </c>
      <c r="E112" s="2" t="str">
        <f t="shared" si="3"/>
        <v>f</v>
      </c>
      <c r="F112" s="2" t="str">
        <f t="shared" si="4"/>
        <v>17</v>
      </c>
      <c r="G112" s="2" t="str">
        <f t="shared" si="5"/>
        <v>cn2f</v>
      </c>
      <c r="H112" s="2" t="str">
        <f t="shared" si="6"/>
        <v>11.21.09</v>
      </c>
      <c r="I112" s="3">
        <v>-147.875</v>
      </c>
      <c r="J112" s="3">
        <v>1.973</v>
      </c>
      <c r="K112" s="4">
        <f t="shared" si="7"/>
        <v>73.61</v>
      </c>
      <c r="L112" s="4">
        <f t="shared" si="8"/>
        <v>32.125</v>
      </c>
      <c r="M112" s="4">
        <f t="shared" si="9"/>
        <v>4.907333333</v>
      </c>
      <c r="N112" s="4">
        <f t="shared" si="10"/>
        <v>6.661389689</v>
      </c>
      <c r="O112" s="4">
        <f t="shared" si="11"/>
        <v>199.8416907</v>
      </c>
      <c r="P112" s="4">
        <f t="shared" si="12"/>
        <v>0.5606870222</v>
      </c>
    </row>
    <row r="113">
      <c r="A113" s="3">
        <v>1.0</v>
      </c>
      <c r="B113" s="1" t="s">
        <v>122</v>
      </c>
      <c r="C113" s="2" t="str">
        <f t="shared" si="1"/>
        <v>cn2</v>
      </c>
      <c r="D113" s="2" t="str">
        <f t="shared" si="2"/>
        <v>cn</v>
      </c>
      <c r="E113" s="2" t="str">
        <f t="shared" si="3"/>
        <v>f</v>
      </c>
      <c r="F113" s="2" t="str">
        <f t="shared" si="4"/>
        <v>17</v>
      </c>
      <c r="G113" s="2" t="str">
        <f t="shared" si="5"/>
        <v>cn2f</v>
      </c>
      <c r="H113" s="2" t="str">
        <f t="shared" si="6"/>
        <v>11.21.09</v>
      </c>
      <c r="I113" s="3">
        <v>-175.426</v>
      </c>
      <c r="J113" s="3">
        <v>0.975</v>
      </c>
      <c r="K113" s="4">
        <f t="shared" si="7"/>
        <v>73.61</v>
      </c>
      <c r="L113" s="4">
        <f t="shared" si="8"/>
        <v>4.574</v>
      </c>
      <c r="M113" s="4">
        <f t="shared" si="9"/>
        <v>4.907333333</v>
      </c>
      <c r="N113" s="4">
        <f t="shared" si="10"/>
        <v>5.879742243</v>
      </c>
      <c r="O113" s="4">
        <f t="shared" si="11"/>
        <v>176.3922673</v>
      </c>
      <c r="P113" s="4">
        <f t="shared" si="12"/>
        <v>0.07983135999</v>
      </c>
    </row>
    <row r="114">
      <c r="A114" s="3">
        <v>1.0</v>
      </c>
      <c r="B114" s="1" t="s">
        <v>123</v>
      </c>
      <c r="C114" s="2" t="str">
        <f t="shared" si="1"/>
        <v>cn2</v>
      </c>
      <c r="D114" s="2" t="str">
        <f t="shared" si="2"/>
        <v>cn</v>
      </c>
      <c r="E114" s="2" t="str">
        <f t="shared" si="3"/>
        <v>f</v>
      </c>
      <c r="F114" s="2" t="str">
        <f t="shared" si="4"/>
        <v>17</v>
      </c>
      <c r="G114" s="2" t="str">
        <f t="shared" si="5"/>
        <v>cn2f</v>
      </c>
      <c r="H114" s="2" t="str">
        <f t="shared" si="6"/>
        <v>11.21.09</v>
      </c>
      <c r="I114" s="3">
        <v>107.928</v>
      </c>
      <c r="J114" s="3">
        <v>1.405</v>
      </c>
      <c r="K114" s="4">
        <f t="shared" si="7"/>
        <v>73.61</v>
      </c>
      <c r="L114" s="4">
        <f t="shared" si="8"/>
        <v>72.072</v>
      </c>
      <c r="M114" s="4">
        <f t="shared" si="9"/>
        <v>4.907333333</v>
      </c>
      <c r="N114" s="4">
        <f t="shared" si="10"/>
        <v>5.504605751</v>
      </c>
      <c r="O114" s="4">
        <f t="shared" si="11"/>
        <v>165.1381725</v>
      </c>
      <c r="P114" s="4">
        <f t="shared" si="12"/>
        <v>1.257893698</v>
      </c>
    </row>
    <row r="115">
      <c r="A115" s="3">
        <v>1.0</v>
      </c>
      <c r="B115" s="1" t="s">
        <v>124</v>
      </c>
      <c r="C115" s="2" t="str">
        <f t="shared" si="1"/>
        <v>cn2</v>
      </c>
      <c r="D115" s="2" t="str">
        <f t="shared" si="2"/>
        <v>cn</v>
      </c>
      <c r="E115" s="2" t="str">
        <f t="shared" si="3"/>
        <v>f</v>
      </c>
      <c r="F115" s="2" t="str">
        <f t="shared" si="4"/>
        <v>19</v>
      </c>
      <c r="G115" s="2" t="str">
        <f t="shared" si="5"/>
        <v>cn2f</v>
      </c>
      <c r="H115" s="2" t="str">
        <f t="shared" si="6"/>
        <v>11.21.09</v>
      </c>
      <c r="I115" s="3">
        <v>-153.435</v>
      </c>
      <c r="J115" s="3">
        <v>0.436</v>
      </c>
      <c r="K115" s="4">
        <f t="shared" si="7"/>
        <v>82.27</v>
      </c>
      <c r="L115" s="4">
        <f t="shared" si="8"/>
        <v>26.565</v>
      </c>
      <c r="M115" s="4">
        <f t="shared" si="9"/>
        <v>5.484666667</v>
      </c>
      <c r="N115" s="4">
        <f t="shared" si="10"/>
        <v>5.87787207</v>
      </c>
      <c r="O115" s="4">
        <f t="shared" si="11"/>
        <v>176.3361621</v>
      </c>
      <c r="P115" s="4">
        <f t="shared" si="12"/>
        <v>0.4636467158</v>
      </c>
    </row>
    <row r="116">
      <c r="A116" s="3">
        <v>1.0</v>
      </c>
      <c r="B116" s="1" t="s">
        <v>125</v>
      </c>
      <c r="C116" s="2" t="str">
        <f t="shared" si="1"/>
        <v>cn2</v>
      </c>
      <c r="D116" s="2" t="str">
        <f t="shared" si="2"/>
        <v>cn</v>
      </c>
      <c r="E116" s="2" t="str">
        <f t="shared" si="3"/>
        <v>f</v>
      </c>
      <c r="F116" s="2" t="str">
        <f t="shared" si="4"/>
        <v>19</v>
      </c>
      <c r="G116" s="2" t="str">
        <f t="shared" si="5"/>
        <v>cn2f</v>
      </c>
      <c r="H116" s="2" t="str">
        <f t="shared" si="6"/>
        <v>11.21.09</v>
      </c>
      <c r="I116" s="3">
        <v>169.695</v>
      </c>
      <c r="J116" s="3">
        <v>0.871</v>
      </c>
      <c r="K116" s="4">
        <f t="shared" si="7"/>
        <v>82.27</v>
      </c>
      <c r="L116" s="4">
        <f t="shared" si="8"/>
        <v>10.305</v>
      </c>
      <c r="M116" s="4">
        <f t="shared" si="9"/>
        <v>5.484666667</v>
      </c>
      <c r="N116" s="4">
        <f t="shared" si="10"/>
        <v>6.343530772</v>
      </c>
      <c r="O116" s="4">
        <f t="shared" si="11"/>
        <v>190.3059232</v>
      </c>
      <c r="P116" s="4">
        <f t="shared" si="12"/>
        <v>0.1798561794</v>
      </c>
    </row>
    <row r="117">
      <c r="A117" s="3">
        <v>1.0</v>
      </c>
      <c r="B117" s="1" t="s">
        <v>126</v>
      </c>
      <c r="C117" s="2" t="str">
        <f t="shared" si="1"/>
        <v>cn2</v>
      </c>
      <c r="D117" s="2" t="str">
        <f t="shared" si="2"/>
        <v>cn</v>
      </c>
      <c r="E117" s="2" t="str">
        <f t="shared" si="3"/>
        <v>f</v>
      </c>
      <c r="F117" s="2" t="str">
        <f t="shared" si="4"/>
        <v>21</v>
      </c>
      <c r="G117" s="2" t="str">
        <f t="shared" si="5"/>
        <v>cn2f</v>
      </c>
      <c r="H117" s="2" t="str">
        <f t="shared" si="6"/>
        <v>11.21.09</v>
      </c>
      <c r="I117" s="3">
        <v>-153.435</v>
      </c>
      <c r="J117" s="3">
        <v>0.871</v>
      </c>
      <c r="K117" s="4">
        <f t="shared" si="7"/>
        <v>90.93</v>
      </c>
      <c r="L117" s="4">
        <f t="shared" si="8"/>
        <v>26.565</v>
      </c>
      <c r="M117" s="4">
        <f t="shared" si="9"/>
        <v>6.062</v>
      </c>
      <c r="N117" s="4">
        <f t="shared" si="10"/>
        <v>6.852126964</v>
      </c>
      <c r="O117" s="4">
        <f t="shared" si="11"/>
        <v>205.5638089</v>
      </c>
      <c r="P117" s="4">
        <f t="shared" si="12"/>
        <v>0.4636467158</v>
      </c>
    </row>
    <row r="118">
      <c r="A118" s="3">
        <v>1.0</v>
      </c>
      <c r="B118" s="1" t="s">
        <v>127</v>
      </c>
      <c r="C118" s="2" t="str">
        <f t="shared" si="1"/>
        <v>cn2</v>
      </c>
      <c r="D118" s="2" t="str">
        <f t="shared" si="2"/>
        <v>cn</v>
      </c>
      <c r="E118" s="2" t="str">
        <f t="shared" si="3"/>
        <v>f</v>
      </c>
      <c r="F118" s="2" t="str">
        <f t="shared" si="4"/>
        <v>21</v>
      </c>
      <c r="G118" s="2" t="str">
        <f t="shared" si="5"/>
        <v>cn2f</v>
      </c>
      <c r="H118" s="2" t="str">
        <f t="shared" si="6"/>
        <v>11.21.09</v>
      </c>
      <c r="I118" s="3">
        <v>-116.565</v>
      </c>
      <c r="J118" s="3">
        <v>0.972</v>
      </c>
      <c r="K118" s="4">
        <f t="shared" si="7"/>
        <v>90.93</v>
      </c>
      <c r="L118" s="4">
        <f t="shared" si="8"/>
        <v>63.435</v>
      </c>
      <c r="M118" s="4">
        <f t="shared" si="9"/>
        <v>6.062</v>
      </c>
      <c r="N118" s="4">
        <f t="shared" si="10"/>
        <v>6.554602942</v>
      </c>
      <c r="O118" s="4">
        <f t="shared" si="11"/>
        <v>196.6380883</v>
      </c>
      <c r="P118" s="4">
        <f t="shared" si="12"/>
        <v>1.107149611</v>
      </c>
    </row>
    <row r="119">
      <c r="A119" s="3">
        <v>1.0</v>
      </c>
      <c r="B119" s="1" t="s">
        <v>128</v>
      </c>
      <c r="C119" s="2" t="str">
        <f t="shared" si="1"/>
        <v>cn2</v>
      </c>
      <c r="D119" s="2" t="str">
        <f t="shared" si="2"/>
        <v>cn</v>
      </c>
      <c r="E119" s="2" t="str">
        <f t="shared" si="3"/>
        <v>m</v>
      </c>
      <c r="F119" s="2" t="str">
        <f t="shared" si="4"/>
        <v>03</v>
      </c>
      <c r="G119" s="2" t="str">
        <f t="shared" si="5"/>
        <v>cn2m</v>
      </c>
      <c r="H119" s="2" t="str">
        <f t="shared" si="6"/>
        <v>11.21.09</v>
      </c>
      <c r="I119" s="3">
        <v>118.61</v>
      </c>
      <c r="J119" s="3">
        <v>0.488</v>
      </c>
      <c r="K119" s="4">
        <f t="shared" si="7"/>
        <v>12.99</v>
      </c>
      <c r="L119" s="4">
        <f t="shared" si="8"/>
        <v>61.39</v>
      </c>
      <c r="M119" s="4">
        <f t="shared" si="9"/>
        <v>0.866</v>
      </c>
      <c r="N119" s="4">
        <f t="shared" si="10"/>
        <v>1.180181143</v>
      </c>
      <c r="O119" s="4">
        <f t="shared" si="11"/>
        <v>35.40543428</v>
      </c>
      <c r="P119" s="4">
        <f t="shared" si="12"/>
        <v>1.071457628</v>
      </c>
    </row>
    <row r="120">
      <c r="A120" s="3">
        <v>1.0</v>
      </c>
      <c r="B120" s="1" t="s">
        <v>129</v>
      </c>
      <c r="C120" s="2" t="str">
        <f t="shared" si="1"/>
        <v>cn2</v>
      </c>
      <c r="D120" s="2" t="str">
        <f t="shared" si="2"/>
        <v>cn</v>
      </c>
      <c r="E120" s="2" t="str">
        <f t="shared" si="3"/>
        <v>m</v>
      </c>
      <c r="F120" s="2" t="str">
        <f t="shared" si="4"/>
        <v>03</v>
      </c>
      <c r="G120" s="2" t="str">
        <f t="shared" si="5"/>
        <v>cn2m</v>
      </c>
      <c r="H120" s="2" t="str">
        <f t="shared" si="6"/>
        <v>11.21.09</v>
      </c>
      <c r="I120" s="3">
        <v>153.435</v>
      </c>
      <c r="J120" s="3">
        <v>1.233</v>
      </c>
      <c r="K120" s="4">
        <f t="shared" si="7"/>
        <v>12.99</v>
      </c>
      <c r="L120" s="4">
        <f t="shared" si="8"/>
        <v>26.565</v>
      </c>
      <c r="M120" s="4">
        <f t="shared" si="9"/>
        <v>0.866</v>
      </c>
      <c r="N120" s="4">
        <f t="shared" si="10"/>
        <v>2.044589252</v>
      </c>
      <c r="O120" s="4">
        <f t="shared" si="11"/>
        <v>61.33767755</v>
      </c>
      <c r="P120" s="4">
        <f t="shared" si="12"/>
        <v>0.4636467158</v>
      </c>
    </row>
    <row r="121">
      <c r="A121" s="3">
        <v>1.0</v>
      </c>
      <c r="B121" s="1" t="s">
        <v>130</v>
      </c>
      <c r="C121" s="2" t="str">
        <f t="shared" si="1"/>
        <v>cn2</v>
      </c>
      <c r="D121" s="2" t="str">
        <f t="shared" si="2"/>
        <v>cn</v>
      </c>
      <c r="E121" s="2" t="str">
        <f t="shared" si="3"/>
        <v>m</v>
      </c>
      <c r="F121" s="2" t="str">
        <f t="shared" si="4"/>
        <v>05</v>
      </c>
      <c r="G121" s="2" t="str">
        <f t="shared" si="5"/>
        <v>cn2m</v>
      </c>
      <c r="H121" s="2" t="str">
        <f t="shared" si="6"/>
        <v>11.21.09</v>
      </c>
      <c r="I121" s="3">
        <v>158.749</v>
      </c>
      <c r="J121" s="3">
        <v>0.74</v>
      </c>
      <c r="K121" s="4">
        <f t="shared" si="7"/>
        <v>21.65</v>
      </c>
      <c r="L121" s="4">
        <f t="shared" si="8"/>
        <v>21.251</v>
      </c>
      <c r="M121" s="4">
        <f t="shared" si="9"/>
        <v>1.443333333</v>
      </c>
      <c r="N121" s="4">
        <f t="shared" si="10"/>
        <v>2.149811777</v>
      </c>
      <c r="O121" s="4">
        <f t="shared" si="11"/>
        <v>64.4943533</v>
      </c>
      <c r="P121" s="4">
        <f t="shared" si="12"/>
        <v>0.3708999193</v>
      </c>
    </row>
    <row r="122">
      <c r="A122" s="3">
        <v>1.0</v>
      </c>
      <c r="B122" s="1" t="s">
        <v>131</v>
      </c>
      <c r="C122" s="2" t="str">
        <f t="shared" si="1"/>
        <v>cn2</v>
      </c>
      <c r="D122" s="2" t="str">
        <f t="shared" si="2"/>
        <v>cn</v>
      </c>
      <c r="E122" s="2" t="str">
        <f t="shared" si="3"/>
        <v>m</v>
      </c>
      <c r="F122" s="2" t="str">
        <f t="shared" si="4"/>
        <v>07</v>
      </c>
      <c r="G122" s="2" t="str">
        <f t="shared" si="5"/>
        <v>cn2m</v>
      </c>
      <c r="H122" s="2" t="str">
        <f t="shared" si="6"/>
        <v>11.21.09</v>
      </c>
      <c r="I122" s="3">
        <v>101.31</v>
      </c>
      <c r="J122" s="3">
        <v>1.202</v>
      </c>
      <c r="K122" s="4">
        <f t="shared" si="7"/>
        <v>30.31</v>
      </c>
      <c r="L122" s="4">
        <f t="shared" si="8"/>
        <v>78.69</v>
      </c>
      <c r="M122" s="4">
        <f t="shared" si="9"/>
        <v>2.020666667</v>
      </c>
      <c r="N122" s="4">
        <f t="shared" si="10"/>
        <v>2.545697025</v>
      </c>
      <c r="O122" s="4">
        <f t="shared" si="11"/>
        <v>76.37091074</v>
      </c>
      <c r="P122" s="4">
        <f t="shared" si="12"/>
        <v>1.373399588</v>
      </c>
    </row>
    <row r="123">
      <c r="A123" s="3">
        <v>1.0</v>
      </c>
      <c r="B123" s="1" t="s">
        <v>132</v>
      </c>
      <c r="C123" s="2" t="str">
        <f t="shared" si="1"/>
        <v>cn2</v>
      </c>
      <c r="D123" s="2" t="str">
        <f t="shared" si="2"/>
        <v>cn</v>
      </c>
      <c r="E123" s="2" t="str">
        <f t="shared" si="3"/>
        <v>m</v>
      </c>
      <c r="F123" s="2" t="str">
        <f t="shared" si="4"/>
        <v>07</v>
      </c>
      <c r="G123" s="2" t="str">
        <f t="shared" si="5"/>
        <v>cn2m</v>
      </c>
      <c r="H123" s="2" t="str">
        <f t="shared" si="6"/>
        <v>11.21.09</v>
      </c>
      <c r="I123" s="3">
        <v>-165.964</v>
      </c>
      <c r="J123" s="3">
        <v>0.657</v>
      </c>
      <c r="K123" s="4">
        <f t="shared" si="7"/>
        <v>30.31</v>
      </c>
      <c r="L123" s="4">
        <f t="shared" si="8"/>
        <v>14.036</v>
      </c>
      <c r="M123" s="4">
        <f t="shared" si="9"/>
        <v>2.020666667</v>
      </c>
      <c r="N123" s="4">
        <f t="shared" si="10"/>
        <v>2.662822787</v>
      </c>
      <c r="O123" s="4">
        <f t="shared" si="11"/>
        <v>79.88468361</v>
      </c>
      <c r="P123" s="4">
        <f t="shared" si="12"/>
        <v>0.2449744138</v>
      </c>
    </row>
    <row r="124">
      <c r="A124" s="3">
        <v>1.0</v>
      </c>
      <c r="B124" s="1" t="s">
        <v>133</v>
      </c>
      <c r="C124" s="2" t="str">
        <f t="shared" si="1"/>
        <v>cn2</v>
      </c>
      <c r="D124" s="2" t="str">
        <f t="shared" si="2"/>
        <v>cn</v>
      </c>
      <c r="E124" s="2" t="str">
        <f t="shared" si="3"/>
        <v>m</v>
      </c>
      <c r="F124" s="2" t="str">
        <f t="shared" si="4"/>
        <v>09</v>
      </c>
      <c r="G124" s="2" t="str">
        <f t="shared" si="5"/>
        <v>cn2m</v>
      </c>
      <c r="H124" s="2" t="str">
        <f t="shared" si="6"/>
        <v>11.21.09</v>
      </c>
      <c r="I124" s="3">
        <v>-150.255</v>
      </c>
      <c r="J124" s="3">
        <v>0.963</v>
      </c>
      <c r="K124" s="4">
        <f t="shared" si="7"/>
        <v>38.97</v>
      </c>
      <c r="L124" s="4">
        <f t="shared" si="8"/>
        <v>29.745</v>
      </c>
      <c r="M124" s="4">
        <f t="shared" si="9"/>
        <v>2.598</v>
      </c>
      <c r="N124" s="4">
        <f t="shared" si="10"/>
        <v>3.467194506</v>
      </c>
      <c r="O124" s="4">
        <f t="shared" si="11"/>
        <v>104.0158352</v>
      </c>
      <c r="P124" s="4">
        <f t="shared" si="12"/>
        <v>0.519148186</v>
      </c>
    </row>
    <row r="125">
      <c r="A125" s="3">
        <v>1.0</v>
      </c>
      <c r="B125" s="1" t="s">
        <v>134</v>
      </c>
      <c r="C125" s="2" t="str">
        <f t="shared" si="1"/>
        <v>cn2</v>
      </c>
      <c r="D125" s="2" t="str">
        <f t="shared" si="2"/>
        <v>cn</v>
      </c>
      <c r="E125" s="2" t="str">
        <f t="shared" si="3"/>
        <v>m</v>
      </c>
      <c r="F125" s="2" t="str">
        <f t="shared" si="4"/>
        <v>09</v>
      </c>
      <c r="G125" s="2" t="str">
        <f t="shared" si="5"/>
        <v>cn2m</v>
      </c>
      <c r="H125" s="2" t="str">
        <f t="shared" si="6"/>
        <v>11.21.09</v>
      </c>
      <c r="I125" s="3">
        <v>-152.354</v>
      </c>
      <c r="J125" s="3">
        <v>0.937</v>
      </c>
      <c r="K125" s="4">
        <f t="shared" si="7"/>
        <v>38.97</v>
      </c>
      <c r="L125" s="4">
        <f t="shared" si="8"/>
        <v>27.646</v>
      </c>
      <c r="M125" s="4">
        <f t="shared" si="9"/>
        <v>2.598</v>
      </c>
      <c r="N125" s="4">
        <f t="shared" si="10"/>
        <v>3.455485133</v>
      </c>
      <c r="O125" s="4">
        <f t="shared" si="11"/>
        <v>103.664554</v>
      </c>
      <c r="P125" s="4">
        <f t="shared" si="12"/>
        <v>0.482513725</v>
      </c>
    </row>
    <row r="126">
      <c r="A126" s="3">
        <v>1.0</v>
      </c>
      <c r="B126" s="1" t="s">
        <v>135</v>
      </c>
      <c r="C126" s="2" t="str">
        <f t="shared" si="1"/>
        <v>cn2</v>
      </c>
      <c r="D126" s="2" t="str">
        <f t="shared" si="2"/>
        <v>cn</v>
      </c>
      <c r="E126" s="2" t="str">
        <f t="shared" si="3"/>
        <v>m</v>
      </c>
      <c r="F126" s="2" t="str">
        <f t="shared" si="4"/>
        <v>09</v>
      </c>
      <c r="G126" s="2" t="str">
        <f t="shared" si="5"/>
        <v>cn2m</v>
      </c>
      <c r="H126" s="2" t="str">
        <f t="shared" si="6"/>
        <v>11.21.09</v>
      </c>
      <c r="I126" s="3">
        <v>-143.616</v>
      </c>
      <c r="J126" s="3">
        <v>1.86</v>
      </c>
      <c r="K126" s="4">
        <f t="shared" si="7"/>
        <v>38.97</v>
      </c>
      <c r="L126" s="4">
        <f t="shared" si="8"/>
        <v>36.384</v>
      </c>
      <c r="M126" s="4">
        <f t="shared" si="9"/>
        <v>2.598</v>
      </c>
      <c r="N126" s="4">
        <f t="shared" si="10"/>
        <v>4.241432499</v>
      </c>
      <c r="O126" s="4">
        <f t="shared" si="11"/>
        <v>127.242975</v>
      </c>
      <c r="P126" s="4">
        <f t="shared" si="12"/>
        <v>0.635020595</v>
      </c>
    </row>
    <row r="127">
      <c r="A127" s="3">
        <v>1.0</v>
      </c>
      <c r="B127" s="1" t="s">
        <v>136</v>
      </c>
      <c r="C127" s="2" t="str">
        <f t="shared" si="1"/>
        <v>cn2</v>
      </c>
      <c r="D127" s="2" t="str">
        <f t="shared" si="2"/>
        <v>cn</v>
      </c>
      <c r="E127" s="2" t="str">
        <f t="shared" si="3"/>
        <v>m</v>
      </c>
      <c r="F127" s="2" t="str">
        <f t="shared" si="4"/>
        <v>11</v>
      </c>
      <c r="G127" s="2" t="str">
        <f t="shared" si="5"/>
        <v>cn2m</v>
      </c>
      <c r="H127" s="2" t="str">
        <f t="shared" si="6"/>
        <v>11.21.09</v>
      </c>
      <c r="I127" s="3">
        <v>-167.196</v>
      </c>
      <c r="J127" s="3">
        <v>0.875</v>
      </c>
      <c r="K127" s="4">
        <f t="shared" si="7"/>
        <v>47.63</v>
      </c>
      <c r="L127" s="4">
        <f t="shared" si="8"/>
        <v>12.804</v>
      </c>
      <c r="M127" s="4">
        <f t="shared" si="9"/>
        <v>3.175333333</v>
      </c>
      <c r="N127" s="4">
        <f t="shared" si="10"/>
        <v>4.033239796</v>
      </c>
      <c r="O127" s="4">
        <f t="shared" si="11"/>
        <v>120.9971939</v>
      </c>
      <c r="P127" s="4">
        <f t="shared" si="12"/>
        <v>0.2234719574</v>
      </c>
    </row>
    <row r="128">
      <c r="A128" s="3">
        <v>1.0</v>
      </c>
      <c r="B128" s="1" t="s">
        <v>137</v>
      </c>
      <c r="C128" s="2" t="str">
        <f t="shared" si="1"/>
        <v>cn2</v>
      </c>
      <c r="D128" s="2" t="str">
        <f t="shared" si="2"/>
        <v>cn</v>
      </c>
      <c r="E128" s="2" t="str">
        <f t="shared" si="3"/>
        <v>m</v>
      </c>
      <c r="F128" s="2" t="str">
        <f t="shared" si="4"/>
        <v>13</v>
      </c>
      <c r="G128" s="2" t="str">
        <f t="shared" si="5"/>
        <v>cn2m</v>
      </c>
      <c r="H128" s="2" t="str">
        <f t="shared" si="6"/>
        <v>11.21.09</v>
      </c>
      <c r="I128" s="3">
        <v>-137.291</v>
      </c>
      <c r="J128" s="3">
        <v>0.689</v>
      </c>
      <c r="K128" s="4">
        <f t="shared" si="7"/>
        <v>56.29</v>
      </c>
      <c r="L128" s="4">
        <f t="shared" si="8"/>
        <v>42.709</v>
      </c>
      <c r="M128" s="4">
        <f t="shared" si="9"/>
        <v>3.752666667</v>
      </c>
      <c r="N128" s="4">
        <f t="shared" si="10"/>
        <v>4.284512684</v>
      </c>
      <c r="O128" s="4">
        <f t="shared" si="11"/>
        <v>128.5353805</v>
      </c>
      <c r="P128" s="4">
        <f t="shared" si="12"/>
        <v>0.7454126702</v>
      </c>
    </row>
    <row r="129">
      <c r="A129" s="3">
        <v>1.0</v>
      </c>
      <c r="B129" s="1" t="s">
        <v>138</v>
      </c>
      <c r="C129" s="2" t="str">
        <f t="shared" si="1"/>
        <v>cn2</v>
      </c>
      <c r="D129" s="2" t="str">
        <f t="shared" si="2"/>
        <v>cn</v>
      </c>
      <c r="E129" s="2" t="str">
        <f t="shared" si="3"/>
        <v>m</v>
      </c>
      <c r="F129" s="2" t="str">
        <f t="shared" si="4"/>
        <v>13</v>
      </c>
      <c r="G129" s="2" t="str">
        <f t="shared" si="5"/>
        <v>cn2m</v>
      </c>
      <c r="H129" s="2" t="str">
        <f t="shared" si="6"/>
        <v>11.21.09</v>
      </c>
      <c r="I129" s="3">
        <v>176.424</v>
      </c>
      <c r="J129" s="3">
        <v>1.249</v>
      </c>
      <c r="K129" s="4">
        <f t="shared" si="7"/>
        <v>56.29</v>
      </c>
      <c r="L129" s="4">
        <f t="shared" si="8"/>
        <v>3.576</v>
      </c>
      <c r="M129" s="4">
        <f t="shared" si="9"/>
        <v>3.752666667</v>
      </c>
      <c r="N129" s="4">
        <f t="shared" si="10"/>
        <v>4.999841739</v>
      </c>
      <c r="O129" s="4">
        <f t="shared" si="11"/>
        <v>149.9952522</v>
      </c>
      <c r="P129" s="4">
        <f t="shared" si="12"/>
        <v>0.06241297405</v>
      </c>
    </row>
    <row r="130">
      <c r="A130" s="3">
        <v>1.0</v>
      </c>
      <c r="B130" s="1" t="s">
        <v>139</v>
      </c>
      <c r="C130" s="2" t="str">
        <f t="shared" si="1"/>
        <v>cn2</v>
      </c>
      <c r="D130" s="2" t="str">
        <f t="shared" si="2"/>
        <v>cn</v>
      </c>
      <c r="E130" s="2" t="str">
        <f t="shared" si="3"/>
        <v>m</v>
      </c>
      <c r="F130" s="2" t="str">
        <f t="shared" si="4"/>
        <v>13</v>
      </c>
      <c r="G130" s="2" t="str">
        <f t="shared" si="5"/>
        <v>cn2m</v>
      </c>
      <c r="H130" s="2" t="str">
        <f t="shared" si="6"/>
        <v>11.21.09</v>
      </c>
      <c r="I130" s="3">
        <v>158.629</v>
      </c>
      <c r="J130" s="3">
        <v>0.95</v>
      </c>
      <c r="K130" s="4">
        <f t="shared" si="7"/>
        <v>56.29</v>
      </c>
      <c r="L130" s="4">
        <f t="shared" si="8"/>
        <v>21.371</v>
      </c>
      <c r="M130" s="4">
        <f t="shared" si="9"/>
        <v>3.752666667</v>
      </c>
      <c r="N130" s="4">
        <f t="shared" si="10"/>
        <v>4.650248712</v>
      </c>
      <c r="O130" s="4">
        <f t="shared" si="11"/>
        <v>139.5074614</v>
      </c>
      <c r="P130" s="4">
        <f t="shared" si="12"/>
        <v>0.3729943144</v>
      </c>
    </row>
    <row r="131">
      <c r="A131" s="3">
        <v>1.0</v>
      </c>
      <c r="B131" s="1" t="s">
        <v>140</v>
      </c>
      <c r="C131" s="2" t="str">
        <f t="shared" si="1"/>
        <v>cn2</v>
      </c>
      <c r="D131" s="2" t="str">
        <f t="shared" si="2"/>
        <v>cn</v>
      </c>
      <c r="E131" s="2" t="str">
        <f t="shared" si="3"/>
        <v>m</v>
      </c>
      <c r="F131" s="2" t="str">
        <f t="shared" si="4"/>
        <v>13</v>
      </c>
      <c r="G131" s="2" t="str">
        <f t="shared" si="5"/>
        <v>cn2m</v>
      </c>
      <c r="H131" s="2" t="str">
        <f t="shared" si="6"/>
        <v>11.21.09</v>
      </c>
      <c r="I131" s="3">
        <v>160.017</v>
      </c>
      <c r="J131" s="3">
        <v>0.456</v>
      </c>
      <c r="K131" s="4">
        <f t="shared" si="7"/>
        <v>56.29</v>
      </c>
      <c r="L131" s="4">
        <f t="shared" si="8"/>
        <v>19.983</v>
      </c>
      <c r="M131" s="4">
        <f t="shared" si="9"/>
        <v>3.752666667</v>
      </c>
      <c r="N131" s="4">
        <f t="shared" si="10"/>
        <v>4.184115722</v>
      </c>
      <c r="O131" s="4">
        <f t="shared" si="11"/>
        <v>125.5234716</v>
      </c>
      <c r="P131" s="4">
        <f t="shared" si="12"/>
        <v>0.3487691444</v>
      </c>
    </row>
    <row r="132">
      <c r="A132" s="3">
        <v>1.0</v>
      </c>
      <c r="B132" s="1" t="s">
        <v>141</v>
      </c>
      <c r="C132" s="2" t="str">
        <f t="shared" si="1"/>
        <v>cn2</v>
      </c>
      <c r="D132" s="2" t="str">
        <f t="shared" si="2"/>
        <v>cn</v>
      </c>
      <c r="E132" s="2" t="str">
        <f t="shared" si="3"/>
        <v>m</v>
      </c>
      <c r="F132" s="2" t="str">
        <f t="shared" si="4"/>
        <v>15</v>
      </c>
      <c r="G132" s="2" t="str">
        <f t="shared" si="5"/>
        <v>cn2m</v>
      </c>
      <c r="H132" s="2" t="str">
        <f t="shared" si="6"/>
        <v>11.21.09</v>
      </c>
      <c r="I132" s="3">
        <v>160.346</v>
      </c>
      <c r="J132" s="3">
        <v>0.57</v>
      </c>
      <c r="K132" s="4">
        <f t="shared" si="7"/>
        <v>64.95</v>
      </c>
      <c r="L132" s="4">
        <f t="shared" si="8"/>
        <v>19.654</v>
      </c>
      <c r="M132" s="4">
        <f t="shared" si="9"/>
        <v>4.33</v>
      </c>
      <c r="N132" s="4">
        <f t="shared" si="10"/>
        <v>4.870566838</v>
      </c>
      <c r="O132" s="4">
        <f t="shared" si="11"/>
        <v>146.1170051</v>
      </c>
      <c r="P132" s="4">
        <f t="shared" si="12"/>
        <v>0.3430270112</v>
      </c>
    </row>
    <row r="133">
      <c r="A133" s="3">
        <v>1.0</v>
      </c>
      <c r="B133" s="1" t="s">
        <v>142</v>
      </c>
      <c r="C133" s="2" t="str">
        <f t="shared" si="1"/>
        <v>cn2</v>
      </c>
      <c r="D133" s="2" t="str">
        <f t="shared" si="2"/>
        <v>cn</v>
      </c>
      <c r="E133" s="2" t="str">
        <f t="shared" si="3"/>
        <v>m</v>
      </c>
      <c r="F133" s="2" t="str">
        <f t="shared" si="4"/>
        <v>15</v>
      </c>
      <c r="G133" s="2" t="str">
        <f t="shared" si="5"/>
        <v>cn2m</v>
      </c>
      <c r="H133" s="2" t="str">
        <f t="shared" si="6"/>
        <v>11.21.09</v>
      </c>
      <c r="I133" s="3">
        <v>165.964</v>
      </c>
      <c r="J133" s="3">
        <v>0.482</v>
      </c>
      <c r="K133" s="4">
        <f t="shared" si="7"/>
        <v>64.95</v>
      </c>
      <c r="L133" s="4">
        <f t="shared" si="8"/>
        <v>14.036</v>
      </c>
      <c r="M133" s="4">
        <f t="shared" si="9"/>
        <v>4.33</v>
      </c>
      <c r="N133" s="4">
        <f t="shared" si="10"/>
        <v>4.799033185</v>
      </c>
      <c r="O133" s="4">
        <f t="shared" si="11"/>
        <v>143.9709956</v>
      </c>
      <c r="P133" s="4">
        <f t="shared" si="12"/>
        <v>0.2449744138</v>
      </c>
    </row>
    <row r="134">
      <c r="A134" s="3">
        <v>1.0</v>
      </c>
      <c r="B134" s="1" t="s">
        <v>143</v>
      </c>
      <c r="C134" s="2" t="str">
        <f t="shared" si="1"/>
        <v>cn2</v>
      </c>
      <c r="D134" s="2" t="str">
        <f t="shared" si="2"/>
        <v>cn</v>
      </c>
      <c r="E134" s="2" t="str">
        <f t="shared" si="3"/>
        <v>m</v>
      </c>
      <c r="F134" s="2" t="str">
        <f t="shared" si="4"/>
        <v>15</v>
      </c>
      <c r="G134" s="2" t="str">
        <f t="shared" si="5"/>
        <v>cn2m</v>
      </c>
      <c r="H134" s="2" t="str">
        <f t="shared" si="6"/>
        <v>11.21.09</v>
      </c>
      <c r="I134" s="3">
        <v>146.31</v>
      </c>
      <c r="J134" s="3">
        <v>0.687</v>
      </c>
      <c r="K134" s="4">
        <f t="shared" si="7"/>
        <v>64.95</v>
      </c>
      <c r="L134" s="4">
        <f t="shared" si="8"/>
        <v>33.69</v>
      </c>
      <c r="M134" s="4">
        <f t="shared" si="9"/>
        <v>4.33</v>
      </c>
      <c r="N134" s="4">
        <f t="shared" si="10"/>
        <v>4.91641023</v>
      </c>
      <c r="O134" s="4">
        <f t="shared" si="11"/>
        <v>147.4923069</v>
      </c>
      <c r="P134" s="4">
        <f t="shared" si="12"/>
        <v>0.588001425</v>
      </c>
    </row>
    <row r="135">
      <c r="A135" s="3">
        <v>1.0</v>
      </c>
      <c r="B135" s="1" t="s">
        <v>144</v>
      </c>
      <c r="C135" s="2" t="str">
        <f t="shared" si="1"/>
        <v>cn2</v>
      </c>
      <c r="D135" s="2" t="str">
        <f t="shared" si="2"/>
        <v>cn</v>
      </c>
      <c r="E135" s="2" t="str">
        <f t="shared" si="3"/>
        <v>m</v>
      </c>
      <c r="F135" s="2" t="str">
        <f t="shared" si="4"/>
        <v>15</v>
      </c>
      <c r="G135" s="2" t="str">
        <f t="shared" si="5"/>
        <v>cn2m</v>
      </c>
      <c r="H135" s="2" t="str">
        <f t="shared" si="6"/>
        <v>11.21.09</v>
      </c>
      <c r="I135" s="3">
        <v>169.695</v>
      </c>
      <c r="J135" s="3">
        <v>0.416</v>
      </c>
      <c r="K135" s="4">
        <f t="shared" si="7"/>
        <v>64.95</v>
      </c>
      <c r="L135" s="4">
        <f t="shared" si="8"/>
        <v>10.305</v>
      </c>
      <c r="M135" s="4">
        <f t="shared" si="9"/>
        <v>4.33</v>
      </c>
      <c r="N135" s="4">
        <f t="shared" si="10"/>
        <v>4.739873907</v>
      </c>
      <c r="O135" s="4">
        <f t="shared" si="11"/>
        <v>142.1962172</v>
      </c>
      <c r="P135" s="4">
        <f t="shared" si="12"/>
        <v>0.1798561794</v>
      </c>
    </row>
    <row r="136">
      <c r="A136" s="3">
        <v>1.0</v>
      </c>
      <c r="B136" s="1" t="s">
        <v>145</v>
      </c>
      <c r="C136" s="2" t="str">
        <f t="shared" si="1"/>
        <v>k45</v>
      </c>
      <c r="D136" s="2" t="str">
        <f t="shared" si="2"/>
        <v>k4</v>
      </c>
      <c r="E136" s="2" t="str">
        <f t="shared" si="3"/>
        <v>f</v>
      </c>
      <c r="F136" s="2" t="str">
        <f t="shared" si="4"/>
        <v>17</v>
      </c>
      <c r="G136" s="2" t="str">
        <f t="shared" si="5"/>
        <v>k45f</v>
      </c>
      <c r="H136" s="2" t="str">
        <f t="shared" si="6"/>
        <v>11.21.09</v>
      </c>
      <c r="I136" s="3">
        <v>-135.0</v>
      </c>
      <c r="J136" s="3">
        <v>0.891</v>
      </c>
      <c r="K136" s="4">
        <f t="shared" si="7"/>
        <v>73.61</v>
      </c>
      <c r="L136" s="4">
        <f t="shared" si="8"/>
        <v>45</v>
      </c>
      <c r="M136" s="4">
        <f t="shared" si="9"/>
        <v>4.907333333</v>
      </c>
      <c r="N136" s="4">
        <f t="shared" si="10"/>
        <v>5.573092221</v>
      </c>
      <c r="O136" s="4">
        <f t="shared" si="11"/>
        <v>167.1927666</v>
      </c>
      <c r="P136" s="4">
        <f t="shared" si="12"/>
        <v>0.7853981634</v>
      </c>
    </row>
    <row r="137">
      <c r="A137" s="3">
        <v>1.0</v>
      </c>
      <c r="B137" s="1" t="s">
        <v>146</v>
      </c>
      <c r="C137" s="2" t="str">
        <f t="shared" si="1"/>
        <v>k45</v>
      </c>
      <c r="D137" s="2" t="str">
        <f t="shared" si="2"/>
        <v>k4</v>
      </c>
      <c r="E137" s="2" t="str">
        <f t="shared" si="3"/>
        <v>f</v>
      </c>
      <c r="F137" s="2" t="str">
        <f t="shared" si="4"/>
        <v>19</v>
      </c>
      <c r="G137" s="2" t="str">
        <f t="shared" si="5"/>
        <v>k45f</v>
      </c>
      <c r="H137" s="2" t="str">
        <f t="shared" si="6"/>
        <v>11.21.09</v>
      </c>
      <c r="I137" s="3">
        <v>-173.29</v>
      </c>
      <c r="J137" s="3">
        <v>0.648</v>
      </c>
      <c r="K137" s="4">
        <f t="shared" si="7"/>
        <v>82.27</v>
      </c>
      <c r="L137" s="4">
        <f t="shared" si="8"/>
        <v>6.71</v>
      </c>
      <c r="M137" s="4">
        <f t="shared" si="9"/>
        <v>5.484666667</v>
      </c>
      <c r="N137" s="4">
        <f t="shared" si="10"/>
        <v>6.128695758</v>
      </c>
      <c r="O137" s="4">
        <f t="shared" si="11"/>
        <v>183.8608727</v>
      </c>
      <c r="P137" s="4">
        <f t="shared" si="12"/>
        <v>0.1171115928</v>
      </c>
    </row>
    <row r="138">
      <c r="A138" s="3">
        <v>1.0</v>
      </c>
      <c r="B138" s="1" t="s">
        <v>147</v>
      </c>
      <c r="C138" s="2" t="str">
        <f t="shared" si="1"/>
        <v>k45</v>
      </c>
      <c r="D138" s="2" t="str">
        <f t="shared" si="2"/>
        <v>k4</v>
      </c>
      <c r="E138" s="2" t="str">
        <f t="shared" si="3"/>
        <v>f</v>
      </c>
      <c r="F138" s="2" t="str">
        <f t="shared" si="4"/>
        <v>19</v>
      </c>
      <c r="G138" s="2" t="str">
        <f t="shared" si="5"/>
        <v>k45f</v>
      </c>
      <c r="H138" s="2" t="str">
        <f t="shared" si="6"/>
        <v>11.21.09</v>
      </c>
      <c r="I138" s="3">
        <v>-169.563</v>
      </c>
      <c r="J138" s="3">
        <v>1.505</v>
      </c>
      <c r="K138" s="4">
        <f t="shared" si="7"/>
        <v>82.27</v>
      </c>
      <c r="L138" s="4">
        <f t="shared" si="8"/>
        <v>10.437</v>
      </c>
      <c r="M138" s="4">
        <f t="shared" si="9"/>
        <v>5.484666667</v>
      </c>
      <c r="N138" s="4">
        <f t="shared" si="10"/>
        <v>6.970100154</v>
      </c>
      <c r="O138" s="4">
        <f t="shared" si="11"/>
        <v>209.1030046</v>
      </c>
      <c r="P138" s="4">
        <f t="shared" si="12"/>
        <v>0.182160014</v>
      </c>
    </row>
    <row r="139">
      <c r="A139" s="3">
        <v>1.0</v>
      </c>
      <c r="B139" s="1" t="s">
        <v>148</v>
      </c>
      <c r="C139" s="2" t="str">
        <f t="shared" si="1"/>
        <v>k45</v>
      </c>
      <c r="D139" s="2" t="str">
        <f t="shared" si="2"/>
        <v>k4</v>
      </c>
      <c r="E139" s="2" t="str">
        <f t="shared" si="3"/>
        <v>f</v>
      </c>
      <c r="F139" s="2" t="str">
        <f t="shared" si="4"/>
        <v>19</v>
      </c>
      <c r="G139" s="2" t="str">
        <f t="shared" si="5"/>
        <v>k45f</v>
      </c>
      <c r="H139" s="2" t="str">
        <f t="shared" si="6"/>
        <v>11.21.09</v>
      </c>
      <c r="I139" s="3">
        <v>-156.371</v>
      </c>
      <c r="J139" s="3">
        <v>0.672</v>
      </c>
      <c r="K139" s="4">
        <f t="shared" si="7"/>
        <v>82.27</v>
      </c>
      <c r="L139" s="4">
        <f t="shared" si="8"/>
        <v>23.629</v>
      </c>
      <c r="M139" s="4">
        <f t="shared" si="9"/>
        <v>5.484666667</v>
      </c>
      <c r="N139" s="4">
        <f t="shared" si="10"/>
        <v>6.106269464</v>
      </c>
      <c r="O139" s="4">
        <f t="shared" si="11"/>
        <v>183.1880839</v>
      </c>
      <c r="P139" s="4">
        <f t="shared" si="12"/>
        <v>0.412403849</v>
      </c>
    </row>
    <row r="140">
      <c r="A140" s="3">
        <v>1.0</v>
      </c>
      <c r="B140" s="1" t="s">
        <v>149</v>
      </c>
      <c r="C140" s="2" t="str">
        <f t="shared" si="1"/>
        <v>k45</v>
      </c>
      <c r="D140" s="2" t="str">
        <f t="shared" si="2"/>
        <v>k4</v>
      </c>
      <c r="E140" s="2" t="str">
        <f t="shared" si="3"/>
        <v>f</v>
      </c>
      <c r="F140" s="2" t="str">
        <f t="shared" si="4"/>
        <v>19</v>
      </c>
      <c r="G140" s="2" t="str">
        <f t="shared" si="5"/>
        <v>k45f</v>
      </c>
      <c r="H140" s="2" t="str">
        <f t="shared" si="6"/>
        <v>11.21.09</v>
      </c>
      <c r="I140" s="3">
        <v>-174.289</v>
      </c>
      <c r="J140" s="3">
        <v>0.768</v>
      </c>
      <c r="K140" s="4">
        <f t="shared" si="7"/>
        <v>82.27</v>
      </c>
      <c r="L140" s="4">
        <f t="shared" si="8"/>
        <v>5.711</v>
      </c>
      <c r="M140" s="4">
        <f t="shared" si="9"/>
        <v>5.484666667</v>
      </c>
      <c r="N140" s="4">
        <f t="shared" si="10"/>
        <v>6.249322008</v>
      </c>
      <c r="O140" s="4">
        <f t="shared" si="11"/>
        <v>187.4796602</v>
      </c>
      <c r="P140" s="4">
        <f t="shared" si="12"/>
        <v>0.09967575358</v>
      </c>
    </row>
    <row r="141">
      <c r="A141" s="3">
        <v>1.0</v>
      </c>
      <c r="B141" s="1" t="s">
        <v>150</v>
      </c>
      <c r="C141" s="2" t="str">
        <f t="shared" si="1"/>
        <v>k45</v>
      </c>
      <c r="D141" s="2" t="str">
        <f t="shared" si="2"/>
        <v>k4</v>
      </c>
      <c r="E141" s="2" t="str">
        <f t="shared" si="3"/>
        <v>f</v>
      </c>
      <c r="F141" s="2" t="str">
        <f t="shared" si="4"/>
        <v>21</v>
      </c>
      <c r="G141" s="2" t="str">
        <f t="shared" si="5"/>
        <v>k45f</v>
      </c>
      <c r="H141" s="2" t="str">
        <f t="shared" si="6"/>
        <v>11.21.09</v>
      </c>
      <c r="I141" s="3">
        <v>163.443</v>
      </c>
      <c r="J141" s="3">
        <v>1.488</v>
      </c>
      <c r="K141" s="4">
        <f t="shared" si="7"/>
        <v>90.93</v>
      </c>
      <c r="L141" s="4">
        <f t="shared" si="8"/>
        <v>16.557</v>
      </c>
      <c r="M141" s="4">
        <f t="shared" si="9"/>
        <v>6.062</v>
      </c>
      <c r="N141" s="4">
        <f t="shared" si="10"/>
        <v>7.50029873</v>
      </c>
      <c r="O141" s="4">
        <f t="shared" si="11"/>
        <v>225.0089619</v>
      </c>
      <c r="P141" s="4">
        <f t="shared" si="12"/>
        <v>0.2889741643</v>
      </c>
    </row>
    <row r="142">
      <c r="A142" s="3">
        <v>1.0</v>
      </c>
      <c r="B142" s="1" t="s">
        <v>151</v>
      </c>
      <c r="C142" s="2" t="str">
        <f t="shared" si="1"/>
        <v>k45</v>
      </c>
      <c r="D142" s="2" t="str">
        <f t="shared" si="2"/>
        <v>k4</v>
      </c>
      <c r="E142" s="2" t="str">
        <f t="shared" si="3"/>
        <v>m</v>
      </c>
      <c r="F142" s="2" t="str">
        <f t="shared" si="4"/>
        <v>13</v>
      </c>
      <c r="G142" s="2" t="str">
        <f t="shared" si="5"/>
        <v>k45m</v>
      </c>
      <c r="H142" s="2" t="str">
        <f t="shared" si="6"/>
        <v>11.21.09</v>
      </c>
      <c r="I142" s="3">
        <v>125.838</v>
      </c>
      <c r="J142" s="3">
        <v>0.803</v>
      </c>
      <c r="K142" s="4">
        <f t="shared" si="7"/>
        <v>56.29</v>
      </c>
      <c r="L142" s="4">
        <f t="shared" si="8"/>
        <v>54.162</v>
      </c>
      <c r="M142" s="4">
        <f t="shared" si="9"/>
        <v>3.752666667</v>
      </c>
      <c r="N142" s="4">
        <f t="shared" si="10"/>
        <v>4.272700554</v>
      </c>
      <c r="O142" s="4">
        <f t="shared" si="11"/>
        <v>128.1810166</v>
      </c>
      <c r="P142" s="4">
        <f t="shared" si="12"/>
        <v>0.9453052295</v>
      </c>
    </row>
    <row r="143">
      <c r="A143" s="3">
        <v>1.0</v>
      </c>
      <c r="B143" s="1" t="s">
        <v>152</v>
      </c>
      <c r="C143" s="2" t="str">
        <f t="shared" si="1"/>
        <v>k45</v>
      </c>
      <c r="D143" s="2" t="str">
        <f t="shared" si="2"/>
        <v>k4</v>
      </c>
      <c r="E143" s="2" t="str">
        <f t="shared" si="3"/>
        <v>m</v>
      </c>
      <c r="F143" s="2" t="str">
        <f t="shared" si="4"/>
        <v>13</v>
      </c>
      <c r="G143" s="2" t="str">
        <f t="shared" si="5"/>
        <v>k45m</v>
      </c>
      <c r="H143" s="2" t="str">
        <f t="shared" si="6"/>
        <v>11.21.09</v>
      </c>
      <c r="I143" s="3">
        <v>158.199</v>
      </c>
      <c r="J143" s="3">
        <v>1.165</v>
      </c>
      <c r="K143" s="4">
        <f t="shared" si="7"/>
        <v>56.29</v>
      </c>
      <c r="L143" s="4">
        <f t="shared" si="8"/>
        <v>21.801</v>
      </c>
      <c r="M143" s="4">
        <f t="shared" si="9"/>
        <v>3.752666667</v>
      </c>
      <c r="N143" s="4">
        <f t="shared" si="10"/>
        <v>4.853667617</v>
      </c>
      <c r="O143" s="4">
        <f t="shared" si="11"/>
        <v>145.6100285</v>
      </c>
      <c r="P143" s="4">
        <f t="shared" si="12"/>
        <v>0.3804992302</v>
      </c>
    </row>
    <row r="144">
      <c r="A144" s="3">
        <v>1.0</v>
      </c>
      <c r="B144" s="1" t="s">
        <v>153</v>
      </c>
      <c r="C144" s="2" t="str">
        <f t="shared" si="1"/>
        <v>k45</v>
      </c>
      <c r="D144" s="2" t="str">
        <f t="shared" si="2"/>
        <v>k4</v>
      </c>
      <c r="E144" s="2" t="str">
        <f t="shared" si="3"/>
        <v>m</v>
      </c>
      <c r="F144" s="2" t="str">
        <f t="shared" si="4"/>
        <v>13</v>
      </c>
      <c r="G144" s="2" t="str">
        <f t="shared" si="5"/>
        <v>k45m</v>
      </c>
      <c r="H144" s="2" t="str">
        <f t="shared" si="6"/>
        <v>11.21.09</v>
      </c>
      <c r="I144" s="3">
        <v>152.103</v>
      </c>
      <c r="J144" s="3">
        <v>0.707</v>
      </c>
      <c r="K144" s="4">
        <f t="shared" si="7"/>
        <v>56.29</v>
      </c>
      <c r="L144" s="4">
        <f t="shared" si="8"/>
        <v>27.897</v>
      </c>
      <c r="M144" s="4">
        <f t="shared" si="9"/>
        <v>3.752666667</v>
      </c>
      <c r="N144" s="4">
        <f t="shared" si="10"/>
        <v>4.389986988</v>
      </c>
      <c r="O144" s="4">
        <f t="shared" si="11"/>
        <v>131.6996096</v>
      </c>
      <c r="P144" s="4">
        <f t="shared" si="12"/>
        <v>0.4868945014</v>
      </c>
    </row>
    <row r="145">
      <c r="A145" s="3">
        <v>1.0</v>
      </c>
      <c r="B145" s="1" t="s">
        <v>154</v>
      </c>
      <c r="C145" s="2" t="str">
        <f t="shared" si="1"/>
        <v>k45</v>
      </c>
      <c r="D145" s="2" t="str">
        <f t="shared" si="2"/>
        <v>k4</v>
      </c>
      <c r="E145" s="2" t="str">
        <f t="shared" si="3"/>
        <v>m</v>
      </c>
      <c r="F145" s="2" t="str">
        <f t="shared" si="4"/>
        <v>13</v>
      </c>
      <c r="G145" s="2" t="str">
        <f t="shared" si="5"/>
        <v>k45m</v>
      </c>
      <c r="H145" s="2" t="str">
        <f t="shared" si="6"/>
        <v>11.21.09</v>
      </c>
      <c r="I145" s="3">
        <v>151.821</v>
      </c>
      <c r="J145" s="3">
        <v>1.148</v>
      </c>
      <c r="K145" s="4">
        <f t="shared" si="7"/>
        <v>56.29</v>
      </c>
      <c r="L145" s="4">
        <f t="shared" si="8"/>
        <v>28.179</v>
      </c>
      <c r="M145" s="4">
        <f t="shared" si="9"/>
        <v>3.752666667</v>
      </c>
      <c r="N145" s="4">
        <f t="shared" si="10"/>
        <v>4.795343737</v>
      </c>
      <c r="O145" s="4">
        <f t="shared" si="11"/>
        <v>143.8603121</v>
      </c>
      <c r="P145" s="4">
        <f t="shared" si="12"/>
        <v>0.4918163299</v>
      </c>
    </row>
    <row r="146">
      <c r="A146" s="3">
        <v>1.0</v>
      </c>
      <c r="B146" s="1" t="s">
        <v>155</v>
      </c>
      <c r="C146" s="2" t="str">
        <f t="shared" si="1"/>
        <v>k45</v>
      </c>
      <c r="D146" s="2" t="str">
        <f t="shared" si="2"/>
        <v>k4</v>
      </c>
      <c r="E146" s="2" t="str">
        <f t="shared" si="3"/>
        <v>m</v>
      </c>
      <c r="F146" s="2" t="str">
        <f t="shared" si="4"/>
        <v>13</v>
      </c>
      <c r="G146" s="2" t="str">
        <f t="shared" si="5"/>
        <v>k45m</v>
      </c>
      <c r="H146" s="2" t="str">
        <f t="shared" si="6"/>
        <v>11.21.09</v>
      </c>
      <c r="I146" s="3">
        <v>-176.73</v>
      </c>
      <c r="J146" s="3">
        <v>1.267</v>
      </c>
      <c r="K146" s="4">
        <f t="shared" si="7"/>
        <v>56.29</v>
      </c>
      <c r="L146" s="4">
        <f t="shared" si="8"/>
        <v>3.27</v>
      </c>
      <c r="M146" s="4">
        <f t="shared" si="9"/>
        <v>3.752666667</v>
      </c>
      <c r="N146" s="4">
        <f t="shared" si="10"/>
        <v>5.018124218</v>
      </c>
      <c r="O146" s="4">
        <f t="shared" si="11"/>
        <v>150.5437265</v>
      </c>
      <c r="P146" s="4">
        <f t="shared" si="12"/>
        <v>0.05707226654</v>
      </c>
    </row>
    <row r="147">
      <c r="A147" s="3">
        <v>1.0</v>
      </c>
      <c r="B147" s="1" t="s">
        <v>156</v>
      </c>
      <c r="C147" s="2" t="str">
        <f t="shared" si="1"/>
        <v>k45</v>
      </c>
      <c r="D147" s="2" t="str">
        <f t="shared" si="2"/>
        <v>k4</v>
      </c>
      <c r="E147" s="2" t="str">
        <f t="shared" si="3"/>
        <v>m</v>
      </c>
      <c r="F147" s="2" t="str">
        <f t="shared" si="4"/>
        <v>15</v>
      </c>
      <c r="G147" s="2" t="str">
        <f t="shared" si="5"/>
        <v>k45m</v>
      </c>
      <c r="H147" s="2" t="str">
        <f t="shared" si="6"/>
        <v>11.21.09</v>
      </c>
      <c r="I147" s="3">
        <v>-172.875</v>
      </c>
      <c r="J147" s="3">
        <v>1.142</v>
      </c>
      <c r="K147" s="4">
        <f t="shared" si="7"/>
        <v>64.95</v>
      </c>
      <c r="L147" s="4">
        <f t="shared" si="8"/>
        <v>7.125</v>
      </c>
      <c r="M147" s="4">
        <f t="shared" si="9"/>
        <v>4.33</v>
      </c>
      <c r="N147" s="4">
        <f t="shared" si="10"/>
        <v>5.465017357</v>
      </c>
      <c r="O147" s="4">
        <f t="shared" si="11"/>
        <v>163.9505207</v>
      </c>
      <c r="P147" s="4">
        <f t="shared" si="12"/>
        <v>0.1243547092</v>
      </c>
    </row>
    <row r="148">
      <c r="A148" s="3">
        <v>1.0</v>
      </c>
      <c r="B148" s="1" t="s">
        <v>157</v>
      </c>
      <c r="C148" s="2" t="str">
        <f t="shared" si="1"/>
        <v>k45</v>
      </c>
      <c r="D148" s="2" t="str">
        <f t="shared" si="2"/>
        <v>k4</v>
      </c>
      <c r="E148" s="2" t="str">
        <f t="shared" si="3"/>
        <v>m</v>
      </c>
      <c r="F148" s="2" t="str">
        <f t="shared" si="4"/>
        <v>15</v>
      </c>
      <c r="G148" s="2" t="str">
        <f t="shared" si="5"/>
        <v>k45m</v>
      </c>
      <c r="H148" s="2" t="str">
        <f t="shared" si="6"/>
        <v>11.21.09</v>
      </c>
      <c r="I148" s="3">
        <v>117.759</v>
      </c>
      <c r="J148" s="3">
        <v>0.76</v>
      </c>
      <c r="K148" s="4">
        <f t="shared" si="7"/>
        <v>64.95</v>
      </c>
      <c r="L148" s="4">
        <f t="shared" si="8"/>
        <v>62.241</v>
      </c>
      <c r="M148" s="4">
        <f t="shared" si="9"/>
        <v>4.33</v>
      </c>
      <c r="N148" s="4">
        <f t="shared" si="10"/>
        <v>4.732008392</v>
      </c>
      <c r="O148" s="4">
        <f t="shared" si="11"/>
        <v>141.9602518</v>
      </c>
      <c r="P148" s="4">
        <f t="shared" si="12"/>
        <v>1.08631038</v>
      </c>
    </row>
    <row r="149">
      <c r="A149" s="3">
        <v>1.0</v>
      </c>
      <c r="B149" s="1" t="s">
        <v>158</v>
      </c>
      <c r="C149" s="2" t="str">
        <f t="shared" si="1"/>
        <v>k45</v>
      </c>
      <c r="D149" s="2" t="str">
        <f t="shared" si="2"/>
        <v>k4</v>
      </c>
      <c r="E149" s="2" t="str">
        <f t="shared" si="3"/>
        <v>m</v>
      </c>
      <c r="F149" s="2" t="str">
        <f t="shared" si="4"/>
        <v>17</v>
      </c>
      <c r="G149" s="2" t="str">
        <f t="shared" si="5"/>
        <v>k45m</v>
      </c>
      <c r="H149" s="2" t="str">
        <f t="shared" si="6"/>
        <v>11.21.09</v>
      </c>
      <c r="I149" s="3">
        <v>170.727</v>
      </c>
      <c r="J149" s="3">
        <v>1.793</v>
      </c>
      <c r="K149" s="4">
        <f t="shared" si="7"/>
        <v>73.61</v>
      </c>
      <c r="L149" s="4">
        <f t="shared" si="8"/>
        <v>9.273</v>
      </c>
      <c r="M149" s="4">
        <f t="shared" si="9"/>
        <v>4.907333333</v>
      </c>
      <c r="N149" s="4">
        <f t="shared" si="10"/>
        <v>6.683150145</v>
      </c>
      <c r="O149" s="4">
        <f t="shared" si="11"/>
        <v>200.4945043</v>
      </c>
      <c r="P149" s="4">
        <f t="shared" si="12"/>
        <v>0.1618443815</v>
      </c>
    </row>
    <row r="150">
      <c r="A150" s="3">
        <v>1.0</v>
      </c>
      <c r="B150" s="1" t="s">
        <v>159</v>
      </c>
      <c r="C150" s="2" t="str">
        <f t="shared" si="1"/>
        <v>k45</v>
      </c>
      <c r="D150" s="2" t="str">
        <f t="shared" si="2"/>
        <v>k4</v>
      </c>
      <c r="E150" s="2" t="str">
        <f t="shared" si="3"/>
        <v>m</v>
      </c>
      <c r="F150" s="2" t="str">
        <f t="shared" si="4"/>
        <v>19</v>
      </c>
      <c r="G150" s="2" t="str">
        <f t="shared" si="5"/>
        <v>k45m</v>
      </c>
      <c r="H150" s="2" t="str">
        <f t="shared" si="6"/>
        <v>11.21.09</v>
      </c>
      <c r="I150" s="3">
        <v>-162.646</v>
      </c>
      <c r="J150" s="3">
        <v>1.212</v>
      </c>
      <c r="K150" s="4">
        <f t="shared" si="7"/>
        <v>82.27</v>
      </c>
      <c r="L150" s="4">
        <f t="shared" si="8"/>
        <v>17.354</v>
      </c>
      <c r="M150" s="4">
        <f t="shared" si="9"/>
        <v>5.484666667</v>
      </c>
      <c r="N150" s="4">
        <f t="shared" si="10"/>
        <v>6.651328071</v>
      </c>
      <c r="O150" s="4">
        <f t="shared" si="11"/>
        <v>199.5398421</v>
      </c>
      <c r="P150" s="4">
        <f t="shared" si="12"/>
        <v>0.3028844384</v>
      </c>
    </row>
    <row r="151">
      <c r="A151" s="3">
        <v>1.0</v>
      </c>
      <c r="B151" s="1" t="s">
        <v>160</v>
      </c>
      <c r="C151" s="2" t="str">
        <f t="shared" si="1"/>
        <v>k45</v>
      </c>
      <c r="D151" s="2" t="str">
        <f t="shared" si="2"/>
        <v>k4</v>
      </c>
      <c r="E151" s="2" t="str">
        <f t="shared" si="3"/>
        <v>m</v>
      </c>
      <c r="F151" s="2" t="str">
        <f t="shared" si="4"/>
        <v>19</v>
      </c>
      <c r="G151" s="2" t="str">
        <f t="shared" si="5"/>
        <v>k45m</v>
      </c>
      <c r="H151" s="2" t="str">
        <f t="shared" si="6"/>
        <v>11.21.09</v>
      </c>
      <c r="I151" s="3">
        <v>-124.695</v>
      </c>
      <c r="J151" s="3">
        <v>1.143</v>
      </c>
      <c r="K151" s="4">
        <f t="shared" si="7"/>
        <v>82.27</v>
      </c>
      <c r="L151" s="4">
        <f t="shared" si="8"/>
        <v>55.305</v>
      </c>
      <c r="M151" s="4">
        <f t="shared" si="9"/>
        <v>5.484666667</v>
      </c>
      <c r="N151" s="4">
        <f t="shared" si="10"/>
        <v>6.20682809</v>
      </c>
      <c r="O151" s="4">
        <f t="shared" si="11"/>
        <v>186.2048427</v>
      </c>
      <c r="P151" s="4">
        <f t="shared" si="12"/>
        <v>0.9652543428</v>
      </c>
    </row>
    <row r="152">
      <c r="A152" s="3">
        <v>1.0</v>
      </c>
      <c r="B152" s="1" t="s">
        <v>161</v>
      </c>
      <c r="C152" s="2" t="str">
        <f t="shared" si="1"/>
        <v>k45</v>
      </c>
      <c r="D152" s="2" t="str">
        <f t="shared" si="2"/>
        <v>k4</v>
      </c>
      <c r="E152" s="2" t="str">
        <f t="shared" si="3"/>
        <v>m</v>
      </c>
      <c r="F152" s="2" t="str">
        <f t="shared" si="4"/>
        <v>19</v>
      </c>
      <c r="G152" s="2" t="str">
        <f t="shared" si="5"/>
        <v>k45m</v>
      </c>
      <c r="H152" s="2" t="str">
        <f t="shared" si="6"/>
        <v>11.21.09</v>
      </c>
      <c r="I152" s="3">
        <v>177.51</v>
      </c>
      <c r="J152" s="3">
        <v>0.832</v>
      </c>
      <c r="K152" s="4">
        <f t="shared" si="7"/>
        <v>82.27</v>
      </c>
      <c r="L152" s="4">
        <f t="shared" si="8"/>
        <v>2.49</v>
      </c>
      <c r="M152" s="4">
        <f t="shared" si="9"/>
        <v>5.484666667</v>
      </c>
      <c r="N152" s="4">
        <f t="shared" si="10"/>
        <v>6.315984541</v>
      </c>
      <c r="O152" s="4">
        <f t="shared" si="11"/>
        <v>189.4795362</v>
      </c>
      <c r="P152" s="4">
        <f t="shared" si="12"/>
        <v>0.04345869837</v>
      </c>
    </row>
    <row r="153">
      <c r="A153" s="3">
        <v>1.0</v>
      </c>
      <c r="B153" s="1" t="s">
        <v>162</v>
      </c>
      <c r="C153" s="2" t="str">
        <f t="shared" si="1"/>
        <v>k45</v>
      </c>
      <c r="D153" s="2" t="str">
        <f t="shared" si="2"/>
        <v>k4</v>
      </c>
      <c r="E153" s="2" t="str">
        <f t="shared" si="3"/>
        <v>m</v>
      </c>
      <c r="F153" s="2" t="str">
        <f t="shared" si="4"/>
        <v>21</v>
      </c>
      <c r="G153" s="2" t="str">
        <f t="shared" si="5"/>
        <v>k45m</v>
      </c>
      <c r="H153" s="2" t="str">
        <f t="shared" si="6"/>
        <v>11.21.09</v>
      </c>
      <c r="I153" s="3">
        <v>-113.199</v>
      </c>
      <c r="J153" s="3">
        <v>0.593</v>
      </c>
      <c r="K153" s="4">
        <f t="shared" si="7"/>
        <v>90.93</v>
      </c>
      <c r="L153" s="4">
        <f t="shared" si="8"/>
        <v>66.801</v>
      </c>
      <c r="M153" s="4">
        <f t="shared" si="9"/>
        <v>6.062</v>
      </c>
      <c r="N153" s="4">
        <f t="shared" si="10"/>
        <v>6.319148331</v>
      </c>
      <c r="O153" s="4">
        <f t="shared" si="11"/>
        <v>189.5744499</v>
      </c>
      <c r="P153" s="4">
        <f t="shared" si="12"/>
        <v>1.165897394</v>
      </c>
    </row>
    <row r="154">
      <c r="A154" s="3">
        <v>1.0</v>
      </c>
      <c r="B154" s="1" t="s">
        <v>163</v>
      </c>
      <c r="C154" s="2" t="str">
        <f t="shared" si="1"/>
        <v>k45</v>
      </c>
      <c r="D154" s="2" t="str">
        <f t="shared" si="2"/>
        <v>k4</v>
      </c>
      <c r="E154" s="2" t="str">
        <f t="shared" si="3"/>
        <v>m</v>
      </c>
      <c r="F154" s="2" t="str">
        <f t="shared" si="4"/>
        <v>21</v>
      </c>
      <c r="G154" s="2" t="str">
        <f t="shared" si="5"/>
        <v>k45m</v>
      </c>
      <c r="H154" s="2" t="str">
        <f t="shared" si="6"/>
        <v>11.21.09</v>
      </c>
      <c r="I154" s="3">
        <v>-170.538</v>
      </c>
      <c r="J154" s="3">
        <v>1.113</v>
      </c>
      <c r="K154" s="4">
        <f t="shared" si="7"/>
        <v>90.93</v>
      </c>
      <c r="L154" s="4">
        <f t="shared" si="8"/>
        <v>9.462</v>
      </c>
      <c r="M154" s="4">
        <f t="shared" si="9"/>
        <v>6.062</v>
      </c>
      <c r="N154" s="4">
        <f t="shared" si="10"/>
        <v>7.162194979</v>
      </c>
      <c r="O154" s="4">
        <f t="shared" si="11"/>
        <v>214.8658494</v>
      </c>
      <c r="P154" s="4">
        <f t="shared" si="12"/>
        <v>0.1651430538</v>
      </c>
    </row>
    <row r="155">
      <c r="A155" s="3">
        <v>1.0</v>
      </c>
      <c r="B155" s="1" t="s">
        <v>164</v>
      </c>
      <c r="C155" s="2" t="str">
        <f t="shared" si="1"/>
        <v>k45</v>
      </c>
      <c r="D155" s="2" t="str">
        <f t="shared" si="2"/>
        <v>k4</v>
      </c>
      <c r="E155" s="2" t="str">
        <f t="shared" si="3"/>
        <v>m</v>
      </c>
      <c r="F155" s="2" t="str">
        <f t="shared" si="4"/>
        <v>23</v>
      </c>
      <c r="G155" s="2" t="str">
        <f t="shared" si="5"/>
        <v>k45m</v>
      </c>
      <c r="H155" s="2" t="str">
        <f t="shared" si="6"/>
        <v>11.21.09</v>
      </c>
      <c r="I155" s="3">
        <v>164.055</v>
      </c>
      <c r="J155" s="3">
        <v>0.567</v>
      </c>
      <c r="K155" s="4">
        <f t="shared" si="7"/>
        <v>99.59</v>
      </c>
      <c r="L155" s="4">
        <f t="shared" si="8"/>
        <v>15.945</v>
      </c>
      <c r="M155" s="4">
        <f t="shared" si="9"/>
        <v>6.639333333</v>
      </c>
      <c r="N155" s="4">
        <f t="shared" si="10"/>
        <v>7.186206792</v>
      </c>
      <c r="O155" s="4">
        <f t="shared" si="11"/>
        <v>215.5862037</v>
      </c>
      <c r="P155" s="4">
        <f t="shared" si="12"/>
        <v>0.2782927492</v>
      </c>
    </row>
    <row r="156">
      <c r="A156" s="3">
        <v>1.0</v>
      </c>
      <c r="B156" s="1" t="s">
        <v>165</v>
      </c>
      <c r="C156" s="2" t="str">
        <f t="shared" si="1"/>
        <v>n60</v>
      </c>
      <c r="D156" s="2" t="str">
        <f t="shared" si="2"/>
        <v>n6</v>
      </c>
      <c r="E156" s="2" t="str">
        <f t="shared" si="3"/>
        <v>f</v>
      </c>
      <c r="F156" s="2" t="str">
        <f t="shared" si="4"/>
        <v>03</v>
      </c>
      <c r="G156" s="2" t="str">
        <f t="shared" si="5"/>
        <v>n60f</v>
      </c>
      <c r="H156" s="2" t="str">
        <f t="shared" si="6"/>
        <v>11.21.09</v>
      </c>
      <c r="I156" s="3">
        <v>149.349</v>
      </c>
      <c r="J156" s="3">
        <v>1.17</v>
      </c>
      <c r="K156" s="4">
        <f t="shared" si="7"/>
        <v>12.99</v>
      </c>
      <c r="L156" s="4">
        <f t="shared" si="8"/>
        <v>30.651</v>
      </c>
      <c r="M156" s="4">
        <f t="shared" si="9"/>
        <v>0.866</v>
      </c>
      <c r="N156" s="4">
        <f t="shared" si="10"/>
        <v>1.965242781</v>
      </c>
      <c r="O156" s="4">
        <f t="shared" si="11"/>
        <v>58.95728343</v>
      </c>
      <c r="P156" s="4">
        <f t="shared" si="12"/>
        <v>0.534960869</v>
      </c>
    </row>
    <row r="157">
      <c r="A157" s="3">
        <v>1.0</v>
      </c>
      <c r="B157" s="1" t="s">
        <v>166</v>
      </c>
      <c r="C157" s="2" t="str">
        <f t="shared" si="1"/>
        <v>n60</v>
      </c>
      <c r="D157" s="2" t="str">
        <f t="shared" si="2"/>
        <v>n6</v>
      </c>
      <c r="E157" s="2" t="str">
        <f t="shared" si="3"/>
        <v>f</v>
      </c>
      <c r="F157" s="2" t="str">
        <f t="shared" si="4"/>
        <v>09</v>
      </c>
      <c r="G157" s="2" t="str">
        <f t="shared" si="5"/>
        <v>n60f</v>
      </c>
      <c r="H157" s="2" t="str">
        <f t="shared" si="6"/>
        <v>11.21.09</v>
      </c>
      <c r="I157" s="3">
        <v>180.0</v>
      </c>
      <c r="J157" s="3">
        <v>0.447</v>
      </c>
      <c r="K157" s="4">
        <f t="shared" si="7"/>
        <v>38.97</v>
      </c>
      <c r="L157" s="4">
        <f t="shared" si="8"/>
        <v>0</v>
      </c>
      <c r="M157" s="4">
        <f t="shared" si="9"/>
        <v>2.598</v>
      </c>
      <c r="N157" s="4">
        <f t="shared" si="10"/>
        <v>3.045</v>
      </c>
      <c r="O157" s="4">
        <f t="shared" si="11"/>
        <v>91.35</v>
      </c>
      <c r="P157" s="4">
        <f t="shared" si="12"/>
        <v>0</v>
      </c>
    </row>
    <row r="158">
      <c r="A158" s="3">
        <v>1.0</v>
      </c>
      <c r="B158" s="1" t="s">
        <v>167</v>
      </c>
      <c r="C158" s="2" t="str">
        <f t="shared" si="1"/>
        <v>n60</v>
      </c>
      <c r="D158" s="2" t="str">
        <f t="shared" si="2"/>
        <v>n6</v>
      </c>
      <c r="E158" s="2" t="str">
        <f t="shared" si="3"/>
        <v>f</v>
      </c>
      <c r="F158" s="2" t="str">
        <f t="shared" si="4"/>
        <v>09</v>
      </c>
      <c r="G158" s="2" t="str">
        <f t="shared" si="5"/>
        <v>n60f</v>
      </c>
      <c r="H158" s="2" t="str">
        <f t="shared" si="6"/>
        <v>11.21.09</v>
      </c>
      <c r="I158" s="3">
        <v>153.435</v>
      </c>
      <c r="J158" s="3">
        <v>0.854</v>
      </c>
      <c r="K158" s="4">
        <f t="shared" si="7"/>
        <v>38.97</v>
      </c>
      <c r="L158" s="4">
        <f t="shared" si="8"/>
        <v>26.565</v>
      </c>
      <c r="M158" s="4">
        <f t="shared" si="9"/>
        <v>2.598</v>
      </c>
      <c r="N158" s="4">
        <f t="shared" si="10"/>
        <v>3.383465484</v>
      </c>
      <c r="O158" s="4">
        <f t="shared" si="11"/>
        <v>101.5039645</v>
      </c>
      <c r="P158" s="4">
        <f t="shared" si="12"/>
        <v>0.4636467158</v>
      </c>
    </row>
    <row r="159">
      <c r="A159" s="3">
        <v>1.0</v>
      </c>
      <c r="B159" s="1" t="s">
        <v>168</v>
      </c>
      <c r="C159" s="2" t="str">
        <f t="shared" si="1"/>
        <v>n60</v>
      </c>
      <c r="D159" s="2" t="str">
        <f t="shared" si="2"/>
        <v>n6</v>
      </c>
      <c r="E159" s="2" t="str">
        <f t="shared" si="3"/>
        <v>f</v>
      </c>
      <c r="F159" s="2" t="str">
        <f t="shared" si="4"/>
        <v>09</v>
      </c>
      <c r="G159" s="2" t="str">
        <f t="shared" si="5"/>
        <v>n60f</v>
      </c>
      <c r="H159" s="2" t="str">
        <f t="shared" si="6"/>
        <v>11.21.09</v>
      </c>
      <c r="I159" s="3">
        <v>-155.556</v>
      </c>
      <c r="J159" s="3">
        <v>1.351</v>
      </c>
      <c r="K159" s="4">
        <f t="shared" si="7"/>
        <v>38.97</v>
      </c>
      <c r="L159" s="4">
        <f t="shared" si="8"/>
        <v>24.444</v>
      </c>
      <c r="M159" s="4">
        <f t="shared" si="9"/>
        <v>2.598</v>
      </c>
      <c r="N159" s="4">
        <f t="shared" si="10"/>
        <v>3.868512591</v>
      </c>
      <c r="O159" s="4">
        <f t="shared" si="11"/>
        <v>116.0553777</v>
      </c>
      <c r="P159" s="4">
        <f t="shared" si="12"/>
        <v>0.4266282824</v>
      </c>
    </row>
    <row r="160">
      <c r="A160" s="3">
        <v>1.0</v>
      </c>
      <c r="B160" s="1" t="s">
        <v>169</v>
      </c>
      <c r="C160" s="2" t="str">
        <f t="shared" si="1"/>
        <v>n60</v>
      </c>
      <c r="D160" s="2" t="str">
        <f t="shared" si="2"/>
        <v>n6</v>
      </c>
      <c r="E160" s="2" t="str">
        <f t="shared" si="3"/>
        <v>f</v>
      </c>
      <c r="F160" s="2" t="str">
        <f t="shared" si="4"/>
        <v>09</v>
      </c>
      <c r="G160" s="2" t="str">
        <f t="shared" si="5"/>
        <v>n60f</v>
      </c>
      <c r="H160" s="2" t="str">
        <f t="shared" si="6"/>
        <v>11.21.09</v>
      </c>
      <c r="I160" s="3">
        <v>166.866</v>
      </c>
      <c r="J160" s="3">
        <v>1.141</v>
      </c>
      <c r="K160" s="4">
        <f t="shared" si="7"/>
        <v>38.97</v>
      </c>
      <c r="L160" s="4">
        <f t="shared" si="8"/>
        <v>13.134</v>
      </c>
      <c r="M160" s="4">
        <f t="shared" si="9"/>
        <v>2.598</v>
      </c>
      <c r="N160" s="4">
        <f t="shared" si="10"/>
        <v>3.718203273</v>
      </c>
      <c r="O160" s="4">
        <f t="shared" si="11"/>
        <v>111.5460982</v>
      </c>
      <c r="P160" s="4">
        <f t="shared" si="12"/>
        <v>0.229231544</v>
      </c>
    </row>
    <row r="161">
      <c r="A161" s="3">
        <v>1.0</v>
      </c>
      <c r="B161" s="1" t="s">
        <v>170</v>
      </c>
      <c r="C161" s="2" t="str">
        <f t="shared" si="1"/>
        <v>n60</v>
      </c>
      <c r="D161" s="2" t="str">
        <f t="shared" si="2"/>
        <v>n6</v>
      </c>
      <c r="E161" s="2" t="str">
        <f t="shared" si="3"/>
        <v>f</v>
      </c>
      <c r="F161" s="2" t="str">
        <f t="shared" si="4"/>
        <v>11</v>
      </c>
      <c r="G161" s="2" t="str">
        <f t="shared" si="5"/>
        <v>n60f</v>
      </c>
      <c r="H161" s="2" t="str">
        <f t="shared" si="6"/>
        <v>11.21.09</v>
      </c>
      <c r="I161" s="3">
        <v>-158.199</v>
      </c>
      <c r="J161" s="3">
        <v>0.825</v>
      </c>
      <c r="K161" s="4">
        <f t="shared" si="7"/>
        <v>47.63</v>
      </c>
      <c r="L161" s="4">
        <f t="shared" si="8"/>
        <v>21.801</v>
      </c>
      <c r="M161" s="4">
        <f t="shared" si="9"/>
        <v>3.175333333</v>
      </c>
      <c r="N161" s="4">
        <f t="shared" si="10"/>
        <v>3.953220031</v>
      </c>
      <c r="O161" s="4">
        <f t="shared" si="11"/>
        <v>118.5966009</v>
      </c>
      <c r="P161" s="4">
        <f t="shared" si="12"/>
        <v>0.3804992302</v>
      </c>
    </row>
    <row r="162">
      <c r="A162" s="3">
        <v>1.0</v>
      </c>
      <c r="B162" s="1" t="s">
        <v>171</v>
      </c>
      <c r="C162" s="2" t="str">
        <f t="shared" si="1"/>
        <v>n60</v>
      </c>
      <c r="D162" s="2" t="str">
        <f t="shared" si="2"/>
        <v>n6</v>
      </c>
      <c r="E162" s="2" t="str">
        <f t="shared" si="3"/>
        <v>f</v>
      </c>
      <c r="F162" s="2" t="str">
        <f t="shared" si="4"/>
        <v>13</v>
      </c>
      <c r="G162" s="2" t="str">
        <f t="shared" si="5"/>
        <v>n60f</v>
      </c>
      <c r="H162" s="2" t="str">
        <f t="shared" si="6"/>
        <v>11.21.09</v>
      </c>
      <c r="I162" s="3">
        <v>-159.146</v>
      </c>
      <c r="J162" s="3">
        <v>0.806</v>
      </c>
      <c r="K162" s="4">
        <f t="shared" si="7"/>
        <v>56.29</v>
      </c>
      <c r="L162" s="4">
        <f t="shared" si="8"/>
        <v>20.854</v>
      </c>
      <c r="M162" s="4">
        <f t="shared" si="9"/>
        <v>3.752666667</v>
      </c>
      <c r="N162" s="4">
        <f t="shared" si="10"/>
        <v>4.51499233</v>
      </c>
      <c r="O162" s="4">
        <f t="shared" si="11"/>
        <v>135.4497699</v>
      </c>
      <c r="P162" s="4">
        <f t="shared" si="12"/>
        <v>0.3639709622</v>
      </c>
    </row>
    <row r="163">
      <c r="A163" s="3">
        <v>1.0</v>
      </c>
      <c r="B163" s="1" t="s">
        <v>172</v>
      </c>
      <c r="C163" s="2" t="str">
        <f t="shared" si="1"/>
        <v>n60</v>
      </c>
      <c r="D163" s="2" t="str">
        <f t="shared" si="2"/>
        <v>n6</v>
      </c>
      <c r="E163" s="2" t="str">
        <f t="shared" si="3"/>
        <v>f</v>
      </c>
      <c r="F163" s="2" t="str">
        <f t="shared" si="4"/>
        <v>13</v>
      </c>
      <c r="G163" s="2" t="str">
        <f t="shared" si="5"/>
        <v>n60f</v>
      </c>
      <c r="H163" s="2" t="str">
        <f t="shared" si="6"/>
        <v>11.21.09</v>
      </c>
      <c r="I163" s="3">
        <v>180.0</v>
      </c>
      <c r="J163" s="3">
        <v>0.877</v>
      </c>
      <c r="K163" s="4">
        <f t="shared" si="7"/>
        <v>56.29</v>
      </c>
      <c r="L163" s="4">
        <f t="shared" si="8"/>
        <v>0</v>
      </c>
      <c r="M163" s="4">
        <f t="shared" si="9"/>
        <v>3.752666667</v>
      </c>
      <c r="N163" s="4">
        <f t="shared" si="10"/>
        <v>4.629666667</v>
      </c>
      <c r="O163" s="4">
        <f t="shared" si="11"/>
        <v>138.89</v>
      </c>
      <c r="P163" s="4">
        <f t="shared" si="12"/>
        <v>0</v>
      </c>
    </row>
    <row r="164">
      <c r="A164" s="3">
        <v>1.0</v>
      </c>
      <c r="B164" s="1" t="s">
        <v>173</v>
      </c>
      <c r="C164" s="2" t="str">
        <f t="shared" si="1"/>
        <v>n60</v>
      </c>
      <c r="D164" s="2" t="str">
        <f t="shared" si="2"/>
        <v>n6</v>
      </c>
      <c r="E164" s="2" t="str">
        <f t="shared" si="3"/>
        <v>f</v>
      </c>
      <c r="F164" s="2" t="str">
        <f t="shared" si="4"/>
        <v>15</v>
      </c>
      <c r="G164" s="2" t="str">
        <f t="shared" si="5"/>
        <v>n60f</v>
      </c>
      <c r="H164" s="2" t="str">
        <f t="shared" si="6"/>
        <v>11.21.09</v>
      </c>
      <c r="I164" s="3">
        <v>168.366</v>
      </c>
      <c r="J164" s="3">
        <v>1.257</v>
      </c>
      <c r="K164" s="4">
        <f t="shared" si="7"/>
        <v>64.95</v>
      </c>
      <c r="L164" s="4">
        <f t="shared" si="8"/>
        <v>11.634</v>
      </c>
      <c r="M164" s="4">
        <f t="shared" si="9"/>
        <v>4.33</v>
      </c>
      <c r="N164" s="4">
        <f t="shared" si="10"/>
        <v>5.566949987</v>
      </c>
      <c r="O164" s="4">
        <f t="shared" si="11"/>
        <v>167.0084996</v>
      </c>
      <c r="P164" s="4">
        <f t="shared" si="12"/>
        <v>0.2030516052</v>
      </c>
    </row>
    <row r="165">
      <c r="A165" s="3">
        <v>1.0</v>
      </c>
      <c r="B165" s="1" t="s">
        <v>174</v>
      </c>
      <c r="C165" s="2" t="str">
        <f t="shared" si="1"/>
        <v>n60</v>
      </c>
      <c r="D165" s="2" t="str">
        <f t="shared" si="2"/>
        <v>n6</v>
      </c>
      <c r="E165" s="2" t="str">
        <f t="shared" si="3"/>
        <v>f</v>
      </c>
      <c r="F165" s="2" t="str">
        <f t="shared" si="4"/>
        <v>15</v>
      </c>
      <c r="G165" s="2" t="str">
        <f t="shared" si="5"/>
        <v>n60f</v>
      </c>
      <c r="H165" s="2" t="str">
        <f t="shared" si="6"/>
        <v>11.21.09</v>
      </c>
      <c r="I165" s="3">
        <v>146.976</v>
      </c>
      <c r="J165" s="3">
        <v>0.845</v>
      </c>
      <c r="K165" s="4">
        <f t="shared" si="7"/>
        <v>64.95</v>
      </c>
      <c r="L165" s="4">
        <f t="shared" si="8"/>
        <v>33.024</v>
      </c>
      <c r="M165" s="4">
        <f t="shared" si="9"/>
        <v>4.33</v>
      </c>
      <c r="N165" s="4">
        <f t="shared" si="10"/>
        <v>5.059485609</v>
      </c>
      <c r="O165" s="4">
        <f t="shared" si="11"/>
        <v>151.7845683</v>
      </c>
      <c r="P165" s="4">
        <f t="shared" si="12"/>
        <v>0.5763775322</v>
      </c>
    </row>
    <row r="166">
      <c r="A166" s="3">
        <v>1.0</v>
      </c>
      <c r="B166" s="1" t="s">
        <v>175</v>
      </c>
      <c r="C166" s="2" t="str">
        <f t="shared" si="1"/>
        <v>n60</v>
      </c>
      <c r="D166" s="2" t="str">
        <f t="shared" si="2"/>
        <v>n6</v>
      </c>
      <c r="E166" s="2" t="str">
        <f t="shared" si="3"/>
        <v>f</v>
      </c>
      <c r="F166" s="2" t="str">
        <f t="shared" si="4"/>
        <v>15</v>
      </c>
      <c r="G166" s="2" t="str">
        <f t="shared" si="5"/>
        <v>n60f</v>
      </c>
      <c r="H166" s="2" t="str">
        <f t="shared" si="6"/>
        <v>11.21.09</v>
      </c>
      <c r="I166" s="3">
        <v>133.363</v>
      </c>
      <c r="J166" s="3">
        <v>1.79</v>
      </c>
      <c r="K166" s="4">
        <f t="shared" si="7"/>
        <v>64.95</v>
      </c>
      <c r="L166" s="4">
        <f t="shared" si="8"/>
        <v>46.637</v>
      </c>
      <c r="M166" s="4">
        <f t="shared" si="9"/>
        <v>4.33</v>
      </c>
      <c r="N166" s="4">
        <f t="shared" si="10"/>
        <v>5.709338214</v>
      </c>
      <c r="O166" s="4">
        <f t="shared" si="11"/>
        <v>171.2801464</v>
      </c>
      <c r="P166" s="4">
        <f t="shared" si="12"/>
        <v>0.8139692033</v>
      </c>
    </row>
    <row r="167">
      <c r="A167" s="3">
        <v>1.0</v>
      </c>
      <c r="B167" s="1" t="s">
        <v>176</v>
      </c>
      <c r="C167" s="2" t="str">
        <f t="shared" si="1"/>
        <v>n60</v>
      </c>
      <c r="D167" s="2" t="str">
        <f t="shared" si="2"/>
        <v>n6</v>
      </c>
      <c r="E167" s="2" t="str">
        <f t="shared" si="3"/>
        <v>f</v>
      </c>
      <c r="F167" s="2" t="str">
        <f t="shared" si="4"/>
        <v>15</v>
      </c>
      <c r="G167" s="2" t="str">
        <f t="shared" si="5"/>
        <v>n60f</v>
      </c>
      <c r="H167" s="2" t="str">
        <f t="shared" si="6"/>
        <v>11.21.09</v>
      </c>
      <c r="I167" s="3">
        <v>175.389</v>
      </c>
      <c r="J167" s="3">
        <v>2.238</v>
      </c>
      <c r="K167" s="4">
        <f t="shared" si="7"/>
        <v>64.95</v>
      </c>
      <c r="L167" s="4">
        <f t="shared" si="8"/>
        <v>4.611</v>
      </c>
      <c r="M167" s="4">
        <f t="shared" si="9"/>
        <v>4.33</v>
      </c>
      <c r="N167" s="4">
        <f t="shared" si="10"/>
        <v>6.563223021</v>
      </c>
      <c r="O167" s="4">
        <f t="shared" si="11"/>
        <v>196.8966906</v>
      </c>
      <c r="P167" s="4">
        <f t="shared" si="12"/>
        <v>0.08047713181</v>
      </c>
    </row>
    <row r="168">
      <c r="A168" s="3">
        <v>1.0</v>
      </c>
      <c r="B168" s="1" t="s">
        <v>177</v>
      </c>
      <c r="C168" s="2" t="str">
        <f t="shared" si="1"/>
        <v>n60</v>
      </c>
      <c r="D168" s="2" t="str">
        <f t="shared" si="2"/>
        <v>n6</v>
      </c>
      <c r="E168" s="2" t="str">
        <f t="shared" si="3"/>
        <v>f</v>
      </c>
      <c r="F168" s="2" t="str">
        <f t="shared" si="4"/>
        <v>17</v>
      </c>
      <c r="G168" s="2" t="str">
        <f t="shared" si="5"/>
        <v>n60f</v>
      </c>
      <c r="H168" s="2" t="str">
        <f t="shared" si="6"/>
        <v>11.21.09</v>
      </c>
      <c r="I168" s="3">
        <v>119.745</v>
      </c>
      <c r="J168" s="3">
        <v>1.144</v>
      </c>
      <c r="K168" s="4">
        <f t="shared" si="7"/>
        <v>73.61</v>
      </c>
      <c r="L168" s="4">
        <f t="shared" si="8"/>
        <v>60.255</v>
      </c>
      <c r="M168" s="4">
        <f t="shared" si="9"/>
        <v>4.907333333</v>
      </c>
      <c r="N168" s="4">
        <f t="shared" si="10"/>
        <v>5.564289178</v>
      </c>
      <c r="O168" s="4">
        <f t="shared" si="11"/>
        <v>166.9286753</v>
      </c>
      <c r="P168" s="4">
        <f t="shared" si="12"/>
        <v>1.051648141</v>
      </c>
    </row>
    <row r="169">
      <c r="A169" s="3">
        <v>1.0</v>
      </c>
      <c r="B169" s="1" t="s">
        <v>178</v>
      </c>
      <c r="C169" s="2" t="str">
        <f t="shared" si="1"/>
        <v>n60</v>
      </c>
      <c r="D169" s="2" t="str">
        <f t="shared" si="2"/>
        <v>n6</v>
      </c>
      <c r="E169" s="2" t="str">
        <f t="shared" si="3"/>
        <v>f</v>
      </c>
      <c r="F169" s="2" t="str">
        <f t="shared" si="4"/>
        <v>21</v>
      </c>
      <c r="G169" s="2" t="str">
        <f t="shared" si="5"/>
        <v>n60f</v>
      </c>
      <c r="H169" s="2" t="str">
        <f t="shared" si="6"/>
        <v>11.21.09</v>
      </c>
      <c r="I169" s="3">
        <v>143.842</v>
      </c>
      <c r="J169" s="3">
        <v>1.184</v>
      </c>
      <c r="K169" s="4">
        <f t="shared" si="7"/>
        <v>90.93</v>
      </c>
      <c r="L169" s="4">
        <f t="shared" si="8"/>
        <v>36.158</v>
      </c>
      <c r="M169" s="4">
        <f t="shared" si="9"/>
        <v>6.062</v>
      </c>
      <c r="N169" s="4">
        <f t="shared" si="10"/>
        <v>7.052636274</v>
      </c>
      <c r="O169" s="4">
        <f t="shared" si="11"/>
        <v>211.5790882</v>
      </c>
      <c r="P169" s="4">
        <f t="shared" si="12"/>
        <v>0.6310761509</v>
      </c>
    </row>
    <row r="170">
      <c r="A170" s="3">
        <v>1.0</v>
      </c>
      <c r="B170" s="1" t="s">
        <v>179</v>
      </c>
      <c r="C170" s="2" t="str">
        <f t="shared" si="1"/>
        <v>n60</v>
      </c>
      <c r="D170" s="2" t="str">
        <f t="shared" si="2"/>
        <v>n6</v>
      </c>
      <c r="E170" s="2" t="str">
        <f t="shared" si="3"/>
        <v>f</v>
      </c>
      <c r="F170" s="2" t="str">
        <f t="shared" si="4"/>
        <v>23</v>
      </c>
      <c r="G170" s="2" t="str">
        <f t="shared" si="5"/>
        <v>n60f</v>
      </c>
      <c r="H170" s="2" t="str">
        <f t="shared" si="6"/>
        <v>11.21.09</v>
      </c>
      <c r="I170" s="3">
        <v>-168.232</v>
      </c>
      <c r="J170" s="3">
        <v>0.91</v>
      </c>
      <c r="K170" s="4">
        <f t="shared" si="7"/>
        <v>99.59</v>
      </c>
      <c r="L170" s="4">
        <f t="shared" si="8"/>
        <v>11.768</v>
      </c>
      <c r="M170" s="4">
        <f t="shared" si="9"/>
        <v>6.639333333</v>
      </c>
      <c r="N170" s="4">
        <f t="shared" si="10"/>
        <v>7.532493232</v>
      </c>
      <c r="O170" s="4">
        <f t="shared" si="11"/>
        <v>225.974797</v>
      </c>
      <c r="P170" s="4">
        <f t="shared" si="12"/>
        <v>0.2053903464</v>
      </c>
    </row>
    <row r="171">
      <c r="A171" s="3">
        <v>1.0</v>
      </c>
      <c r="B171" s="1" t="s">
        <v>180</v>
      </c>
      <c r="C171" s="2" t="str">
        <f t="shared" si="1"/>
        <v>n60</v>
      </c>
      <c r="D171" s="2" t="str">
        <f t="shared" si="2"/>
        <v>n6</v>
      </c>
      <c r="E171" s="2" t="str">
        <f t="shared" si="3"/>
        <v>m</v>
      </c>
      <c r="F171" s="2" t="str">
        <f t="shared" si="4"/>
        <v>03</v>
      </c>
      <c r="G171" s="2" t="str">
        <f t="shared" si="5"/>
        <v>n60m</v>
      </c>
      <c r="H171" s="2" t="str">
        <f t="shared" si="6"/>
        <v>11.21.09</v>
      </c>
      <c r="I171" s="3">
        <v>-173.29</v>
      </c>
      <c r="J171" s="3">
        <v>1.277</v>
      </c>
      <c r="K171" s="4">
        <f t="shared" si="7"/>
        <v>12.99</v>
      </c>
      <c r="L171" s="4">
        <f t="shared" si="8"/>
        <v>6.71</v>
      </c>
      <c r="M171" s="4">
        <f t="shared" si="9"/>
        <v>0.866</v>
      </c>
      <c r="N171" s="4">
        <f t="shared" si="10"/>
        <v>2.13946232</v>
      </c>
      <c r="O171" s="4">
        <f t="shared" si="11"/>
        <v>64.18386959</v>
      </c>
      <c r="P171" s="4">
        <f t="shared" si="12"/>
        <v>0.1171115928</v>
      </c>
    </row>
    <row r="172">
      <c r="A172" s="3">
        <v>1.0</v>
      </c>
      <c r="B172" s="1" t="s">
        <v>181</v>
      </c>
      <c r="C172" s="2" t="str">
        <f t="shared" si="1"/>
        <v>n60</v>
      </c>
      <c r="D172" s="2" t="str">
        <f t="shared" si="2"/>
        <v>n6</v>
      </c>
      <c r="E172" s="2" t="str">
        <f t="shared" si="3"/>
        <v>m</v>
      </c>
      <c r="F172" s="2" t="str">
        <f t="shared" si="4"/>
        <v>11</v>
      </c>
      <c r="G172" s="2" t="str">
        <f t="shared" si="5"/>
        <v>n60m</v>
      </c>
      <c r="H172" s="2" t="str">
        <f t="shared" si="6"/>
        <v>11.21.09</v>
      </c>
      <c r="I172" s="3">
        <v>115.974</v>
      </c>
      <c r="J172" s="3">
        <v>1.629</v>
      </c>
      <c r="K172" s="4">
        <f t="shared" si="7"/>
        <v>47.63</v>
      </c>
      <c r="L172" s="4">
        <f t="shared" si="8"/>
        <v>64.026</v>
      </c>
      <c r="M172" s="4">
        <f t="shared" si="9"/>
        <v>3.175333333</v>
      </c>
      <c r="N172" s="4">
        <f t="shared" si="10"/>
        <v>4.155383962</v>
      </c>
      <c r="O172" s="4">
        <f t="shared" si="11"/>
        <v>124.6615189</v>
      </c>
      <c r="P172" s="4">
        <f t="shared" si="12"/>
        <v>1.117464507</v>
      </c>
    </row>
    <row r="173">
      <c r="A173" s="3">
        <v>1.0</v>
      </c>
      <c r="B173" s="1" t="s">
        <v>182</v>
      </c>
      <c r="C173" s="2" t="str">
        <f t="shared" si="1"/>
        <v>n60</v>
      </c>
      <c r="D173" s="2" t="str">
        <f t="shared" si="2"/>
        <v>n6</v>
      </c>
      <c r="E173" s="2" t="str">
        <f t="shared" si="3"/>
        <v>m</v>
      </c>
      <c r="F173" s="2" t="str">
        <f t="shared" si="4"/>
        <v>15</v>
      </c>
      <c r="G173" s="2" t="str">
        <f t="shared" si="5"/>
        <v>n60m</v>
      </c>
      <c r="H173" s="2" t="str">
        <f t="shared" si="6"/>
        <v>11.21.09</v>
      </c>
      <c r="I173" s="3">
        <v>168.056</v>
      </c>
      <c r="J173" s="3">
        <v>1.97</v>
      </c>
      <c r="K173" s="4">
        <f t="shared" si="7"/>
        <v>64.95</v>
      </c>
      <c r="L173" s="4">
        <f t="shared" si="8"/>
        <v>11.944</v>
      </c>
      <c r="M173" s="4">
        <f t="shared" si="9"/>
        <v>4.33</v>
      </c>
      <c r="N173" s="4">
        <f t="shared" si="10"/>
        <v>6.270618193</v>
      </c>
      <c r="O173" s="4">
        <f t="shared" si="11"/>
        <v>188.1185458</v>
      </c>
      <c r="P173" s="4">
        <f t="shared" si="12"/>
        <v>0.2084621259</v>
      </c>
    </row>
    <row r="174">
      <c r="A174" s="3">
        <v>1.0</v>
      </c>
      <c r="B174" s="1" t="s">
        <v>183</v>
      </c>
      <c r="C174" s="2" t="str">
        <f t="shared" si="1"/>
        <v>n60</v>
      </c>
      <c r="D174" s="2" t="str">
        <f t="shared" si="2"/>
        <v>n6</v>
      </c>
      <c r="E174" s="2" t="str">
        <f t="shared" si="3"/>
        <v>m</v>
      </c>
      <c r="F174" s="2" t="str">
        <f t="shared" si="4"/>
        <v>15</v>
      </c>
      <c r="G174" s="2" t="str">
        <f t="shared" si="5"/>
        <v>n60m</v>
      </c>
      <c r="H174" s="2" t="str">
        <f t="shared" si="6"/>
        <v>11.21.09</v>
      </c>
      <c r="I174" s="3">
        <v>148.173</v>
      </c>
      <c r="J174" s="3">
        <v>1.303</v>
      </c>
      <c r="K174" s="4">
        <f t="shared" si="7"/>
        <v>64.95</v>
      </c>
      <c r="L174" s="4">
        <f t="shared" si="8"/>
        <v>31.827</v>
      </c>
      <c r="M174" s="4">
        <f t="shared" si="9"/>
        <v>4.33</v>
      </c>
      <c r="N174" s="4">
        <f t="shared" si="10"/>
        <v>5.480335576</v>
      </c>
      <c r="O174" s="4">
        <f t="shared" si="11"/>
        <v>164.4100673</v>
      </c>
      <c r="P174" s="4">
        <f t="shared" si="12"/>
        <v>0.555485941</v>
      </c>
    </row>
    <row r="175">
      <c r="A175" s="3">
        <v>1.0</v>
      </c>
      <c r="B175" s="1" t="s">
        <v>184</v>
      </c>
      <c r="C175" s="2" t="str">
        <f t="shared" si="1"/>
        <v>n60</v>
      </c>
      <c r="D175" s="2" t="str">
        <f t="shared" si="2"/>
        <v>n6</v>
      </c>
      <c r="E175" s="2" t="str">
        <f t="shared" si="3"/>
        <v>m</v>
      </c>
      <c r="F175" s="2" t="str">
        <f t="shared" si="4"/>
        <v>17</v>
      </c>
      <c r="G175" s="2" t="str">
        <f t="shared" si="5"/>
        <v>n60m</v>
      </c>
      <c r="H175" s="2" t="str">
        <f t="shared" si="6"/>
        <v>11.21.09</v>
      </c>
      <c r="I175" s="3">
        <v>133.315</v>
      </c>
      <c r="J175" s="3">
        <v>1.78</v>
      </c>
      <c r="K175" s="4">
        <f t="shared" si="7"/>
        <v>73.61</v>
      </c>
      <c r="L175" s="4">
        <f t="shared" si="8"/>
        <v>46.685</v>
      </c>
      <c r="M175" s="4">
        <f t="shared" si="9"/>
        <v>4.907333333</v>
      </c>
      <c r="N175" s="4">
        <f t="shared" si="10"/>
        <v>6.263782276</v>
      </c>
      <c r="O175" s="4">
        <f t="shared" si="11"/>
        <v>187.9134683</v>
      </c>
      <c r="P175" s="4">
        <f t="shared" si="12"/>
        <v>0.8148069613</v>
      </c>
    </row>
    <row r="176">
      <c r="A176" s="3">
        <v>1.0</v>
      </c>
      <c r="B176" s="1" t="s">
        <v>185</v>
      </c>
      <c r="C176" s="2" t="str">
        <f t="shared" si="1"/>
        <v>n60</v>
      </c>
      <c r="D176" s="2" t="str">
        <f t="shared" si="2"/>
        <v>n6</v>
      </c>
      <c r="E176" s="2" t="str">
        <f t="shared" si="3"/>
        <v>m</v>
      </c>
      <c r="F176" s="2" t="str">
        <f t="shared" si="4"/>
        <v>17</v>
      </c>
      <c r="G176" s="2" t="str">
        <f t="shared" si="5"/>
        <v>n60m</v>
      </c>
      <c r="H176" s="2" t="str">
        <f t="shared" si="6"/>
        <v>11.21.09</v>
      </c>
      <c r="I176" s="3">
        <v>-137.386</v>
      </c>
      <c r="J176" s="3">
        <v>1.287</v>
      </c>
      <c r="K176" s="4">
        <f t="shared" si="7"/>
        <v>73.61</v>
      </c>
      <c r="L176" s="4">
        <f t="shared" si="8"/>
        <v>42.614</v>
      </c>
      <c r="M176" s="4">
        <f t="shared" si="9"/>
        <v>4.907333333</v>
      </c>
      <c r="N176" s="4">
        <f t="shared" si="10"/>
        <v>5.918968889</v>
      </c>
      <c r="O176" s="4">
        <f t="shared" si="11"/>
        <v>177.5690667</v>
      </c>
      <c r="P176" s="4">
        <f t="shared" si="12"/>
        <v>0.7437546074</v>
      </c>
    </row>
    <row r="177">
      <c r="A177" s="3">
        <v>1.0</v>
      </c>
      <c r="B177" s="1" t="s">
        <v>186</v>
      </c>
      <c r="C177" s="2" t="str">
        <f t="shared" si="1"/>
        <v>n60</v>
      </c>
      <c r="D177" s="2" t="str">
        <f t="shared" si="2"/>
        <v>n6</v>
      </c>
      <c r="E177" s="2" t="str">
        <f t="shared" si="3"/>
        <v>m</v>
      </c>
      <c r="F177" s="2" t="str">
        <f t="shared" si="4"/>
        <v>17</v>
      </c>
      <c r="G177" s="2" t="str">
        <f t="shared" si="5"/>
        <v>n60m</v>
      </c>
      <c r="H177" s="2" t="str">
        <f t="shared" si="6"/>
        <v>11.21.09</v>
      </c>
      <c r="I177" s="3">
        <v>-160.017</v>
      </c>
      <c r="J177" s="3">
        <v>1.309</v>
      </c>
      <c r="K177" s="4">
        <f t="shared" si="7"/>
        <v>73.61</v>
      </c>
      <c r="L177" s="4">
        <f t="shared" si="8"/>
        <v>19.983</v>
      </c>
      <c r="M177" s="4">
        <f t="shared" si="9"/>
        <v>4.907333333</v>
      </c>
      <c r="N177" s="4">
        <f t="shared" si="10"/>
        <v>6.153804545</v>
      </c>
      <c r="O177" s="4">
        <f t="shared" si="11"/>
        <v>184.6141364</v>
      </c>
      <c r="P177" s="4">
        <f t="shared" si="12"/>
        <v>0.3487691444</v>
      </c>
    </row>
    <row r="178">
      <c r="A178" s="3">
        <v>1.0</v>
      </c>
      <c r="B178" s="1" t="s">
        <v>187</v>
      </c>
      <c r="C178" s="2" t="str">
        <f t="shared" si="1"/>
        <v>n60</v>
      </c>
      <c r="D178" s="2" t="str">
        <f t="shared" si="2"/>
        <v>n6</v>
      </c>
      <c r="E178" s="2" t="str">
        <f t="shared" si="3"/>
        <v>m</v>
      </c>
      <c r="F178" s="2" t="str">
        <f t="shared" si="4"/>
        <v>17</v>
      </c>
      <c r="G178" s="2" t="str">
        <f t="shared" si="5"/>
        <v>n60m</v>
      </c>
      <c r="H178" s="2" t="str">
        <f t="shared" si="6"/>
        <v>11.21.09</v>
      </c>
      <c r="I178" s="3">
        <v>160.017</v>
      </c>
      <c r="J178" s="3">
        <v>0.46</v>
      </c>
      <c r="K178" s="4">
        <f t="shared" si="7"/>
        <v>73.61</v>
      </c>
      <c r="L178" s="4">
        <f t="shared" si="8"/>
        <v>19.983</v>
      </c>
      <c r="M178" s="4">
        <f t="shared" si="9"/>
        <v>4.907333333</v>
      </c>
      <c r="N178" s="4">
        <f t="shared" si="10"/>
        <v>5.341952128</v>
      </c>
      <c r="O178" s="4">
        <f t="shared" si="11"/>
        <v>160.2585638</v>
      </c>
      <c r="P178" s="4">
        <f t="shared" si="12"/>
        <v>0.3487691444</v>
      </c>
    </row>
    <row r="179">
      <c r="A179" s="3">
        <v>1.0</v>
      </c>
      <c r="B179" s="1" t="s">
        <v>188</v>
      </c>
      <c r="C179" s="2" t="str">
        <f t="shared" si="1"/>
        <v>n60</v>
      </c>
      <c r="D179" s="2" t="str">
        <f t="shared" si="2"/>
        <v>n6</v>
      </c>
      <c r="E179" s="2" t="str">
        <f t="shared" si="3"/>
        <v>m</v>
      </c>
      <c r="F179" s="2" t="str">
        <f t="shared" si="4"/>
        <v>17</v>
      </c>
      <c r="G179" s="2" t="str">
        <f t="shared" si="5"/>
        <v>n60m</v>
      </c>
      <c r="H179" s="2" t="str">
        <f t="shared" si="6"/>
        <v>11.21.09</v>
      </c>
      <c r="I179" s="3">
        <v>147.848</v>
      </c>
      <c r="J179" s="3">
        <v>1.541</v>
      </c>
      <c r="K179" s="4">
        <f t="shared" si="7"/>
        <v>73.61</v>
      </c>
      <c r="L179" s="4">
        <f t="shared" si="8"/>
        <v>32.152</v>
      </c>
      <c r="M179" s="4">
        <f t="shared" si="9"/>
        <v>4.907333333</v>
      </c>
      <c r="N179" s="4">
        <f t="shared" si="10"/>
        <v>6.265900882</v>
      </c>
      <c r="O179" s="4">
        <f t="shared" si="11"/>
        <v>187.9770264</v>
      </c>
      <c r="P179" s="4">
        <f t="shared" si="12"/>
        <v>0.5611582611</v>
      </c>
    </row>
    <row r="180">
      <c r="A180" s="3">
        <v>1.0</v>
      </c>
      <c r="B180" s="1" t="s">
        <v>189</v>
      </c>
      <c r="C180" s="2" t="str">
        <f t="shared" si="1"/>
        <v>n60</v>
      </c>
      <c r="D180" s="2" t="str">
        <f t="shared" si="2"/>
        <v>n6</v>
      </c>
      <c r="E180" s="2" t="str">
        <f t="shared" si="3"/>
        <v>m</v>
      </c>
      <c r="F180" s="2" t="str">
        <f t="shared" si="4"/>
        <v>17</v>
      </c>
      <c r="G180" s="2" t="str">
        <f t="shared" si="5"/>
        <v>n60m</v>
      </c>
      <c r="H180" s="2" t="str">
        <f t="shared" si="6"/>
        <v>11.21.09</v>
      </c>
      <c r="I180" s="3">
        <v>-135.0</v>
      </c>
      <c r="J180" s="3">
        <v>0.791</v>
      </c>
      <c r="K180" s="4">
        <f t="shared" si="7"/>
        <v>73.61</v>
      </c>
      <c r="L180" s="4">
        <f t="shared" si="8"/>
        <v>45</v>
      </c>
      <c r="M180" s="4">
        <f t="shared" si="9"/>
        <v>4.907333333</v>
      </c>
      <c r="N180" s="4">
        <f t="shared" si="10"/>
        <v>5.495193825</v>
      </c>
      <c r="O180" s="4">
        <f t="shared" si="11"/>
        <v>164.8558147</v>
      </c>
      <c r="P180" s="4">
        <f t="shared" si="12"/>
        <v>0.7853981634</v>
      </c>
    </row>
    <row r="181">
      <c r="A181" s="3">
        <v>1.0</v>
      </c>
      <c r="B181" s="1" t="s">
        <v>190</v>
      </c>
      <c r="C181" s="2" t="str">
        <f t="shared" si="1"/>
        <v>n60</v>
      </c>
      <c r="D181" s="2" t="str">
        <f t="shared" si="2"/>
        <v>n6</v>
      </c>
      <c r="E181" s="2" t="str">
        <f t="shared" si="3"/>
        <v>m</v>
      </c>
      <c r="F181" s="2" t="str">
        <f t="shared" si="4"/>
        <v>17</v>
      </c>
      <c r="G181" s="2" t="str">
        <f t="shared" si="5"/>
        <v>n60m</v>
      </c>
      <c r="H181" s="2" t="str">
        <f t="shared" si="6"/>
        <v>11.21.09</v>
      </c>
      <c r="I181" s="3">
        <v>165.069</v>
      </c>
      <c r="J181" s="3">
        <v>0.575</v>
      </c>
      <c r="K181" s="4">
        <f t="shared" si="7"/>
        <v>73.61</v>
      </c>
      <c r="L181" s="4">
        <f t="shared" si="8"/>
        <v>14.931</v>
      </c>
      <c r="M181" s="4">
        <f t="shared" si="9"/>
        <v>4.907333333</v>
      </c>
      <c r="N181" s="4">
        <f t="shared" si="10"/>
        <v>5.464928041</v>
      </c>
      <c r="O181" s="4">
        <f t="shared" si="11"/>
        <v>163.9478412</v>
      </c>
      <c r="P181" s="4">
        <f t="shared" si="12"/>
        <v>0.2605951106</v>
      </c>
    </row>
    <row r="182">
      <c r="A182" s="3">
        <v>1.0</v>
      </c>
      <c r="B182" s="1" t="s">
        <v>191</v>
      </c>
      <c r="C182" s="2" t="str">
        <f t="shared" si="1"/>
        <v>n60</v>
      </c>
      <c r="D182" s="2" t="str">
        <f t="shared" si="2"/>
        <v>n6</v>
      </c>
      <c r="E182" s="2" t="str">
        <f t="shared" si="3"/>
        <v>m</v>
      </c>
      <c r="F182" s="2" t="str">
        <f t="shared" si="4"/>
        <v>19</v>
      </c>
      <c r="G182" s="2" t="str">
        <f t="shared" si="5"/>
        <v>n60m</v>
      </c>
      <c r="H182" s="2" t="str">
        <f t="shared" si="6"/>
        <v>11.21.09</v>
      </c>
      <c r="I182" s="3">
        <v>154.093</v>
      </c>
      <c r="J182" s="3">
        <v>1.45</v>
      </c>
      <c r="K182" s="4">
        <f t="shared" si="7"/>
        <v>82.27</v>
      </c>
      <c r="L182" s="4">
        <f t="shared" si="8"/>
        <v>25.907</v>
      </c>
      <c r="M182" s="4">
        <f t="shared" si="9"/>
        <v>5.484666667</v>
      </c>
      <c r="N182" s="4">
        <f t="shared" si="10"/>
        <v>6.818443061</v>
      </c>
      <c r="O182" s="4">
        <f t="shared" si="11"/>
        <v>204.5532918</v>
      </c>
      <c r="P182" s="4">
        <f t="shared" si="12"/>
        <v>0.4521624493</v>
      </c>
    </row>
    <row r="183">
      <c r="A183" s="3">
        <v>1.0</v>
      </c>
      <c r="B183" s="1" t="s">
        <v>192</v>
      </c>
      <c r="C183" s="2" t="str">
        <f t="shared" si="1"/>
        <v>n60</v>
      </c>
      <c r="D183" s="2" t="str">
        <f t="shared" si="2"/>
        <v>n6</v>
      </c>
      <c r="E183" s="2" t="str">
        <f t="shared" si="3"/>
        <v>m</v>
      </c>
      <c r="F183" s="2" t="str">
        <f t="shared" si="4"/>
        <v>19</v>
      </c>
      <c r="G183" s="2" t="str">
        <f t="shared" si="5"/>
        <v>n60m</v>
      </c>
      <c r="H183" s="2" t="str">
        <f t="shared" si="6"/>
        <v>11.21.09</v>
      </c>
      <c r="I183" s="3">
        <v>180.0</v>
      </c>
      <c r="J183" s="3">
        <v>0.811</v>
      </c>
      <c r="K183" s="4">
        <f t="shared" si="7"/>
        <v>82.27</v>
      </c>
      <c r="L183" s="4">
        <f t="shared" si="8"/>
        <v>0</v>
      </c>
      <c r="M183" s="4">
        <f t="shared" si="9"/>
        <v>5.484666667</v>
      </c>
      <c r="N183" s="4">
        <f t="shared" si="10"/>
        <v>6.295666667</v>
      </c>
      <c r="O183" s="4">
        <f t="shared" si="11"/>
        <v>188.87</v>
      </c>
      <c r="P183" s="4">
        <f t="shared" si="12"/>
        <v>0</v>
      </c>
    </row>
    <row r="184">
      <c r="A184" s="3">
        <v>1.0</v>
      </c>
      <c r="B184" s="1" t="s">
        <v>193</v>
      </c>
      <c r="C184" s="2" t="str">
        <f t="shared" si="1"/>
        <v>n60</v>
      </c>
      <c r="D184" s="2" t="str">
        <f t="shared" si="2"/>
        <v>n6</v>
      </c>
      <c r="E184" s="2" t="str">
        <f t="shared" si="3"/>
        <v>m</v>
      </c>
      <c r="F184" s="2" t="str">
        <f t="shared" si="4"/>
        <v>19</v>
      </c>
      <c r="G184" s="2" t="str">
        <f t="shared" si="5"/>
        <v>n60m</v>
      </c>
      <c r="H184" s="2" t="str">
        <f t="shared" si="6"/>
        <v>11.21.09</v>
      </c>
      <c r="I184" s="3">
        <v>145.62</v>
      </c>
      <c r="J184" s="3">
        <v>0.845</v>
      </c>
      <c r="K184" s="4">
        <f t="shared" si="7"/>
        <v>82.27</v>
      </c>
      <c r="L184" s="4">
        <f t="shared" si="8"/>
        <v>34.38</v>
      </c>
      <c r="M184" s="4">
        <f t="shared" si="9"/>
        <v>5.484666667</v>
      </c>
      <c r="N184" s="4">
        <f t="shared" si="10"/>
        <v>6.20044107</v>
      </c>
      <c r="O184" s="4">
        <f t="shared" si="11"/>
        <v>186.0132321</v>
      </c>
      <c r="P184" s="4">
        <f t="shared" si="12"/>
        <v>0.6000441968</v>
      </c>
    </row>
    <row r="185">
      <c r="A185" s="3">
        <v>1.0</v>
      </c>
      <c r="B185" s="1" t="s">
        <v>194</v>
      </c>
      <c r="C185" s="2" t="str">
        <f t="shared" si="1"/>
        <v>n60</v>
      </c>
      <c r="D185" s="2" t="str">
        <f t="shared" si="2"/>
        <v>n6</v>
      </c>
      <c r="E185" s="2" t="str">
        <f t="shared" si="3"/>
        <v>m</v>
      </c>
      <c r="F185" s="2" t="str">
        <f t="shared" si="4"/>
        <v>19</v>
      </c>
      <c r="G185" s="2" t="str">
        <f t="shared" si="5"/>
        <v>n60m</v>
      </c>
      <c r="H185" s="2" t="str">
        <f t="shared" si="6"/>
        <v>11.21.09</v>
      </c>
      <c r="I185" s="3">
        <v>160.201</v>
      </c>
      <c r="J185" s="3">
        <v>1.004</v>
      </c>
      <c r="K185" s="4">
        <f t="shared" si="7"/>
        <v>82.27</v>
      </c>
      <c r="L185" s="4">
        <f t="shared" si="8"/>
        <v>19.799</v>
      </c>
      <c r="M185" s="4">
        <f t="shared" si="9"/>
        <v>5.484666667</v>
      </c>
      <c r="N185" s="4">
        <f t="shared" si="10"/>
        <v>6.438304721</v>
      </c>
      <c r="O185" s="4">
        <f t="shared" si="11"/>
        <v>193.1491416</v>
      </c>
      <c r="P185" s="4">
        <f t="shared" si="12"/>
        <v>0.3455577386</v>
      </c>
    </row>
    <row r="186">
      <c r="A186" s="3">
        <v>1.0</v>
      </c>
      <c r="B186" s="1" t="s">
        <v>195</v>
      </c>
      <c r="C186" s="2" t="str">
        <f t="shared" si="1"/>
        <v>n60</v>
      </c>
      <c r="D186" s="2" t="str">
        <f t="shared" si="2"/>
        <v>n6</v>
      </c>
      <c r="E186" s="2" t="str">
        <f t="shared" si="3"/>
        <v>m</v>
      </c>
      <c r="F186" s="2" t="str">
        <f t="shared" si="4"/>
        <v>19</v>
      </c>
      <c r="G186" s="2" t="str">
        <f t="shared" si="5"/>
        <v>n60m</v>
      </c>
      <c r="H186" s="2" t="str">
        <f t="shared" si="6"/>
        <v>11.21.09</v>
      </c>
      <c r="I186" s="3">
        <v>142.765</v>
      </c>
      <c r="J186" s="3">
        <v>1.17</v>
      </c>
      <c r="K186" s="4">
        <f t="shared" si="7"/>
        <v>82.27</v>
      </c>
      <c r="L186" s="4">
        <f t="shared" si="8"/>
        <v>37.235</v>
      </c>
      <c r="M186" s="4">
        <f t="shared" si="9"/>
        <v>5.484666667</v>
      </c>
      <c r="N186" s="4">
        <f t="shared" si="10"/>
        <v>6.455113251</v>
      </c>
      <c r="O186" s="4">
        <f t="shared" si="11"/>
        <v>193.6533975</v>
      </c>
      <c r="P186" s="4">
        <f t="shared" si="12"/>
        <v>0.649873347</v>
      </c>
    </row>
    <row r="187">
      <c r="A187" s="3">
        <v>1.0</v>
      </c>
      <c r="B187" s="1" t="s">
        <v>196</v>
      </c>
      <c r="C187" s="2" t="str">
        <f t="shared" si="1"/>
        <v>n60</v>
      </c>
      <c r="D187" s="2" t="str">
        <f t="shared" si="2"/>
        <v>n6</v>
      </c>
      <c r="E187" s="2" t="str">
        <f t="shared" si="3"/>
        <v>m</v>
      </c>
      <c r="F187" s="2" t="str">
        <f t="shared" si="4"/>
        <v>19</v>
      </c>
      <c r="G187" s="2" t="str">
        <f t="shared" si="5"/>
        <v>n60m</v>
      </c>
      <c r="H187" s="2" t="str">
        <f t="shared" si="6"/>
        <v>11.21.09</v>
      </c>
      <c r="I187" s="3">
        <v>170.218</v>
      </c>
      <c r="J187" s="3">
        <v>1.097</v>
      </c>
      <c r="K187" s="4">
        <f t="shared" si="7"/>
        <v>82.27</v>
      </c>
      <c r="L187" s="4">
        <f t="shared" si="8"/>
        <v>9.782</v>
      </c>
      <c r="M187" s="4">
        <f t="shared" si="9"/>
        <v>5.484666667</v>
      </c>
      <c r="N187" s="4">
        <f t="shared" si="10"/>
        <v>6.568362581</v>
      </c>
      <c r="O187" s="4">
        <f t="shared" si="11"/>
        <v>197.0508774</v>
      </c>
      <c r="P187" s="4">
        <f t="shared" si="12"/>
        <v>0.1707281074</v>
      </c>
    </row>
    <row r="188">
      <c r="A188" s="3">
        <v>1.0</v>
      </c>
      <c r="B188" s="1" t="s">
        <v>197</v>
      </c>
      <c r="C188" s="2" t="str">
        <f t="shared" si="1"/>
        <v>n60</v>
      </c>
      <c r="D188" s="2" t="str">
        <f t="shared" si="2"/>
        <v>n6</v>
      </c>
      <c r="E188" s="2" t="str">
        <f t="shared" si="3"/>
        <v>m</v>
      </c>
      <c r="F188" s="2" t="str">
        <f t="shared" si="4"/>
        <v>19</v>
      </c>
      <c r="G188" s="2" t="str">
        <f t="shared" si="5"/>
        <v>n60m</v>
      </c>
      <c r="H188" s="2" t="str">
        <f t="shared" si="6"/>
        <v>11.21.09</v>
      </c>
      <c r="I188" s="3">
        <v>-173.884</v>
      </c>
      <c r="J188" s="3">
        <v>2.079</v>
      </c>
      <c r="K188" s="4">
        <f t="shared" si="7"/>
        <v>82.27</v>
      </c>
      <c r="L188" s="4">
        <f t="shared" si="8"/>
        <v>6.116</v>
      </c>
      <c r="M188" s="4">
        <f t="shared" si="9"/>
        <v>5.484666667</v>
      </c>
      <c r="N188" s="4">
        <f t="shared" si="10"/>
        <v>7.555081155</v>
      </c>
      <c r="O188" s="4">
        <f t="shared" si="11"/>
        <v>226.6524347</v>
      </c>
      <c r="P188" s="4">
        <f t="shared" si="12"/>
        <v>0.1067443371</v>
      </c>
    </row>
    <row r="189">
      <c r="A189" s="3">
        <v>1.0</v>
      </c>
      <c r="B189" s="1" t="s">
        <v>198</v>
      </c>
      <c r="C189" s="2" t="str">
        <f t="shared" si="1"/>
        <v>n60</v>
      </c>
      <c r="D189" s="2" t="str">
        <f t="shared" si="2"/>
        <v>n6</v>
      </c>
      <c r="E189" s="2" t="str">
        <f t="shared" si="3"/>
        <v>m</v>
      </c>
      <c r="F189" s="2" t="str">
        <f t="shared" si="4"/>
        <v>21</v>
      </c>
      <c r="G189" s="2" t="str">
        <f t="shared" si="5"/>
        <v>n60m</v>
      </c>
      <c r="H189" s="2" t="str">
        <f t="shared" si="6"/>
        <v>11.21.09</v>
      </c>
      <c r="I189" s="3">
        <v>-162.35</v>
      </c>
      <c r="J189" s="3">
        <v>0.86</v>
      </c>
      <c r="K189" s="4">
        <f t="shared" si="7"/>
        <v>90.93</v>
      </c>
      <c r="L189" s="4">
        <f t="shared" si="8"/>
        <v>17.65</v>
      </c>
      <c r="M189" s="4">
        <f t="shared" si="9"/>
        <v>6.062</v>
      </c>
      <c r="N189" s="4">
        <f t="shared" si="10"/>
        <v>6.886455177</v>
      </c>
      <c r="O189" s="4">
        <f t="shared" si="11"/>
        <v>206.5936553</v>
      </c>
      <c r="P189" s="4">
        <f t="shared" si="12"/>
        <v>0.308050613</v>
      </c>
    </row>
    <row r="190">
      <c r="A190" s="3">
        <v>1.0</v>
      </c>
      <c r="B190" s="1" t="s">
        <v>199</v>
      </c>
      <c r="C190" s="2" t="str">
        <f t="shared" si="1"/>
        <v>n60</v>
      </c>
      <c r="D190" s="2" t="str">
        <f t="shared" si="2"/>
        <v>n6</v>
      </c>
      <c r="E190" s="2" t="str">
        <f t="shared" si="3"/>
        <v>m</v>
      </c>
      <c r="F190" s="2" t="str">
        <f t="shared" si="4"/>
        <v>21</v>
      </c>
      <c r="G190" s="2" t="str">
        <f t="shared" si="5"/>
        <v>n60m</v>
      </c>
      <c r="H190" s="2" t="str">
        <f t="shared" si="6"/>
        <v>11.21.09</v>
      </c>
      <c r="I190" s="3">
        <v>165.379</v>
      </c>
      <c r="J190" s="3">
        <v>0.886</v>
      </c>
      <c r="K190" s="4">
        <f t="shared" si="7"/>
        <v>90.93</v>
      </c>
      <c r="L190" s="4">
        <f t="shared" si="8"/>
        <v>14.621</v>
      </c>
      <c r="M190" s="4">
        <f t="shared" si="9"/>
        <v>6.062</v>
      </c>
      <c r="N190" s="4">
        <f t="shared" si="10"/>
        <v>6.922921867</v>
      </c>
      <c r="O190" s="4">
        <f t="shared" si="11"/>
        <v>207.687656</v>
      </c>
      <c r="P190" s="4">
        <f t="shared" si="12"/>
        <v>0.2551845899</v>
      </c>
    </row>
    <row r="191">
      <c r="A191" s="3">
        <v>1.0</v>
      </c>
      <c r="B191" s="1" t="s">
        <v>200</v>
      </c>
      <c r="C191" s="2" t="str">
        <f t="shared" si="1"/>
        <v>n60</v>
      </c>
      <c r="D191" s="2" t="str">
        <f t="shared" si="2"/>
        <v>n6</v>
      </c>
      <c r="E191" s="2" t="str">
        <f t="shared" si="3"/>
        <v>m</v>
      </c>
      <c r="F191" s="2" t="str">
        <f t="shared" si="4"/>
        <v>23</v>
      </c>
      <c r="G191" s="2" t="str">
        <f t="shared" si="5"/>
        <v>n60m</v>
      </c>
      <c r="H191" s="2" t="str">
        <f t="shared" si="6"/>
        <v>21.09-01</v>
      </c>
      <c r="I191" s="3">
        <v>-174.806</v>
      </c>
      <c r="J191" s="3">
        <v>0.799</v>
      </c>
      <c r="K191" s="4">
        <f t="shared" si="7"/>
        <v>99.59</v>
      </c>
      <c r="L191" s="4">
        <f t="shared" si="8"/>
        <v>5.194</v>
      </c>
      <c r="M191" s="4">
        <f t="shared" si="9"/>
        <v>6.639333333</v>
      </c>
      <c r="N191" s="4">
        <f t="shared" si="10"/>
        <v>7.435404381</v>
      </c>
      <c r="O191" s="4">
        <f t="shared" si="11"/>
        <v>223.0621314</v>
      </c>
      <c r="P191" s="4">
        <f t="shared" si="12"/>
        <v>0.09065240135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
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<sst xmlns="http://schemas.openxmlformats.org/spreadsheetml/2006/main" count="220" uniqueCount="217">
  <si>
    <t xml:space="preserve">Filename </t>
  </si>
  <si>
    <t>line</t>
  </si>
  <si>
    <t>des</t>
  </si>
  <si>
    <t>sex</t>
  </si>
  <si>
    <t>Hz</t>
  </si>
  <si>
    <t>line/sex</t>
  </si>
  <si>
    <t xml:space="preserve">date </t>
  </si>
  <si>
    <t>Angle</t>
  </si>
  <si>
    <t>Length</t>
  </si>
  <si>
    <t>wind(cm/sec)</t>
  </si>
  <si>
    <t>θ</t>
  </si>
  <si>
    <t>w</t>
  </si>
  <si>
    <t>T</t>
  </si>
  <si>
    <t>T cm/sec</t>
  </si>
  <si>
    <t>θrad</t>
  </si>
  <si>
    <t>aa1f11.11.30.09-01</t>
  </si>
  <si>
    <t>aa1f15.11.30.09-01</t>
  </si>
  <si>
    <t>aa1f19.11.30.09-01</t>
  </si>
  <si>
    <t>aa1f21.11.30.09-01</t>
  </si>
  <si>
    <t>aa1f21.11.30.09-02</t>
  </si>
  <si>
    <t>aa1f21.11.30.09-03</t>
  </si>
  <si>
    <t>aa1f21.11.30.09-04</t>
  </si>
  <si>
    <t>aa1f21.11.30.09-05</t>
  </si>
  <si>
    <t>aa1f23.11.30.09-01</t>
  </si>
  <si>
    <t>aa1f23.11.30.09-02</t>
  </si>
  <si>
    <t>aa1f25.11.30.09-02</t>
  </si>
  <si>
    <t>aa1f25.11.30.09-03</t>
  </si>
  <si>
    <t>aa1f25.11.301.09-01</t>
  </si>
  <si>
    <t>aa1m09.11.30.09-01</t>
  </si>
  <si>
    <t>aa1m15.11.30.09-01</t>
  </si>
  <si>
    <t>aa1m19.11.30.09-01</t>
  </si>
  <si>
    <t>aa1m19.11.30.09-02</t>
  </si>
  <si>
    <t>aa1m19.11.30.09-03</t>
  </si>
  <si>
    <t>aa1m19.11.30.09-04</t>
  </si>
  <si>
    <t>aa1m19.11.30.09-05</t>
  </si>
  <si>
    <t>aa1m19.11.30.09-06</t>
  </si>
  <si>
    <t>aa1m21.11.30.09-01</t>
  </si>
  <si>
    <t>aa1m21.11.30.09-02</t>
  </si>
  <si>
    <t>aa1m21.11.30.09-03</t>
  </si>
  <si>
    <t>aa1m21.11.30.09-04</t>
  </si>
  <si>
    <t>aa2f03.11.30.09-01</t>
  </si>
  <si>
    <t>aa2f07.11.30.09-01</t>
  </si>
  <si>
    <t>aa2f09.11.30.09-01</t>
  </si>
  <si>
    <t>aa2f09.11.30.09-02</t>
  </si>
  <si>
    <t>aa2f13.11.30.09-01</t>
  </si>
  <si>
    <t>aa2f15.11.30.09-01</t>
  </si>
  <si>
    <t>aa2f15.11.30.09-02</t>
  </si>
  <si>
    <t>aa2f19.11.30.09-01</t>
  </si>
  <si>
    <t>aa2f19.11.30.09-02</t>
  </si>
  <si>
    <t>aa2f21.11.30.09-01</t>
  </si>
  <si>
    <t>aa2f21.11.30.09-02</t>
  </si>
  <si>
    <t>aa2f21.11.30.09-03</t>
  </si>
  <si>
    <t>aa2f23.11.30.09-01</t>
  </si>
  <si>
    <t>aa2f23.11.30.09-02</t>
  </si>
  <si>
    <t>aa2f23.11.30.09-03</t>
  </si>
  <si>
    <t>aa2f23.11.30.09-04</t>
  </si>
  <si>
    <t>aa2f23.11.30.09-05</t>
  </si>
  <si>
    <t>aa2f23.11.30.09-06</t>
  </si>
  <si>
    <t>aa2f23.11.30.09-07</t>
  </si>
  <si>
    <t>aa2f23.11.30.09-08</t>
  </si>
  <si>
    <t>aa2f23.11.30.09-09</t>
  </si>
  <si>
    <t>aa2f25.11.30.09-01</t>
  </si>
  <si>
    <t>aa2f25.11.30.09-02</t>
  </si>
  <si>
    <t>aa2m05.11.30.09-01</t>
  </si>
  <si>
    <t>aa2m09.11.30.09-01</t>
  </si>
  <si>
    <t>aa2m17.11.30.09-01</t>
  </si>
  <si>
    <t>aa2m17.11.30.09-02</t>
  </si>
  <si>
    <t>aa2m17.11.30.09-03</t>
  </si>
  <si>
    <t>aa2m17.11.30.09-04</t>
  </si>
  <si>
    <t>aa2m19.11.30.09-01</t>
  </si>
  <si>
    <t>aa2m19.11.30.09-02</t>
  </si>
  <si>
    <t>aa2m19.11.30.09-03</t>
  </si>
  <si>
    <t>aa2m21.11.30.09-01</t>
  </si>
  <si>
    <t>aa2m21.11.30.09-02</t>
  </si>
  <si>
    <t>aa2m21.11.30.09-03</t>
  </si>
  <si>
    <t>aa2m21.11.30.09-04</t>
  </si>
  <si>
    <t>aa2m21.11.30.09-05</t>
  </si>
  <si>
    <t>aa2m23.11.30.09-01</t>
  </si>
  <si>
    <t>aa2m23.11.30.09-02</t>
  </si>
  <si>
    <t>aa2m23.11.30.09-03</t>
  </si>
  <si>
    <t>aa2m23.11.30.09-04</t>
  </si>
  <si>
    <t>aa2m23.11.30.09-05</t>
  </si>
  <si>
    <t>aa2m23.11.30.09-06</t>
  </si>
  <si>
    <t>aa2m23.11.30.09-07</t>
  </si>
  <si>
    <t>aa2m23.11.30.09-08</t>
  </si>
  <si>
    <t>aa2m23.11.30.09-09</t>
  </si>
  <si>
    <t>aa2m23.11.30.09-10</t>
  </si>
  <si>
    <t>aa2m23.11.30.09-11</t>
  </si>
  <si>
    <t>cn1f03.11.30.09-01</t>
  </si>
  <si>
    <t>cn1f07.11.30.09-01</t>
  </si>
  <si>
    <t>cn1f07.11.30.09-02</t>
  </si>
  <si>
    <t>cn1f07.11.30.09-03</t>
  </si>
  <si>
    <t>cn1f07.11.30.09-04</t>
  </si>
  <si>
    <t>cn1f09.11.30.09-01</t>
  </si>
  <si>
    <t>cn1f11.11.30.09-01</t>
  </si>
  <si>
    <t>cn1f11.11.30.09-02</t>
  </si>
  <si>
    <t>cn1f11.11.30.09-03</t>
  </si>
  <si>
    <t>cn1f11.11.30.09-04</t>
  </si>
  <si>
    <t>cn1f13.11.30.09-01</t>
  </si>
  <si>
    <t>cn1f15.11.30.09-01</t>
  </si>
  <si>
    <t>cn1m03.11.30.09-01</t>
  </si>
  <si>
    <t>cn1m03.11.30.09-02</t>
  </si>
  <si>
    <t>cn1m03.11.30.09-03</t>
  </si>
  <si>
    <t>cn1m04.11.30.09-04</t>
  </si>
  <si>
    <t>cn1m05.11.30.09-01</t>
  </si>
  <si>
    <t>cn1m05.11.30.09-02</t>
  </si>
  <si>
    <t>cn1m05.11.30.09-03</t>
  </si>
  <si>
    <t>cn1m07.11.30.09-01</t>
  </si>
  <si>
    <t>cn1m07.11.30.09-02</t>
  </si>
  <si>
    <t>cn1m07.11.30.09-03</t>
  </si>
  <si>
    <t>cn1m07.11.30.09-04</t>
  </si>
  <si>
    <t>cn1m09.11.30.09-01</t>
  </si>
  <si>
    <t>cn1m09.11.30.09-02</t>
  </si>
  <si>
    <t>cn1m09.11.30.09-03</t>
  </si>
  <si>
    <t>cn1m09.11.30.09-04</t>
  </si>
  <si>
    <t>cn1m11.11.30.09-01</t>
  </si>
  <si>
    <t>cn1m11.11.30.09-02</t>
  </si>
  <si>
    <t>cn1m11.11.30.09-03</t>
  </si>
  <si>
    <t>cn1m11.11.30.09-04</t>
  </si>
  <si>
    <t>cn1m11.11.30.09-05</t>
  </si>
  <si>
    <t>cn1m11.11.30.09-06</t>
  </si>
  <si>
    <t>cn1m13.11.30.09-01</t>
  </si>
  <si>
    <t>cn1m13.11.30.09-02</t>
  </si>
  <si>
    <t>cn1m13.11.30.09-03</t>
  </si>
  <si>
    <t>cn1m13.11.30.09-04</t>
  </si>
  <si>
    <t>cn2m05.11.30.09-01</t>
  </si>
  <si>
    <t>cn2m07.11.30.09-01</t>
  </si>
  <si>
    <t>cn2m07.11.30.09-02</t>
  </si>
  <si>
    <t>cn2m09.11.30.09-01</t>
  </si>
  <si>
    <t>cn2m11.11.30.09-01</t>
  </si>
  <si>
    <t>cn2m11.11.30.09-02</t>
  </si>
  <si>
    <t>cn2m11.11.30.09-03</t>
  </si>
  <si>
    <t>cn2m13.11.30.09-01</t>
  </si>
  <si>
    <t>cn2m13.11.30.09-02</t>
  </si>
  <si>
    <t>cn2m13.11.30.09-03</t>
  </si>
  <si>
    <t>cn2m13.11.30.09-04</t>
  </si>
  <si>
    <t>cn2m13.11.30.09-05</t>
  </si>
  <si>
    <t>cn2m15.11.30.09-01</t>
  </si>
  <si>
    <t>cn2m15.11.30.09-02</t>
  </si>
  <si>
    <t>cn2m15.11.30.09-03</t>
  </si>
  <si>
    <t>cn2m15.11.30.09-04</t>
  </si>
  <si>
    <t>cn2m15.11.30.09-05</t>
  </si>
  <si>
    <t>cn2m15.11.30.09-06</t>
  </si>
  <si>
    <t>cn2m17.11.30.09-01</t>
  </si>
  <si>
    <t>k4519.11.30.09-04</t>
  </si>
  <si>
    <t>k45f07.11.30.09-01</t>
  </si>
  <si>
    <t>k45f07.11.30.09-02</t>
  </si>
  <si>
    <t>k45f09.11.30.09-01</t>
  </si>
  <si>
    <t>k45f11.11.30.09-01</t>
  </si>
  <si>
    <t>k45f11.11.30.09-02</t>
  </si>
  <si>
    <t>k45f13.11.30.09-01</t>
  </si>
  <si>
    <t>k45f13.11.30.09-02</t>
  </si>
  <si>
    <t>k45f13.11.30.09-03</t>
  </si>
  <si>
    <t>k45f13.11.30.09-04</t>
  </si>
  <si>
    <t>k45f13.11.30.09-05</t>
  </si>
  <si>
    <t>k45f15.11.30.09-01</t>
  </si>
  <si>
    <t>k45f15.11.30.09-02</t>
  </si>
  <si>
    <t>k45f17.11.30.09-01</t>
  </si>
  <si>
    <t>k45f17.11.30.09-02</t>
  </si>
  <si>
    <t>k45f19.11.30.09-01</t>
  </si>
  <si>
    <t>k45f19.11.30.09-02</t>
  </si>
  <si>
    <t>k45f19.11.30.09-03</t>
  </si>
  <si>
    <t>k45m07.11.30.09-01</t>
  </si>
  <si>
    <t>k45m09.11.30.09-01</t>
  </si>
  <si>
    <t>k45m13.11.30.09-01</t>
  </si>
  <si>
    <t>k45m13.11.30.09-03</t>
  </si>
  <si>
    <t>k45m17.11.30.09-01</t>
  </si>
  <si>
    <t>k45m17.11.30.09-02</t>
  </si>
  <si>
    <t>k45m17.11.30.09-03</t>
  </si>
  <si>
    <t>k45m17.11.30.09-04</t>
  </si>
  <si>
    <t>k45m19.11.30.09-01</t>
  </si>
  <si>
    <t>k45m19.11.30.09-02</t>
  </si>
  <si>
    <t>k45m21.11.30.09-01</t>
  </si>
  <si>
    <t>n60f09.11.30.09-01</t>
  </si>
  <si>
    <t>n60f09.11.30.09-02</t>
  </si>
  <si>
    <t>n60f09.11.30.09-03</t>
  </si>
  <si>
    <t>n60f11.11.30.09-01</t>
  </si>
  <si>
    <t>n60f11.11.30.09-02</t>
  </si>
  <si>
    <t>n60f11.11.30.09-03</t>
  </si>
  <si>
    <t>n60f11.11.30.09-04</t>
  </si>
  <si>
    <t>n60f11.11.30.09-05</t>
  </si>
  <si>
    <t>n60f11.11.30.09-06</t>
  </si>
  <si>
    <t>n60f11.11.30.09-07</t>
  </si>
  <si>
    <t>n60f11.11.30.09-08</t>
  </si>
  <si>
    <t>n60f11.11.30.09-09</t>
  </si>
  <si>
    <t>n60f13.11.30.09-01</t>
  </si>
  <si>
    <t>n60f13.11.30.09-02</t>
  </si>
  <si>
    <t>n60f15.11.30.09-01</t>
  </si>
  <si>
    <t>n60f15.11.30.09-02</t>
  </si>
  <si>
    <t>n60f15.11.30.09-03</t>
  </si>
  <si>
    <t>n60f15.11.30.09-04</t>
  </si>
  <si>
    <t>n60f15.11.30.09-05</t>
  </si>
  <si>
    <t>n60f15.11.30.09-06</t>
  </si>
  <si>
    <t>n60f17.11.30.09-01</t>
  </si>
  <si>
    <t>n60f17.11.30.09-02</t>
  </si>
  <si>
    <t>n60f17.11.30.09-03</t>
  </si>
  <si>
    <t>n60f19.11.30.09-01</t>
  </si>
  <si>
    <t>n60f21.11.30.09-02</t>
  </si>
  <si>
    <t>n60m11.11.30.09-01</t>
  </si>
  <si>
    <t>n60m11.11.30.09-02</t>
  </si>
  <si>
    <t>n60m11.11.30.09-03</t>
  </si>
  <si>
    <t>n60m13.11.30.09-01</t>
  </si>
  <si>
    <t>n60m13.11.30.09-02</t>
  </si>
  <si>
    <t>n60m13.11.30.09-03</t>
  </si>
  <si>
    <t>n60m15.11.30.09-01</t>
  </si>
  <si>
    <t>n60m15.11.30.09-02</t>
  </si>
  <si>
    <t>n60m17.11.30.09-01</t>
  </si>
  <si>
    <t>n60m17.11.30.09-02</t>
  </si>
  <si>
    <t>n60m17.11.30.09-03</t>
  </si>
  <si>
    <t>n60m17.11.30.09-04</t>
  </si>
  <si>
    <t>n60m17.11.30.09-05</t>
  </si>
  <si>
    <t>n60m17.11.30.09-06</t>
  </si>
  <si>
    <t>n60m19.11.30.09-01</t>
  </si>
  <si>
    <t>n60m19.11.30.09-02</t>
  </si>
  <si>
    <t>n60m19.11.30.09-03</t>
  </si>
  <si>
    <t>n60m19.11.30.09-04</t>
  </si>
  <si>
    <t>n60m19.11.30.09-06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</si>
</sst>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.0"/>
    <col customWidth="1" min="2" max="2" width="16.63"/>
    <col customWidth="1" min="3" max="3" width="4.13"/>
    <col customWidth="1" min="4" max="4" width="3.5"/>
    <col customWidth="1" min="5" max="5" width="2.63"/>
    <col customWidth="1" min="6" max="6" width="3.5"/>
    <col customWidth="1" min="7" max="7" width="4.38"/>
    <col customWidth="1" min="8" max="9" width="8.13"/>
    <col customWidth="1" min="10" max="11" width="6.25"/>
    <col customWidth="1" min="12" max="12" width="5.88"/>
    <col customWidth="1" min="13" max="16" width="8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>
        <v>1.0</v>
      </c>
      <c r="B2" s="1" t="s">
        <v>15</v>
      </c>
      <c r="C2" s="3" t="str">
        <f t="shared" ref="C2:C206" si="1">MID(B2,1,3)</f>
        <v>aa1</v>
      </c>
      <c r="D2" s="3" t="str">
        <f t="shared" ref="D2:D206" si="2">MID(B2,1,2)</f>
        <v>aa</v>
      </c>
      <c r="E2" s="3" t="str">
        <f t="shared" ref="E2:E206" si="3">MID(B2,4,1)</f>
        <v>f</v>
      </c>
      <c r="F2" s="3" t="str">
        <f t="shared" ref="F2:F206" si="4">MID(B2,5,2)</f>
        <v>11</v>
      </c>
      <c r="G2" s="3" t="str">
        <f t="shared" ref="G2:G206" si="5">MID(B2,1,4)</f>
        <v>aa1f</v>
      </c>
      <c r="H2" s="3" t="str">
        <f t="shared" ref="H2:H206" si="6">MID(B2,8,8)</f>
        <v>11.30.09</v>
      </c>
      <c r="I2" s="2">
        <v>176.186</v>
      </c>
      <c r="J2" s="2">
        <v>0.543</v>
      </c>
      <c r="K2" s="4">
        <f t="shared" ref="K2:K206" si="7">F2*4.33</f>
        <v>47.63</v>
      </c>
      <c r="L2" s="4">
        <f t="shared" ref="L2:L206" si="8">180-(ABS(I2))</f>
        <v>3.814</v>
      </c>
      <c r="M2" s="4">
        <f t="shared" ref="M2:M206" si="9">K2*(1/15)</f>
        <v>3.175333333</v>
      </c>
      <c r="N2" s="4">
        <f t="shared" ref="N2:N206" si="10">(((M2)^2)+((2*M2*J2)*(COS(P2)))+J2^2)^(1/2)</f>
        <v>3.717306201</v>
      </c>
      <c r="O2" s="4">
        <f t="shared" ref="O2:O206" si="11">N2/(1/30)</f>
        <v>111.519186</v>
      </c>
      <c r="P2" s="4">
        <f t="shared" ref="P2:P206" si="12">RADIANS(L2)</f>
        <v>0.06656685767</v>
      </c>
    </row>
    <row r="3">
      <c r="A3" s="2">
        <v>1.0</v>
      </c>
      <c r="B3" s="1" t="s">
        <v>16</v>
      </c>
      <c r="C3" s="3" t="str">
        <f t="shared" si="1"/>
        <v>aa1</v>
      </c>
      <c r="D3" s="3" t="str">
        <f t="shared" si="2"/>
        <v>aa</v>
      </c>
      <c r="E3" s="3" t="str">
        <f t="shared" si="3"/>
        <v>f</v>
      </c>
      <c r="F3" s="3" t="str">
        <f t="shared" si="4"/>
        <v>15</v>
      </c>
      <c r="G3" s="3" t="str">
        <f t="shared" si="5"/>
        <v>aa1f</v>
      </c>
      <c r="H3" s="3" t="str">
        <f t="shared" si="6"/>
        <v>11.30.09</v>
      </c>
      <c r="I3" s="2">
        <v>155.225</v>
      </c>
      <c r="J3" s="2">
        <v>0.542</v>
      </c>
      <c r="K3" s="4">
        <f t="shared" si="7"/>
        <v>64.95</v>
      </c>
      <c r="L3" s="4">
        <f t="shared" si="8"/>
        <v>24.775</v>
      </c>
      <c r="M3" s="4">
        <f t="shared" si="9"/>
        <v>4.33</v>
      </c>
      <c r="N3" s="4">
        <f t="shared" si="10"/>
        <v>4.827460611</v>
      </c>
      <c r="O3" s="4">
        <f t="shared" si="11"/>
        <v>144.8238183</v>
      </c>
      <c r="P3" s="4">
        <f t="shared" si="12"/>
        <v>0.4324053222</v>
      </c>
    </row>
    <row r="4">
      <c r="A4" s="2">
        <v>1.0</v>
      </c>
      <c r="B4" s="1" t="s">
        <v>17</v>
      </c>
      <c r="C4" s="3" t="str">
        <f t="shared" si="1"/>
        <v>aa1</v>
      </c>
      <c r="D4" s="3" t="str">
        <f t="shared" si="2"/>
        <v>aa</v>
      </c>
      <c r="E4" s="3" t="str">
        <f t="shared" si="3"/>
        <v>f</v>
      </c>
      <c r="F4" s="3" t="str">
        <f t="shared" si="4"/>
        <v>19</v>
      </c>
      <c r="G4" s="3" t="str">
        <f t="shared" si="5"/>
        <v>aa1f</v>
      </c>
      <c r="H4" s="3" t="str">
        <f t="shared" si="6"/>
        <v>11.30.09</v>
      </c>
      <c r="I4" s="2">
        <v>163.142</v>
      </c>
      <c r="J4" s="2">
        <v>2.493</v>
      </c>
      <c r="K4" s="4">
        <f t="shared" si="7"/>
        <v>82.27</v>
      </c>
      <c r="L4" s="4">
        <f t="shared" si="8"/>
        <v>16.858</v>
      </c>
      <c r="M4" s="4">
        <f t="shared" si="9"/>
        <v>5.484666667</v>
      </c>
      <c r="N4" s="4">
        <f t="shared" si="10"/>
        <v>7.903669177</v>
      </c>
      <c r="O4" s="4">
        <f t="shared" si="11"/>
        <v>237.1100753</v>
      </c>
      <c r="P4" s="4">
        <f t="shared" si="12"/>
        <v>0.2942276053</v>
      </c>
    </row>
    <row r="5">
      <c r="A5" s="2">
        <v>1.0</v>
      </c>
      <c r="B5" s="1" t="s">
        <v>18</v>
      </c>
      <c r="C5" s="3" t="str">
        <f t="shared" si="1"/>
        <v>aa1</v>
      </c>
      <c r="D5" s="3" t="str">
        <f t="shared" si="2"/>
        <v>aa</v>
      </c>
      <c r="E5" s="3" t="str">
        <f t="shared" si="3"/>
        <v>f</v>
      </c>
      <c r="F5" s="3" t="str">
        <f t="shared" si="4"/>
        <v>21</v>
      </c>
      <c r="G5" s="3" t="str">
        <f t="shared" si="5"/>
        <v>aa1f</v>
      </c>
      <c r="H5" s="3" t="str">
        <f t="shared" si="6"/>
        <v>11.30.09</v>
      </c>
      <c r="I5" s="2">
        <v>142.595</v>
      </c>
      <c r="J5" s="2">
        <v>2.301</v>
      </c>
      <c r="K5" s="4">
        <f t="shared" si="7"/>
        <v>90.93</v>
      </c>
      <c r="L5" s="4">
        <f t="shared" si="8"/>
        <v>37.405</v>
      </c>
      <c r="M5" s="4">
        <f t="shared" si="9"/>
        <v>6.062</v>
      </c>
      <c r="N5" s="4">
        <f t="shared" si="10"/>
        <v>8.012677974</v>
      </c>
      <c r="O5" s="4">
        <f t="shared" si="11"/>
        <v>240.3803392</v>
      </c>
      <c r="P5" s="4">
        <f t="shared" si="12"/>
        <v>0.6528404067</v>
      </c>
    </row>
    <row r="6">
      <c r="A6" s="2">
        <v>1.0</v>
      </c>
      <c r="B6" s="1" t="s">
        <v>19</v>
      </c>
      <c r="C6" s="3" t="str">
        <f t="shared" si="1"/>
        <v>aa1</v>
      </c>
      <c r="D6" s="3" t="str">
        <f t="shared" si="2"/>
        <v>aa</v>
      </c>
      <c r="E6" s="3" t="str">
        <f t="shared" si="3"/>
        <v>f</v>
      </c>
      <c r="F6" s="3" t="str">
        <f t="shared" si="4"/>
        <v>21</v>
      </c>
      <c r="G6" s="3" t="str">
        <f t="shared" si="5"/>
        <v>aa1f</v>
      </c>
      <c r="H6" s="3" t="str">
        <f t="shared" si="6"/>
        <v>11.30.09</v>
      </c>
      <c r="I6" s="2">
        <v>-142.001</v>
      </c>
      <c r="J6" s="2">
        <v>1.482</v>
      </c>
      <c r="K6" s="4">
        <f t="shared" si="7"/>
        <v>90.93</v>
      </c>
      <c r="L6" s="4">
        <f t="shared" si="8"/>
        <v>37.999</v>
      </c>
      <c r="M6" s="4">
        <f t="shared" si="9"/>
        <v>6.062</v>
      </c>
      <c r="N6" s="4">
        <f t="shared" si="10"/>
        <v>7.287191192</v>
      </c>
      <c r="O6" s="4">
        <f t="shared" si="11"/>
        <v>218.6157358</v>
      </c>
      <c r="P6" s="4">
        <f t="shared" si="12"/>
        <v>0.6632076625</v>
      </c>
    </row>
    <row r="7">
      <c r="A7" s="2">
        <v>1.0</v>
      </c>
      <c r="B7" s="1" t="s">
        <v>20</v>
      </c>
      <c r="C7" s="3" t="str">
        <f t="shared" si="1"/>
        <v>aa1</v>
      </c>
      <c r="D7" s="3" t="str">
        <f t="shared" si="2"/>
        <v>aa</v>
      </c>
      <c r="E7" s="3" t="str">
        <f t="shared" si="3"/>
        <v>f</v>
      </c>
      <c r="F7" s="3" t="str">
        <f t="shared" si="4"/>
        <v>21</v>
      </c>
      <c r="G7" s="3" t="str">
        <f t="shared" si="5"/>
        <v>aa1f</v>
      </c>
      <c r="H7" s="3" t="str">
        <f t="shared" si="6"/>
        <v>11.30.09</v>
      </c>
      <c r="I7" s="2">
        <v>-175.914</v>
      </c>
      <c r="J7" s="2">
        <v>0.507</v>
      </c>
      <c r="K7" s="4">
        <f t="shared" si="7"/>
        <v>90.93</v>
      </c>
      <c r="L7" s="4">
        <f t="shared" si="8"/>
        <v>4.086</v>
      </c>
      <c r="M7" s="4">
        <f t="shared" si="9"/>
        <v>6.062</v>
      </c>
      <c r="N7" s="4">
        <f t="shared" si="10"/>
        <v>6.567810673</v>
      </c>
      <c r="O7" s="4">
        <f t="shared" si="11"/>
        <v>197.0343202</v>
      </c>
      <c r="P7" s="4">
        <f t="shared" si="12"/>
        <v>0.07131415324</v>
      </c>
    </row>
    <row r="8">
      <c r="A8" s="2">
        <v>1.0</v>
      </c>
      <c r="B8" s="1" t="s">
        <v>21</v>
      </c>
      <c r="C8" s="3" t="str">
        <f t="shared" si="1"/>
        <v>aa1</v>
      </c>
      <c r="D8" s="3" t="str">
        <f t="shared" si="2"/>
        <v>aa</v>
      </c>
      <c r="E8" s="3" t="str">
        <f t="shared" si="3"/>
        <v>f</v>
      </c>
      <c r="F8" s="3" t="str">
        <f t="shared" si="4"/>
        <v>21</v>
      </c>
      <c r="G8" s="3" t="str">
        <f t="shared" si="5"/>
        <v>aa1f</v>
      </c>
      <c r="H8" s="3" t="str">
        <f t="shared" si="6"/>
        <v>11.30.09</v>
      </c>
      <c r="I8" s="2">
        <v>170.538</v>
      </c>
      <c r="J8" s="2">
        <v>0.44</v>
      </c>
      <c r="K8" s="4">
        <f t="shared" si="7"/>
        <v>90.93</v>
      </c>
      <c r="L8" s="4">
        <f t="shared" si="8"/>
        <v>9.462</v>
      </c>
      <c r="M8" s="4">
        <f t="shared" si="9"/>
        <v>6.062</v>
      </c>
      <c r="N8" s="4">
        <f t="shared" si="10"/>
        <v>6.496416435</v>
      </c>
      <c r="O8" s="4">
        <f t="shared" si="11"/>
        <v>194.8924931</v>
      </c>
      <c r="P8" s="4">
        <f t="shared" si="12"/>
        <v>0.1651430538</v>
      </c>
    </row>
    <row r="9">
      <c r="A9" s="2">
        <v>1.0</v>
      </c>
      <c r="B9" s="1" t="s">
        <v>22</v>
      </c>
      <c r="C9" s="3" t="str">
        <f t="shared" si="1"/>
        <v>aa1</v>
      </c>
      <c r="D9" s="3" t="str">
        <f t="shared" si="2"/>
        <v>aa</v>
      </c>
      <c r="E9" s="3" t="str">
        <f t="shared" si="3"/>
        <v>f</v>
      </c>
      <c r="F9" s="3" t="str">
        <f t="shared" si="4"/>
        <v>21</v>
      </c>
      <c r="G9" s="3" t="str">
        <f t="shared" si="5"/>
        <v>aa1f</v>
      </c>
      <c r="H9" s="3" t="str">
        <f t="shared" si="6"/>
        <v>11.30.09</v>
      </c>
      <c r="I9" s="2">
        <v>-118.706</v>
      </c>
      <c r="J9" s="2">
        <v>1.706</v>
      </c>
      <c r="K9" s="4">
        <f t="shared" si="7"/>
        <v>90.93</v>
      </c>
      <c r="L9" s="4">
        <f t="shared" si="8"/>
        <v>61.294</v>
      </c>
      <c r="M9" s="4">
        <f t="shared" si="9"/>
        <v>6.062</v>
      </c>
      <c r="N9" s="4">
        <f t="shared" si="10"/>
        <v>7.04222292</v>
      </c>
      <c r="O9" s="4">
        <f t="shared" si="11"/>
        <v>211.2666876</v>
      </c>
      <c r="P9" s="4">
        <f t="shared" si="12"/>
        <v>1.069782112</v>
      </c>
    </row>
    <row r="10">
      <c r="A10" s="2">
        <v>1.0</v>
      </c>
      <c r="B10" s="1" t="s">
        <v>23</v>
      </c>
      <c r="C10" s="3" t="str">
        <f t="shared" si="1"/>
        <v>aa1</v>
      </c>
      <c r="D10" s="3" t="str">
        <f t="shared" si="2"/>
        <v>aa</v>
      </c>
      <c r="E10" s="3" t="str">
        <f t="shared" si="3"/>
        <v>f</v>
      </c>
      <c r="F10" s="3" t="str">
        <f t="shared" si="4"/>
        <v>23</v>
      </c>
      <c r="G10" s="3" t="str">
        <f t="shared" si="5"/>
        <v>aa1f</v>
      </c>
      <c r="H10" s="3" t="str">
        <f t="shared" si="6"/>
        <v>11.30.09</v>
      </c>
      <c r="I10" s="2">
        <v>-155.225</v>
      </c>
      <c r="J10" s="2">
        <v>0.538</v>
      </c>
      <c r="K10" s="4">
        <f t="shared" si="7"/>
        <v>99.59</v>
      </c>
      <c r="L10" s="4">
        <f t="shared" si="8"/>
        <v>24.775</v>
      </c>
      <c r="M10" s="4">
        <f t="shared" si="9"/>
        <v>6.639333333</v>
      </c>
      <c r="N10" s="4">
        <f t="shared" si="10"/>
        <v>7.131380658</v>
      </c>
      <c r="O10" s="4">
        <f t="shared" si="11"/>
        <v>213.9414197</v>
      </c>
      <c r="P10" s="4">
        <f t="shared" si="12"/>
        <v>0.4324053222</v>
      </c>
    </row>
    <row r="11">
      <c r="A11" s="2">
        <v>1.0</v>
      </c>
      <c r="B11" s="1" t="s">
        <v>24</v>
      </c>
      <c r="C11" s="3" t="str">
        <f t="shared" si="1"/>
        <v>aa1</v>
      </c>
      <c r="D11" s="3" t="str">
        <f t="shared" si="2"/>
        <v>aa</v>
      </c>
      <c r="E11" s="3" t="str">
        <f t="shared" si="3"/>
        <v>f</v>
      </c>
      <c r="F11" s="3" t="str">
        <f t="shared" si="4"/>
        <v>23</v>
      </c>
      <c r="G11" s="3" t="str">
        <f t="shared" si="5"/>
        <v>aa1f</v>
      </c>
      <c r="H11" s="3" t="str">
        <f t="shared" si="6"/>
        <v>11.30.09</v>
      </c>
      <c r="I11" s="2">
        <v>-164.055</v>
      </c>
      <c r="J11" s="2">
        <v>0.516</v>
      </c>
      <c r="K11" s="4">
        <f t="shared" si="7"/>
        <v>99.59</v>
      </c>
      <c r="L11" s="4">
        <f t="shared" si="8"/>
        <v>15.945</v>
      </c>
      <c r="M11" s="4">
        <f t="shared" si="9"/>
        <v>6.639333333</v>
      </c>
      <c r="N11" s="4">
        <f t="shared" si="10"/>
        <v>7.136888552</v>
      </c>
      <c r="O11" s="4">
        <f t="shared" si="11"/>
        <v>214.1066566</v>
      </c>
      <c r="P11" s="4">
        <f t="shared" si="12"/>
        <v>0.2782927492</v>
      </c>
    </row>
    <row r="12">
      <c r="A12" s="2">
        <v>1.0</v>
      </c>
      <c r="B12" s="1" t="s">
        <v>25</v>
      </c>
      <c r="C12" s="3" t="str">
        <f t="shared" si="1"/>
        <v>aa1</v>
      </c>
      <c r="D12" s="3" t="str">
        <f t="shared" si="2"/>
        <v>aa</v>
      </c>
      <c r="E12" s="3" t="str">
        <f t="shared" si="3"/>
        <v>f</v>
      </c>
      <c r="F12" s="3" t="str">
        <f t="shared" si="4"/>
        <v>25</v>
      </c>
      <c r="G12" s="3" t="str">
        <f t="shared" si="5"/>
        <v>aa1f</v>
      </c>
      <c r="H12" s="3" t="str">
        <f t="shared" si="6"/>
        <v>11.30.09</v>
      </c>
      <c r="I12" s="2">
        <v>170.538</v>
      </c>
      <c r="J12" s="2">
        <v>0.901</v>
      </c>
      <c r="K12" s="4">
        <f t="shared" si="7"/>
        <v>108.25</v>
      </c>
      <c r="L12" s="4">
        <f t="shared" si="8"/>
        <v>9.462</v>
      </c>
      <c r="M12" s="4">
        <f t="shared" si="9"/>
        <v>7.216666667</v>
      </c>
      <c r="N12" s="4">
        <f t="shared" si="10"/>
        <v>8.106761673</v>
      </c>
      <c r="O12" s="4">
        <f t="shared" si="11"/>
        <v>243.2028502</v>
      </c>
      <c r="P12" s="4">
        <f t="shared" si="12"/>
        <v>0.1651430538</v>
      </c>
    </row>
    <row r="13">
      <c r="A13" s="2">
        <v>1.0</v>
      </c>
      <c r="B13" s="1" t="s">
        <v>26</v>
      </c>
      <c r="C13" s="3" t="str">
        <f t="shared" si="1"/>
        <v>aa1</v>
      </c>
      <c r="D13" s="3" t="str">
        <f t="shared" si="2"/>
        <v>aa</v>
      </c>
      <c r="E13" s="3" t="str">
        <f t="shared" si="3"/>
        <v>f</v>
      </c>
      <c r="F13" s="3" t="str">
        <f t="shared" si="4"/>
        <v>25</v>
      </c>
      <c r="G13" s="3" t="str">
        <f t="shared" si="5"/>
        <v>aa1f</v>
      </c>
      <c r="H13" s="3" t="str">
        <f t="shared" si="6"/>
        <v>11.30.09</v>
      </c>
      <c r="I13" s="2">
        <v>127.405</v>
      </c>
      <c r="J13" s="2">
        <v>0.785</v>
      </c>
      <c r="K13" s="4">
        <f t="shared" si="7"/>
        <v>108.25</v>
      </c>
      <c r="L13" s="4">
        <f t="shared" si="8"/>
        <v>52.595</v>
      </c>
      <c r="M13" s="4">
        <f t="shared" si="9"/>
        <v>7.216666667</v>
      </c>
      <c r="N13" s="4">
        <f t="shared" si="10"/>
        <v>7.718740682</v>
      </c>
      <c r="O13" s="4">
        <f t="shared" si="11"/>
        <v>231.5622205</v>
      </c>
      <c r="P13" s="4">
        <f t="shared" si="12"/>
        <v>0.9179559201</v>
      </c>
    </row>
    <row r="14">
      <c r="A14" s="2">
        <v>1.0</v>
      </c>
      <c r="B14" s="1" t="s">
        <v>27</v>
      </c>
      <c r="C14" s="3" t="str">
        <f t="shared" si="1"/>
        <v>aa1</v>
      </c>
      <c r="D14" s="3" t="str">
        <f t="shared" si="2"/>
        <v>aa</v>
      </c>
      <c r="E14" s="3" t="str">
        <f t="shared" si="3"/>
        <v>f</v>
      </c>
      <c r="F14" s="3" t="str">
        <f t="shared" si="4"/>
        <v>25</v>
      </c>
      <c r="G14" s="3" t="str">
        <f t="shared" si="5"/>
        <v>aa1f</v>
      </c>
      <c r="H14" s="3" t="str">
        <f t="shared" si="6"/>
        <v>11.301.0</v>
      </c>
      <c r="I14" s="2">
        <v>174.806</v>
      </c>
      <c r="J14" s="2">
        <v>0.818</v>
      </c>
      <c r="K14" s="4">
        <f t="shared" si="7"/>
        <v>108.25</v>
      </c>
      <c r="L14" s="4">
        <f t="shared" si="8"/>
        <v>5.194</v>
      </c>
      <c r="M14" s="4">
        <f t="shared" si="9"/>
        <v>7.216666667</v>
      </c>
      <c r="N14" s="4">
        <f t="shared" si="10"/>
        <v>8.031649253</v>
      </c>
      <c r="O14" s="4">
        <f t="shared" si="11"/>
        <v>240.9494776</v>
      </c>
      <c r="P14" s="4">
        <f t="shared" si="12"/>
        <v>0.09065240135</v>
      </c>
    </row>
    <row r="15">
      <c r="A15" s="2">
        <v>1.0</v>
      </c>
      <c r="B15" s="1" t="s">
        <v>28</v>
      </c>
      <c r="C15" s="3" t="str">
        <f t="shared" si="1"/>
        <v>aa1</v>
      </c>
      <c r="D15" s="3" t="str">
        <f t="shared" si="2"/>
        <v>aa</v>
      </c>
      <c r="E15" s="3" t="str">
        <f t="shared" si="3"/>
        <v>m</v>
      </c>
      <c r="F15" s="3" t="str">
        <f t="shared" si="4"/>
        <v>09</v>
      </c>
      <c r="G15" s="3" t="str">
        <f t="shared" si="5"/>
        <v>aa1m</v>
      </c>
      <c r="H15" s="3" t="str">
        <f t="shared" si="6"/>
        <v>11.30.09</v>
      </c>
      <c r="I15" s="2">
        <v>-121.504</v>
      </c>
      <c r="J15" s="2">
        <v>1.46</v>
      </c>
      <c r="K15" s="4">
        <f t="shared" si="7"/>
        <v>38.97</v>
      </c>
      <c r="L15" s="4">
        <f t="shared" si="8"/>
        <v>58.496</v>
      </c>
      <c r="M15" s="4">
        <f t="shared" si="9"/>
        <v>2.598</v>
      </c>
      <c r="N15" s="4">
        <f t="shared" si="10"/>
        <v>3.584049842</v>
      </c>
      <c r="O15" s="4">
        <f t="shared" si="11"/>
        <v>107.5214953</v>
      </c>
      <c r="P15" s="4">
        <f t="shared" si="12"/>
        <v>1.020947799</v>
      </c>
    </row>
    <row r="16">
      <c r="A16" s="2">
        <v>1.0</v>
      </c>
      <c r="B16" s="1" t="s">
        <v>29</v>
      </c>
      <c r="C16" s="3" t="str">
        <f t="shared" si="1"/>
        <v>aa1</v>
      </c>
      <c r="D16" s="3" t="str">
        <f t="shared" si="2"/>
        <v>aa</v>
      </c>
      <c r="E16" s="3" t="str">
        <f t="shared" si="3"/>
        <v>m</v>
      </c>
      <c r="F16" s="3" t="str">
        <f t="shared" si="4"/>
        <v>15</v>
      </c>
      <c r="G16" s="3" t="str">
        <f t="shared" si="5"/>
        <v>aa1m</v>
      </c>
      <c r="H16" s="3" t="str">
        <f t="shared" si="6"/>
        <v>11.30.09</v>
      </c>
      <c r="I16" s="2">
        <v>166.43</v>
      </c>
      <c r="J16" s="2">
        <v>1.193</v>
      </c>
      <c r="K16" s="4">
        <f t="shared" si="7"/>
        <v>64.95</v>
      </c>
      <c r="L16" s="4">
        <f t="shared" si="8"/>
        <v>13.57</v>
      </c>
      <c r="M16" s="4">
        <f t="shared" si="9"/>
        <v>4.33</v>
      </c>
      <c r="N16" s="4">
        <f t="shared" si="10"/>
        <v>5.496828</v>
      </c>
      <c r="O16" s="4">
        <f t="shared" si="11"/>
        <v>164.90484</v>
      </c>
      <c r="P16" s="4">
        <f t="shared" si="12"/>
        <v>0.2368411795</v>
      </c>
    </row>
    <row r="17">
      <c r="A17" s="2">
        <v>1.0</v>
      </c>
      <c r="B17" s="1" t="s">
        <v>30</v>
      </c>
      <c r="C17" s="3" t="str">
        <f t="shared" si="1"/>
        <v>aa1</v>
      </c>
      <c r="D17" s="3" t="str">
        <f t="shared" si="2"/>
        <v>aa</v>
      </c>
      <c r="E17" s="3" t="str">
        <f t="shared" si="3"/>
        <v>m</v>
      </c>
      <c r="F17" s="3" t="str">
        <f t="shared" si="4"/>
        <v>19</v>
      </c>
      <c r="G17" s="3" t="str">
        <f t="shared" si="5"/>
        <v>aa1m</v>
      </c>
      <c r="H17" s="3" t="str">
        <f t="shared" si="6"/>
        <v>11.30.09</v>
      </c>
      <c r="I17" s="2">
        <v>153.435</v>
      </c>
      <c r="J17" s="2">
        <v>0.452</v>
      </c>
      <c r="K17" s="4">
        <f t="shared" si="7"/>
        <v>82.27</v>
      </c>
      <c r="L17" s="4">
        <f t="shared" si="8"/>
        <v>26.565</v>
      </c>
      <c r="M17" s="4">
        <f t="shared" si="9"/>
        <v>5.484666667</v>
      </c>
      <c r="N17" s="4">
        <f t="shared" si="10"/>
        <v>5.892416182</v>
      </c>
      <c r="O17" s="4">
        <f t="shared" si="11"/>
        <v>176.7724855</v>
      </c>
      <c r="P17" s="4">
        <f t="shared" si="12"/>
        <v>0.4636467158</v>
      </c>
    </row>
    <row r="18">
      <c r="A18" s="2">
        <v>1.0</v>
      </c>
      <c r="B18" s="1" t="s">
        <v>31</v>
      </c>
      <c r="C18" s="3" t="str">
        <f t="shared" si="1"/>
        <v>aa1</v>
      </c>
      <c r="D18" s="3" t="str">
        <f t="shared" si="2"/>
        <v>aa</v>
      </c>
      <c r="E18" s="3" t="str">
        <f t="shared" si="3"/>
        <v>m</v>
      </c>
      <c r="F18" s="3" t="str">
        <f t="shared" si="4"/>
        <v>19</v>
      </c>
      <c r="G18" s="3" t="str">
        <f t="shared" si="5"/>
        <v>aa1m</v>
      </c>
      <c r="H18" s="3" t="str">
        <f t="shared" si="6"/>
        <v>11.30.09</v>
      </c>
      <c r="I18" s="2">
        <v>156.801</v>
      </c>
      <c r="J18" s="2">
        <v>0.513</v>
      </c>
      <c r="K18" s="4">
        <f t="shared" si="7"/>
        <v>82.27</v>
      </c>
      <c r="L18" s="4">
        <f t="shared" si="8"/>
        <v>23.199</v>
      </c>
      <c r="M18" s="4">
        <f t="shared" si="9"/>
        <v>5.484666667</v>
      </c>
      <c r="N18" s="4">
        <f t="shared" si="10"/>
        <v>5.959613831</v>
      </c>
      <c r="O18" s="4">
        <f t="shared" si="11"/>
        <v>178.7884149</v>
      </c>
      <c r="P18" s="4">
        <f t="shared" si="12"/>
        <v>0.4048989332</v>
      </c>
    </row>
    <row r="19">
      <c r="A19" s="2">
        <v>1.0</v>
      </c>
      <c r="B19" s="1" t="s">
        <v>32</v>
      </c>
      <c r="C19" s="3" t="str">
        <f t="shared" si="1"/>
        <v>aa1</v>
      </c>
      <c r="D19" s="3" t="str">
        <f t="shared" si="2"/>
        <v>aa</v>
      </c>
      <c r="E19" s="3" t="str">
        <f t="shared" si="3"/>
        <v>m</v>
      </c>
      <c r="F19" s="3" t="str">
        <f t="shared" si="4"/>
        <v>19</v>
      </c>
      <c r="G19" s="3" t="str">
        <f t="shared" si="5"/>
        <v>aa1m</v>
      </c>
      <c r="H19" s="3" t="str">
        <f t="shared" si="6"/>
        <v>11.30.09</v>
      </c>
      <c r="I19" s="2">
        <v>-134.433</v>
      </c>
      <c r="J19" s="2">
        <v>2.415</v>
      </c>
      <c r="K19" s="4">
        <f t="shared" si="7"/>
        <v>82.27</v>
      </c>
      <c r="L19" s="4">
        <f t="shared" si="8"/>
        <v>45.567</v>
      </c>
      <c r="M19" s="4">
        <f t="shared" si="9"/>
        <v>5.484666667</v>
      </c>
      <c r="N19" s="4">
        <f t="shared" si="10"/>
        <v>7.379663349</v>
      </c>
      <c r="O19" s="4">
        <f t="shared" si="11"/>
        <v>221.3899005</v>
      </c>
      <c r="P19" s="4">
        <f t="shared" si="12"/>
        <v>0.7952941803</v>
      </c>
    </row>
    <row r="20">
      <c r="A20" s="2">
        <v>1.0</v>
      </c>
      <c r="B20" s="1" t="s">
        <v>33</v>
      </c>
      <c r="C20" s="3" t="str">
        <f t="shared" si="1"/>
        <v>aa1</v>
      </c>
      <c r="D20" s="3" t="str">
        <f t="shared" si="2"/>
        <v>aa</v>
      </c>
      <c r="E20" s="3" t="str">
        <f t="shared" si="3"/>
        <v>m</v>
      </c>
      <c r="F20" s="3" t="str">
        <f t="shared" si="4"/>
        <v>19</v>
      </c>
      <c r="G20" s="3" t="str">
        <f t="shared" si="5"/>
        <v>aa1m</v>
      </c>
      <c r="H20" s="3" t="str">
        <f t="shared" si="6"/>
        <v>11.30.09</v>
      </c>
      <c r="I20" s="2">
        <v>-154.799</v>
      </c>
      <c r="J20" s="2">
        <v>0.629</v>
      </c>
      <c r="K20" s="4">
        <f t="shared" si="7"/>
        <v>82.27</v>
      </c>
      <c r="L20" s="4">
        <f t="shared" si="8"/>
        <v>25.201</v>
      </c>
      <c r="M20" s="4">
        <f t="shared" si="9"/>
        <v>5.484666667</v>
      </c>
      <c r="N20" s="4">
        <f t="shared" si="10"/>
        <v>6.059719716</v>
      </c>
      <c r="O20" s="4">
        <f t="shared" si="11"/>
        <v>181.7915915</v>
      </c>
      <c r="P20" s="4">
        <f t="shared" si="12"/>
        <v>0.4398404248</v>
      </c>
    </row>
    <row r="21">
      <c r="A21" s="2">
        <v>1.0</v>
      </c>
      <c r="B21" s="1" t="s">
        <v>34</v>
      </c>
      <c r="C21" s="3" t="str">
        <f t="shared" si="1"/>
        <v>aa1</v>
      </c>
      <c r="D21" s="3" t="str">
        <f t="shared" si="2"/>
        <v>aa</v>
      </c>
      <c r="E21" s="3" t="str">
        <f t="shared" si="3"/>
        <v>m</v>
      </c>
      <c r="F21" s="3" t="str">
        <f t="shared" si="4"/>
        <v>19</v>
      </c>
      <c r="G21" s="3" t="str">
        <f t="shared" si="5"/>
        <v>aa1m</v>
      </c>
      <c r="H21" s="3" t="str">
        <f t="shared" si="6"/>
        <v>11.30.09</v>
      </c>
      <c r="I21" s="2">
        <v>-129.56</v>
      </c>
      <c r="J21" s="2">
        <v>1.998</v>
      </c>
      <c r="K21" s="4">
        <f t="shared" si="7"/>
        <v>82.27</v>
      </c>
      <c r="L21" s="4">
        <f t="shared" si="8"/>
        <v>50.44</v>
      </c>
      <c r="M21" s="4">
        <f t="shared" si="9"/>
        <v>5.484666667</v>
      </c>
      <c r="N21" s="4">
        <f t="shared" si="10"/>
        <v>6.930514253</v>
      </c>
      <c r="O21" s="4">
        <f t="shared" si="11"/>
        <v>207.9154276</v>
      </c>
      <c r="P21" s="4">
        <f t="shared" si="12"/>
        <v>0.8803440747</v>
      </c>
    </row>
    <row r="22">
      <c r="A22" s="2">
        <v>1.0</v>
      </c>
      <c r="B22" s="1" t="s">
        <v>35</v>
      </c>
      <c r="C22" s="3" t="str">
        <f t="shared" si="1"/>
        <v>aa1</v>
      </c>
      <c r="D22" s="3" t="str">
        <f t="shared" si="2"/>
        <v>aa</v>
      </c>
      <c r="E22" s="3" t="str">
        <f t="shared" si="3"/>
        <v>m</v>
      </c>
      <c r="F22" s="3" t="str">
        <f t="shared" si="4"/>
        <v>19</v>
      </c>
      <c r="G22" s="3" t="str">
        <f t="shared" si="5"/>
        <v>aa1m</v>
      </c>
      <c r="H22" s="3" t="str">
        <f t="shared" si="6"/>
        <v>11.30.09</v>
      </c>
      <c r="I22" s="2">
        <v>176.055</v>
      </c>
      <c r="J22" s="2">
        <v>1.178</v>
      </c>
      <c r="K22" s="4">
        <f t="shared" si="7"/>
        <v>82.27</v>
      </c>
      <c r="L22" s="4">
        <f t="shared" si="8"/>
        <v>3.945</v>
      </c>
      <c r="M22" s="4">
        <f t="shared" si="9"/>
        <v>5.484666667</v>
      </c>
      <c r="N22" s="4">
        <f t="shared" si="10"/>
        <v>6.660368563</v>
      </c>
      <c r="O22" s="4">
        <f t="shared" si="11"/>
        <v>199.8110569</v>
      </c>
      <c r="P22" s="4">
        <f t="shared" si="12"/>
        <v>0.06885323899</v>
      </c>
    </row>
    <row r="23">
      <c r="A23" s="2">
        <v>1.0</v>
      </c>
      <c r="B23" s="1" t="s">
        <v>36</v>
      </c>
      <c r="C23" s="3" t="str">
        <f t="shared" si="1"/>
        <v>aa1</v>
      </c>
      <c r="D23" s="3" t="str">
        <f t="shared" si="2"/>
        <v>aa</v>
      </c>
      <c r="E23" s="3" t="str">
        <f t="shared" si="3"/>
        <v>m</v>
      </c>
      <c r="F23" s="3" t="str">
        <f t="shared" si="4"/>
        <v>21</v>
      </c>
      <c r="G23" s="3" t="str">
        <f t="shared" si="5"/>
        <v>aa1m</v>
      </c>
      <c r="H23" s="3" t="str">
        <f t="shared" si="6"/>
        <v>11.30.09</v>
      </c>
      <c r="I23" s="2">
        <v>169.695</v>
      </c>
      <c r="J23" s="2">
        <v>0.375</v>
      </c>
      <c r="K23" s="4">
        <f t="shared" si="7"/>
        <v>90.93</v>
      </c>
      <c r="L23" s="4">
        <f t="shared" si="8"/>
        <v>10.305</v>
      </c>
      <c r="M23" s="4">
        <f t="shared" si="9"/>
        <v>6.062</v>
      </c>
      <c r="N23" s="4">
        <f t="shared" si="10"/>
        <v>6.431300908</v>
      </c>
      <c r="O23" s="4">
        <f t="shared" si="11"/>
        <v>192.9390272</v>
      </c>
      <c r="P23" s="4">
        <f t="shared" si="12"/>
        <v>0.1798561794</v>
      </c>
    </row>
    <row r="24">
      <c r="A24" s="2">
        <v>1.0</v>
      </c>
      <c r="B24" s="1" t="s">
        <v>37</v>
      </c>
      <c r="C24" s="3" t="str">
        <f t="shared" si="1"/>
        <v>aa1</v>
      </c>
      <c r="D24" s="3" t="str">
        <f t="shared" si="2"/>
        <v>aa</v>
      </c>
      <c r="E24" s="3" t="str">
        <f t="shared" si="3"/>
        <v>m</v>
      </c>
      <c r="F24" s="3" t="str">
        <f t="shared" si="4"/>
        <v>21</v>
      </c>
      <c r="G24" s="3" t="str">
        <f t="shared" si="5"/>
        <v>aa1m</v>
      </c>
      <c r="H24" s="3" t="str">
        <f t="shared" si="6"/>
        <v>11.30.09</v>
      </c>
      <c r="I24" s="2">
        <v>180.0</v>
      </c>
      <c r="J24" s="2">
        <v>0.742</v>
      </c>
      <c r="K24" s="4">
        <f t="shared" si="7"/>
        <v>90.93</v>
      </c>
      <c r="L24" s="4">
        <f t="shared" si="8"/>
        <v>0</v>
      </c>
      <c r="M24" s="4">
        <f t="shared" si="9"/>
        <v>6.062</v>
      </c>
      <c r="N24" s="4">
        <f t="shared" si="10"/>
        <v>6.804</v>
      </c>
      <c r="O24" s="4">
        <f t="shared" si="11"/>
        <v>204.12</v>
      </c>
      <c r="P24" s="4">
        <f t="shared" si="12"/>
        <v>0</v>
      </c>
    </row>
    <row r="25">
      <c r="A25" s="2">
        <v>1.0</v>
      </c>
      <c r="B25" s="1" t="s">
        <v>38</v>
      </c>
      <c r="C25" s="3" t="str">
        <f t="shared" si="1"/>
        <v>aa1</v>
      </c>
      <c r="D25" s="3" t="str">
        <f t="shared" si="2"/>
        <v>aa</v>
      </c>
      <c r="E25" s="3" t="str">
        <f t="shared" si="3"/>
        <v>m</v>
      </c>
      <c r="F25" s="3" t="str">
        <f t="shared" si="4"/>
        <v>21</v>
      </c>
      <c r="G25" s="3" t="str">
        <f t="shared" si="5"/>
        <v>aa1m</v>
      </c>
      <c r="H25" s="3" t="str">
        <f t="shared" si="6"/>
        <v>11.30.09</v>
      </c>
      <c r="I25" s="2">
        <v>145.008</v>
      </c>
      <c r="J25" s="2">
        <v>0.402</v>
      </c>
      <c r="K25" s="4">
        <f t="shared" si="7"/>
        <v>90.93</v>
      </c>
      <c r="L25" s="4">
        <f t="shared" si="8"/>
        <v>34.992</v>
      </c>
      <c r="M25" s="4">
        <f t="shared" si="9"/>
        <v>6.062</v>
      </c>
      <c r="N25" s="4">
        <f t="shared" si="10"/>
        <v>6.395487538</v>
      </c>
      <c r="O25" s="4">
        <f t="shared" si="11"/>
        <v>191.8646261</v>
      </c>
      <c r="P25" s="4">
        <f t="shared" si="12"/>
        <v>0.6107256119</v>
      </c>
    </row>
    <row r="26">
      <c r="A26" s="2">
        <v>1.0</v>
      </c>
      <c r="B26" s="1" t="s">
        <v>39</v>
      </c>
      <c r="C26" s="3" t="str">
        <f t="shared" si="1"/>
        <v>aa1</v>
      </c>
      <c r="D26" s="3" t="str">
        <f t="shared" si="2"/>
        <v>aa</v>
      </c>
      <c r="E26" s="3" t="str">
        <f t="shared" si="3"/>
        <v>m</v>
      </c>
      <c r="F26" s="3" t="str">
        <f t="shared" si="4"/>
        <v>21</v>
      </c>
      <c r="G26" s="3" t="str">
        <f t="shared" si="5"/>
        <v>aa1m</v>
      </c>
      <c r="H26" s="3" t="str">
        <f t="shared" si="6"/>
        <v>11.30.09</v>
      </c>
      <c r="I26" s="2">
        <v>166.608</v>
      </c>
      <c r="J26" s="2">
        <v>0.725</v>
      </c>
      <c r="K26" s="4">
        <f t="shared" si="7"/>
        <v>90.93</v>
      </c>
      <c r="L26" s="4">
        <f t="shared" si="8"/>
        <v>13.392</v>
      </c>
      <c r="M26" s="4">
        <f t="shared" si="9"/>
        <v>6.062</v>
      </c>
      <c r="N26" s="4">
        <f t="shared" si="10"/>
        <v>6.769368954</v>
      </c>
      <c r="O26" s="4">
        <f t="shared" si="11"/>
        <v>203.0810686</v>
      </c>
      <c r="P26" s="4">
        <f t="shared" si="12"/>
        <v>0.2337344934</v>
      </c>
    </row>
    <row r="27">
      <c r="A27" s="2">
        <v>1.0</v>
      </c>
      <c r="B27" s="1" t="s">
        <v>40</v>
      </c>
      <c r="C27" s="3" t="str">
        <f t="shared" si="1"/>
        <v>aa2</v>
      </c>
      <c r="D27" s="3" t="str">
        <f t="shared" si="2"/>
        <v>aa</v>
      </c>
      <c r="E27" s="3" t="str">
        <f t="shared" si="3"/>
        <v>f</v>
      </c>
      <c r="F27" s="3" t="str">
        <f t="shared" si="4"/>
        <v>03</v>
      </c>
      <c r="G27" s="3" t="str">
        <f t="shared" si="5"/>
        <v>aa2f</v>
      </c>
      <c r="H27" s="3" t="str">
        <f t="shared" si="6"/>
        <v>11.30.09</v>
      </c>
      <c r="I27" s="2">
        <v>-171.87</v>
      </c>
      <c r="J27" s="2">
        <v>0.527</v>
      </c>
      <c r="K27" s="4">
        <f t="shared" si="7"/>
        <v>12.99</v>
      </c>
      <c r="L27" s="4">
        <f t="shared" si="8"/>
        <v>8.13</v>
      </c>
      <c r="M27" s="4">
        <f t="shared" si="9"/>
        <v>0.866</v>
      </c>
      <c r="N27" s="4">
        <f t="shared" si="10"/>
        <v>1.389703382</v>
      </c>
      <c r="O27" s="4">
        <f t="shared" si="11"/>
        <v>41.69110146</v>
      </c>
      <c r="P27" s="4">
        <f t="shared" si="12"/>
        <v>0.1418952682</v>
      </c>
    </row>
    <row r="28">
      <c r="A28" s="2">
        <v>1.0</v>
      </c>
      <c r="B28" s="1" t="s">
        <v>41</v>
      </c>
      <c r="C28" s="3" t="str">
        <f t="shared" si="1"/>
        <v>aa2</v>
      </c>
      <c r="D28" s="3" t="str">
        <f t="shared" si="2"/>
        <v>aa</v>
      </c>
      <c r="E28" s="3" t="str">
        <f t="shared" si="3"/>
        <v>f</v>
      </c>
      <c r="F28" s="3" t="str">
        <f t="shared" si="4"/>
        <v>07</v>
      </c>
      <c r="G28" s="3" t="str">
        <f t="shared" si="5"/>
        <v>aa2f</v>
      </c>
      <c r="H28" s="3" t="str">
        <f t="shared" si="6"/>
        <v>11.30.09</v>
      </c>
      <c r="I28" s="2">
        <v>-149.589</v>
      </c>
      <c r="J28" s="2">
        <v>1.944</v>
      </c>
      <c r="K28" s="4">
        <f t="shared" si="7"/>
        <v>30.31</v>
      </c>
      <c r="L28" s="4">
        <f t="shared" si="8"/>
        <v>30.411</v>
      </c>
      <c r="M28" s="4">
        <f t="shared" si="9"/>
        <v>2.020666667</v>
      </c>
      <c r="N28" s="4">
        <f t="shared" si="10"/>
        <v>3.82592177</v>
      </c>
      <c r="O28" s="4">
        <f t="shared" si="11"/>
        <v>114.7776531</v>
      </c>
      <c r="P28" s="4">
        <f t="shared" si="12"/>
        <v>0.5307720788</v>
      </c>
    </row>
    <row r="29">
      <c r="A29" s="2">
        <v>1.0</v>
      </c>
      <c r="B29" s="1" t="s">
        <v>42</v>
      </c>
      <c r="C29" s="3" t="str">
        <f t="shared" si="1"/>
        <v>aa2</v>
      </c>
      <c r="D29" s="3" t="str">
        <f t="shared" si="2"/>
        <v>aa</v>
      </c>
      <c r="E29" s="3" t="str">
        <f t="shared" si="3"/>
        <v>f</v>
      </c>
      <c r="F29" s="3" t="str">
        <f t="shared" si="4"/>
        <v>09</v>
      </c>
      <c r="G29" s="3" t="str">
        <f t="shared" si="5"/>
        <v>aa2f</v>
      </c>
      <c r="H29" s="3" t="str">
        <f t="shared" si="6"/>
        <v>11.30.09</v>
      </c>
      <c r="I29" s="2">
        <v>-175.236</v>
      </c>
      <c r="J29" s="2">
        <v>0.434</v>
      </c>
      <c r="K29" s="4">
        <f t="shared" si="7"/>
        <v>38.97</v>
      </c>
      <c r="L29" s="4">
        <f t="shared" si="8"/>
        <v>4.764</v>
      </c>
      <c r="M29" s="4">
        <f t="shared" si="9"/>
        <v>2.598</v>
      </c>
      <c r="N29" s="4">
        <f t="shared" si="10"/>
        <v>3.03071498</v>
      </c>
      <c r="O29" s="4">
        <f t="shared" si="11"/>
        <v>90.92144941</v>
      </c>
      <c r="P29" s="4">
        <f t="shared" si="12"/>
        <v>0.08314748557</v>
      </c>
    </row>
    <row r="30">
      <c r="A30" s="2">
        <v>1.0</v>
      </c>
      <c r="B30" s="1" t="s">
        <v>43</v>
      </c>
      <c r="C30" s="3" t="str">
        <f t="shared" si="1"/>
        <v>aa2</v>
      </c>
      <c r="D30" s="3" t="str">
        <f t="shared" si="2"/>
        <v>aa</v>
      </c>
      <c r="E30" s="3" t="str">
        <f t="shared" si="3"/>
        <v>f</v>
      </c>
      <c r="F30" s="3" t="str">
        <f t="shared" si="4"/>
        <v>09</v>
      </c>
      <c r="G30" s="3" t="str">
        <f t="shared" si="5"/>
        <v>aa2f</v>
      </c>
      <c r="H30" s="3" t="str">
        <f t="shared" si="6"/>
        <v>11.30.09</v>
      </c>
      <c r="I30" s="2">
        <v>-173.517</v>
      </c>
      <c r="J30" s="2">
        <v>1.61</v>
      </c>
      <c r="K30" s="4">
        <f t="shared" si="7"/>
        <v>38.97</v>
      </c>
      <c r="L30" s="4">
        <f t="shared" si="8"/>
        <v>6.483</v>
      </c>
      <c r="M30" s="4">
        <f t="shared" si="9"/>
        <v>2.598</v>
      </c>
      <c r="N30" s="4">
        <f t="shared" si="10"/>
        <v>4.201638917</v>
      </c>
      <c r="O30" s="4">
        <f t="shared" si="11"/>
        <v>126.0491675</v>
      </c>
      <c r="P30" s="4">
        <f t="shared" si="12"/>
        <v>0.1131496954</v>
      </c>
    </row>
    <row r="31">
      <c r="A31" s="2">
        <v>1.0</v>
      </c>
      <c r="B31" s="1" t="s">
        <v>44</v>
      </c>
      <c r="C31" s="3" t="str">
        <f t="shared" si="1"/>
        <v>aa2</v>
      </c>
      <c r="D31" s="3" t="str">
        <f t="shared" si="2"/>
        <v>aa</v>
      </c>
      <c r="E31" s="3" t="str">
        <f t="shared" si="3"/>
        <v>f</v>
      </c>
      <c r="F31" s="3" t="str">
        <f t="shared" si="4"/>
        <v>13</v>
      </c>
      <c r="G31" s="3" t="str">
        <f t="shared" si="5"/>
        <v>aa2f</v>
      </c>
      <c r="H31" s="3" t="str">
        <f t="shared" si="6"/>
        <v>11.30.09</v>
      </c>
      <c r="I31" s="2">
        <v>174.644</v>
      </c>
      <c r="J31" s="2">
        <v>1.162</v>
      </c>
      <c r="K31" s="4">
        <f t="shared" si="7"/>
        <v>56.29</v>
      </c>
      <c r="L31" s="4">
        <f t="shared" si="8"/>
        <v>5.356</v>
      </c>
      <c r="M31" s="4">
        <f t="shared" si="9"/>
        <v>3.752666667</v>
      </c>
      <c r="N31" s="4">
        <f t="shared" si="10"/>
        <v>4.910791299</v>
      </c>
      <c r="O31" s="4">
        <f t="shared" si="11"/>
        <v>147.323739</v>
      </c>
      <c r="P31" s="4">
        <f t="shared" si="12"/>
        <v>0.09347983474</v>
      </c>
    </row>
    <row r="32">
      <c r="A32" s="2">
        <v>1.0</v>
      </c>
      <c r="B32" s="1" t="s">
        <v>45</v>
      </c>
      <c r="C32" s="3" t="str">
        <f t="shared" si="1"/>
        <v>aa2</v>
      </c>
      <c r="D32" s="3" t="str">
        <f t="shared" si="2"/>
        <v>aa</v>
      </c>
      <c r="E32" s="3" t="str">
        <f t="shared" si="3"/>
        <v>f</v>
      </c>
      <c r="F32" s="3" t="str">
        <f t="shared" si="4"/>
        <v>15</v>
      </c>
      <c r="G32" s="3" t="str">
        <f t="shared" si="5"/>
        <v>aa2f</v>
      </c>
      <c r="H32" s="3" t="str">
        <f t="shared" si="6"/>
        <v>11.30.09</v>
      </c>
      <c r="I32" s="2">
        <v>165.069</v>
      </c>
      <c r="J32" s="2">
        <v>1.122</v>
      </c>
      <c r="K32" s="4">
        <f t="shared" si="7"/>
        <v>64.95</v>
      </c>
      <c r="L32" s="4">
        <f t="shared" si="8"/>
        <v>14.931</v>
      </c>
      <c r="M32" s="4">
        <f t="shared" si="9"/>
        <v>4.33</v>
      </c>
      <c r="N32" s="4">
        <f t="shared" si="10"/>
        <v>5.421830258</v>
      </c>
      <c r="O32" s="4">
        <f t="shared" si="11"/>
        <v>162.6549077</v>
      </c>
      <c r="P32" s="4">
        <f t="shared" si="12"/>
        <v>0.2605951106</v>
      </c>
    </row>
    <row r="33">
      <c r="A33" s="2">
        <v>1.0</v>
      </c>
      <c r="B33" s="1" t="s">
        <v>46</v>
      </c>
      <c r="C33" s="3" t="str">
        <f t="shared" si="1"/>
        <v>aa2</v>
      </c>
      <c r="D33" s="3" t="str">
        <f t="shared" si="2"/>
        <v>aa</v>
      </c>
      <c r="E33" s="3" t="str">
        <f t="shared" si="3"/>
        <v>f</v>
      </c>
      <c r="F33" s="3" t="str">
        <f t="shared" si="4"/>
        <v>15</v>
      </c>
      <c r="G33" s="3" t="str">
        <f t="shared" si="5"/>
        <v>aa2f</v>
      </c>
      <c r="H33" s="3" t="str">
        <f t="shared" si="6"/>
        <v>11.30.09</v>
      </c>
      <c r="I33" s="2">
        <v>-172.235</v>
      </c>
      <c r="J33" s="2">
        <v>0.803</v>
      </c>
      <c r="K33" s="4">
        <f t="shared" si="7"/>
        <v>64.95</v>
      </c>
      <c r="L33" s="4">
        <f t="shared" si="8"/>
        <v>7.765</v>
      </c>
      <c r="M33" s="4">
        <f t="shared" si="9"/>
        <v>4.33</v>
      </c>
      <c r="N33" s="4">
        <f t="shared" si="10"/>
        <v>5.126785045</v>
      </c>
      <c r="O33" s="4">
        <f t="shared" si="11"/>
        <v>153.8035513</v>
      </c>
      <c r="P33" s="4">
        <f t="shared" si="12"/>
        <v>0.1355248164</v>
      </c>
    </row>
    <row r="34">
      <c r="A34" s="2">
        <v>1.0</v>
      </c>
      <c r="B34" s="1" t="s">
        <v>47</v>
      </c>
      <c r="C34" s="3" t="str">
        <f t="shared" si="1"/>
        <v>aa2</v>
      </c>
      <c r="D34" s="3" t="str">
        <f t="shared" si="2"/>
        <v>aa</v>
      </c>
      <c r="E34" s="3" t="str">
        <f t="shared" si="3"/>
        <v>f</v>
      </c>
      <c r="F34" s="3" t="str">
        <f t="shared" si="4"/>
        <v>19</v>
      </c>
      <c r="G34" s="3" t="str">
        <f t="shared" si="5"/>
        <v>aa2f</v>
      </c>
      <c r="H34" s="3" t="str">
        <f t="shared" si="6"/>
        <v>11.30.09</v>
      </c>
      <c r="I34" s="2">
        <v>-161.565</v>
      </c>
      <c r="J34" s="2">
        <v>1.048</v>
      </c>
      <c r="K34" s="4">
        <f t="shared" si="7"/>
        <v>82.27</v>
      </c>
      <c r="L34" s="4">
        <f t="shared" si="8"/>
        <v>18.435</v>
      </c>
      <c r="M34" s="4">
        <f t="shared" si="9"/>
        <v>5.484666667</v>
      </c>
      <c r="N34" s="4">
        <f t="shared" si="10"/>
        <v>6.487357</v>
      </c>
      <c r="O34" s="4">
        <f t="shared" si="11"/>
        <v>194.62071</v>
      </c>
      <c r="P34" s="4">
        <f t="shared" si="12"/>
        <v>0.3217514476</v>
      </c>
    </row>
    <row r="35">
      <c r="A35" s="2">
        <v>1.0</v>
      </c>
      <c r="B35" s="1" t="s">
        <v>48</v>
      </c>
      <c r="C35" s="3" t="str">
        <f t="shared" si="1"/>
        <v>aa2</v>
      </c>
      <c r="D35" s="3" t="str">
        <f t="shared" si="2"/>
        <v>aa</v>
      </c>
      <c r="E35" s="3" t="str">
        <f t="shared" si="3"/>
        <v>f</v>
      </c>
      <c r="F35" s="3" t="str">
        <f t="shared" si="4"/>
        <v>19</v>
      </c>
      <c r="G35" s="3" t="str">
        <f t="shared" si="5"/>
        <v>aa2f</v>
      </c>
      <c r="H35" s="3" t="str">
        <f t="shared" si="6"/>
        <v>11.30.09</v>
      </c>
      <c r="I35" s="2">
        <v>154.134</v>
      </c>
      <c r="J35" s="2">
        <v>1.326</v>
      </c>
      <c r="K35" s="4">
        <f t="shared" si="7"/>
        <v>82.27</v>
      </c>
      <c r="L35" s="4">
        <f t="shared" si="8"/>
        <v>25.866</v>
      </c>
      <c r="M35" s="4">
        <f t="shared" si="9"/>
        <v>5.484666667</v>
      </c>
      <c r="N35" s="4">
        <f t="shared" si="10"/>
        <v>6.702833915</v>
      </c>
      <c r="O35" s="4">
        <f t="shared" si="11"/>
        <v>201.0850174</v>
      </c>
      <c r="P35" s="4">
        <f t="shared" si="12"/>
        <v>0.4514468643</v>
      </c>
    </row>
    <row r="36">
      <c r="A36" s="2">
        <v>1.0</v>
      </c>
      <c r="B36" s="1" t="s">
        <v>49</v>
      </c>
      <c r="C36" s="3" t="str">
        <f t="shared" si="1"/>
        <v>aa2</v>
      </c>
      <c r="D36" s="3" t="str">
        <f t="shared" si="2"/>
        <v>aa</v>
      </c>
      <c r="E36" s="3" t="str">
        <f t="shared" si="3"/>
        <v>f</v>
      </c>
      <c r="F36" s="3" t="str">
        <f t="shared" si="4"/>
        <v>21</v>
      </c>
      <c r="G36" s="3" t="str">
        <f t="shared" si="5"/>
        <v>aa2f</v>
      </c>
      <c r="H36" s="3" t="str">
        <f t="shared" si="6"/>
        <v>11.30.09</v>
      </c>
      <c r="I36" s="2">
        <v>-152.176</v>
      </c>
      <c r="J36" s="2">
        <v>1.461</v>
      </c>
      <c r="K36" s="4">
        <f t="shared" si="7"/>
        <v>90.93</v>
      </c>
      <c r="L36" s="4">
        <f t="shared" si="8"/>
        <v>27.824</v>
      </c>
      <c r="M36" s="4">
        <f t="shared" si="9"/>
        <v>6.062</v>
      </c>
      <c r="N36" s="4">
        <f t="shared" si="10"/>
        <v>7.385636809</v>
      </c>
      <c r="O36" s="4">
        <f t="shared" si="11"/>
        <v>221.5691043</v>
      </c>
      <c r="P36" s="4">
        <f t="shared" si="12"/>
        <v>0.4856204111</v>
      </c>
    </row>
    <row r="37">
      <c r="A37" s="2">
        <v>1.0</v>
      </c>
      <c r="B37" s="1" t="s">
        <v>50</v>
      </c>
      <c r="C37" s="3" t="str">
        <f t="shared" si="1"/>
        <v>aa2</v>
      </c>
      <c r="D37" s="3" t="str">
        <f t="shared" si="2"/>
        <v>aa</v>
      </c>
      <c r="E37" s="3" t="str">
        <f t="shared" si="3"/>
        <v>f</v>
      </c>
      <c r="F37" s="3" t="str">
        <f t="shared" si="4"/>
        <v>21</v>
      </c>
      <c r="G37" s="3" t="str">
        <f t="shared" si="5"/>
        <v>aa2f</v>
      </c>
      <c r="H37" s="3" t="str">
        <f t="shared" si="6"/>
        <v>11.30.09</v>
      </c>
      <c r="I37" s="2">
        <v>180.0</v>
      </c>
      <c r="J37" s="2">
        <v>0.687</v>
      </c>
      <c r="K37" s="4">
        <f t="shared" si="7"/>
        <v>90.93</v>
      </c>
      <c r="L37" s="4">
        <f t="shared" si="8"/>
        <v>0</v>
      </c>
      <c r="M37" s="4">
        <f t="shared" si="9"/>
        <v>6.062</v>
      </c>
      <c r="N37" s="4">
        <f t="shared" si="10"/>
        <v>6.749</v>
      </c>
      <c r="O37" s="4">
        <f t="shared" si="11"/>
        <v>202.47</v>
      </c>
      <c r="P37" s="4">
        <f t="shared" si="12"/>
        <v>0</v>
      </c>
    </row>
    <row r="38">
      <c r="A38" s="2">
        <v>1.0</v>
      </c>
      <c r="B38" s="1" t="s">
        <v>51</v>
      </c>
      <c r="C38" s="3" t="str">
        <f t="shared" si="1"/>
        <v>aa2</v>
      </c>
      <c r="D38" s="3" t="str">
        <f t="shared" si="2"/>
        <v>aa</v>
      </c>
      <c r="E38" s="3" t="str">
        <f t="shared" si="3"/>
        <v>f</v>
      </c>
      <c r="F38" s="3" t="str">
        <f t="shared" si="4"/>
        <v>21</v>
      </c>
      <c r="G38" s="3" t="str">
        <f t="shared" si="5"/>
        <v>aa2f</v>
      </c>
      <c r="H38" s="3" t="str">
        <f t="shared" si="6"/>
        <v>11.30.09</v>
      </c>
      <c r="I38" s="2">
        <v>-156.801</v>
      </c>
      <c r="J38" s="2">
        <v>0.799</v>
      </c>
      <c r="K38" s="4">
        <f t="shared" si="7"/>
        <v>90.93</v>
      </c>
      <c r="L38" s="4">
        <f t="shared" si="8"/>
        <v>23.199</v>
      </c>
      <c r="M38" s="4">
        <f t="shared" si="9"/>
        <v>6.062</v>
      </c>
      <c r="N38" s="4">
        <f t="shared" si="10"/>
        <v>6.80367882</v>
      </c>
      <c r="O38" s="4">
        <f t="shared" si="11"/>
        <v>204.1103646</v>
      </c>
      <c r="P38" s="4">
        <f t="shared" si="12"/>
        <v>0.4048989332</v>
      </c>
    </row>
    <row r="39">
      <c r="A39" s="2">
        <v>1.0</v>
      </c>
      <c r="B39" s="1" t="s">
        <v>52</v>
      </c>
      <c r="C39" s="3" t="str">
        <f t="shared" si="1"/>
        <v>aa2</v>
      </c>
      <c r="D39" s="3" t="str">
        <f t="shared" si="2"/>
        <v>aa</v>
      </c>
      <c r="E39" s="3" t="str">
        <f t="shared" si="3"/>
        <v>f</v>
      </c>
      <c r="F39" s="3" t="str">
        <f t="shared" si="4"/>
        <v>23</v>
      </c>
      <c r="G39" s="3" t="str">
        <f t="shared" si="5"/>
        <v>aa2f</v>
      </c>
      <c r="H39" s="3" t="str">
        <f t="shared" si="6"/>
        <v>11.30.09</v>
      </c>
      <c r="I39" s="2">
        <v>-132.274</v>
      </c>
      <c r="J39" s="2">
        <v>1.075</v>
      </c>
      <c r="K39" s="4">
        <f t="shared" si="7"/>
        <v>99.59</v>
      </c>
      <c r="L39" s="4">
        <f t="shared" si="8"/>
        <v>47.726</v>
      </c>
      <c r="M39" s="4">
        <f t="shared" si="9"/>
        <v>6.639333333</v>
      </c>
      <c r="N39" s="4">
        <f t="shared" si="10"/>
        <v>7.405304996</v>
      </c>
      <c r="O39" s="4">
        <f t="shared" si="11"/>
        <v>222.1591499</v>
      </c>
      <c r="P39" s="4">
        <f t="shared" si="12"/>
        <v>0.8329758388</v>
      </c>
    </row>
    <row r="40">
      <c r="A40" s="2">
        <v>1.0</v>
      </c>
      <c r="B40" s="1" t="s">
        <v>53</v>
      </c>
      <c r="C40" s="3" t="str">
        <f t="shared" si="1"/>
        <v>aa2</v>
      </c>
      <c r="D40" s="3" t="str">
        <f t="shared" si="2"/>
        <v>aa</v>
      </c>
      <c r="E40" s="3" t="str">
        <f t="shared" si="3"/>
        <v>f</v>
      </c>
      <c r="F40" s="3" t="str">
        <f t="shared" si="4"/>
        <v>23</v>
      </c>
      <c r="G40" s="3" t="str">
        <f t="shared" si="5"/>
        <v>aa2f</v>
      </c>
      <c r="H40" s="3" t="str">
        <f t="shared" si="6"/>
        <v>11.30.09</v>
      </c>
      <c r="I40" s="2">
        <v>-164.055</v>
      </c>
      <c r="J40" s="2">
        <v>1.061</v>
      </c>
      <c r="K40" s="4">
        <f t="shared" si="7"/>
        <v>99.59</v>
      </c>
      <c r="L40" s="4">
        <f t="shared" si="8"/>
        <v>15.945</v>
      </c>
      <c r="M40" s="4">
        <f t="shared" si="9"/>
        <v>6.639333333</v>
      </c>
      <c r="N40" s="4">
        <f t="shared" si="10"/>
        <v>7.665056031</v>
      </c>
      <c r="O40" s="4">
        <f t="shared" si="11"/>
        <v>229.9516809</v>
      </c>
      <c r="P40" s="4">
        <f t="shared" si="12"/>
        <v>0.2782927492</v>
      </c>
    </row>
    <row r="41">
      <c r="A41" s="2">
        <v>1.0</v>
      </c>
      <c r="B41" s="1" t="s">
        <v>54</v>
      </c>
      <c r="C41" s="3" t="str">
        <f t="shared" si="1"/>
        <v>aa2</v>
      </c>
      <c r="D41" s="3" t="str">
        <f t="shared" si="2"/>
        <v>aa</v>
      </c>
      <c r="E41" s="3" t="str">
        <f t="shared" si="3"/>
        <v>f</v>
      </c>
      <c r="F41" s="3" t="str">
        <f t="shared" si="4"/>
        <v>23</v>
      </c>
      <c r="G41" s="3" t="str">
        <f t="shared" si="5"/>
        <v>aa2f</v>
      </c>
      <c r="H41" s="3" t="str">
        <f t="shared" si="6"/>
        <v>11.30.09</v>
      </c>
      <c r="I41" s="2">
        <v>-164.055</v>
      </c>
      <c r="J41" s="2">
        <v>0.278</v>
      </c>
      <c r="K41" s="4">
        <f t="shared" si="7"/>
        <v>99.59</v>
      </c>
      <c r="L41" s="4">
        <f t="shared" si="8"/>
        <v>15.945</v>
      </c>
      <c r="M41" s="4">
        <f t="shared" si="9"/>
        <v>6.639333333</v>
      </c>
      <c r="N41" s="4">
        <f t="shared" si="10"/>
        <v>6.907059742</v>
      </c>
      <c r="O41" s="4">
        <f t="shared" si="11"/>
        <v>207.2117923</v>
      </c>
      <c r="P41" s="4">
        <f t="shared" si="12"/>
        <v>0.2782927492</v>
      </c>
    </row>
    <row r="42">
      <c r="A42" s="2">
        <v>1.0</v>
      </c>
      <c r="B42" s="1" t="s">
        <v>55</v>
      </c>
      <c r="C42" s="3" t="str">
        <f t="shared" si="1"/>
        <v>aa2</v>
      </c>
      <c r="D42" s="3" t="str">
        <f t="shared" si="2"/>
        <v>aa</v>
      </c>
      <c r="E42" s="3" t="str">
        <f t="shared" si="3"/>
        <v>f</v>
      </c>
      <c r="F42" s="3" t="str">
        <f t="shared" si="4"/>
        <v>23</v>
      </c>
      <c r="G42" s="3" t="str">
        <f t="shared" si="5"/>
        <v>aa2f</v>
      </c>
      <c r="H42" s="3" t="str">
        <f t="shared" si="6"/>
        <v>11.30.09</v>
      </c>
      <c r="I42" s="2">
        <v>-121.43</v>
      </c>
      <c r="J42" s="2">
        <v>0.785</v>
      </c>
      <c r="K42" s="4">
        <f t="shared" si="7"/>
        <v>99.59</v>
      </c>
      <c r="L42" s="4">
        <f t="shared" si="8"/>
        <v>58.57</v>
      </c>
      <c r="M42" s="4">
        <f t="shared" si="9"/>
        <v>6.639333333</v>
      </c>
      <c r="N42" s="4">
        <f t="shared" si="10"/>
        <v>7.080431189</v>
      </c>
      <c r="O42" s="4">
        <f t="shared" si="11"/>
        <v>212.4129357</v>
      </c>
      <c r="P42" s="4">
        <f t="shared" si="12"/>
        <v>1.022239343</v>
      </c>
    </row>
    <row r="43">
      <c r="A43" s="2">
        <v>1.0</v>
      </c>
      <c r="B43" s="1" t="s">
        <v>56</v>
      </c>
      <c r="C43" s="3" t="str">
        <f t="shared" si="1"/>
        <v>aa2</v>
      </c>
      <c r="D43" s="3" t="str">
        <f t="shared" si="2"/>
        <v>aa</v>
      </c>
      <c r="E43" s="3" t="str">
        <f t="shared" si="3"/>
        <v>f</v>
      </c>
      <c r="F43" s="3" t="str">
        <f t="shared" si="4"/>
        <v>23</v>
      </c>
      <c r="G43" s="3" t="str">
        <f t="shared" si="5"/>
        <v>aa2f</v>
      </c>
      <c r="H43" s="3" t="str">
        <f t="shared" si="6"/>
        <v>11.30.09</v>
      </c>
      <c r="I43" s="2">
        <v>151.39</v>
      </c>
      <c r="J43" s="2">
        <v>0.48</v>
      </c>
      <c r="K43" s="4">
        <f t="shared" si="7"/>
        <v>99.59</v>
      </c>
      <c r="L43" s="4">
        <f t="shared" si="8"/>
        <v>28.61</v>
      </c>
      <c r="M43" s="4">
        <f t="shared" si="9"/>
        <v>6.639333333</v>
      </c>
      <c r="N43" s="4">
        <f t="shared" si="10"/>
        <v>7.06446511</v>
      </c>
      <c r="O43" s="4">
        <f t="shared" si="11"/>
        <v>211.9339533</v>
      </c>
      <c r="P43" s="4">
        <f t="shared" si="12"/>
        <v>0.499338699</v>
      </c>
    </row>
    <row r="44">
      <c r="A44" s="2">
        <v>1.0</v>
      </c>
      <c r="B44" s="1" t="s">
        <v>57</v>
      </c>
      <c r="C44" s="3" t="str">
        <f t="shared" si="1"/>
        <v>aa2</v>
      </c>
      <c r="D44" s="3" t="str">
        <f t="shared" si="2"/>
        <v>aa</v>
      </c>
      <c r="E44" s="3" t="str">
        <f t="shared" si="3"/>
        <v>f</v>
      </c>
      <c r="F44" s="3" t="str">
        <f t="shared" si="4"/>
        <v>23</v>
      </c>
      <c r="G44" s="3" t="str">
        <f t="shared" si="5"/>
        <v>aa2f</v>
      </c>
      <c r="H44" s="3" t="str">
        <f t="shared" si="6"/>
        <v>11.30.09</v>
      </c>
      <c r="I44" s="2">
        <v>-161.565</v>
      </c>
      <c r="J44" s="2">
        <v>0.545</v>
      </c>
      <c r="K44" s="4">
        <f t="shared" si="7"/>
        <v>99.59</v>
      </c>
      <c r="L44" s="4">
        <f t="shared" si="8"/>
        <v>18.435</v>
      </c>
      <c r="M44" s="4">
        <f t="shared" si="9"/>
        <v>6.639333333</v>
      </c>
      <c r="N44" s="4">
        <f t="shared" si="10"/>
        <v>7.158440537</v>
      </c>
      <c r="O44" s="4">
        <f t="shared" si="11"/>
        <v>214.7532161</v>
      </c>
      <c r="P44" s="4">
        <f t="shared" si="12"/>
        <v>0.3217514476</v>
      </c>
    </row>
    <row r="45">
      <c r="A45" s="2">
        <v>1.0</v>
      </c>
      <c r="B45" s="1" t="s">
        <v>58</v>
      </c>
      <c r="C45" s="3" t="str">
        <f t="shared" si="1"/>
        <v>aa2</v>
      </c>
      <c r="D45" s="3" t="str">
        <f t="shared" si="2"/>
        <v>aa</v>
      </c>
      <c r="E45" s="3" t="str">
        <f t="shared" si="3"/>
        <v>f</v>
      </c>
      <c r="F45" s="3" t="str">
        <f t="shared" si="4"/>
        <v>23</v>
      </c>
      <c r="G45" s="3" t="str">
        <f t="shared" si="5"/>
        <v>aa2f</v>
      </c>
      <c r="H45" s="3" t="str">
        <f t="shared" si="6"/>
        <v>11.30.09</v>
      </c>
      <c r="I45" s="2">
        <v>152.784</v>
      </c>
      <c r="J45" s="2">
        <v>1.433</v>
      </c>
      <c r="K45" s="4">
        <f t="shared" si="7"/>
        <v>99.59</v>
      </c>
      <c r="L45" s="4">
        <f t="shared" si="8"/>
        <v>27.216</v>
      </c>
      <c r="M45" s="4">
        <f t="shared" si="9"/>
        <v>6.639333333</v>
      </c>
      <c r="N45" s="4">
        <f t="shared" si="10"/>
        <v>7.940775417</v>
      </c>
      <c r="O45" s="4">
        <f t="shared" si="11"/>
        <v>238.2232625</v>
      </c>
      <c r="P45" s="4">
        <f t="shared" si="12"/>
        <v>0.4750088092</v>
      </c>
    </row>
    <row r="46">
      <c r="A46" s="2">
        <v>1.0</v>
      </c>
      <c r="B46" s="1" t="s">
        <v>59</v>
      </c>
      <c r="C46" s="3" t="str">
        <f t="shared" si="1"/>
        <v>aa2</v>
      </c>
      <c r="D46" s="3" t="str">
        <f t="shared" si="2"/>
        <v>aa</v>
      </c>
      <c r="E46" s="3" t="str">
        <f t="shared" si="3"/>
        <v>f</v>
      </c>
      <c r="F46" s="3" t="str">
        <f t="shared" si="4"/>
        <v>23</v>
      </c>
      <c r="G46" s="3" t="str">
        <f t="shared" si="5"/>
        <v>aa2f</v>
      </c>
      <c r="H46" s="3" t="str">
        <f t="shared" si="6"/>
        <v>11.30.09</v>
      </c>
      <c r="I46" s="2">
        <v>-124.509</v>
      </c>
      <c r="J46" s="2">
        <v>0.702</v>
      </c>
      <c r="K46" s="4">
        <f t="shared" si="7"/>
        <v>99.59</v>
      </c>
      <c r="L46" s="4">
        <f t="shared" si="8"/>
        <v>55.491</v>
      </c>
      <c r="M46" s="4">
        <f t="shared" si="9"/>
        <v>6.639333333</v>
      </c>
      <c r="N46" s="4">
        <f t="shared" si="10"/>
        <v>7.060777842</v>
      </c>
      <c r="O46" s="4">
        <f t="shared" si="11"/>
        <v>211.8233353</v>
      </c>
      <c r="P46" s="4">
        <f t="shared" si="12"/>
        <v>0.9685006552</v>
      </c>
    </row>
    <row r="47">
      <c r="A47" s="2">
        <v>1.0</v>
      </c>
      <c r="B47" s="1" t="s">
        <v>60</v>
      </c>
      <c r="C47" s="3" t="str">
        <f t="shared" si="1"/>
        <v>aa2</v>
      </c>
      <c r="D47" s="3" t="str">
        <f t="shared" si="2"/>
        <v>aa</v>
      </c>
      <c r="E47" s="3" t="str">
        <f t="shared" si="3"/>
        <v>f</v>
      </c>
      <c r="F47" s="3" t="str">
        <f t="shared" si="4"/>
        <v>23</v>
      </c>
      <c r="G47" s="3" t="str">
        <f t="shared" si="5"/>
        <v>aa2f</v>
      </c>
      <c r="H47" s="3" t="str">
        <f t="shared" si="6"/>
        <v>11.30.09</v>
      </c>
      <c r="I47" s="2">
        <v>170.218</v>
      </c>
      <c r="J47" s="2">
        <v>1.064</v>
      </c>
      <c r="K47" s="4">
        <f t="shared" si="7"/>
        <v>99.59</v>
      </c>
      <c r="L47" s="4">
        <f t="shared" si="8"/>
        <v>9.782</v>
      </c>
      <c r="M47" s="4">
        <f t="shared" si="9"/>
        <v>6.639333333</v>
      </c>
      <c r="N47" s="4">
        <f t="shared" si="10"/>
        <v>7.689989254</v>
      </c>
      <c r="O47" s="4">
        <f t="shared" si="11"/>
        <v>230.6996776</v>
      </c>
      <c r="P47" s="4">
        <f t="shared" si="12"/>
        <v>0.1707281074</v>
      </c>
    </row>
    <row r="48">
      <c r="A48" s="2">
        <v>1.0</v>
      </c>
      <c r="B48" s="1" t="s">
        <v>61</v>
      </c>
      <c r="C48" s="3" t="str">
        <f t="shared" si="1"/>
        <v>aa2</v>
      </c>
      <c r="D48" s="3" t="str">
        <f t="shared" si="2"/>
        <v>aa</v>
      </c>
      <c r="E48" s="3" t="str">
        <f t="shared" si="3"/>
        <v>f</v>
      </c>
      <c r="F48" s="3" t="str">
        <f t="shared" si="4"/>
        <v>25</v>
      </c>
      <c r="G48" s="3" t="str">
        <f t="shared" si="5"/>
        <v>aa2f</v>
      </c>
      <c r="H48" s="3" t="str">
        <f t="shared" si="6"/>
        <v>11.30.09</v>
      </c>
      <c r="I48" s="2">
        <v>-149.036</v>
      </c>
      <c r="J48" s="2">
        <v>0.201</v>
      </c>
      <c r="K48" s="4">
        <f t="shared" si="7"/>
        <v>108.25</v>
      </c>
      <c r="L48" s="4">
        <f t="shared" si="8"/>
        <v>30.964</v>
      </c>
      <c r="M48" s="4">
        <f t="shared" si="9"/>
        <v>7.216666667</v>
      </c>
      <c r="N48" s="4">
        <f t="shared" si="10"/>
        <v>7.389745947</v>
      </c>
      <c r="O48" s="4">
        <f t="shared" si="11"/>
        <v>221.6923784</v>
      </c>
      <c r="P48" s="4">
        <f t="shared" si="12"/>
        <v>0.5404237496</v>
      </c>
    </row>
    <row r="49">
      <c r="A49" s="2">
        <v>1.0</v>
      </c>
      <c r="B49" s="1" t="s">
        <v>62</v>
      </c>
      <c r="C49" s="3" t="str">
        <f t="shared" si="1"/>
        <v>aa2</v>
      </c>
      <c r="D49" s="3" t="str">
        <f t="shared" si="2"/>
        <v>aa</v>
      </c>
      <c r="E49" s="3" t="str">
        <f t="shared" si="3"/>
        <v>f</v>
      </c>
      <c r="F49" s="3" t="str">
        <f t="shared" si="4"/>
        <v>25</v>
      </c>
      <c r="G49" s="3" t="str">
        <f t="shared" si="5"/>
        <v>aa2f</v>
      </c>
      <c r="H49" s="3" t="str">
        <f t="shared" si="6"/>
        <v>11.30.09</v>
      </c>
      <c r="I49" s="2">
        <v>172.235</v>
      </c>
      <c r="J49" s="2">
        <v>0.803</v>
      </c>
      <c r="K49" s="4">
        <f t="shared" si="7"/>
        <v>108.25</v>
      </c>
      <c r="L49" s="4">
        <f t="shared" si="8"/>
        <v>7.765</v>
      </c>
      <c r="M49" s="4">
        <f t="shared" si="9"/>
        <v>7.216666667</v>
      </c>
      <c r="N49" s="4">
        <f t="shared" si="10"/>
        <v>8.013038121</v>
      </c>
      <c r="O49" s="4">
        <f t="shared" si="11"/>
        <v>240.3911436</v>
      </c>
      <c r="P49" s="4">
        <f t="shared" si="12"/>
        <v>0.1355248164</v>
      </c>
    </row>
    <row r="50">
      <c r="A50" s="2">
        <v>1.0</v>
      </c>
      <c r="B50" s="1" t="s">
        <v>63</v>
      </c>
      <c r="C50" s="3" t="str">
        <f t="shared" si="1"/>
        <v>aa2</v>
      </c>
      <c r="D50" s="3" t="str">
        <f t="shared" si="2"/>
        <v>aa</v>
      </c>
      <c r="E50" s="3" t="str">
        <f t="shared" si="3"/>
        <v>m</v>
      </c>
      <c r="F50" s="3" t="str">
        <f t="shared" si="4"/>
        <v>05</v>
      </c>
      <c r="G50" s="3" t="str">
        <f t="shared" si="5"/>
        <v>aa2m</v>
      </c>
      <c r="H50" s="3" t="str">
        <f t="shared" si="6"/>
        <v>11.30.09</v>
      </c>
      <c r="I50" s="2">
        <v>136.848</v>
      </c>
      <c r="J50" s="2">
        <v>0.802</v>
      </c>
      <c r="K50" s="4">
        <f t="shared" si="7"/>
        <v>21.65</v>
      </c>
      <c r="L50" s="4">
        <f t="shared" si="8"/>
        <v>43.152</v>
      </c>
      <c r="M50" s="4">
        <f t="shared" si="9"/>
        <v>1.443333333</v>
      </c>
      <c r="N50" s="4">
        <f t="shared" si="10"/>
        <v>2.101281116</v>
      </c>
      <c r="O50" s="4">
        <f t="shared" si="11"/>
        <v>63.03843347</v>
      </c>
      <c r="P50" s="4">
        <f t="shared" si="12"/>
        <v>0.7531444788</v>
      </c>
    </row>
    <row r="51" ht="12.0" customHeight="1">
      <c r="A51" s="2">
        <v>1.0</v>
      </c>
      <c r="B51" s="1" t="s">
        <v>64</v>
      </c>
      <c r="C51" s="3" t="str">
        <f t="shared" si="1"/>
        <v>aa2</v>
      </c>
      <c r="D51" s="3" t="str">
        <f t="shared" si="2"/>
        <v>aa</v>
      </c>
      <c r="E51" s="3" t="str">
        <f t="shared" si="3"/>
        <v>m</v>
      </c>
      <c r="F51" s="3" t="str">
        <f t="shared" si="4"/>
        <v>09</v>
      </c>
      <c r="G51" s="3" t="str">
        <f t="shared" si="5"/>
        <v>aa2m</v>
      </c>
      <c r="H51" s="3" t="str">
        <f t="shared" si="6"/>
        <v>11.30.09</v>
      </c>
      <c r="I51" s="2">
        <v>100.305</v>
      </c>
      <c r="J51" s="2">
        <v>0.794</v>
      </c>
      <c r="K51" s="4">
        <f t="shared" si="7"/>
        <v>38.97</v>
      </c>
      <c r="L51" s="4">
        <f t="shared" si="8"/>
        <v>79.695</v>
      </c>
      <c r="M51" s="4">
        <f t="shared" si="9"/>
        <v>2.598</v>
      </c>
      <c r="N51" s="4">
        <f t="shared" si="10"/>
        <v>2.849221812</v>
      </c>
      <c r="O51" s="4">
        <f t="shared" si="11"/>
        <v>85.47665436</v>
      </c>
      <c r="P51" s="4">
        <f t="shared" si="12"/>
        <v>1.390940147</v>
      </c>
    </row>
    <row r="52">
      <c r="A52" s="2">
        <v>1.0</v>
      </c>
      <c r="B52" s="1" t="s">
        <v>65</v>
      </c>
      <c r="C52" s="3" t="str">
        <f t="shared" si="1"/>
        <v>aa2</v>
      </c>
      <c r="D52" s="3" t="str">
        <f t="shared" si="2"/>
        <v>aa</v>
      </c>
      <c r="E52" s="3" t="str">
        <f t="shared" si="3"/>
        <v>m</v>
      </c>
      <c r="F52" s="3" t="str">
        <f t="shared" si="4"/>
        <v>17</v>
      </c>
      <c r="G52" s="3" t="str">
        <f t="shared" si="5"/>
        <v>aa2m</v>
      </c>
      <c r="H52" s="3" t="str">
        <f t="shared" si="6"/>
        <v>11.30.09</v>
      </c>
      <c r="I52" s="2">
        <v>-153.435</v>
      </c>
      <c r="J52" s="2">
        <v>1.063</v>
      </c>
      <c r="K52" s="4">
        <f t="shared" si="7"/>
        <v>73.61</v>
      </c>
      <c r="L52" s="4">
        <f t="shared" si="8"/>
        <v>26.565</v>
      </c>
      <c r="M52" s="4">
        <f t="shared" si="9"/>
        <v>4.907333333</v>
      </c>
      <c r="N52" s="4">
        <f t="shared" si="10"/>
        <v>5.87736711</v>
      </c>
      <c r="O52" s="4">
        <f t="shared" si="11"/>
        <v>176.3210133</v>
      </c>
      <c r="P52" s="4">
        <f t="shared" si="12"/>
        <v>0.4636467158</v>
      </c>
    </row>
    <row r="53">
      <c r="A53" s="2">
        <v>1.0</v>
      </c>
      <c r="B53" s="1" t="s">
        <v>66</v>
      </c>
      <c r="C53" s="3" t="str">
        <f t="shared" si="1"/>
        <v>aa2</v>
      </c>
      <c r="D53" s="3" t="str">
        <f t="shared" si="2"/>
        <v>aa</v>
      </c>
      <c r="E53" s="3" t="str">
        <f t="shared" si="3"/>
        <v>m</v>
      </c>
      <c r="F53" s="3" t="str">
        <f t="shared" si="4"/>
        <v>17</v>
      </c>
      <c r="G53" s="3" t="str">
        <f t="shared" si="5"/>
        <v>aa2m</v>
      </c>
      <c r="H53" s="3" t="str">
        <f t="shared" si="6"/>
        <v>11.30.09</v>
      </c>
      <c r="I53" s="2">
        <v>-141.34</v>
      </c>
      <c r="J53" s="2">
        <v>0.468</v>
      </c>
      <c r="K53" s="4">
        <f t="shared" si="7"/>
        <v>73.61</v>
      </c>
      <c r="L53" s="4">
        <f t="shared" si="8"/>
        <v>38.66</v>
      </c>
      <c r="M53" s="4">
        <f t="shared" si="9"/>
        <v>4.907333333</v>
      </c>
      <c r="N53" s="4">
        <f t="shared" si="10"/>
        <v>5.280877904</v>
      </c>
      <c r="O53" s="4">
        <f t="shared" si="11"/>
        <v>158.4263371</v>
      </c>
      <c r="P53" s="4">
        <f t="shared" si="12"/>
        <v>0.6747442888</v>
      </c>
    </row>
    <row r="54">
      <c r="A54" s="2">
        <v>1.0</v>
      </c>
      <c r="B54" s="1" t="s">
        <v>67</v>
      </c>
      <c r="C54" s="3" t="str">
        <f t="shared" si="1"/>
        <v>aa2</v>
      </c>
      <c r="D54" s="3" t="str">
        <f t="shared" si="2"/>
        <v>aa</v>
      </c>
      <c r="E54" s="3" t="str">
        <f t="shared" si="3"/>
        <v>m</v>
      </c>
      <c r="F54" s="3" t="str">
        <f t="shared" si="4"/>
        <v>17</v>
      </c>
      <c r="G54" s="3" t="str">
        <f t="shared" si="5"/>
        <v>aa2m</v>
      </c>
      <c r="H54" s="3" t="str">
        <f t="shared" si="6"/>
        <v>11.30.09</v>
      </c>
      <c r="I54" s="2">
        <v>-143.616</v>
      </c>
      <c r="J54" s="2">
        <v>1.726</v>
      </c>
      <c r="K54" s="4">
        <f t="shared" si="7"/>
        <v>73.61</v>
      </c>
      <c r="L54" s="4">
        <f t="shared" si="8"/>
        <v>36.384</v>
      </c>
      <c r="M54" s="4">
        <f t="shared" si="9"/>
        <v>4.907333333</v>
      </c>
      <c r="N54" s="4">
        <f t="shared" si="10"/>
        <v>6.379560827</v>
      </c>
      <c r="O54" s="4">
        <f t="shared" si="11"/>
        <v>191.3868248</v>
      </c>
      <c r="P54" s="4">
        <f t="shared" si="12"/>
        <v>0.635020595</v>
      </c>
    </row>
    <row r="55">
      <c r="A55" s="2">
        <v>1.0</v>
      </c>
      <c r="B55" s="1" t="s">
        <v>68</v>
      </c>
      <c r="C55" s="3" t="str">
        <f t="shared" si="1"/>
        <v>aa2</v>
      </c>
      <c r="D55" s="3" t="str">
        <f t="shared" si="2"/>
        <v>aa</v>
      </c>
      <c r="E55" s="3" t="str">
        <f t="shared" si="3"/>
        <v>m</v>
      </c>
      <c r="F55" s="3" t="str">
        <f t="shared" si="4"/>
        <v>17</v>
      </c>
      <c r="G55" s="3" t="str">
        <f t="shared" si="5"/>
        <v>aa2m</v>
      </c>
      <c r="H55" s="3" t="str">
        <f t="shared" si="6"/>
        <v>11.30.09</v>
      </c>
      <c r="I55" s="2">
        <v>157.694</v>
      </c>
      <c r="J55" s="2">
        <v>1.542</v>
      </c>
      <c r="K55" s="4">
        <f t="shared" si="7"/>
        <v>73.61</v>
      </c>
      <c r="L55" s="4">
        <f t="shared" si="8"/>
        <v>22.306</v>
      </c>
      <c r="M55" s="4">
        <f t="shared" si="9"/>
        <v>4.907333333</v>
      </c>
      <c r="N55" s="4">
        <f t="shared" si="10"/>
        <v>6.360928133</v>
      </c>
      <c r="O55" s="4">
        <f t="shared" si="11"/>
        <v>190.827844</v>
      </c>
      <c r="P55" s="4">
        <f t="shared" si="12"/>
        <v>0.3893131429</v>
      </c>
    </row>
    <row r="56">
      <c r="A56" s="2">
        <v>1.0</v>
      </c>
      <c r="B56" s="1" t="s">
        <v>69</v>
      </c>
      <c r="C56" s="3" t="str">
        <f t="shared" si="1"/>
        <v>aa2</v>
      </c>
      <c r="D56" s="3" t="str">
        <f t="shared" si="2"/>
        <v>aa</v>
      </c>
      <c r="E56" s="3" t="str">
        <f t="shared" si="3"/>
        <v>m</v>
      </c>
      <c r="F56" s="3" t="str">
        <f t="shared" si="4"/>
        <v>19</v>
      </c>
      <c r="G56" s="3" t="str">
        <f t="shared" si="5"/>
        <v>aa2m</v>
      </c>
      <c r="H56" s="3" t="str">
        <f t="shared" si="6"/>
        <v>11.30.09</v>
      </c>
      <c r="I56" s="2">
        <v>171.87</v>
      </c>
      <c r="J56" s="2">
        <v>0.776</v>
      </c>
      <c r="K56" s="4">
        <f t="shared" si="7"/>
        <v>82.27</v>
      </c>
      <c r="L56" s="4">
        <f t="shared" si="8"/>
        <v>8.13</v>
      </c>
      <c r="M56" s="4">
        <f t="shared" si="9"/>
        <v>5.484666667</v>
      </c>
      <c r="N56" s="4">
        <f t="shared" si="10"/>
        <v>6.253830611</v>
      </c>
      <c r="O56" s="4">
        <f t="shared" si="11"/>
        <v>187.6149183</v>
      </c>
      <c r="P56" s="4">
        <f t="shared" si="12"/>
        <v>0.1418952682</v>
      </c>
    </row>
    <row r="57">
      <c r="A57" s="2">
        <v>1.0</v>
      </c>
      <c r="B57" s="1" t="s">
        <v>70</v>
      </c>
      <c r="C57" s="3" t="str">
        <f t="shared" si="1"/>
        <v>aa2</v>
      </c>
      <c r="D57" s="3" t="str">
        <f t="shared" si="2"/>
        <v>aa</v>
      </c>
      <c r="E57" s="3" t="str">
        <f t="shared" si="3"/>
        <v>m</v>
      </c>
      <c r="F57" s="3" t="str">
        <f t="shared" si="4"/>
        <v>19</v>
      </c>
      <c r="G57" s="3" t="str">
        <f t="shared" si="5"/>
        <v>aa2m</v>
      </c>
      <c r="H57" s="3" t="str">
        <f t="shared" si="6"/>
        <v>11.30.09</v>
      </c>
      <c r="I57" s="2">
        <v>157.249</v>
      </c>
      <c r="J57" s="2">
        <v>1.229</v>
      </c>
      <c r="K57" s="4">
        <f t="shared" si="7"/>
        <v>82.27</v>
      </c>
      <c r="L57" s="4">
        <f t="shared" si="8"/>
        <v>22.751</v>
      </c>
      <c r="M57" s="4">
        <f t="shared" si="9"/>
        <v>5.484666667</v>
      </c>
      <c r="N57" s="4">
        <f t="shared" si="10"/>
        <v>6.635088262</v>
      </c>
      <c r="O57" s="4">
        <f t="shared" si="11"/>
        <v>199.0526479</v>
      </c>
      <c r="P57" s="4">
        <f t="shared" si="12"/>
        <v>0.3970798581</v>
      </c>
    </row>
    <row r="58">
      <c r="A58" s="2">
        <v>1.0</v>
      </c>
      <c r="B58" s="1" t="s">
        <v>71</v>
      </c>
      <c r="C58" s="3" t="str">
        <f t="shared" si="1"/>
        <v>aa2</v>
      </c>
      <c r="D58" s="3" t="str">
        <f t="shared" si="2"/>
        <v>aa</v>
      </c>
      <c r="E58" s="3" t="str">
        <f t="shared" si="3"/>
        <v>m</v>
      </c>
      <c r="F58" s="3" t="str">
        <f t="shared" si="4"/>
        <v>19</v>
      </c>
      <c r="G58" s="3" t="str">
        <f t="shared" si="5"/>
        <v>aa2m</v>
      </c>
      <c r="H58" s="3" t="str">
        <f t="shared" si="6"/>
        <v>11.30.09</v>
      </c>
      <c r="I58" s="2">
        <v>-143.616</v>
      </c>
      <c r="J58" s="2">
        <v>1.726</v>
      </c>
      <c r="K58" s="4">
        <f t="shared" si="7"/>
        <v>82.27</v>
      </c>
      <c r="L58" s="4">
        <f t="shared" si="8"/>
        <v>36.384</v>
      </c>
      <c r="M58" s="4">
        <f t="shared" si="9"/>
        <v>5.484666667</v>
      </c>
      <c r="N58" s="4">
        <f t="shared" si="10"/>
        <v>6.950028158</v>
      </c>
      <c r="O58" s="4">
        <f t="shared" si="11"/>
        <v>208.5008447</v>
      </c>
      <c r="P58" s="4">
        <f t="shared" si="12"/>
        <v>0.635020595</v>
      </c>
    </row>
    <row r="59">
      <c r="A59" s="2">
        <v>1.0</v>
      </c>
      <c r="B59" s="1" t="s">
        <v>72</v>
      </c>
      <c r="C59" s="3" t="str">
        <f t="shared" si="1"/>
        <v>aa2</v>
      </c>
      <c r="D59" s="3" t="str">
        <f t="shared" si="2"/>
        <v>aa</v>
      </c>
      <c r="E59" s="3" t="str">
        <f t="shared" si="3"/>
        <v>m</v>
      </c>
      <c r="F59" s="3" t="str">
        <f t="shared" si="4"/>
        <v>21</v>
      </c>
      <c r="G59" s="3" t="str">
        <f t="shared" si="5"/>
        <v>aa2m</v>
      </c>
      <c r="H59" s="3" t="str">
        <f t="shared" si="6"/>
        <v>11.30.09</v>
      </c>
      <c r="I59" s="2">
        <v>118.811</v>
      </c>
      <c r="J59" s="2">
        <v>0.824</v>
      </c>
      <c r="K59" s="4">
        <f t="shared" si="7"/>
        <v>90.93</v>
      </c>
      <c r="L59" s="4">
        <f t="shared" si="8"/>
        <v>61.189</v>
      </c>
      <c r="M59" s="4">
        <f t="shared" si="9"/>
        <v>6.062</v>
      </c>
      <c r="N59" s="4">
        <f t="shared" si="10"/>
        <v>6.499331092</v>
      </c>
      <c r="O59" s="4">
        <f t="shared" si="11"/>
        <v>194.9799328</v>
      </c>
      <c r="P59" s="4">
        <f t="shared" si="12"/>
        <v>1.067949516</v>
      </c>
    </row>
    <row r="60">
      <c r="A60" s="2">
        <v>1.0</v>
      </c>
      <c r="B60" s="1" t="s">
        <v>73</v>
      </c>
      <c r="C60" s="3" t="str">
        <f t="shared" si="1"/>
        <v>aa2</v>
      </c>
      <c r="D60" s="3" t="str">
        <f t="shared" si="2"/>
        <v>aa</v>
      </c>
      <c r="E60" s="3" t="str">
        <f t="shared" si="3"/>
        <v>m</v>
      </c>
      <c r="F60" s="3" t="str">
        <f t="shared" si="4"/>
        <v>21</v>
      </c>
      <c r="G60" s="3" t="str">
        <f t="shared" si="5"/>
        <v>aa2m</v>
      </c>
      <c r="H60" s="3" t="str">
        <f t="shared" si="6"/>
        <v>11.30.09</v>
      </c>
      <c r="I60" s="2">
        <v>-157.38</v>
      </c>
      <c r="J60" s="2">
        <v>0.935</v>
      </c>
      <c r="K60" s="4">
        <f t="shared" si="7"/>
        <v>90.93</v>
      </c>
      <c r="L60" s="4">
        <f t="shared" si="8"/>
        <v>22.62</v>
      </c>
      <c r="M60" s="4">
        <f t="shared" si="9"/>
        <v>6.062</v>
      </c>
      <c r="N60" s="4">
        <f t="shared" si="10"/>
        <v>6.934407209</v>
      </c>
      <c r="O60" s="4">
        <f t="shared" si="11"/>
        <v>208.0322163</v>
      </c>
      <c r="P60" s="4">
        <f t="shared" si="12"/>
        <v>0.3947934768</v>
      </c>
    </row>
    <row r="61">
      <c r="A61" s="2">
        <v>1.0</v>
      </c>
      <c r="B61" s="1" t="s">
        <v>74</v>
      </c>
      <c r="C61" s="3" t="str">
        <f t="shared" si="1"/>
        <v>aa2</v>
      </c>
      <c r="D61" s="3" t="str">
        <f t="shared" si="2"/>
        <v>aa</v>
      </c>
      <c r="E61" s="3" t="str">
        <f t="shared" si="3"/>
        <v>m</v>
      </c>
      <c r="F61" s="3" t="str">
        <f t="shared" si="4"/>
        <v>21</v>
      </c>
      <c r="G61" s="3" t="str">
        <f t="shared" si="5"/>
        <v>aa2m</v>
      </c>
      <c r="H61" s="3" t="str">
        <f t="shared" si="6"/>
        <v>11.30.09</v>
      </c>
      <c r="I61" s="2">
        <v>120.735</v>
      </c>
      <c r="J61" s="2">
        <v>1.574</v>
      </c>
      <c r="K61" s="4">
        <f t="shared" si="7"/>
        <v>90.93</v>
      </c>
      <c r="L61" s="4">
        <f t="shared" si="8"/>
        <v>59.265</v>
      </c>
      <c r="M61" s="4">
        <f t="shared" si="9"/>
        <v>6.062</v>
      </c>
      <c r="N61" s="4">
        <f t="shared" si="10"/>
        <v>6.998437115</v>
      </c>
      <c r="O61" s="4">
        <f t="shared" si="11"/>
        <v>209.9531134</v>
      </c>
      <c r="P61" s="4">
        <f t="shared" si="12"/>
        <v>1.034369381</v>
      </c>
    </row>
    <row r="62">
      <c r="A62" s="2">
        <v>1.0</v>
      </c>
      <c r="B62" s="1" t="s">
        <v>75</v>
      </c>
      <c r="C62" s="3" t="str">
        <f t="shared" si="1"/>
        <v>aa2</v>
      </c>
      <c r="D62" s="3" t="str">
        <f t="shared" si="2"/>
        <v>aa</v>
      </c>
      <c r="E62" s="3" t="str">
        <f t="shared" si="3"/>
        <v>m</v>
      </c>
      <c r="F62" s="3" t="str">
        <f t="shared" si="4"/>
        <v>21</v>
      </c>
      <c r="G62" s="3" t="str">
        <f t="shared" si="5"/>
        <v>aa2m</v>
      </c>
      <c r="H62" s="3" t="str">
        <f t="shared" si="6"/>
        <v>11.30.09</v>
      </c>
      <c r="I62" s="2">
        <v>-147.095</v>
      </c>
      <c r="J62" s="2">
        <v>0.741</v>
      </c>
      <c r="K62" s="4">
        <f t="shared" si="7"/>
        <v>90.93</v>
      </c>
      <c r="L62" s="4">
        <f t="shared" si="8"/>
        <v>32.905</v>
      </c>
      <c r="M62" s="4">
        <f t="shared" si="9"/>
        <v>6.062</v>
      </c>
      <c r="N62" s="4">
        <f t="shared" si="10"/>
        <v>6.696233762</v>
      </c>
      <c r="O62" s="4">
        <f t="shared" si="11"/>
        <v>200.8870129</v>
      </c>
      <c r="P62" s="4">
        <f t="shared" si="12"/>
        <v>0.5743005904</v>
      </c>
    </row>
    <row r="63">
      <c r="A63" s="2">
        <v>1.0</v>
      </c>
      <c r="B63" s="1" t="s">
        <v>76</v>
      </c>
      <c r="C63" s="3" t="str">
        <f t="shared" si="1"/>
        <v>aa2</v>
      </c>
      <c r="D63" s="3" t="str">
        <f t="shared" si="2"/>
        <v>aa</v>
      </c>
      <c r="E63" s="3" t="str">
        <f t="shared" si="3"/>
        <v>m</v>
      </c>
      <c r="F63" s="3" t="str">
        <f t="shared" si="4"/>
        <v>21</v>
      </c>
      <c r="G63" s="3" t="str">
        <f t="shared" si="5"/>
        <v>aa2m</v>
      </c>
      <c r="H63" s="3" t="str">
        <f t="shared" si="6"/>
        <v>11.30.09</v>
      </c>
      <c r="I63" s="2">
        <v>-126.87</v>
      </c>
      <c r="J63" s="2">
        <v>0.914</v>
      </c>
      <c r="K63" s="4">
        <f t="shared" si="7"/>
        <v>90.93</v>
      </c>
      <c r="L63" s="4">
        <f t="shared" si="8"/>
        <v>53.13</v>
      </c>
      <c r="M63" s="4">
        <f t="shared" si="9"/>
        <v>6.062</v>
      </c>
      <c r="N63" s="4">
        <f t="shared" si="10"/>
        <v>6.650718565</v>
      </c>
      <c r="O63" s="4">
        <f t="shared" si="11"/>
        <v>199.521557</v>
      </c>
      <c r="P63" s="4">
        <f t="shared" si="12"/>
        <v>0.9272934316</v>
      </c>
    </row>
    <row r="64">
      <c r="A64" s="2">
        <v>1.0</v>
      </c>
      <c r="B64" s="1" t="s">
        <v>77</v>
      </c>
      <c r="C64" s="3" t="str">
        <f t="shared" si="1"/>
        <v>aa2</v>
      </c>
      <c r="D64" s="3" t="str">
        <f t="shared" si="2"/>
        <v>aa</v>
      </c>
      <c r="E64" s="3" t="str">
        <f t="shared" si="3"/>
        <v>m</v>
      </c>
      <c r="F64" s="3" t="str">
        <f t="shared" si="4"/>
        <v>23</v>
      </c>
      <c r="G64" s="3" t="str">
        <f t="shared" si="5"/>
        <v>aa2m</v>
      </c>
      <c r="H64" s="3" t="str">
        <f t="shared" si="6"/>
        <v>11.30.09</v>
      </c>
      <c r="I64" s="2">
        <v>168.69</v>
      </c>
      <c r="J64" s="2">
        <v>0.577</v>
      </c>
      <c r="K64" s="4">
        <f t="shared" si="7"/>
        <v>99.59</v>
      </c>
      <c r="L64" s="4">
        <f t="shared" si="8"/>
        <v>11.31</v>
      </c>
      <c r="M64" s="4">
        <f t="shared" si="9"/>
        <v>6.639333333</v>
      </c>
      <c r="N64" s="4">
        <f t="shared" si="10"/>
        <v>7.206016806</v>
      </c>
      <c r="O64" s="4">
        <f t="shared" si="11"/>
        <v>216.1805042</v>
      </c>
      <c r="P64" s="4">
        <f t="shared" si="12"/>
        <v>0.1973967384</v>
      </c>
    </row>
    <row r="65">
      <c r="A65" s="2">
        <v>1.0</v>
      </c>
      <c r="B65" s="1" t="s">
        <v>78</v>
      </c>
      <c r="C65" s="3" t="str">
        <f t="shared" si="1"/>
        <v>aa2</v>
      </c>
      <c r="D65" s="3" t="str">
        <f t="shared" si="2"/>
        <v>aa</v>
      </c>
      <c r="E65" s="3" t="str">
        <f t="shared" si="3"/>
        <v>m</v>
      </c>
      <c r="F65" s="3" t="str">
        <f t="shared" si="4"/>
        <v>23</v>
      </c>
      <c r="G65" s="3" t="str">
        <f t="shared" si="5"/>
        <v>aa2m</v>
      </c>
      <c r="H65" s="3" t="str">
        <f t="shared" si="6"/>
        <v>11.30.09</v>
      </c>
      <c r="I65" s="2">
        <v>-131.186</v>
      </c>
      <c r="J65" s="2">
        <v>0.765</v>
      </c>
      <c r="K65" s="4">
        <f t="shared" si="7"/>
        <v>99.59</v>
      </c>
      <c r="L65" s="4">
        <f t="shared" si="8"/>
        <v>48.814</v>
      </c>
      <c r="M65" s="4">
        <f t="shared" si="9"/>
        <v>6.639333333</v>
      </c>
      <c r="N65" s="4">
        <f t="shared" si="10"/>
        <v>7.166253584</v>
      </c>
      <c r="O65" s="4">
        <f t="shared" si="11"/>
        <v>214.9876075</v>
      </c>
      <c r="P65" s="4">
        <f t="shared" si="12"/>
        <v>0.8519650211</v>
      </c>
    </row>
    <row r="66">
      <c r="A66" s="2">
        <v>1.0</v>
      </c>
      <c r="B66" s="1" t="s">
        <v>79</v>
      </c>
      <c r="C66" s="3" t="str">
        <f t="shared" si="1"/>
        <v>aa2</v>
      </c>
      <c r="D66" s="3" t="str">
        <f t="shared" si="2"/>
        <v>aa</v>
      </c>
      <c r="E66" s="3" t="str">
        <f t="shared" si="3"/>
        <v>m</v>
      </c>
      <c r="F66" s="3" t="str">
        <f t="shared" si="4"/>
        <v>23</v>
      </c>
      <c r="G66" s="3" t="str">
        <f t="shared" si="5"/>
        <v>aa2m</v>
      </c>
      <c r="H66" s="3" t="str">
        <f t="shared" si="6"/>
        <v>11.30.09</v>
      </c>
      <c r="I66" s="2">
        <v>138.814</v>
      </c>
      <c r="J66" s="2">
        <v>0.77</v>
      </c>
      <c r="K66" s="4">
        <f t="shared" si="7"/>
        <v>99.59</v>
      </c>
      <c r="L66" s="4">
        <f t="shared" si="8"/>
        <v>41.186</v>
      </c>
      <c r="M66" s="4">
        <f t="shared" si="9"/>
        <v>6.639333333</v>
      </c>
      <c r="N66" s="4">
        <f t="shared" si="10"/>
        <v>7.236602374</v>
      </c>
      <c r="O66" s="4">
        <f t="shared" si="11"/>
        <v>217.0980712</v>
      </c>
      <c r="P66" s="4">
        <f t="shared" si="12"/>
        <v>0.7188313057</v>
      </c>
    </row>
    <row r="67">
      <c r="A67" s="2">
        <v>1.0</v>
      </c>
      <c r="B67" s="1" t="s">
        <v>80</v>
      </c>
      <c r="C67" s="3" t="str">
        <f t="shared" si="1"/>
        <v>aa2</v>
      </c>
      <c r="D67" s="3" t="str">
        <f t="shared" si="2"/>
        <v>aa</v>
      </c>
      <c r="E67" s="3" t="str">
        <f t="shared" si="3"/>
        <v>m</v>
      </c>
      <c r="F67" s="3" t="str">
        <f t="shared" si="4"/>
        <v>23</v>
      </c>
      <c r="G67" s="3" t="str">
        <f t="shared" si="5"/>
        <v>aa2m</v>
      </c>
      <c r="H67" s="3" t="str">
        <f t="shared" si="6"/>
        <v>11.30.09</v>
      </c>
      <c r="I67" s="2">
        <v>-147.381</v>
      </c>
      <c r="J67" s="2">
        <v>1.058</v>
      </c>
      <c r="K67" s="4">
        <f t="shared" si="7"/>
        <v>99.59</v>
      </c>
      <c r="L67" s="4">
        <f t="shared" si="8"/>
        <v>32.619</v>
      </c>
      <c r="M67" s="4">
        <f t="shared" si="9"/>
        <v>6.639333333</v>
      </c>
      <c r="N67" s="4">
        <f t="shared" si="10"/>
        <v>7.552024258</v>
      </c>
      <c r="O67" s="4">
        <f t="shared" si="11"/>
        <v>226.5607278</v>
      </c>
      <c r="P67" s="4">
        <f t="shared" si="12"/>
        <v>0.5693089487</v>
      </c>
    </row>
    <row r="68">
      <c r="A68" s="2">
        <v>1.0</v>
      </c>
      <c r="B68" s="1" t="s">
        <v>81</v>
      </c>
      <c r="C68" s="3" t="str">
        <f t="shared" si="1"/>
        <v>aa2</v>
      </c>
      <c r="D68" s="3" t="str">
        <f t="shared" si="2"/>
        <v>aa</v>
      </c>
      <c r="E68" s="3" t="str">
        <f t="shared" si="3"/>
        <v>m</v>
      </c>
      <c r="F68" s="3" t="str">
        <f t="shared" si="4"/>
        <v>23</v>
      </c>
      <c r="G68" s="3" t="str">
        <f t="shared" si="5"/>
        <v>aa2m</v>
      </c>
      <c r="H68" s="3" t="str">
        <f t="shared" si="6"/>
        <v>11.30.09</v>
      </c>
      <c r="I68" s="2">
        <v>-158.199</v>
      </c>
      <c r="J68" s="2">
        <v>0.771</v>
      </c>
      <c r="K68" s="4">
        <f t="shared" si="7"/>
        <v>99.59</v>
      </c>
      <c r="L68" s="4">
        <f t="shared" si="8"/>
        <v>21.801</v>
      </c>
      <c r="M68" s="4">
        <f t="shared" si="9"/>
        <v>6.639333333</v>
      </c>
      <c r="N68" s="4">
        <f t="shared" si="10"/>
        <v>7.36076234</v>
      </c>
      <c r="O68" s="4">
        <f t="shared" si="11"/>
        <v>220.8228702</v>
      </c>
      <c r="P68" s="4">
        <f t="shared" si="12"/>
        <v>0.3804992302</v>
      </c>
    </row>
    <row r="69">
      <c r="A69" s="2">
        <v>1.0</v>
      </c>
      <c r="B69" s="1" t="s">
        <v>82</v>
      </c>
      <c r="C69" s="3" t="str">
        <f t="shared" si="1"/>
        <v>aa2</v>
      </c>
      <c r="D69" s="3" t="str">
        <f t="shared" si="2"/>
        <v>aa</v>
      </c>
      <c r="E69" s="3" t="str">
        <f t="shared" si="3"/>
        <v>m</v>
      </c>
      <c r="F69" s="3" t="str">
        <f t="shared" si="4"/>
        <v>23</v>
      </c>
      <c r="G69" s="3" t="str">
        <f t="shared" si="5"/>
        <v>aa2m</v>
      </c>
      <c r="H69" s="3" t="str">
        <f t="shared" si="6"/>
        <v>11.30.09</v>
      </c>
      <c r="I69" s="2">
        <v>-131.186</v>
      </c>
      <c r="J69" s="2">
        <v>0.407</v>
      </c>
      <c r="K69" s="4">
        <f t="shared" si="7"/>
        <v>99.59</v>
      </c>
      <c r="L69" s="4">
        <f t="shared" si="8"/>
        <v>48.814</v>
      </c>
      <c r="M69" s="4">
        <f t="shared" si="9"/>
        <v>6.639333333</v>
      </c>
      <c r="N69" s="4">
        <f t="shared" si="10"/>
        <v>6.914133</v>
      </c>
      <c r="O69" s="4">
        <f t="shared" si="11"/>
        <v>207.42399</v>
      </c>
      <c r="P69" s="4">
        <f t="shared" si="12"/>
        <v>0.8519650211</v>
      </c>
    </row>
    <row r="70">
      <c r="A70" s="2">
        <v>1.0</v>
      </c>
      <c r="B70" s="1" t="s">
        <v>83</v>
      </c>
      <c r="C70" s="3" t="str">
        <f t="shared" si="1"/>
        <v>aa2</v>
      </c>
      <c r="D70" s="3" t="str">
        <f t="shared" si="2"/>
        <v>aa</v>
      </c>
      <c r="E70" s="3" t="str">
        <f t="shared" si="3"/>
        <v>m</v>
      </c>
      <c r="F70" s="3" t="str">
        <f t="shared" si="4"/>
        <v>23</v>
      </c>
      <c r="G70" s="3" t="str">
        <f t="shared" si="5"/>
        <v>aa2m</v>
      </c>
      <c r="H70" s="3" t="str">
        <f t="shared" si="6"/>
        <v>11.30.09</v>
      </c>
      <c r="I70" s="2">
        <v>-169.38</v>
      </c>
      <c r="J70" s="2">
        <v>0.599</v>
      </c>
      <c r="K70" s="4">
        <f t="shared" si="7"/>
        <v>99.59</v>
      </c>
      <c r="L70" s="4">
        <f t="shared" si="8"/>
        <v>10.62</v>
      </c>
      <c r="M70" s="4">
        <f t="shared" si="9"/>
        <v>6.639333333</v>
      </c>
      <c r="N70" s="4">
        <f t="shared" si="10"/>
        <v>7.228916056</v>
      </c>
      <c r="O70" s="4">
        <f t="shared" si="11"/>
        <v>216.8674817</v>
      </c>
      <c r="P70" s="4">
        <f t="shared" si="12"/>
        <v>0.1853539666</v>
      </c>
    </row>
    <row r="71">
      <c r="A71" s="2">
        <v>1.0</v>
      </c>
      <c r="B71" s="1" t="s">
        <v>84</v>
      </c>
      <c r="C71" s="3" t="str">
        <f t="shared" si="1"/>
        <v>aa2</v>
      </c>
      <c r="D71" s="3" t="str">
        <f t="shared" si="2"/>
        <v>aa</v>
      </c>
      <c r="E71" s="3" t="str">
        <f t="shared" si="3"/>
        <v>m</v>
      </c>
      <c r="F71" s="3" t="str">
        <f t="shared" si="4"/>
        <v>23</v>
      </c>
      <c r="G71" s="3" t="str">
        <f t="shared" si="5"/>
        <v>aa2m</v>
      </c>
      <c r="H71" s="3" t="str">
        <f t="shared" si="6"/>
        <v>11.30.09</v>
      </c>
      <c r="I71" s="2">
        <v>143.13</v>
      </c>
      <c r="J71" s="2">
        <v>0.359</v>
      </c>
      <c r="K71" s="4">
        <f t="shared" si="7"/>
        <v>99.59</v>
      </c>
      <c r="L71" s="4">
        <f t="shared" si="8"/>
        <v>36.87</v>
      </c>
      <c r="M71" s="4">
        <f t="shared" si="9"/>
        <v>6.639333333</v>
      </c>
      <c r="N71" s="4">
        <f t="shared" si="10"/>
        <v>6.929881389</v>
      </c>
      <c r="O71" s="4">
        <f t="shared" si="11"/>
        <v>207.8964417</v>
      </c>
      <c r="P71" s="4">
        <f t="shared" si="12"/>
        <v>0.6435028952</v>
      </c>
    </row>
    <row r="72">
      <c r="A72" s="2">
        <v>1.0</v>
      </c>
      <c r="B72" s="1" t="s">
        <v>85</v>
      </c>
      <c r="C72" s="3" t="str">
        <f t="shared" si="1"/>
        <v>aa2</v>
      </c>
      <c r="D72" s="3" t="str">
        <f t="shared" si="2"/>
        <v>aa</v>
      </c>
      <c r="E72" s="3" t="str">
        <f t="shared" si="3"/>
        <v>m</v>
      </c>
      <c r="F72" s="3" t="str">
        <f t="shared" si="4"/>
        <v>23</v>
      </c>
      <c r="G72" s="3" t="str">
        <f t="shared" si="5"/>
        <v>aa2m</v>
      </c>
      <c r="H72" s="3" t="str">
        <f t="shared" si="6"/>
        <v>11.30.09</v>
      </c>
      <c r="I72" s="2">
        <v>-148.392</v>
      </c>
      <c r="J72" s="2">
        <v>0.558</v>
      </c>
      <c r="K72" s="4">
        <f t="shared" si="7"/>
        <v>99.59</v>
      </c>
      <c r="L72" s="4">
        <f t="shared" si="8"/>
        <v>31.608</v>
      </c>
      <c r="M72" s="4">
        <f t="shared" si="9"/>
        <v>6.639333333</v>
      </c>
      <c r="N72" s="4">
        <f t="shared" si="10"/>
        <v>7.120564322</v>
      </c>
      <c r="O72" s="4">
        <f t="shared" si="11"/>
        <v>213.6169297</v>
      </c>
      <c r="P72" s="4">
        <f t="shared" si="12"/>
        <v>0.55166367</v>
      </c>
    </row>
    <row r="73">
      <c r="A73" s="2">
        <v>1.0</v>
      </c>
      <c r="B73" s="1" t="s">
        <v>86</v>
      </c>
      <c r="C73" s="3" t="str">
        <f t="shared" si="1"/>
        <v>aa2</v>
      </c>
      <c r="D73" s="3" t="str">
        <f t="shared" si="2"/>
        <v>aa</v>
      </c>
      <c r="E73" s="3" t="str">
        <f t="shared" si="3"/>
        <v>m</v>
      </c>
      <c r="F73" s="3" t="str">
        <f t="shared" si="4"/>
        <v>23</v>
      </c>
      <c r="G73" s="3" t="str">
        <f t="shared" si="5"/>
        <v>aa2m</v>
      </c>
      <c r="H73" s="3" t="str">
        <f t="shared" si="6"/>
        <v>11.30.09</v>
      </c>
      <c r="I73" s="2">
        <v>122.196</v>
      </c>
      <c r="J73" s="2">
        <v>1.167</v>
      </c>
      <c r="K73" s="4">
        <f t="shared" si="7"/>
        <v>99.59</v>
      </c>
      <c r="L73" s="4">
        <f t="shared" si="8"/>
        <v>57.804</v>
      </c>
      <c r="M73" s="4">
        <f t="shared" si="9"/>
        <v>6.639333333</v>
      </c>
      <c r="N73" s="4">
        <f t="shared" si="10"/>
        <v>7.327979266</v>
      </c>
      <c r="O73" s="4">
        <f t="shared" si="11"/>
        <v>219.839378</v>
      </c>
      <c r="P73" s="4">
        <f t="shared" si="12"/>
        <v>1.008870121</v>
      </c>
    </row>
    <row r="74">
      <c r="A74" s="2">
        <v>1.0</v>
      </c>
      <c r="B74" s="1" t="s">
        <v>87</v>
      </c>
      <c r="C74" s="3" t="str">
        <f t="shared" si="1"/>
        <v>aa2</v>
      </c>
      <c r="D74" s="3" t="str">
        <f t="shared" si="2"/>
        <v>aa</v>
      </c>
      <c r="E74" s="3" t="str">
        <f t="shared" si="3"/>
        <v>m</v>
      </c>
      <c r="F74" s="3" t="str">
        <f t="shared" si="4"/>
        <v>23</v>
      </c>
      <c r="G74" s="3" t="str">
        <f t="shared" si="5"/>
        <v>aa2m</v>
      </c>
      <c r="H74" s="3" t="str">
        <f t="shared" si="6"/>
        <v>11.30.09</v>
      </c>
      <c r="I74" s="2">
        <v>-173.66</v>
      </c>
      <c r="J74" s="2">
        <v>0.661</v>
      </c>
      <c r="K74" s="4">
        <f t="shared" si="7"/>
        <v>99.59</v>
      </c>
      <c r="L74" s="4">
        <f t="shared" si="8"/>
        <v>6.34</v>
      </c>
      <c r="M74" s="4">
        <f t="shared" si="9"/>
        <v>6.639333333</v>
      </c>
      <c r="N74" s="4">
        <f t="shared" si="10"/>
        <v>7.296655833</v>
      </c>
      <c r="O74" s="4">
        <f t="shared" si="11"/>
        <v>218.899675</v>
      </c>
      <c r="P74" s="4">
        <f t="shared" si="12"/>
        <v>0.1106538746</v>
      </c>
    </row>
    <row r="75">
      <c r="A75" s="2">
        <v>1.0</v>
      </c>
      <c r="B75" s="1" t="s">
        <v>88</v>
      </c>
      <c r="C75" s="3" t="str">
        <f t="shared" si="1"/>
        <v>cn1</v>
      </c>
      <c r="D75" s="3" t="str">
        <f t="shared" si="2"/>
        <v>cn</v>
      </c>
      <c r="E75" s="3" t="str">
        <f t="shared" si="3"/>
        <v>f</v>
      </c>
      <c r="F75" s="3" t="str">
        <f t="shared" si="4"/>
        <v>03</v>
      </c>
      <c r="G75" s="3" t="str">
        <f t="shared" si="5"/>
        <v>cn1f</v>
      </c>
      <c r="H75" s="3" t="str">
        <f t="shared" si="6"/>
        <v>11.30.09</v>
      </c>
      <c r="I75" s="2">
        <v>-154.359</v>
      </c>
      <c r="J75" s="2">
        <v>1.124</v>
      </c>
      <c r="K75" s="4">
        <f t="shared" si="7"/>
        <v>12.99</v>
      </c>
      <c r="L75" s="4">
        <f t="shared" si="8"/>
        <v>25.641</v>
      </c>
      <c r="M75" s="4">
        <f t="shared" si="9"/>
        <v>0.866</v>
      </c>
      <c r="N75" s="4">
        <f t="shared" si="10"/>
        <v>1.941233712</v>
      </c>
      <c r="O75" s="4">
        <f t="shared" si="11"/>
        <v>58.23701136</v>
      </c>
      <c r="P75" s="4">
        <f t="shared" si="12"/>
        <v>0.4475198735</v>
      </c>
    </row>
    <row r="76">
      <c r="A76" s="2">
        <v>1.0</v>
      </c>
      <c r="B76" s="1" t="s">
        <v>89</v>
      </c>
      <c r="C76" s="3" t="str">
        <f t="shared" si="1"/>
        <v>cn1</v>
      </c>
      <c r="D76" s="3" t="str">
        <f t="shared" si="2"/>
        <v>cn</v>
      </c>
      <c r="E76" s="3" t="str">
        <f t="shared" si="3"/>
        <v>f</v>
      </c>
      <c r="F76" s="3" t="str">
        <f t="shared" si="4"/>
        <v>07</v>
      </c>
      <c r="G76" s="3" t="str">
        <f t="shared" si="5"/>
        <v>cn1f</v>
      </c>
      <c r="H76" s="3" t="str">
        <f t="shared" si="6"/>
        <v>11.30.09</v>
      </c>
      <c r="I76" s="2">
        <v>-171.027</v>
      </c>
      <c r="J76" s="2">
        <v>0.78</v>
      </c>
      <c r="K76" s="4">
        <f t="shared" si="7"/>
        <v>30.31</v>
      </c>
      <c r="L76" s="4">
        <f t="shared" si="8"/>
        <v>8.973</v>
      </c>
      <c r="M76" s="4">
        <f t="shared" si="9"/>
        <v>2.020666667</v>
      </c>
      <c r="N76" s="4">
        <f t="shared" si="10"/>
        <v>2.793771018</v>
      </c>
      <c r="O76" s="4">
        <f t="shared" si="11"/>
        <v>83.81313055</v>
      </c>
      <c r="P76" s="4">
        <f t="shared" si="12"/>
        <v>0.1566083938</v>
      </c>
    </row>
    <row r="77">
      <c r="A77" s="2">
        <v>1.0</v>
      </c>
      <c r="B77" s="1" t="s">
        <v>90</v>
      </c>
      <c r="C77" s="3" t="str">
        <f t="shared" si="1"/>
        <v>cn1</v>
      </c>
      <c r="D77" s="3" t="str">
        <f t="shared" si="2"/>
        <v>cn</v>
      </c>
      <c r="E77" s="3" t="str">
        <f t="shared" si="3"/>
        <v>f</v>
      </c>
      <c r="F77" s="3" t="str">
        <f t="shared" si="4"/>
        <v>07</v>
      </c>
      <c r="G77" s="3" t="str">
        <f t="shared" si="5"/>
        <v>cn1f</v>
      </c>
      <c r="H77" s="3" t="str">
        <f t="shared" si="6"/>
        <v>11.30.09</v>
      </c>
      <c r="I77" s="2">
        <v>166.504</v>
      </c>
      <c r="J77" s="2">
        <v>1.042</v>
      </c>
      <c r="K77" s="4">
        <f t="shared" si="7"/>
        <v>30.31</v>
      </c>
      <c r="L77" s="4">
        <f t="shared" si="8"/>
        <v>13.496</v>
      </c>
      <c r="M77" s="4">
        <f t="shared" si="9"/>
        <v>2.020666667</v>
      </c>
      <c r="N77" s="4">
        <f t="shared" si="10"/>
        <v>3.043623425</v>
      </c>
      <c r="O77" s="4">
        <f t="shared" si="11"/>
        <v>91.30870274</v>
      </c>
      <c r="P77" s="4">
        <f t="shared" si="12"/>
        <v>0.2355496358</v>
      </c>
    </row>
    <row r="78">
      <c r="A78" s="2">
        <v>1.0</v>
      </c>
      <c r="B78" s="1" t="s">
        <v>91</v>
      </c>
      <c r="C78" s="3" t="str">
        <f t="shared" si="1"/>
        <v>cn1</v>
      </c>
      <c r="D78" s="3" t="str">
        <f t="shared" si="2"/>
        <v>cn</v>
      </c>
      <c r="E78" s="3" t="str">
        <f t="shared" si="3"/>
        <v>f</v>
      </c>
      <c r="F78" s="3" t="str">
        <f t="shared" si="4"/>
        <v>07</v>
      </c>
      <c r="G78" s="3" t="str">
        <f t="shared" si="5"/>
        <v>cn1f</v>
      </c>
      <c r="H78" s="3" t="str">
        <f t="shared" si="6"/>
        <v>11.30.09</v>
      </c>
      <c r="I78" s="2">
        <v>176.186</v>
      </c>
      <c r="J78" s="2">
        <v>0.579</v>
      </c>
      <c r="K78" s="4">
        <f t="shared" si="7"/>
        <v>30.31</v>
      </c>
      <c r="L78" s="4">
        <f t="shared" si="8"/>
        <v>3.814</v>
      </c>
      <c r="M78" s="4">
        <f t="shared" si="9"/>
        <v>2.020666667</v>
      </c>
      <c r="N78" s="4">
        <f t="shared" si="10"/>
        <v>2.598669737</v>
      </c>
      <c r="O78" s="4">
        <f t="shared" si="11"/>
        <v>77.9600921</v>
      </c>
      <c r="P78" s="4">
        <f t="shared" si="12"/>
        <v>0.06656685767</v>
      </c>
    </row>
    <row r="79">
      <c r="A79" s="2">
        <v>1.0</v>
      </c>
      <c r="B79" s="1" t="s">
        <v>92</v>
      </c>
      <c r="C79" s="3" t="str">
        <f t="shared" si="1"/>
        <v>cn1</v>
      </c>
      <c r="D79" s="3" t="str">
        <f t="shared" si="2"/>
        <v>cn</v>
      </c>
      <c r="E79" s="3" t="str">
        <f t="shared" si="3"/>
        <v>f</v>
      </c>
      <c r="F79" s="3" t="str">
        <f t="shared" si="4"/>
        <v>07</v>
      </c>
      <c r="G79" s="3" t="str">
        <f t="shared" si="5"/>
        <v>cn1f</v>
      </c>
      <c r="H79" s="3" t="str">
        <f t="shared" si="6"/>
        <v>11.30.09</v>
      </c>
      <c r="I79" s="2">
        <v>-150.461</v>
      </c>
      <c r="J79" s="2">
        <v>1.398</v>
      </c>
      <c r="K79" s="4">
        <f t="shared" si="7"/>
        <v>30.31</v>
      </c>
      <c r="L79" s="4">
        <f t="shared" si="8"/>
        <v>29.539</v>
      </c>
      <c r="M79" s="4">
        <f t="shared" si="9"/>
        <v>2.020666667</v>
      </c>
      <c r="N79" s="4">
        <f t="shared" si="10"/>
        <v>3.3095203</v>
      </c>
      <c r="O79" s="4">
        <f t="shared" si="11"/>
        <v>99.28560901</v>
      </c>
      <c r="P79" s="4">
        <f t="shared" si="12"/>
        <v>0.5155528077</v>
      </c>
    </row>
    <row r="80">
      <c r="A80" s="2">
        <v>1.0</v>
      </c>
      <c r="B80" s="1" t="s">
        <v>93</v>
      </c>
      <c r="C80" s="3" t="str">
        <f t="shared" si="1"/>
        <v>cn1</v>
      </c>
      <c r="D80" s="3" t="str">
        <f t="shared" si="2"/>
        <v>cn</v>
      </c>
      <c r="E80" s="3" t="str">
        <f t="shared" si="3"/>
        <v>f</v>
      </c>
      <c r="F80" s="3" t="str">
        <f t="shared" si="4"/>
        <v>09</v>
      </c>
      <c r="G80" s="3" t="str">
        <f t="shared" si="5"/>
        <v>cn1f</v>
      </c>
      <c r="H80" s="3" t="str">
        <f t="shared" si="6"/>
        <v>11.30.09</v>
      </c>
      <c r="I80" s="2">
        <v>-177.614</v>
      </c>
      <c r="J80" s="2">
        <v>0.987</v>
      </c>
      <c r="K80" s="4">
        <f t="shared" si="7"/>
        <v>38.97</v>
      </c>
      <c r="L80" s="4">
        <f t="shared" si="8"/>
        <v>2.386</v>
      </c>
      <c r="M80" s="4">
        <f t="shared" si="9"/>
        <v>2.598</v>
      </c>
      <c r="N80" s="4">
        <f t="shared" si="10"/>
        <v>3.584379835</v>
      </c>
      <c r="O80" s="4">
        <f t="shared" si="11"/>
        <v>107.531395</v>
      </c>
      <c r="P80" s="4">
        <f t="shared" si="12"/>
        <v>0.04164355595</v>
      </c>
    </row>
    <row r="81">
      <c r="A81" s="2">
        <v>1.0</v>
      </c>
      <c r="B81" s="1" t="s">
        <v>94</v>
      </c>
      <c r="C81" s="3" t="str">
        <f t="shared" si="1"/>
        <v>cn1</v>
      </c>
      <c r="D81" s="3" t="str">
        <f t="shared" si="2"/>
        <v>cn</v>
      </c>
      <c r="E81" s="3" t="str">
        <f t="shared" si="3"/>
        <v>f</v>
      </c>
      <c r="F81" s="3" t="str">
        <f t="shared" si="4"/>
        <v>11</v>
      </c>
      <c r="G81" s="3" t="str">
        <f t="shared" si="5"/>
        <v>cn1f</v>
      </c>
      <c r="H81" s="3" t="str">
        <f t="shared" si="6"/>
        <v>11.30.09</v>
      </c>
      <c r="I81" s="2">
        <v>-177.51</v>
      </c>
      <c r="J81" s="2">
        <v>0.933</v>
      </c>
      <c r="K81" s="4">
        <f t="shared" si="7"/>
        <v>47.63</v>
      </c>
      <c r="L81" s="4">
        <f t="shared" si="8"/>
        <v>2.49</v>
      </c>
      <c r="M81" s="4">
        <f t="shared" si="9"/>
        <v>3.175333333</v>
      </c>
      <c r="N81" s="4">
        <f t="shared" si="10"/>
        <v>4.107652413</v>
      </c>
      <c r="O81" s="4">
        <f t="shared" si="11"/>
        <v>123.2295724</v>
      </c>
      <c r="P81" s="4">
        <f t="shared" si="12"/>
        <v>0.04345869837</v>
      </c>
    </row>
    <row r="82">
      <c r="A82" s="2">
        <v>1.0</v>
      </c>
      <c r="B82" s="1" t="s">
        <v>95</v>
      </c>
      <c r="C82" s="3" t="str">
        <f t="shared" si="1"/>
        <v>cn1</v>
      </c>
      <c r="D82" s="3" t="str">
        <f t="shared" si="2"/>
        <v>cn</v>
      </c>
      <c r="E82" s="3" t="str">
        <f t="shared" si="3"/>
        <v>f</v>
      </c>
      <c r="F82" s="3" t="str">
        <f t="shared" si="4"/>
        <v>11</v>
      </c>
      <c r="G82" s="3" t="str">
        <f t="shared" si="5"/>
        <v>cn1f</v>
      </c>
      <c r="H82" s="3" t="str">
        <f t="shared" si="6"/>
        <v>11.30.09</v>
      </c>
      <c r="I82" s="2">
        <v>-169.695</v>
      </c>
      <c r="J82" s="2">
        <v>0.896</v>
      </c>
      <c r="K82" s="4">
        <f t="shared" si="7"/>
        <v>47.63</v>
      </c>
      <c r="L82" s="4">
        <f t="shared" si="8"/>
        <v>10.305</v>
      </c>
      <c r="M82" s="4">
        <f t="shared" si="9"/>
        <v>3.175333333</v>
      </c>
      <c r="N82" s="4">
        <f t="shared" si="10"/>
        <v>4.060045442</v>
      </c>
      <c r="O82" s="4">
        <f t="shared" si="11"/>
        <v>121.8013633</v>
      </c>
      <c r="P82" s="4">
        <f t="shared" si="12"/>
        <v>0.1798561794</v>
      </c>
    </row>
    <row r="83">
      <c r="A83" s="2">
        <v>1.0</v>
      </c>
      <c r="B83" s="1" t="s">
        <v>96</v>
      </c>
      <c r="C83" s="3" t="str">
        <f t="shared" si="1"/>
        <v>cn1</v>
      </c>
      <c r="D83" s="3" t="str">
        <f t="shared" si="2"/>
        <v>cn</v>
      </c>
      <c r="E83" s="3" t="str">
        <f t="shared" si="3"/>
        <v>f</v>
      </c>
      <c r="F83" s="3" t="str">
        <f t="shared" si="4"/>
        <v>11</v>
      </c>
      <c r="G83" s="3" t="str">
        <f t="shared" si="5"/>
        <v>cn1f</v>
      </c>
      <c r="H83" s="3" t="str">
        <f t="shared" si="6"/>
        <v>11.30.09</v>
      </c>
      <c r="I83" s="2">
        <v>-171.703</v>
      </c>
      <c r="J83" s="2">
        <v>1.938</v>
      </c>
      <c r="K83" s="4">
        <f t="shared" si="7"/>
        <v>47.63</v>
      </c>
      <c r="L83" s="4">
        <f t="shared" si="8"/>
        <v>8.297</v>
      </c>
      <c r="M83" s="4">
        <f t="shared" si="9"/>
        <v>3.175333333</v>
      </c>
      <c r="N83" s="4">
        <f t="shared" si="10"/>
        <v>5.100721368</v>
      </c>
      <c r="O83" s="4">
        <f t="shared" si="11"/>
        <v>153.021641</v>
      </c>
      <c r="P83" s="4">
        <f t="shared" si="12"/>
        <v>0.144809968</v>
      </c>
    </row>
    <row r="84">
      <c r="A84" s="2">
        <v>1.0</v>
      </c>
      <c r="B84" s="1" t="s">
        <v>97</v>
      </c>
      <c r="C84" s="3" t="str">
        <f t="shared" si="1"/>
        <v>cn1</v>
      </c>
      <c r="D84" s="3" t="str">
        <f t="shared" si="2"/>
        <v>cn</v>
      </c>
      <c r="E84" s="3" t="str">
        <f t="shared" si="3"/>
        <v>f</v>
      </c>
      <c r="F84" s="3" t="str">
        <f t="shared" si="4"/>
        <v>11</v>
      </c>
      <c r="G84" s="3" t="str">
        <f t="shared" si="5"/>
        <v>cn1f</v>
      </c>
      <c r="H84" s="3" t="str">
        <f t="shared" si="6"/>
        <v>11.30.09</v>
      </c>
      <c r="I84" s="2">
        <v>156.801</v>
      </c>
      <c r="J84" s="2">
        <v>1.223</v>
      </c>
      <c r="K84" s="4">
        <f t="shared" si="7"/>
        <v>47.63</v>
      </c>
      <c r="L84" s="4">
        <f t="shared" si="8"/>
        <v>23.199</v>
      </c>
      <c r="M84" s="4">
        <f t="shared" si="9"/>
        <v>3.175333333</v>
      </c>
      <c r="N84" s="4">
        <f t="shared" si="10"/>
        <v>4.326352341</v>
      </c>
      <c r="O84" s="4">
        <f t="shared" si="11"/>
        <v>129.7905702</v>
      </c>
      <c r="P84" s="4">
        <f t="shared" si="12"/>
        <v>0.4048989332</v>
      </c>
    </row>
    <row r="85">
      <c r="A85" s="2">
        <v>1.0</v>
      </c>
      <c r="B85" s="1" t="s">
        <v>98</v>
      </c>
      <c r="C85" s="3" t="str">
        <f t="shared" si="1"/>
        <v>cn1</v>
      </c>
      <c r="D85" s="3" t="str">
        <f t="shared" si="2"/>
        <v>cn</v>
      </c>
      <c r="E85" s="3" t="str">
        <f t="shared" si="3"/>
        <v>f</v>
      </c>
      <c r="F85" s="3" t="str">
        <f t="shared" si="4"/>
        <v>13</v>
      </c>
      <c r="G85" s="3" t="str">
        <f t="shared" si="5"/>
        <v>cn1f</v>
      </c>
      <c r="H85" s="3" t="str">
        <f t="shared" si="6"/>
        <v>11.30.09</v>
      </c>
      <c r="I85" s="2">
        <v>-175.236</v>
      </c>
      <c r="J85" s="2">
        <v>0.488</v>
      </c>
      <c r="K85" s="4">
        <f t="shared" si="7"/>
        <v>56.29</v>
      </c>
      <c r="L85" s="4">
        <f t="shared" si="8"/>
        <v>4.764</v>
      </c>
      <c r="M85" s="4">
        <f t="shared" si="9"/>
        <v>3.752666667</v>
      </c>
      <c r="N85" s="4">
        <f t="shared" si="10"/>
        <v>4.23917449</v>
      </c>
      <c r="O85" s="4">
        <f t="shared" si="11"/>
        <v>127.1752347</v>
      </c>
      <c r="P85" s="4">
        <f t="shared" si="12"/>
        <v>0.08314748557</v>
      </c>
    </row>
    <row r="86">
      <c r="A86" s="2">
        <v>1.0</v>
      </c>
      <c r="B86" s="1" t="s">
        <v>99</v>
      </c>
      <c r="C86" s="3" t="str">
        <f t="shared" si="1"/>
        <v>cn1</v>
      </c>
      <c r="D86" s="3" t="str">
        <f t="shared" si="2"/>
        <v>cn</v>
      </c>
      <c r="E86" s="3" t="str">
        <f t="shared" si="3"/>
        <v>f</v>
      </c>
      <c r="F86" s="3" t="str">
        <f t="shared" si="4"/>
        <v>15</v>
      </c>
      <c r="G86" s="3" t="str">
        <f t="shared" si="5"/>
        <v>cn1f</v>
      </c>
      <c r="H86" s="3" t="str">
        <f t="shared" si="6"/>
        <v>11.30.09</v>
      </c>
      <c r="I86" s="2">
        <v>155.556</v>
      </c>
      <c r="J86" s="2">
        <v>0.481</v>
      </c>
      <c r="K86" s="4">
        <f t="shared" si="7"/>
        <v>64.95</v>
      </c>
      <c r="L86" s="4">
        <f t="shared" si="8"/>
        <v>24.444</v>
      </c>
      <c r="M86" s="4">
        <f t="shared" si="9"/>
        <v>4.33</v>
      </c>
      <c r="N86" s="4">
        <f t="shared" si="10"/>
        <v>4.77203885</v>
      </c>
      <c r="O86" s="4">
        <f t="shared" si="11"/>
        <v>143.1611655</v>
      </c>
      <c r="P86" s="4">
        <f t="shared" si="12"/>
        <v>0.4266282824</v>
      </c>
    </row>
    <row r="87">
      <c r="A87" s="2">
        <v>1.0</v>
      </c>
      <c r="B87" s="1" t="s">
        <v>100</v>
      </c>
      <c r="C87" s="3" t="str">
        <f t="shared" si="1"/>
        <v>cn1</v>
      </c>
      <c r="D87" s="3" t="str">
        <f t="shared" si="2"/>
        <v>cn</v>
      </c>
      <c r="E87" s="3" t="str">
        <f t="shared" si="3"/>
        <v>m</v>
      </c>
      <c r="F87" s="3" t="str">
        <f t="shared" si="4"/>
        <v>03</v>
      </c>
      <c r="G87" s="3" t="str">
        <f t="shared" si="5"/>
        <v>cn1m</v>
      </c>
      <c r="H87" s="3" t="str">
        <f t="shared" si="6"/>
        <v>11.30.09</v>
      </c>
      <c r="I87" s="2">
        <v>-172.093</v>
      </c>
      <c r="J87" s="2">
        <v>1.234</v>
      </c>
      <c r="K87" s="4">
        <f t="shared" si="7"/>
        <v>12.99</v>
      </c>
      <c r="L87" s="4">
        <f t="shared" si="8"/>
        <v>7.907</v>
      </c>
      <c r="M87" s="4">
        <f t="shared" si="9"/>
        <v>0.866</v>
      </c>
      <c r="N87" s="4">
        <f t="shared" si="10"/>
        <v>2.095156339</v>
      </c>
      <c r="O87" s="4">
        <f t="shared" si="11"/>
        <v>62.85469017</v>
      </c>
      <c r="P87" s="4">
        <f t="shared" si="12"/>
        <v>0.138003184</v>
      </c>
    </row>
    <row r="88">
      <c r="A88" s="2">
        <v>1.0</v>
      </c>
      <c r="B88" s="1" t="s">
        <v>101</v>
      </c>
      <c r="C88" s="3" t="str">
        <f t="shared" si="1"/>
        <v>cn1</v>
      </c>
      <c r="D88" s="3" t="str">
        <f t="shared" si="2"/>
        <v>cn</v>
      </c>
      <c r="E88" s="3" t="str">
        <f t="shared" si="3"/>
        <v>m</v>
      </c>
      <c r="F88" s="3" t="str">
        <f t="shared" si="4"/>
        <v>03</v>
      </c>
      <c r="G88" s="3" t="str">
        <f t="shared" si="5"/>
        <v>cn1m</v>
      </c>
      <c r="H88" s="3" t="str">
        <f t="shared" si="6"/>
        <v>11.30.09</v>
      </c>
      <c r="I88" s="2">
        <v>169.38</v>
      </c>
      <c r="J88" s="2">
        <v>0.547</v>
      </c>
      <c r="K88" s="4">
        <f t="shared" si="7"/>
        <v>12.99</v>
      </c>
      <c r="L88" s="4">
        <f t="shared" si="8"/>
        <v>10.62</v>
      </c>
      <c r="M88" s="4">
        <f t="shared" si="9"/>
        <v>0.866</v>
      </c>
      <c r="N88" s="4">
        <f t="shared" si="10"/>
        <v>1.407245889</v>
      </c>
      <c r="O88" s="4">
        <f t="shared" si="11"/>
        <v>42.21737666</v>
      </c>
      <c r="P88" s="4">
        <f t="shared" si="12"/>
        <v>0.1853539666</v>
      </c>
    </row>
    <row r="89">
      <c r="A89" s="2">
        <v>1.0</v>
      </c>
      <c r="B89" s="1" t="s">
        <v>102</v>
      </c>
      <c r="C89" s="3" t="str">
        <f t="shared" si="1"/>
        <v>cn1</v>
      </c>
      <c r="D89" s="3" t="str">
        <f t="shared" si="2"/>
        <v>cn</v>
      </c>
      <c r="E89" s="3" t="str">
        <f t="shared" si="3"/>
        <v>m</v>
      </c>
      <c r="F89" s="3" t="str">
        <f t="shared" si="4"/>
        <v>03</v>
      </c>
      <c r="G89" s="3" t="str">
        <f t="shared" si="5"/>
        <v>cn1m</v>
      </c>
      <c r="H89" s="3" t="str">
        <f t="shared" si="6"/>
        <v>11.30.09</v>
      </c>
      <c r="I89" s="2">
        <v>-129.472</v>
      </c>
      <c r="J89" s="2">
        <v>0.74</v>
      </c>
      <c r="K89" s="4">
        <f t="shared" si="7"/>
        <v>12.99</v>
      </c>
      <c r="L89" s="4">
        <f t="shared" si="8"/>
        <v>50.528</v>
      </c>
      <c r="M89" s="4">
        <f t="shared" si="9"/>
        <v>0.866</v>
      </c>
      <c r="N89" s="4">
        <f t="shared" si="10"/>
        <v>1.45338272</v>
      </c>
      <c r="O89" s="4">
        <f t="shared" si="11"/>
        <v>43.60148161</v>
      </c>
      <c r="P89" s="4">
        <f t="shared" si="12"/>
        <v>0.8818799644</v>
      </c>
    </row>
    <row r="90">
      <c r="A90" s="2">
        <v>1.0</v>
      </c>
      <c r="B90" s="1" t="s">
        <v>103</v>
      </c>
      <c r="C90" s="3" t="str">
        <f t="shared" si="1"/>
        <v>cn1</v>
      </c>
      <c r="D90" s="3" t="str">
        <f t="shared" si="2"/>
        <v>cn</v>
      </c>
      <c r="E90" s="3" t="str">
        <f t="shared" si="3"/>
        <v>m</v>
      </c>
      <c r="F90" s="3" t="str">
        <f t="shared" si="4"/>
        <v>04</v>
      </c>
      <c r="G90" s="3" t="str">
        <f t="shared" si="5"/>
        <v>cn1m</v>
      </c>
      <c r="H90" s="3" t="str">
        <f t="shared" si="6"/>
        <v>11.30.09</v>
      </c>
      <c r="I90" s="2">
        <v>-172.875</v>
      </c>
      <c r="J90" s="2">
        <v>0.271</v>
      </c>
      <c r="K90" s="4">
        <f t="shared" si="7"/>
        <v>17.32</v>
      </c>
      <c r="L90" s="4">
        <f t="shared" si="8"/>
        <v>7.125</v>
      </c>
      <c r="M90" s="4">
        <f t="shared" si="9"/>
        <v>1.154666667</v>
      </c>
      <c r="N90" s="4">
        <f t="shared" si="10"/>
        <v>1.423970764</v>
      </c>
      <c r="O90" s="4">
        <f t="shared" si="11"/>
        <v>42.71912291</v>
      </c>
      <c r="P90" s="4">
        <f t="shared" si="12"/>
        <v>0.1243547092</v>
      </c>
    </row>
    <row r="91">
      <c r="A91" s="2">
        <v>1.0</v>
      </c>
      <c r="B91" s="1" t="s">
        <v>104</v>
      </c>
      <c r="C91" s="3" t="str">
        <f t="shared" si="1"/>
        <v>cn1</v>
      </c>
      <c r="D91" s="3" t="str">
        <f t="shared" si="2"/>
        <v>cn</v>
      </c>
      <c r="E91" s="3" t="str">
        <f t="shared" si="3"/>
        <v>m</v>
      </c>
      <c r="F91" s="3" t="str">
        <f t="shared" si="4"/>
        <v>05</v>
      </c>
      <c r="G91" s="3" t="str">
        <f t="shared" si="5"/>
        <v>cn1m</v>
      </c>
      <c r="H91" s="3" t="str">
        <f t="shared" si="6"/>
        <v>11.30.09</v>
      </c>
      <c r="I91" s="2">
        <v>-115.71</v>
      </c>
      <c r="J91" s="2">
        <v>1.002</v>
      </c>
      <c r="K91" s="4">
        <f t="shared" si="7"/>
        <v>21.65</v>
      </c>
      <c r="L91" s="4">
        <f t="shared" si="8"/>
        <v>64.29</v>
      </c>
      <c r="M91" s="4">
        <f t="shared" si="9"/>
        <v>1.443333333</v>
      </c>
      <c r="N91" s="4">
        <f t="shared" si="10"/>
        <v>2.083747312</v>
      </c>
      <c r="O91" s="4">
        <f t="shared" si="11"/>
        <v>62.51241937</v>
      </c>
      <c r="P91" s="4">
        <f t="shared" si="12"/>
        <v>1.122072176</v>
      </c>
    </row>
    <row r="92">
      <c r="A92" s="2">
        <v>1.0</v>
      </c>
      <c r="B92" s="1" t="s">
        <v>105</v>
      </c>
      <c r="C92" s="3" t="str">
        <f t="shared" si="1"/>
        <v>cn1</v>
      </c>
      <c r="D92" s="3" t="str">
        <f t="shared" si="2"/>
        <v>cn</v>
      </c>
      <c r="E92" s="3" t="str">
        <f t="shared" si="3"/>
        <v>m</v>
      </c>
      <c r="F92" s="3" t="str">
        <f t="shared" si="4"/>
        <v>05</v>
      </c>
      <c r="G92" s="3" t="str">
        <f t="shared" si="5"/>
        <v>cn1m</v>
      </c>
      <c r="H92" s="3" t="str">
        <f t="shared" si="6"/>
        <v>11.30.09</v>
      </c>
      <c r="I92" s="2">
        <v>149.036</v>
      </c>
      <c r="J92" s="2">
        <v>0.388</v>
      </c>
      <c r="K92" s="4">
        <f t="shared" si="7"/>
        <v>21.65</v>
      </c>
      <c r="L92" s="4">
        <f t="shared" si="8"/>
        <v>30.964</v>
      </c>
      <c r="M92" s="4">
        <f t="shared" si="9"/>
        <v>1.443333333</v>
      </c>
      <c r="N92" s="4">
        <f t="shared" si="10"/>
        <v>1.787223435</v>
      </c>
      <c r="O92" s="4">
        <f t="shared" si="11"/>
        <v>53.61670304</v>
      </c>
      <c r="P92" s="4">
        <f t="shared" si="12"/>
        <v>0.5404237496</v>
      </c>
    </row>
    <row r="93">
      <c r="A93" s="2">
        <v>1.0</v>
      </c>
      <c r="B93" s="1" t="s">
        <v>106</v>
      </c>
      <c r="C93" s="3" t="str">
        <f t="shared" si="1"/>
        <v>cn1</v>
      </c>
      <c r="D93" s="3" t="str">
        <f t="shared" si="2"/>
        <v>cn</v>
      </c>
      <c r="E93" s="3" t="str">
        <f t="shared" si="3"/>
        <v>m</v>
      </c>
      <c r="F93" s="3" t="str">
        <f t="shared" si="4"/>
        <v>05</v>
      </c>
      <c r="G93" s="3" t="str">
        <f t="shared" si="5"/>
        <v>cn1m</v>
      </c>
      <c r="H93" s="3" t="str">
        <f t="shared" si="6"/>
        <v>11.30.09</v>
      </c>
      <c r="I93" s="2">
        <v>-150.945</v>
      </c>
      <c r="J93" s="2">
        <v>0.707</v>
      </c>
      <c r="K93" s="4">
        <f t="shared" si="7"/>
        <v>21.65</v>
      </c>
      <c r="L93" s="4">
        <f t="shared" si="8"/>
        <v>29.055</v>
      </c>
      <c r="M93" s="4">
        <f t="shared" si="9"/>
        <v>1.443333333</v>
      </c>
      <c r="N93" s="4">
        <f t="shared" si="10"/>
        <v>2.089760162</v>
      </c>
      <c r="O93" s="4">
        <f t="shared" si="11"/>
        <v>62.69280487</v>
      </c>
      <c r="P93" s="4">
        <f t="shared" si="12"/>
        <v>0.5071054142</v>
      </c>
    </row>
    <row r="94">
      <c r="A94" s="2">
        <v>1.0</v>
      </c>
      <c r="B94" s="1" t="s">
        <v>107</v>
      </c>
      <c r="C94" s="3" t="str">
        <f t="shared" si="1"/>
        <v>cn1</v>
      </c>
      <c r="D94" s="3" t="str">
        <f t="shared" si="2"/>
        <v>cn</v>
      </c>
      <c r="E94" s="3" t="str">
        <f t="shared" si="3"/>
        <v>m</v>
      </c>
      <c r="F94" s="3" t="str">
        <f t="shared" si="4"/>
        <v>07</v>
      </c>
      <c r="G94" s="3" t="str">
        <f t="shared" si="5"/>
        <v>cn1m</v>
      </c>
      <c r="H94" s="3" t="str">
        <f t="shared" si="6"/>
        <v>11.30.09</v>
      </c>
      <c r="I94" s="2">
        <v>157.166</v>
      </c>
      <c r="J94" s="2">
        <v>0.701</v>
      </c>
      <c r="K94" s="4">
        <f t="shared" si="7"/>
        <v>30.31</v>
      </c>
      <c r="L94" s="4">
        <f t="shared" si="8"/>
        <v>22.834</v>
      </c>
      <c r="M94" s="4">
        <f t="shared" si="9"/>
        <v>2.020666667</v>
      </c>
      <c r="N94" s="4">
        <f t="shared" si="10"/>
        <v>2.680570427</v>
      </c>
      <c r="O94" s="4">
        <f t="shared" si="11"/>
        <v>80.4171128</v>
      </c>
      <c r="P94" s="4">
        <f t="shared" si="12"/>
        <v>0.3985284814</v>
      </c>
    </row>
    <row r="95">
      <c r="A95" s="2">
        <v>1.0</v>
      </c>
      <c r="B95" s="1" t="s">
        <v>108</v>
      </c>
      <c r="C95" s="3" t="str">
        <f t="shared" si="1"/>
        <v>cn1</v>
      </c>
      <c r="D95" s="3" t="str">
        <f t="shared" si="2"/>
        <v>cn</v>
      </c>
      <c r="E95" s="3" t="str">
        <f t="shared" si="3"/>
        <v>m</v>
      </c>
      <c r="F95" s="3" t="str">
        <f t="shared" si="4"/>
        <v>07</v>
      </c>
      <c r="G95" s="3" t="str">
        <f t="shared" si="5"/>
        <v>cn1m</v>
      </c>
      <c r="H95" s="3" t="str">
        <f t="shared" si="6"/>
        <v>11.30.09</v>
      </c>
      <c r="I95" s="2">
        <v>135.0</v>
      </c>
      <c r="J95" s="2">
        <v>0.624</v>
      </c>
      <c r="K95" s="4">
        <f t="shared" si="7"/>
        <v>30.31</v>
      </c>
      <c r="L95" s="4">
        <f t="shared" si="8"/>
        <v>45</v>
      </c>
      <c r="M95" s="4">
        <f t="shared" si="9"/>
        <v>2.020666667</v>
      </c>
      <c r="N95" s="4">
        <f t="shared" si="10"/>
        <v>2.501128945</v>
      </c>
      <c r="O95" s="4">
        <f t="shared" si="11"/>
        <v>75.03386836</v>
      </c>
      <c r="P95" s="4">
        <f t="shared" si="12"/>
        <v>0.7853981634</v>
      </c>
    </row>
    <row r="96">
      <c r="A96" s="2">
        <v>1.0</v>
      </c>
      <c r="B96" s="1" t="s">
        <v>109</v>
      </c>
      <c r="C96" s="3" t="str">
        <f t="shared" si="1"/>
        <v>cn1</v>
      </c>
      <c r="D96" s="3" t="str">
        <f t="shared" si="2"/>
        <v>cn</v>
      </c>
      <c r="E96" s="3" t="str">
        <f t="shared" si="3"/>
        <v>m</v>
      </c>
      <c r="F96" s="3" t="str">
        <f t="shared" si="4"/>
        <v>07</v>
      </c>
      <c r="G96" s="3" t="str">
        <f t="shared" si="5"/>
        <v>cn1m</v>
      </c>
      <c r="H96" s="3" t="str">
        <f t="shared" si="6"/>
        <v>11.30.09</v>
      </c>
      <c r="I96" s="2">
        <v>-153.435</v>
      </c>
      <c r="J96" s="2">
        <v>0.376</v>
      </c>
      <c r="K96" s="4">
        <f t="shared" si="7"/>
        <v>30.31</v>
      </c>
      <c r="L96" s="4">
        <f t="shared" si="8"/>
        <v>26.565</v>
      </c>
      <c r="M96" s="4">
        <f t="shared" si="9"/>
        <v>2.020666667</v>
      </c>
      <c r="N96" s="4">
        <f t="shared" si="10"/>
        <v>2.362962012</v>
      </c>
      <c r="O96" s="4">
        <f t="shared" si="11"/>
        <v>70.88886037</v>
      </c>
      <c r="P96" s="4">
        <f t="shared" si="12"/>
        <v>0.4636467158</v>
      </c>
    </row>
    <row r="97">
      <c r="A97" s="2">
        <v>1.0</v>
      </c>
      <c r="B97" s="1" t="s">
        <v>110</v>
      </c>
      <c r="C97" s="3" t="str">
        <f t="shared" si="1"/>
        <v>cn1</v>
      </c>
      <c r="D97" s="3" t="str">
        <f t="shared" si="2"/>
        <v>cn</v>
      </c>
      <c r="E97" s="3" t="str">
        <f t="shared" si="3"/>
        <v>m</v>
      </c>
      <c r="F97" s="3" t="str">
        <f t="shared" si="4"/>
        <v>07</v>
      </c>
      <c r="G97" s="3" t="str">
        <f t="shared" si="5"/>
        <v>cn1m</v>
      </c>
      <c r="H97" s="3" t="str">
        <f t="shared" si="6"/>
        <v>11.30.09</v>
      </c>
      <c r="I97" s="2">
        <v>160.346</v>
      </c>
      <c r="J97" s="2">
        <v>0.504</v>
      </c>
      <c r="K97" s="4">
        <f t="shared" si="7"/>
        <v>30.31</v>
      </c>
      <c r="L97" s="4">
        <f t="shared" si="8"/>
        <v>19.654</v>
      </c>
      <c r="M97" s="4">
        <f t="shared" si="9"/>
        <v>2.020666667</v>
      </c>
      <c r="N97" s="4">
        <f t="shared" si="10"/>
        <v>2.501055324</v>
      </c>
      <c r="O97" s="4">
        <f t="shared" si="11"/>
        <v>75.03165973</v>
      </c>
      <c r="P97" s="4">
        <f t="shared" si="12"/>
        <v>0.3430270112</v>
      </c>
    </row>
    <row r="98">
      <c r="A98" s="2">
        <v>1.0</v>
      </c>
      <c r="B98" s="1" t="s">
        <v>111</v>
      </c>
      <c r="C98" s="3" t="str">
        <f t="shared" si="1"/>
        <v>cn1</v>
      </c>
      <c r="D98" s="3" t="str">
        <f t="shared" si="2"/>
        <v>cn</v>
      </c>
      <c r="E98" s="3" t="str">
        <f t="shared" si="3"/>
        <v>m</v>
      </c>
      <c r="F98" s="3" t="str">
        <f t="shared" si="4"/>
        <v>09</v>
      </c>
      <c r="G98" s="3" t="str">
        <f t="shared" si="5"/>
        <v>cn1m</v>
      </c>
      <c r="H98" s="3" t="str">
        <f t="shared" si="6"/>
        <v>11.30.09</v>
      </c>
      <c r="I98" s="2">
        <v>-123.69</v>
      </c>
      <c r="J98" s="2">
        <v>0.354</v>
      </c>
      <c r="K98" s="4">
        <f t="shared" si="7"/>
        <v>38.97</v>
      </c>
      <c r="L98" s="4">
        <f t="shared" si="8"/>
        <v>56.31</v>
      </c>
      <c r="M98" s="4">
        <f t="shared" si="9"/>
        <v>2.598</v>
      </c>
      <c r="N98" s="4">
        <f t="shared" si="10"/>
        <v>2.809844277</v>
      </c>
      <c r="O98" s="4">
        <f t="shared" si="11"/>
        <v>84.29532832</v>
      </c>
      <c r="P98" s="4">
        <f t="shared" si="12"/>
        <v>0.9827949018</v>
      </c>
    </row>
    <row r="99">
      <c r="A99" s="2">
        <v>1.0</v>
      </c>
      <c r="B99" s="1" t="s">
        <v>112</v>
      </c>
      <c r="C99" s="3" t="str">
        <f t="shared" si="1"/>
        <v>cn1</v>
      </c>
      <c r="D99" s="3" t="str">
        <f t="shared" si="2"/>
        <v>cn</v>
      </c>
      <c r="E99" s="3" t="str">
        <f t="shared" si="3"/>
        <v>m</v>
      </c>
      <c r="F99" s="3" t="str">
        <f t="shared" si="4"/>
        <v>09</v>
      </c>
      <c r="G99" s="3" t="str">
        <f t="shared" si="5"/>
        <v>cn1m</v>
      </c>
      <c r="H99" s="3" t="str">
        <f t="shared" si="6"/>
        <v>11.30.09</v>
      </c>
      <c r="I99" s="2">
        <v>-174.806</v>
      </c>
      <c r="J99" s="2">
        <v>1.114</v>
      </c>
      <c r="K99" s="4">
        <f t="shared" si="7"/>
        <v>38.97</v>
      </c>
      <c r="L99" s="4">
        <f t="shared" si="8"/>
        <v>5.194</v>
      </c>
      <c r="M99" s="4">
        <f t="shared" si="9"/>
        <v>2.598</v>
      </c>
      <c r="N99" s="4">
        <f t="shared" si="10"/>
        <v>3.708797162</v>
      </c>
      <c r="O99" s="4">
        <f t="shared" si="11"/>
        <v>111.2639149</v>
      </c>
      <c r="P99" s="4">
        <f t="shared" si="12"/>
        <v>0.09065240135</v>
      </c>
    </row>
    <row r="100" ht="12.0" customHeight="1">
      <c r="A100" s="2">
        <v>1.0</v>
      </c>
      <c r="B100" s="1" t="s">
        <v>113</v>
      </c>
      <c r="C100" s="3" t="str">
        <f t="shared" si="1"/>
        <v>cn1</v>
      </c>
      <c r="D100" s="3" t="str">
        <f t="shared" si="2"/>
        <v>cn</v>
      </c>
      <c r="E100" s="3" t="str">
        <f t="shared" si="3"/>
        <v>m</v>
      </c>
      <c r="F100" s="3" t="str">
        <f t="shared" si="4"/>
        <v>09</v>
      </c>
      <c r="G100" s="3" t="str">
        <f t="shared" si="5"/>
        <v>cn1m</v>
      </c>
      <c r="H100" s="3" t="str">
        <f t="shared" si="6"/>
        <v>11.30.09</v>
      </c>
      <c r="I100" s="2">
        <v>-102.095</v>
      </c>
      <c r="J100" s="2">
        <v>0.462</v>
      </c>
      <c r="K100" s="4">
        <f t="shared" si="7"/>
        <v>38.97</v>
      </c>
      <c r="L100" s="4">
        <f t="shared" si="8"/>
        <v>77.905</v>
      </c>
      <c r="M100" s="4">
        <f t="shared" si="9"/>
        <v>2.598</v>
      </c>
      <c r="N100" s="4">
        <f t="shared" si="10"/>
        <v>2.73240616</v>
      </c>
      <c r="O100" s="4">
        <f t="shared" si="11"/>
        <v>81.97218481</v>
      </c>
      <c r="P100" s="4">
        <f t="shared" si="12"/>
        <v>1.359698754</v>
      </c>
    </row>
    <row r="101">
      <c r="A101" s="2">
        <v>1.0</v>
      </c>
      <c r="B101" s="1" t="s">
        <v>114</v>
      </c>
      <c r="C101" s="3" t="str">
        <f t="shared" si="1"/>
        <v>cn1</v>
      </c>
      <c r="D101" s="3" t="str">
        <f t="shared" si="2"/>
        <v>cn</v>
      </c>
      <c r="E101" s="3" t="str">
        <f t="shared" si="3"/>
        <v>m</v>
      </c>
      <c r="F101" s="3" t="str">
        <f t="shared" si="4"/>
        <v>09</v>
      </c>
      <c r="G101" s="3" t="str">
        <f t="shared" si="5"/>
        <v>cn1m</v>
      </c>
      <c r="H101" s="3" t="str">
        <f t="shared" si="6"/>
        <v>11.30.09</v>
      </c>
      <c r="I101" s="2">
        <v>-130.601</v>
      </c>
      <c r="J101" s="2">
        <v>0.62</v>
      </c>
      <c r="K101" s="4">
        <f t="shared" si="7"/>
        <v>38.97</v>
      </c>
      <c r="L101" s="4">
        <f t="shared" si="8"/>
        <v>49.399</v>
      </c>
      <c r="M101" s="4">
        <f t="shared" si="9"/>
        <v>2.598</v>
      </c>
      <c r="N101" s="4">
        <f t="shared" si="10"/>
        <v>3.038178541</v>
      </c>
      <c r="O101" s="4">
        <f t="shared" si="11"/>
        <v>91.14535623</v>
      </c>
      <c r="P101" s="4">
        <f t="shared" si="12"/>
        <v>0.8621751972</v>
      </c>
    </row>
    <row r="102">
      <c r="A102" s="2">
        <v>1.0</v>
      </c>
      <c r="B102" s="1" t="s">
        <v>115</v>
      </c>
      <c r="C102" s="3" t="str">
        <f t="shared" si="1"/>
        <v>cn1</v>
      </c>
      <c r="D102" s="3" t="str">
        <f t="shared" si="2"/>
        <v>cn</v>
      </c>
      <c r="E102" s="3" t="str">
        <f t="shared" si="3"/>
        <v>m</v>
      </c>
      <c r="F102" s="3" t="str">
        <f t="shared" si="4"/>
        <v>11</v>
      </c>
      <c r="G102" s="3" t="str">
        <f t="shared" si="5"/>
        <v>cn1m</v>
      </c>
      <c r="H102" s="3" t="str">
        <f t="shared" si="6"/>
        <v>11.30.09</v>
      </c>
      <c r="I102" s="2">
        <v>170.538</v>
      </c>
      <c r="J102" s="2">
        <v>0.431</v>
      </c>
      <c r="K102" s="4">
        <f t="shared" si="7"/>
        <v>47.63</v>
      </c>
      <c r="L102" s="4">
        <f t="shared" si="8"/>
        <v>9.462</v>
      </c>
      <c r="M102" s="4">
        <f t="shared" si="9"/>
        <v>3.175333333</v>
      </c>
      <c r="N102" s="4">
        <f t="shared" si="10"/>
        <v>3.601166609</v>
      </c>
      <c r="O102" s="4">
        <f t="shared" si="11"/>
        <v>108.0349983</v>
      </c>
      <c r="P102" s="4">
        <f t="shared" si="12"/>
        <v>0.1651430538</v>
      </c>
    </row>
    <row r="103">
      <c r="A103" s="2">
        <v>1.0</v>
      </c>
      <c r="B103" s="1" t="s">
        <v>116</v>
      </c>
      <c r="C103" s="3" t="str">
        <f t="shared" si="1"/>
        <v>cn1</v>
      </c>
      <c r="D103" s="3" t="str">
        <f t="shared" si="2"/>
        <v>cn</v>
      </c>
      <c r="E103" s="3" t="str">
        <f t="shared" si="3"/>
        <v>m</v>
      </c>
      <c r="F103" s="3" t="str">
        <f t="shared" si="4"/>
        <v>11</v>
      </c>
      <c r="G103" s="3" t="str">
        <f t="shared" si="5"/>
        <v>cn1m</v>
      </c>
      <c r="H103" s="3" t="str">
        <f t="shared" si="6"/>
        <v>11.30.09</v>
      </c>
      <c r="I103" s="2">
        <v>-167.471</v>
      </c>
      <c r="J103" s="2">
        <v>0.636</v>
      </c>
      <c r="K103" s="4">
        <f t="shared" si="7"/>
        <v>47.63</v>
      </c>
      <c r="L103" s="4">
        <f t="shared" si="8"/>
        <v>12.529</v>
      </c>
      <c r="M103" s="4">
        <f t="shared" si="9"/>
        <v>3.175333333</v>
      </c>
      <c r="N103" s="4">
        <f t="shared" si="10"/>
        <v>3.798694223</v>
      </c>
      <c r="O103" s="4">
        <f t="shared" si="11"/>
        <v>113.9608267</v>
      </c>
      <c r="P103" s="4">
        <f t="shared" si="12"/>
        <v>0.218672302</v>
      </c>
    </row>
    <row r="104">
      <c r="A104" s="2">
        <v>1.0</v>
      </c>
      <c r="B104" s="1" t="s">
        <v>117</v>
      </c>
      <c r="C104" s="3" t="str">
        <f t="shared" si="1"/>
        <v>cn1</v>
      </c>
      <c r="D104" s="3" t="str">
        <f t="shared" si="2"/>
        <v>cn</v>
      </c>
      <c r="E104" s="3" t="str">
        <f t="shared" si="3"/>
        <v>m</v>
      </c>
      <c r="F104" s="3" t="str">
        <f t="shared" si="4"/>
        <v>11</v>
      </c>
      <c r="G104" s="3" t="str">
        <f t="shared" si="5"/>
        <v>cn1m</v>
      </c>
      <c r="H104" s="3" t="str">
        <f t="shared" si="6"/>
        <v>11.30.09</v>
      </c>
      <c r="I104" s="2">
        <v>169.875</v>
      </c>
      <c r="J104" s="2">
        <v>0.954</v>
      </c>
      <c r="K104" s="4">
        <f t="shared" si="7"/>
        <v>47.63</v>
      </c>
      <c r="L104" s="4">
        <f t="shared" si="8"/>
        <v>10.125</v>
      </c>
      <c r="M104" s="4">
        <f t="shared" si="9"/>
        <v>3.175333333</v>
      </c>
      <c r="N104" s="4">
        <f t="shared" si="10"/>
        <v>4.117892857</v>
      </c>
      <c r="O104" s="4">
        <f t="shared" si="11"/>
        <v>123.5367857</v>
      </c>
      <c r="P104" s="4">
        <f t="shared" si="12"/>
        <v>0.1767145868</v>
      </c>
    </row>
    <row r="105">
      <c r="A105" s="2">
        <v>1.0</v>
      </c>
      <c r="B105" s="1" t="s">
        <v>118</v>
      </c>
      <c r="C105" s="3" t="str">
        <f t="shared" si="1"/>
        <v>cn1</v>
      </c>
      <c r="D105" s="3" t="str">
        <f t="shared" si="2"/>
        <v>cn</v>
      </c>
      <c r="E105" s="3" t="str">
        <f t="shared" si="3"/>
        <v>m</v>
      </c>
      <c r="F105" s="3" t="str">
        <f t="shared" si="4"/>
        <v>11</v>
      </c>
      <c r="G105" s="3" t="str">
        <f t="shared" si="5"/>
        <v>cn1m</v>
      </c>
      <c r="H105" s="3" t="str">
        <f t="shared" si="6"/>
        <v>11.30.09</v>
      </c>
      <c r="I105" s="2">
        <v>145.713</v>
      </c>
      <c r="J105" s="2">
        <v>0.886</v>
      </c>
      <c r="K105" s="4">
        <f t="shared" si="7"/>
        <v>47.63</v>
      </c>
      <c r="L105" s="4">
        <f t="shared" si="8"/>
        <v>34.287</v>
      </c>
      <c r="M105" s="4">
        <f t="shared" si="9"/>
        <v>3.175333333</v>
      </c>
      <c r="N105" s="4">
        <f t="shared" si="10"/>
        <v>3.939118766</v>
      </c>
      <c r="O105" s="4">
        <f t="shared" si="11"/>
        <v>118.173563</v>
      </c>
      <c r="P105" s="4">
        <f t="shared" si="12"/>
        <v>0.5984210406</v>
      </c>
    </row>
    <row r="106">
      <c r="A106" s="2">
        <v>1.0</v>
      </c>
      <c r="B106" s="1" t="s">
        <v>119</v>
      </c>
      <c r="C106" s="3" t="str">
        <f t="shared" si="1"/>
        <v>cn1</v>
      </c>
      <c r="D106" s="3" t="str">
        <f t="shared" si="2"/>
        <v>cn</v>
      </c>
      <c r="E106" s="3" t="str">
        <f t="shared" si="3"/>
        <v>m</v>
      </c>
      <c r="F106" s="3" t="str">
        <f t="shared" si="4"/>
        <v>11</v>
      </c>
      <c r="G106" s="3" t="str">
        <f t="shared" si="5"/>
        <v>cn1m</v>
      </c>
      <c r="H106" s="3" t="str">
        <f t="shared" si="6"/>
        <v>11.30.09</v>
      </c>
      <c r="I106" s="2">
        <v>110.225</v>
      </c>
      <c r="J106" s="2">
        <v>0.681</v>
      </c>
      <c r="K106" s="4">
        <f t="shared" si="7"/>
        <v>47.63</v>
      </c>
      <c r="L106" s="4">
        <f t="shared" si="8"/>
        <v>69.775</v>
      </c>
      <c r="M106" s="4">
        <f t="shared" si="9"/>
        <v>3.175333333</v>
      </c>
      <c r="N106" s="4">
        <f t="shared" si="10"/>
        <v>3.470103839</v>
      </c>
      <c r="O106" s="4">
        <f t="shared" si="11"/>
        <v>104.1031152</v>
      </c>
      <c r="P106" s="4">
        <f t="shared" si="12"/>
        <v>1.217803486</v>
      </c>
    </row>
    <row r="107">
      <c r="A107" s="2">
        <v>1.0</v>
      </c>
      <c r="B107" s="1" t="s">
        <v>120</v>
      </c>
      <c r="C107" s="3" t="str">
        <f t="shared" si="1"/>
        <v>cn1</v>
      </c>
      <c r="D107" s="3" t="str">
        <f t="shared" si="2"/>
        <v>cn</v>
      </c>
      <c r="E107" s="3" t="str">
        <f t="shared" si="3"/>
        <v>m</v>
      </c>
      <c r="F107" s="3" t="str">
        <f t="shared" si="4"/>
        <v>11</v>
      </c>
      <c r="G107" s="3" t="str">
        <f t="shared" si="5"/>
        <v>cn1m</v>
      </c>
      <c r="H107" s="3" t="str">
        <f t="shared" si="6"/>
        <v>11.30.09</v>
      </c>
      <c r="I107" s="2">
        <v>125.538</v>
      </c>
      <c r="J107" s="2">
        <v>1.157</v>
      </c>
      <c r="K107" s="4">
        <f t="shared" si="7"/>
        <v>47.63</v>
      </c>
      <c r="L107" s="4">
        <f t="shared" si="8"/>
        <v>54.462</v>
      </c>
      <c r="M107" s="4">
        <f t="shared" si="9"/>
        <v>3.175333333</v>
      </c>
      <c r="N107" s="4">
        <f t="shared" si="10"/>
        <v>3.961338243</v>
      </c>
      <c r="O107" s="4">
        <f t="shared" si="11"/>
        <v>118.8401473</v>
      </c>
      <c r="P107" s="4">
        <f t="shared" si="12"/>
        <v>0.9505412172</v>
      </c>
    </row>
    <row r="108">
      <c r="A108" s="2">
        <v>1.0</v>
      </c>
      <c r="B108" s="1" t="s">
        <v>121</v>
      </c>
      <c r="C108" s="3" t="str">
        <f t="shared" si="1"/>
        <v>cn1</v>
      </c>
      <c r="D108" s="3" t="str">
        <f t="shared" si="2"/>
        <v>cn</v>
      </c>
      <c r="E108" s="3" t="str">
        <f t="shared" si="3"/>
        <v>m</v>
      </c>
      <c r="F108" s="3" t="str">
        <f t="shared" si="4"/>
        <v>13</v>
      </c>
      <c r="G108" s="3" t="str">
        <f t="shared" si="5"/>
        <v>cn1m</v>
      </c>
      <c r="H108" s="3" t="str">
        <f t="shared" si="6"/>
        <v>11.30.09</v>
      </c>
      <c r="I108" s="2">
        <v>-160.017</v>
      </c>
      <c r="J108" s="2">
        <v>0.797</v>
      </c>
      <c r="K108" s="4">
        <f t="shared" si="7"/>
        <v>56.29</v>
      </c>
      <c r="L108" s="4">
        <f t="shared" si="8"/>
        <v>19.983</v>
      </c>
      <c r="M108" s="4">
        <f t="shared" si="9"/>
        <v>3.752666667</v>
      </c>
      <c r="N108" s="4">
        <f t="shared" si="10"/>
        <v>4.509914617</v>
      </c>
      <c r="O108" s="4">
        <f t="shared" si="11"/>
        <v>135.2974385</v>
      </c>
      <c r="P108" s="4">
        <f t="shared" si="12"/>
        <v>0.3487691444</v>
      </c>
    </row>
    <row r="109">
      <c r="A109" s="2">
        <v>1.0</v>
      </c>
      <c r="B109" s="1" t="s">
        <v>122</v>
      </c>
      <c r="C109" s="3" t="str">
        <f t="shared" si="1"/>
        <v>cn1</v>
      </c>
      <c r="D109" s="3" t="str">
        <f t="shared" si="2"/>
        <v>cn</v>
      </c>
      <c r="E109" s="3" t="str">
        <f t="shared" si="3"/>
        <v>m</v>
      </c>
      <c r="F109" s="3" t="str">
        <f t="shared" si="4"/>
        <v>13</v>
      </c>
      <c r="G109" s="3" t="str">
        <f t="shared" si="5"/>
        <v>cn1m</v>
      </c>
      <c r="H109" s="3" t="str">
        <f t="shared" si="6"/>
        <v>11.30.09</v>
      </c>
      <c r="I109" s="2">
        <v>-165.964</v>
      </c>
      <c r="J109" s="2">
        <v>0.693</v>
      </c>
      <c r="K109" s="4">
        <f t="shared" si="7"/>
        <v>56.29</v>
      </c>
      <c r="L109" s="4">
        <f t="shared" si="8"/>
        <v>14.036</v>
      </c>
      <c r="M109" s="4">
        <f t="shared" si="9"/>
        <v>3.752666667</v>
      </c>
      <c r="N109" s="4">
        <f t="shared" si="10"/>
        <v>4.428166975</v>
      </c>
      <c r="O109" s="4">
        <f t="shared" si="11"/>
        <v>132.8450093</v>
      </c>
      <c r="P109" s="4">
        <f t="shared" si="12"/>
        <v>0.2449744138</v>
      </c>
    </row>
    <row r="110">
      <c r="A110" s="2">
        <v>1.0</v>
      </c>
      <c r="B110" s="1" t="s">
        <v>123</v>
      </c>
      <c r="C110" s="3" t="str">
        <f t="shared" si="1"/>
        <v>cn1</v>
      </c>
      <c r="D110" s="3" t="str">
        <f t="shared" si="2"/>
        <v>cn</v>
      </c>
      <c r="E110" s="3" t="str">
        <f t="shared" si="3"/>
        <v>m</v>
      </c>
      <c r="F110" s="3" t="str">
        <f t="shared" si="4"/>
        <v>13</v>
      </c>
      <c r="G110" s="3" t="str">
        <f t="shared" si="5"/>
        <v>cn1m</v>
      </c>
      <c r="H110" s="3" t="str">
        <f t="shared" si="6"/>
        <v>11.30.09</v>
      </c>
      <c r="I110" s="2">
        <v>-172.235</v>
      </c>
      <c r="J110" s="2">
        <v>0.772</v>
      </c>
      <c r="K110" s="4">
        <f t="shared" si="7"/>
        <v>56.29</v>
      </c>
      <c r="L110" s="4">
        <f t="shared" si="8"/>
        <v>7.765</v>
      </c>
      <c r="M110" s="4">
        <f t="shared" si="9"/>
        <v>3.752666667</v>
      </c>
      <c r="N110" s="4">
        <f t="shared" si="10"/>
        <v>4.518791833</v>
      </c>
      <c r="O110" s="4">
        <f t="shared" si="11"/>
        <v>135.563755</v>
      </c>
      <c r="P110" s="4">
        <f t="shared" si="12"/>
        <v>0.1355248164</v>
      </c>
    </row>
    <row r="111">
      <c r="A111" s="2">
        <v>1.0</v>
      </c>
      <c r="B111" s="1" t="s">
        <v>124</v>
      </c>
      <c r="C111" s="3" t="str">
        <f t="shared" si="1"/>
        <v>cn1</v>
      </c>
      <c r="D111" s="3" t="str">
        <f t="shared" si="2"/>
        <v>cn</v>
      </c>
      <c r="E111" s="3" t="str">
        <f t="shared" si="3"/>
        <v>m</v>
      </c>
      <c r="F111" s="3" t="str">
        <f t="shared" si="4"/>
        <v>13</v>
      </c>
      <c r="G111" s="3" t="str">
        <f t="shared" si="5"/>
        <v>cn1m</v>
      </c>
      <c r="H111" s="3" t="str">
        <f t="shared" si="6"/>
        <v>11.30.09</v>
      </c>
      <c r="I111" s="2">
        <v>167.471</v>
      </c>
      <c r="J111" s="2">
        <v>0.33</v>
      </c>
      <c r="K111" s="4">
        <f t="shared" si="7"/>
        <v>56.29</v>
      </c>
      <c r="L111" s="4">
        <f t="shared" si="8"/>
        <v>12.529</v>
      </c>
      <c r="M111" s="4">
        <f t="shared" si="9"/>
        <v>3.752666667</v>
      </c>
      <c r="N111" s="4">
        <f t="shared" si="10"/>
        <v>4.075436955</v>
      </c>
      <c r="O111" s="4">
        <f t="shared" si="11"/>
        <v>122.2631086</v>
      </c>
      <c r="P111" s="4">
        <f t="shared" si="12"/>
        <v>0.218672302</v>
      </c>
    </row>
    <row r="112">
      <c r="A112" s="2">
        <v>1.0</v>
      </c>
      <c r="B112" s="1" t="s">
        <v>125</v>
      </c>
      <c r="C112" s="3" t="str">
        <f t="shared" si="1"/>
        <v>cn2</v>
      </c>
      <c r="D112" s="3" t="str">
        <f t="shared" si="2"/>
        <v>cn</v>
      </c>
      <c r="E112" s="3" t="str">
        <f t="shared" si="3"/>
        <v>m</v>
      </c>
      <c r="F112" s="3" t="str">
        <f t="shared" si="4"/>
        <v>05</v>
      </c>
      <c r="G112" s="3" t="str">
        <f t="shared" si="5"/>
        <v>cn2m</v>
      </c>
      <c r="H112" s="3" t="str">
        <f t="shared" si="6"/>
        <v>11.30.09</v>
      </c>
      <c r="I112" s="2">
        <v>-129.806</v>
      </c>
      <c r="J112" s="2">
        <v>0.306</v>
      </c>
      <c r="K112" s="4">
        <f t="shared" si="7"/>
        <v>21.65</v>
      </c>
      <c r="L112" s="4">
        <f t="shared" si="8"/>
        <v>50.194</v>
      </c>
      <c r="M112" s="4">
        <f t="shared" si="9"/>
        <v>1.443333333</v>
      </c>
      <c r="N112" s="4">
        <f t="shared" si="10"/>
        <v>1.65600117</v>
      </c>
      <c r="O112" s="4">
        <f t="shared" si="11"/>
        <v>49.6800351</v>
      </c>
      <c r="P112" s="4">
        <f t="shared" si="12"/>
        <v>0.8760505647</v>
      </c>
    </row>
    <row r="113">
      <c r="A113" s="2">
        <v>1.0</v>
      </c>
      <c r="B113" s="1" t="s">
        <v>126</v>
      </c>
      <c r="C113" s="3" t="str">
        <f t="shared" si="1"/>
        <v>cn2</v>
      </c>
      <c r="D113" s="3" t="str">
        <f t="shared" si="2"/>
        <v>cn</v>
      </c>
      <c r="E113" s="3" t="str">
        <f t="shared" si="3"/>
        <v>m</v>
      </c>
      <c r="F113" s="3" t="str">
        <f t="shared" si="4"/>
        <v>07</v>
      </c>
      <c r="G113" s="3" t="str">
        <f t="shared" si="5"/>
        <v>cn2m</v>
      </c>
      <c r="H113" s="3" t="str">
        <f t="shared" si="6"/>
        <v>11.30.09</v>
      </c>
      <c r="I113" s="2">
        <v>-170.91</v>
      </c>
      <c r="J113" s="2">
        <v>0.965</v>
      </c>
      <c r="K113" s="4">
        <f t="shared" si="7"/>
        <v>30.31</v>
      </c>
      <c r="L113" s="4">
        <f t="shared" si="8"/>
        <v>9.09</v>
      </c>
      <c r="M113" s="4">
        <f t="shared" si="9"/>
        <v>2.020666667</v>
      </c>
      <c r="N113" s="4">
        <f t="shared" si="10"/>
        <v>2.977453326</v>
      </c>
      <c r="O113" s="4">
        <f t="shared" si="11"/>
        <v>89.32359979</v>
      </c>
      <c r="P113" s="4">
        <f t="shared" si="12"/>
        <v>0.158650429</v>
      </c>
    </row>
    <row r="114">
      <c r="A114" s="2">
        <v>1.0</v>
      </c>
      <c r="B114" s="1" t="s">
        <v>127</v>
      </c>
      <c r="C114" s="3" t="str">
        <f t="shared" si="1"/>
        <v>cn2</v>
      </c>
      <c r="D114" s="3" t="str">
        <f t="shared" si="2"/>
        <v>cn</v>
      </c>
      <c r="E114" s="3" t="str">
        <f t="shared" si="3"/>
        <v>m</v>
      </c>
      <c r="F114" s="3" t="str">
        <f t="shared" si="4"/>
        <v>07</v>
      </c>
      <c r="G114" s="3" t="str">
        <f t="shared" si="5"/>
        <v>cn2m</v>
      </c>
      <c r="H114" s="3" t="str">
        <f t="shared" si="6"/>
        <v>11.30.09</v>
      </c>
      <c r="I114" s="2">
        <v>-129.289</v>
      </c>
      <c r="J114" s="2">
        <v>0.546</v>
      </c>
      <c r="K114" s="4">
        <f t="shared" si="7"/>
        <v>30.31</v>
      </c>
      <c r="L114" s="4">
        <f t="shared" si="8"/>
        <v>50.711</v>
      </c>
      <c r="M114" s="4">
        <f t="shared" si="9"/>
        <v>2.020666667</v>
      </c>
      <c r="N114" s="4">
        <f t="shared" si="10"/>
        <v>2.403846895</v>
      </c>
      <c r="O114" s="4">
        <f t="shared" si="11"/>
        <v>72.11540685</v>
      </c>
      <c r="P114" s="4">
        <f t="shared" si="12"/>
        <v>0.885073917</v>
      </c>
    </row>
    <row r="115">
      <c r="A115" s="2">
        <v>1.0</v>
      </c>
      <c r="B115" s="1" t="s">
        <v>128</v>
      </c>
      <c r="C115" s="3" t="str">
        <f t="shared" si="1"/>
        <v>cn2</v>
      </c>
      <c r="D115" s="3" t="str">
        <f t="shared" si="2"/>
        <v>cn</v>
      </c>
      <c r="E115" s="3" t="str">
        <f t="shared" si="3"/>
        <v>m</v>
      </c>
      <c r="F115" s="3" t="str">
        <f t="shared" si="4"/>
        <v>09</v>
      </c>
      <c r="G115" s="3" t="str">
        <f t="shared" si="5"/>
        <v>cn2m</v>
      </c>
      <c r="H115" s="3" t="str">
        <f t="shared" si="6"/>
        <v>11.30.09</v>
      </c>
      <c r="I115" s="2">
        <v>-176.424</v>
      </c>
      <c r="J115" s="2">
        <v>0.628</v>
      </c>
      <c r="K115" s="4">
        <f t="shared" si="7"/>
        <v>38.97</v>
      </c>
      <c r="L115" s="4">
        <f t="shared" si="8"/>
        <v>3.576</v>
      </c>
      <c r="M115" s="4">
        <f t="shared" si="9"/>
        <v>2.598</v>
      </c>
      <c r="N115" s="4">
        <f t="shared" si="10"/>
        <v>3.225015129</v>
      </c>
      <c r="O115" s="4">
        <f t="shared" si="11"/>
        <v>96.75045386</v>
      </c>
      <c r="P115" s="4">
        <f t="shared" si="12"/>
        <v>0.06241297405</v>
      </c>
    </row>
    <row r="116">
      <c r="A116" s="2">
        <v>1.0</v>
      </c>
      <c r="B116" s="1" t="s">
        <v>129</v>
      </c>
      <c r="C116" s="3" t="str">
        <f t="shared" si="1"/>
        <v>cn2</v>
      </c>
      <c r="D116" s="3" t="str">
        <f t="shared" si="2"/>
        <v>cn</v>
      </c>
      <c r="E116" s="3" t="str">
        <f t="shared" si="3"/>
        <v>m</v>
      </c>
      <c r="F116" s="3" t="str">
        <f t="shared" si="4"/>
        <v>11</v>
      </c>
      <c r="G116" s="3" t="str">
        <f t="shared" si="5"/>
        <v>cn2m</v>
      </c>
      <c r="H116" s="3" t="str">
        <f t="shared" si="6"/>
        <v>11.30.09</v>
      </c>
      <c r="I116" s="2">
        <v>-126.384</v>
      </c>
      <c r="J116" s="2">
        <v>0.923</v>
      </c>
      <c r="K116" s="4">
        <f t="shared" si="7"/>
        <v>47.63</v>
      </c>
      <c r="L116" s="4">
        <f t="shared" si="8"/>
        <v>53.616</v>
      </c>
      <c r="M116" s="4">
        <f t="shared" si="9"/>
        <v>3.175333333</v>
      </c>
      <c r="N116" s="4">
        <f t="shared" si="10"/>
        <v>3.796284504</v>
      </c>
      <c r="O116" s="4">
        <f t="shared" si="11"/>
        <v>113.8885351</v>
      </c>
      <c r="P116" s="4">
        <f t="shared" si="12"/>
        <v>0.9357757317</v>
      </c>
    </row>
    <row r="117">
      <c r="A117" s="2">
        <v>1.0</v>
      </c>
      <c r="B117" s="1" t="s">
        <v>130</v>
      </c>
      <c r="C117" s="3" t="str">
        <f t="shared" si="1"/>
        <v>cn2</v>
      </c>
      <c r="D117" s="3" t="str">
        <f t="shared" si="2"/>
        <v>cn</v>
      </c>
      <c r="E117" s="3" t="str">
        <f t="shared" si="3"/>
        <v>m</v>
      </c>
      <c r="F117" s="3" t="str">
        <f t="shared" si="4"/>
        <v>11</v>
      </c>
      <c r="G117" s="3" t="str">
        <f t="shared" si="5"/>
        <v>cn2m</v>
      </c>
      <c r="H117" s="3" t="str">
        <f t="shared" si="6"/>
        <v>11.30.09</v>
      </c>
      <c r="I117" s="2">
        <v>148.241</v>
      </c>
      <c r="J117" s="2">
        <v>0.955</v>
      </c>
      <c r="K117" s="4">
        <f t="shared" si="7"/>
        <v>47.63</v>
      </c>
      <c r="L117" s="4">
        <f t="shared" si="8"/>
        <v>31.759</v>
      </c>
      <c r="M117" s="4">
        <f t="shared" si="9"/>
        <v>3.175333333</v>
      </c>
      <c r="N117" s="4">
        <f t="shared" si="10"/>
        <v>4.01889976</v>
      </c>
      <c r="O117" s="4">
        <f t="shared" si="11"/>
        <v>120.5669928</v>
      </c>
      <c r="P117" s="4">
        <f t="shared" si="12"/>
        <v>0.5542991171</v>
      </c>
    </row>
    <row r="118">
      <c r="A118" s="2">
        <v>1.0</v>
      </c>
      <c r="B118" s="1" t="s">
        <v>131</v>
      </c>
      <c r="C118" s="3" t="str">
        <f t="shared" si="1"/>
        <v>cn2</v>
      </c>
      <c r="D118" s="3" t="str">
        <f t="shared" si="2"/>
        <v>cn</v>
      </c>
      <c r="E118" s="3" t="str">
        <f t="shared" si="3"/>
        <v>m</v>
      </c>
      <c r="F118" s="3" t="str">
        <f t="shared" si="4"/>
        <v>11</v>
      </c>
      <c r="G118" s="3" t="str">
        <f t="shared" si="5"/>
        <v>cn2m</v>
      </c>
      <c r="H118" s="3" t="str">
        <f t="shared" si="6"/>
        <v>11.30.09</v>
      </c>
      <c r="I118" s="2">
        <v>-166.759</v>
      </c>
      <c r="J118" s="2">
        <v>0.698</v>
      </c>
      <c r="K118" s="4">
        <f t="shared" si="7"/>
        <v>47.63</v>
      </c>
      <c r="L118" s="4">
        <f t="shared" si="8"/>
        <v>13.241</v>
      </c>
      <c r="M118" s="4">
        <f t="shared" si="9"/>
        <v>3.175333333</v>
      </c>
      <c r="N118" s="4">
        <f t="shared" si="10"/>
        <v>3.858091128</v>
      </c>
      <c r="O118" s="4">
        <f t="shared" si="11"/>
        <v>115.7427338</v>
      </c>
      <c r="P118" s="4">
        <f t="shared" si="12"/>
        <v>0.2310990463</v>
      </c>
    </row>
    <row r="119">
      <c r="A119" s="2">
        <v>1.0</v>
      </c>
      <c r="B119" s="1" t="s">
        <v>132</v>
      </c>
      <c r="C119" s="3" t="str">
        <f t="shared" si="1"/>
        <v>cn2</v>
      </c>
      <c r="D119" s="3" t="str">
        <f t="shared" si="2"/>
        <v>cn</v>
      </c>
      <c r="E119" s="3" t="str">
        <f t="shared" si="3"/>
        <v>m</v>
      </c>
      <c r="F119" s="3" t="str">
        <f t="shared" si="4"/>
        <v>13</v>
      </c>
      <c r="G119" s="3" t="str">
        <f t="shared" si="5"/>
        <v>cn2m</v>
      </c>
      <c r="H119" s="3" t="str">
        <f t="shared" si="6"/>
        <v>11.30.09</v>
      </c>
      <c r="I119" s="2">
        <v>146.31</v>
      </c>
      <c r="J119" s="2">
        <v>0.99</v>
      </c>
      <c r="K119" s="4">
        <f t="shared" si="7"/>
        <v>56.29</v>
      </c>
      <c r="L119" s="4">
        <f t="shared" si="8"/>
        <v>33.69</v>
      </c>
      <c r="M119" s="4">
        <f t="shared" si="9"/>
        <v>3.752666667</v>
      </c>
      <c r="N119" s="4">
        <f t="shared" si="10"/>
        <v>4.609227552</v>
      </c>
      <c r="O119" s="4">
        <f t="shared" si="11"/>
        <v>138.2768266</v>
      </c>
      <c r="P119" s="4">
        <f t="shared" si="12"/>
        <v>0.588001425</v>
      </c>
    </row>
    <row r="120">
      <c r="A120" s="2">
        <v>1.0</v>
      </c>
      <c r="B120" s="1" t="s">
        <v>133</v>
      </c>
      <c r="C120" s="3" t="str">
        <f t="shared" si="1"/>
        <v>cn2</v>
      </c>
      <c r="D120" s="3" t="str">
        <f t="shared" si="2"/>
        <v>cn</v>
      </c>
      <c r="E120" s="3" t="str">
        <f t="shared" si="3"/>
        <v>m</v>
      </c>
      <c r="F120" s="3" t="str">
        <f t="shared" si="4"/>
        <v>13</v>
      </c>
      <c r="G120" s="3" t="str">
        <f t="shared" si="5"/>
        <v>cn2m</v>
      </c>
      <c r="H120" s="3" t="str">
        <f t="shared" si="6"/>
        <v>11.30.09</v>
      </c>
      <c r="I120" s="2">
        <v>176.566</v>
      </c>
      <c r="J120" s="2">
        <v>1.979</v>
      </c>
      <c r="K120" s="4">
        <f t="shared" si="7"/>
        <v>56.29</v>
      </c>
      <c r="L120" s="4">
        <f t="shared" si="8"/>
        <v>3.434</v>
      </c>
      <c r="M120" s="4">
        <f t="shared" si="9"/>
        <v>3.752666667</v>
      </c>
      <c r="N120" s="4">
        <f t="shared" si="10"/>
        <v>5.72933971</v>
      </c>
      <c r="O120" s="4">
        <f t="shared" si="11"/>
        <v>171.8801913</v>
      </c>
      <c r="P120" s="4">
        <f t="shared" si="12"/>
        <v>0.05993460651</v>
      </c>
    </row>
    <row r="121">
      <c r="A121" s="2">
        <v>1.0</v>
      </c>
      <c r="B121" s="1" t="s">
        <v>134</v>
      </c>
      <c r="C121" s="3" t="str">
        <f t="shared" si="1"/>
        <v>cn2</v>
      </c>
      <c r="D121" s="3" t="str">
        <f t="shared" si="2"/>
        <v>cn</v>
      </c>
      <c r="E121" s="3" t="str">
        <f t="shared" si="3"/>
        <v>m</v>
      </c>
      <c r="F121" s="3" t="str">
        <f t="shared" si="4"/>
        <v>13</v>
      </c>
      <c r="G121" s="3" t="str">
        <f t="shared" si="5"/>
        <v>cn2m</v>
      </c>
      <c r="H121" s="3" t="str">
        <f t="shared" si="6"/>
        <v>11.30.09</v>
      </c>
      <c r="I121" s="2">
        <v>161.996</v>
      </c>
      <c r="J121" s="2">
        <v>1.646</v>
      </c>
      <c r="K121" s="4">
        <f t="shared" si="7"/>
        <v>56.29</v>
      </c>
      <c r="L121" s="4">
        <f t="shared" si="8"/>
        <v>18.004</v>
      </c>
      <c r="M121" s="4">
        <f t="shared" si="9"/>
        <v>3.752666667</v>
      </c>
      <c r="N121" s="4">
        <f t="shared" si="10"/>
        <v>5.342349508</v>
      </c>
      <c r="O121" s="4">
        <f t="shared" si="11"/>
        <v>160.2704853</v>
      </c>
      <c r="P121" s="4">
        <f t="shared" si="12"/>
        <v>0.3142290785</v>
      </c>
    </row>
    <row r="122">
      <c r="A122" s="2">
        <v>1.0</v>
      </c>
      <c r="B122" s="1" t="s">
        <v>135</v>
      </c>
      <c r="C122" s="3" t="str">
        <f t="shared" si="1"/>
        <v>cn2</v>
      </c>
      <c r="D122" s="3" t="str">
        <f t="shared" si="2"/>
        <v>cn</v>
      </c>
      <c r="E122" s="3" t="str">
        <f t="shared" si="3"/>
        <v>m</v>
      </c>
      <c r="F122" s="3" t="str">
        <f t="shared" si="4"/>
        <v>13</v>
      </c>
      <c r="G122" s="3" t="str">
        <f t="shared" si="5"/>
        <v>cn2m</v>
      </c>
      <c r="H122" s="3" t="str">
        <f t="shared" si="6"/>
        <v>11.30.09</v>
      </c>
      <c r="I122" s="2">
        <v>169.38</v>
      </c>
      <c r="J122" s="2">
        <v>0.628</v>
      </c>
      <c r="K122" s="4">
        <f t="shared" si="7"/>
        <v>56.29</v>
      </c>
      <c r="L122" s="4">
        <f t="shared" si="8"/>
        <v>10.62</v>
      </c>
      <c r="M122" s="4">
        <f t="shared" si="9"/>
        <v>3.752666667</v>
      </c>
      <c r="N122" s="4">
        <f t="shared" si="10"/>
        <v>4.371442079</v>
      </c>
      <c r="O122" s="4">
        <f t="shared" si="11"/>
        <v>131.1432624</v>
      </c>
      <c r="P122" s="4">
        <f t="shared" si="12"/>
        <v>0.1853539666</v>
      </c>
    </row>
    <row r="123">
      <c r="A123" s="2">
        <v>1.0</v>
      </c>
      <c r="B123" s="1" t="s">
        <v>136</v>
      </c>
      <c r="C123" s="3" t="str">
        <f t="shared" si="1"/>
        <v>cn2</v>
      </c>
      <c r="D123" s="3" t="str">
        <f t="shared" si="2"/>
        <v>cn</v>
      </c>
      <c r="E123" s="3" t="str">
        <f t="shared" si="3"/>
        <v>m</v>
      </c>
      <c r="F123" s="3" t="str">
        <f t="shared" si="4"/>
        <v>13</v>
      </c>
      <c r="G123" s="3" t="str">
        <f t="shared" si="5"/>
        <v>cn2m</v>
      </c>
      <c r="H123" s="3" t="str">
        <f t="shared" si="6"/>
        <v>11.30.09</v>
      </c>
      <c r="I123" s="2">
        <v>178.668</v>
      </c>
      <c r="J123" s="2">
        <v>1.7</v>
      </c>
      <c r="K123" s="4">
        <f t="shared" si="7"/>
        <v>56.29</v>
      </c>
      <c r="L123" s="4">
        <f t="shared" si="8"/>
        <v>1.332</v>
      </c>
      <c r="M123" s="4">
        <f t="shared" si="9"/>
        <v>3.752666667</v>
      </c>
      <c r="N123" s="4">
        <f t="shared" si="10"/>
        <v>5.452350507</v>
      </c>
      <c r="O123" s="4">
        <f t="shared" si="11"/>
        <v>163.5705152</v>
      </c>
      <c r="P123" s="4">
        <f t="shared" si="12"/>
        <v>0.02324778564</v>
      </c>
    </row>
    <row r="124">
      <c r="A124" s="2">
        <v>1.0</v>
      </c>
      <c r="B124" s="1" t="s">
        <v>137</v>
      </c>
      <c r="C124" s="3" t="str">
        <f t="shared" si="1"/>
        <v>cn2</v>
      </c>
      <c r="D124" s="3" t="str">
        <f t="shared" si="2"/>
        <v>cn</v>
      </c>
      <c r="E124" s="3" t="str">
        <f t="shared" si="3"/>
        <v>m</v>
      </c>
      <c r="F124" s="3" t="str">
        <f t="shared" si="4"/>
        <v>15</v>
      </c>
      <c r="G124" s="3" t="str">
        <f t="shared" si="5"/>
        <v>cn2m</v>
      </c>
      <c r="H124" s="3" t="str">
        <f t="shared" si="6"/>
        <v>11.30.09</v>
      </c>
      <c r="I124" s="2">
        <v>151.189</v>
      </c>
      <c r="J124" s="2">
        <v>0.82</v>
      </c>
      <c r="K124" s="4">
        <f t="shared" si="7"/>
        <v>64.95</v>
      </c>
      <c r="L124" s="4">
        <f t="shared" si="8"/>
        <v>28.811</v>
      </c>
      <c r="M124" s="4">
        <f t="shared" si="9"/>
        <v>4.33</v>
      </c>
      <c r="N124" s="4">
        <f t="shared" si="10"/>
        <v>5.063938397</v>
      </c>
      <c r="O124" s="4">
        <f t="shared" si="11"/>
        <v>151.9181519</v>
      </c>
      <c r="P124" s="4">
        <f t="shared" si="12"/>
        <v>0.5028468108</v>
      </c>
    </row>
    <row r="125">
      <c r="A125" s="2">
        <v>1.0</v>
      </c>
      <c r="B125" s="1" t="s">
        <v>138</v>
      </c>
      <c r="C125" s="3" t="str">
        <f t="shared" si="1"/>
        <v>cn2</v>
      </c>
      <c r="D125" s="3" t="str">
        <f t="shared" si="2"/>
        <v>cn</v>
      </c>
      <c r="E125" s="3" t="str">
        <f t="shared" si="3"/>
        <v>m</v>
      </c>
      <c r="F125" s="3" t="str">
        <f t="shared" si="4"/>
        <v>15</v>
      </c>
      <c r="G125" s="3" t="str">
        <f t="shared" si="5"/>
        <v>cn2m</v>
      </c>
      <c r="H125" s="3" t="str">
        <f t="shared" si="6"/>
        <v>11.30.09</v>
      </c>
      <c r="I125" s="2">
        <v>126.87</v>
      </c>
      <c r="J125" s="2">
        <v>0.543</v>
      </c>
      <c r="K125" s="4">
        <f t="shared" si="7"/>
        <v>64.95</v>
      </c>
      <c r="L125" s="4">
        <f t="shared" si="8"/>
        <v>53.13</v>
      </c>
      <c r="M125" s="4">
        <f t="shared" si="9"/>
        <v>4.33</v>
      </c>
      <c r="N125" s="4">
        <f t="shared" si="10"/>
        <v>4.676022211</v>
      </c>
      <c r="O125" s="4">
        <f t="shared" si="11"/>
        <v>140.2806663</v>
      </c>
      <c r="P125" s="4">
        <f t="shared" si="12"/>
        <v>0.9272934316</v>
      </c>
    </row>
    <row r="126">
      <c r="A126" s="2">
        <v>1.0</v>
      </c>
      <c r="B126" s="1" t="s">
        <v>139</v>
      </c>
      <c r="C126" s="3" t="str">
        <f t="shared" si="1"/>
        <v>cn2</v>
      </c>
      <c r="D126" s="3" t="str">
        <f t="shared" si="2"/>
        <v>cn</v>
      </c>
      <c r="E126" s="3" t="str">
        <f t="shared" si="3"/>
        <v>m</v>
      </c>
      <c r="F126" s="3" t="str">
        <f t="shared" si="4"/>
        <v>15</v>
      </c>
      <c r="G126" s="3" t="str">
        <f t="shared" si="5"/>
        <v>cn2m</v>
      </c>
      <c r="H126" s="3" t="str">
        <f t="shared" si="6"/>
        <v>11.30.09</v>
      </c>
      <c r="I126" s="2">
        <v>-161.565</v>
      </c>
      <c r="J126" s="2">
        <v>0.787</v>
      </c>
      <c r="K126" s="4">
        <f t="shared" si="7"/>
        <v>64.95</v>
      </c>
      <c r="L126" s="4">
        <f t="shared" si="8"/>
        <v>18.435</v>
      </c>
      <c r="M126" s="4">
        <f t="shared" si="9"/>
        <v>4.33</v>
      </c>
      <c r="N126" s="4">
        <f t="shared" si="10"/>
        <v>5.082710123</v>
      </c>
      <c r="O126" s="4">
        <f t="shared" si="11"/>
        <v>152.4813037</v>
      </c>
      <c r="P126" s="4">
        <f t="shared" si="12"/>
        <v>0.3217514476</v>
      </c>
    </row>
    <row r="127">
      <c r="A127" s="2">
        <v>1.0</v>
      </c>
      <c r="B127" s="1" t="s">
        <v>140</v>
      </c>
      <c r="C127" s="3" t="str">
        <f t="shared" si="1"/>
        <v>cn2</v>
      </c>
      <c r="D127" s="3" t="str">
        <f t="shared" si="2"/>
        <v>cn</v>
      </c>
      <c r="E127" s="3" t="str">
        <f t="shared" si="3"/>
        <v>m</v>
      </c>
      <c r="F127" s="3" t="str">
        <f t="shared" si="4"/>
        <v>15</v>
      </c>
      <c r="G127" s="3" t="str">
        <f t="shared" si="5"/>
        <v>cn2m</v>
      </c>
      <c r="H127" s="3" t="str">
        <f t="shared" si="6"/>
        <v>11.30.09</v>
      </c>
      <c r="I127" s="2">
        <v>180.0</v>
      </c>
      <c r="J127" s="2">
        <v>0.503</v>
      </c>
      <c r="K127" s="4">
        <f t="shared" si="7"/>
        <v>64.95</v>
      </c>
      <c r="L127" s="4">
        <f t="shared" si="8"/>
        <v>0</v>
      </c>
      <c r="M127" s="4">
        <f t="shared" si="9"/>
        <v>4.33</v>
      </c>
      <c r="N127" s="4">
        <f t="shared" si="10"/>
        <v>4.833</v>
      </c>
      <c r="O127" s="4">
        <f t="shared" si="11"/>
        <v>144.99</v>
      </c>
      <c r="P127" s="4">
        <f t="shared" si="12"/>
        <v>0</v>
      </c>
    </row>
    <row r="128">
      <c r="A128" s="2">
        <v>1.0</v>
      </c>
      <c r="B128" s="1" t="s">
        <v>141</v>
      </c>
      <c r="C128" s="3" t="str">
        <f t="shared" si="1"/>
        <v>cn2</v>
      </c>
      <c r="D128" s="3" t="str">
        <f t="shared" si="2"/>
        <v>cn</v>
      </c>
      <c r="E128" s="3" t="str">
        <f t="shared" si="3"/>
        <v>m</v>
      </c>
      <c r="F128" s="3" t="str">
        <f t="shared" si="4"/>
        <v>15</v>
      </c>
      <c r="G128" s="3" t="str">
        <f t="shared" si="5"/>
        <v>cn2m</v>
      </c>
      <c r="H128" s="3" t="str">
        <f t="shared" si="6"/>
        <v>11.30.09</v>
      </c>
      <c r="I128" s="2">
        <v>-161.565</v>
      </c>
      <c r="J128" s="2">
        <v>0.341</v>
      </c>
      <c r="K128" s="4">
        <f t="shared" si="7"/>
        <v>64.95</v>
      </c>
      <c r="L128" s="4">
        <f t="shared" si="8"/>
        <v>18.435</v>
      </c>
      <c r="M128" s="4">
        <f t="shared" si="9"/>
        <v>4.33</v>
      </c>
      <c r="N128" s="4">
        <f t="shared" si="10"/>
        <v>4.65475014</v>
      </c>
      <c r="O128" s="4">
        <f t="shared" si="11"/>
        <v>139.6425042</v>
      </c>
      <c r="P128" s="4">
        <f t="shared" si="12"/>
        <v>0.3217514476</v>
      </c>
    </row>
    <row r="129">
      <c r="A129" s="2">
        <v>1.0</v>
      </c>
      <c r="B129" s="1" t="s">
        <v>142</v>
      </c>
      <c r="C129" s="3" t="str">
        <f t="shared" si="1"/>
        <v>cn2</v>
      </c>
      <c r="D129" s="3" t="str">
        <f t="shared" si="2"/>
        <v>cn</v>
      </c>
      <c r="E129" s="3" t="str">
        <f t="shared" si="3"/>
        <v>m</v>
      </c>
      <c r="F129" s="3" t="str">
        <f t="shared" si="4"/>
        <v>15</v>
      </c>
      <c r="G129" s="3" t="str">
        <f t="shared" si="5"/>
        <v>cn2m</v>
      </c>
      <c r="H129" s="3" t="str">
        <f t="shared" si="6"/>
        <v>11.30.09</v>
      </c>
      <c r="I129" s="2">
        <v>151.699</v>
      </c>
      <c r="J129" s="2">
        <v>0.53</v>
      </c>
      <c r="K129" s="4">
        <f t="shared" si="7"/>
        <v>64.95</v>
      </c>
      <c r="L129" s="4">
        <f t="shared" si="8"/>
        <v>28.301</v>
      </c>
      <c r="M129" s="4">
        <f t="shared" si="9"/>
        <v>4.33</v>
      </c>
      <c r="N129" s="4">
        <f t="shared" si="10"/>
        <v>4.803225685</v>
      </c>
      <c r="O129" s="4">
        <f t="shared" si="11"/>
        <v>144.0967705</v>
      </c>
      <c r="P129" s="4">
        <f t="shared" si="12"/>
        <v>0.4939456316</v>
      </c>
    </row>
    <row r="130">
      <c r="A130" s="2">
        <v>1.0</v>
      </c>
      <c r="B130" s="1" t="s">
        <v>143</v>
      </c>
      <c r="C130" s="3" t="str">
        <f t="shared" si="1"/>
        <v>cn2</v>
      </c>
      <c r="D130" s="3" t="str">
        <f t="shared" si="2"/>
        <v>cn</v>
      </c>
      <c r="E130" s="3" t="str">
        <f t="shared" si="3"/>
        <v>m</v>
      </c>
      <c r="F130" s="3" t="str">
        <f t="shared" si="4"/>
        <v>17</v>
      </c>
      <c r="G130" s="3" t="str">
        <f t="shared" si="5"/>
        <v>cn2m</v>
      </c>
      <c r="H130" s="3" t="str">
        <f t="shared" si="6"/>
        <v>11.30.09</v>
      </c>
      <c r="I130" s="2">
        <v>-172.875</v>
      </c>
      <c r="J130" s="2">
        <v>0.894</v>
      </c>
      <c r="K130" s="4">
        <f t="shared" si="7"/>
        <v>73.61</v>
      </c>
      <c r="L130" s="4">
        <f t="shared" si="8"/>
        <v>7.125</v>
      </c>
      <c r="M130" s="4">
        <f t="shared" si="9"/>
        <v>4.907333333</v>
      </c>
      <c r="N130" s="4">
        <f t="shared" si="10"/>
        <v>5.795490698</v>
      </c>
      <c r="O130" s="4">
        <f t="shared" si="11"/>
        <v>173.864721</v>
      </c>
      <c r="P130" s="4">
        <f t="shared" si="12"/>
        <v>0.1243547092</v>
      </c>
    </row>
    <row r="131">
      <c r="A131" s="2">
        <v>1.0</v>
      </c>
      <c r="B131" s="1" t="s">
        <v>144</v>
      </c>
      <c r="C131" s="3" t="str">
        <f t="shared" si="1"/>
        <v>k45</v>
      </c>
      <c r="D131" s="3" t="str">
        <f t="shared" si="2"/>
        <v>k4</v>
      </c>
      <c r="E131" s="3" t="str">
        <f t="shared" si="3"/>
        <v>1</v>
      </c>
      <c r="F131" s="3" t="str">
        <f t="shared" si="4"/>
        <v>9.</v>
      </c>
      <c r="G131" s="3" t="str">
        <f t="shared" si="5"/>
        <v>k451</v>
      </c>
      <c r="H131" s="3" t="str">
        <f t="shared" si="6"/>
        <v>1.30.09-</v>
      </c>
      <c r="I131" s="2">
        <v>101.634</v>
      </c>
      <c r="J131" s="2">
        <v>1.361</v>
      </c>
      <c r="K131" s="4">
        <f t="shared" si="7"/>
        <v>38.97</v>
      </c>
      <c r="L131" s="4">
        <f t="shared" si="8"/>
        <v>78.366</v>
      </c>
      <c r="M131" s="4">
        <f t="shared" si="9"/>
        <v>2.598</v>
      </c>
      <c r="N131" s="4">
        <f t="shared" si="10"/>
        <v>3.166703254</v>
      </c>
      <c r="O131" s="4">
        <f t="shared" si="11"/>
        <v>95.00109761</v>
      </c>
      <c r="P131" s="4">
        <f t="shared" si="12"/>
        <v>1.367744722</v>
      </c>
    </row>
    <row r="132">
      <c r="A132" s="2">
        <v>1.0</v>
      </c>
      <c r="B132" s="1" t="s">
        <v>145</v>
      </c>
      <c r="C132" s="3" t="str">
        <f t="shared" si="1"/>
        <v>k45</v>
      </c>
      <c r="D132" s="3" t="str">
        <f t="shared" si="2"/>
        <v>k4</v>
      </c>
      <c r="E132" s="3" t="str">
        <f t="shared" si="3"/>
        <v>f</v>
      </c>
      <c r="F132" s="3" t="str">
        <f t="shared" si="4"/>
        <v>07</v>
      </c>
      <c r="G132" s="3" t="str">
        <f t="shared" si="5"/>
        <v>k45f</v>
      </c>
      <c r="H132" s="3" t="str">
        <f t="shared" si="6"/>
        <v>11.30.09</v>
      </c>
      <c r="I132" s="2">
        <v>-170.134</v>
      </c>
      <c r="J132" s="2">
        <v>0.915</v>
      </c>
      <c r="K132" s="4">
        <f t="shared" si="7"/>
        <v>30.31</v>
      </c>
      <c r="L132" s="4">
        <f t="shared" si="8"/>
        <v>9.866</v>
      </c>
      <c r="M132" s="4">
        <f t="shared" si="9"/>
        <v>2.020666667</v>
      </c>
      <c r="N132" s="4">
        <f t="shared" si="10"/>
        <v>2.926337707</v>
      </c>
      <c r="O132" s="4">
        <f t="shared" si="11"/>
        <v>87.7901312</v>
      </c>
      <c r="P132" s="4">
        <f t="shared" si="12"/>
        <v>0.172194184</v>
      </c>
    </row>
    <row r="133">
      <c r="A133" s="2">
        <v>1.0</v>
      </c>
      <c r="B133" s="1" t="s">
        <v>146</v>
      </c>
      <c r="C133" s="3" t="str">
        <f t="shared" si="1"/>
        <v>k45</v>
      </c>
      <c r="D133" s="3" t="str">
        <f t="shared" si="2"/>
        <v>k4</v>
      </c>
      <c r="E133" s="3" t="str">
        <f t="shared" si="3"/>
        <v>f</v>
      </c>
      <c r="F133" s="3" t="str">
        <f t="shared" si="4"/>
        <v>07</v>
      </c>
      <c r="G133" s="3" t="str">
        <f t="shared" si="5"/>
        <v>k45f</v>
      </c>
      <c r="H133" s="3" t="str">
        <f t="shared" si="6"/>
        <v>11.30.09</v>
      </c>
      <c r="I133" s="2">
        <v>-170.134</v>
      </c>
      <c r="J133" s="2">
        <v>0.915</v>
      </c>
      <c r="K133" s="4">
        <f t="shared" si="7"/>
        <v>30.31</v>
      </c>
      <c r="L133" s="4">
        <f t="shared" si="8"/>
        <v>9.866</v>
      </c>
      <c r="M133" s="4">
        <f t="shared" si="9"/>
        <v>2.020666667</v>
      </c>
      <c r="N133" s="4">
        <f t="shared" si="10"/>
        <v>2.926337707</v>
      </c>
      <c r="O133" s="4">
        <f t="shared" si="11"/>
        <v>87.7901312</v>
      </c>
      <c r="P133" s="4">
        <f t="shared" si="12"/>
        <v>0.172194184</v>
      </c>
    </row>
    <row r="134">
      <c r="A134" s="2">
        <v>1.0</v>
      </c>
      <c r="B134" s="1" t="s">
        <v>147</v>
      </c>
      <c r="C134" s="3" t="str">
        <f t="shared" si="1"/>
        <v>k45</v>
      </c>
      <c r="D134" s="3" t="str">
        <f t="shared" si="2"/>
        <v>k4</v>
      </c>
      <c r="E134" s="3" t="str">
        <f t="shared" si="3"/>
        <v>f</v>
      </c>
      <c r="F134" s="3" t="str">
        <f t="shared" si="4"/>
        <v>09</v>
      </c>
      <c r="G134" s="3" t="str">
        <f t="shared" si="5"/>
        <v>k45f</v>
      </c>
      <c r="H134" s="3" t="str">
        <f t="shared" si="6"/>
        <v>11.30.09</v>
      </c>
      <c r="I134" s="2">
        <v>-161.565</v>
      </c>
      <c r="J134" s="2">
        <v>1.972</v>
      </c>
      <c r="K134" s="4">
        <f t="shared" si="7"/>
        <v>38.97</v>
      </c>
      <c r="L134" s="4">
        <f t="shared" si="8"/>
        <v>18.435</v>
      </c>
      <c r="M134" s="4">
        <f t="shared" si="9"/>
        <v>2.598</v>
      </c>
      <c r="N134" s="4">
        <f t="shared" si="10"/>
        <v>4.512103712</v>
      </c>
      <c r="O134" s="4">
        <f t="shared" si="11"/>
        <v>135.3631113</v>
      </c>
      <c r="P134" s="4">
        <f t="shared" si="12"/>
        <v>0.3217514476</v>
      </c>
    </row>
    <row r="135">
      <c r="A135" s="2">
        <v>1.0</v>
      </c>
      <c r="B135" s="1" t="s">
        <v>148</v>
      </c>
      <c r="C135" s="3" t="str">
        <f t="shared" si="1"/>
        <v>k45</v>
      </c>
      <c r="D135" s="3" t="str">
        <f t="shared" si="2"/>
        <v>k4</v>
      </c>
      <c r="E135" s="3" t="str">
        <f t="shared" si="3"/>
        <v>f</v>
      </c>
      <c r="F135" s="3" t="str">
        <f t="shared" si="4"/>
        <v>11</v>
      </c>
      <c r="G135" s="3" t="str">
        <f t="shared" si="5"/>
        <v>k45f</v>
      </c>
      <c r="H135" s="3" t="str">
        <f t="shared" si="6"/>
        <v>11.30.09</v>
      </c>
      <c r="I135" s="2">
        <v>-148.173</v>
      </c>
      <c r="J135" s="2">
        <v>1.349</v>
      </c>
      <c r="K135" s="4">
        <f t="shared" si="7"/>
        <v>47.63</v>
      </c>
      <c r="L135" s="4">
        <f t="shared" si="8"/>
        <v>31.827</v>
      </c>
      <c r="M135" s="4">
        <f t="shared" si="9"/>
        <v>3.175333333</v>
      </c>
      <c r="N135" s="4">
        <f t="shared" si="10"/>
        <v>4.379667477</v>
      </c>
      <c r="O135" s="4">
        <f t="shared" si="11"/>
        <v>131.3900243</v>
      </c>
      <c r="P135" s="4">
        <f t="shared" si="12"/>
        <v>0.555485941</v>
      </c>
    </row>
    <row r="136">
      <c r="A136" s="2">
        <v>1.0</v>
      </c>
      <c r="B136" s="1" t="s">
        <v>149</v>
      </c>
      <c r="C136" s="3" t="str">
        <f t="shared" si="1"/>
        <v>k45</v>
      </c>
      <c r="D136" s="3" t="str">
        <f t="shared" si="2"/>
        <v>k4</v>
      </c>
      <c r="E136" s="3" t="str">
        <f t="shared" si="3"/>
        <v>f</v>
      </c>
      <c r="F136" s="3" t="str">
        <f t="shared" si="4"/>
        <v>11</v>
      </c>
      <c r="G136" s="3" t="str">
        <f t="shared" si="5"/>
        <v>k45f</v>
      </c>
      <c r="H136" s="3" t="str">
        <f t="shared" si="6"/>
        <v>11.30.09</v>
      </c>
      <c r="I136" s="2">
        <v>164.055</v>
      </c>
      <c r="J136" s="2">
        <v>0.59</v>
      </c>
      <c r="K136" s="4">
        <f t="shared" si="7"/>
        <v>47.63</v>
      </c>
      <c r="L136" s="4">
        <f t="shared" si="8"/>
        <v>15.945</v>
      </c>
      <c r="M136" s="4">
        <f t="shared" si="9"/>
        <v>3.175333333</v>
      </c>
      <c r="N136" s="4">
        <f t="shared" si="10"/>
        <v>3.746141556</v>
      </c>
      <c r="O136" s="4">
        <f t="shared" si="11"/>
        <v>112.3842467</v>
      </c>
      <c r="P136" s="4">
        <f t="shared" si="12"/>
        <v>0.2782927492</v>
      </c>
    </row>
    <row r="137">
      <c r="A137" s="2">
        <v>1.0</v>
      </c>
      <c r="B137" s="1" t="s">
        <v>150</v>
      </c>
      <c r="C137" s="3" t="str">
        <f t="shared" si="1"/>
        <v>k45</v>
      </c>
      <c r="D137" s="3" t="str">
        <f t="shared" si="2"/>
        <v>k4</v>
      </c>
      <c r="E137" s="3" t="str">
        <f t="shared" si="3"/>
        <v>f</v>
      </c>
      <c r="F137" s="3" t="str">
        <f t="shared" si="4"/>
        <v>13</v>
      </c>
      <c r="G137" s="3" t="str">
        <f t="shared" si="5"/>
        <v>k45f</v>
      </c>
      <c r="H137" s="3" t="str">
        <f t="shared" si="6"/>
        <v>11.30.09</v>
      </c>
      <c r="I137" s="2">
        <v>160.907</v>
      </c>
      <c r="J137" s="2">
        <v>1.062</v>
      </c>
      <c r="K137" s="4">
        <f t="shared" si="7"/>
        <v>56.29</v>
      </c>
      <c r="L137" s="4">
        <f t="shared" si="8"/>
        <v>19.093</v>
      </c>
      <c r="M137" s="4">
        <f t="shared" si="9"/>
        <v>3.752666667</v>
      </c>
      <c r="N137" s="4">
        <f t="shared" si="10"/>
        <v>4.76891392</v>
      </c>
      <c r="O137" s="4">
        <f t="shared" si="11"/>
        <v>143.0674176</v>
      </c>
      <c r="P137" s="4">
        <f t="shared" si="12"/>
        <v>0.3332357141</v>
      </c>
    </row>
    <row r="138">
      <c r="A138" s="2">
        <v>1.0</v>
      </c>
      <c r="B138" s="1" t="s">
        <v>151</v>
      </c>
      <c r="C138" s="3" t="str">
        <f t="shared" si="1"/>
        <v>k45</v>
      </c>
      <c r="D138" s="3" t="str">
        <f t="shared" si="2"/>
        <v>k4</v>
      </c>
      <c r="E138" s="3" t="str">
        <f t="shared" si="3"/>
        <v>f</v>
      </c>
      <c r="F138" s="3" t="str">
        <f t="shared" si="4"/>
        <v>13</v>
      </c>
      <c r="G138" s="3" t="str">
        <f t="shared" si="5"/>
        <v>k45f</v>
      </c>
      <c r="H138" s="3" t="str">
        <f t="shared" si="6"/>
        <v>11.30.09</v>
      </c>
      <c r="I138" s="2">
        <v>-145.098</v>
      </c>
      <c r="J138" s="2">
        <v>2.056</v>
      </c>
      <c r="K138" s="4">
        <f t="shared" si="7"/>
        <v>56.29</v>
      </c>
      <c r="L138" s="4">
        <f t="shared" si="8"/>
        <v>34.902</v>
      </c>
      <c r="M138" s="4">
        <f t="shared" si="9"/>
        <v>3.752666667</v>
      </c>
      <c r="N138" s="4">
        <f t="shared" si="10"/>
        <v>5.56462668</v>
      </c>
      <c r="O138" s="4">
        <f t="shared" si="11"/>
        <v>166.9388004</v>
      </c>
      <c r="P138" s="4">
        <f t="shared" si="12"/>
        <v>0.6091548155</v>
      </c>
    </row>
    <row r="139">
      <c r="A139" s="2">
        <v>1.0</v>
      </c>
      <c r="B139" s="1" t="s">
        <v>152</v>
      </c>
      <c r="C139" s="3" t="str">
        <f t="shared" si="1"/>
        <v>k45</v>
      </c>
      <c r="D139" s="3" t="str">
        <f t="shared" si="2"/>
        <v>k4</v>
      </c>
      <c r="E139" s="3" t="str">
        <f t="shared" si="3"/>
        <v>f</v>
      </c>
      <c r="F139" s="3" t="str">
        <f t="shared" si="4"/>
        <v>13</v>
      </c>
      <c r="G139" s="3" t="str">
        <f t="shared" si="5"/>
        <v>k45f</v>
      </c>
      <c r="H139" s="3" t="str">
        <f t="shared" si="6"/>
        <v>11.30.09</v>
      </c>
      <c r="I139" s="2">
        <v>172.694</v>
      </c>
      <c r="J139" s="2">
        <v>1.542</v>
      </c>
      <c r="K139" s="4">
        <f t="shared" si="7"/>
        <v>56.29</v>
      </c>
      <c r="L139" s="4">
        <f t="shared" si="8"/>
        <v>7.306</v>
      </c>
      <c r="M139" s="4">
        <f t="shared" si="9"/>
        <v>3.752666667</v>
      </c>
      <c r="N139" s="4">
        <f t="shared" si="10"/>
        <v>5.285785998</v>
      </c>
      <c r="O139" s="4">
        <f t="shared" si="11"/>
        <v>158.57358</v>
      </c>
      <c r="P139" s="4">
        <f t="shared" si="12"/>
        <v>0.1275137552</v>
      </c>
    </row>
    <row r="140">
      <c r="A140" s="2">
        <v>1.0</v>
      </c>
      <c r="B140" s="1" t="s">
        <v>153</v>
      </c>
      <c r="C140" s="3" t="str">
        <f t="shared" si="1"/>
        <v>k45</v>
      </c>
      <c r="D140" s="3" t="str">
        <f t="shared" si="2"/>
        <v>k4</v>
      </c>
      <c r="E140" s="3" t="str">
        <f t="shared" si="3"/>
        <v>f</v>
      </c>
      <c r="F140" s="3" t="str">
        <f t="shared" si="4"/>
        <v>13</v>
      </c>
      <c r="G140" s="3" t="str">
        <f t="shared" si="5"/>
        <v>k45f</v>
      </c>
      <c r="H140" s="3" t="str">
        <f t="shared" si="6"/>
        <v>11.30.09</v>
      </c>
      <c r="I140" s="2">
        <v>-159.59</v>
      </c>
      <c r="J140" s="2">
        <v>1.799</v>
      </c>
      <c r="K140" s="4">
        <f t="shared" si="7"/>
        <v>56.29</v>
      </c>
      <c r="L140" s="4">
        <f t="shared" si="8"/>
        <v>20.41</v>
      </c>
      <c r="M140" s="4">
        <f t="shared" si="9"/>
        <v>3.752666667</v>
      </c>
      <c r="N140" s="4">
        <f t="shared" si="10"/>
        <v>5.47479284</v>
      </c>
      <c r="O140" s="4">
        <f t="shared" si="11"/>
        <v>164.2437852</v>
      </c>
      <c r="P140" s="4">
        <f t="shared" si="12"/>
        <v>0.3562217003</v>
      </c>
    </row>
    <row r="141">
      <c r="A141" s="2">
        <v>1.0</v>
      </c>
      <c r="B141" s="1" t="s">
        <v>154</v>
      </c>
      <c r="C141" s="3" t="str">
        <f t="shared" si="1"/>
        <v>k45</v>
      </c>
      <c r="D141" s="3" t="str">
        <f t="shared" si="2"/>
        <v>k4</v>
      </c>
      <c r="E141" s="3" t="str">
        <f t="shared" si="3"/>
        <v>f</v>
      </c>
      <c r="F141" s="3" t="str">
        <f t="shared" si="4"/>
        <v>13</v>
      </c>
      <c r="G141" s="3" t="str">
        <f t="shared" si="5"/>
        <v>k45f</v>
      </c>
      <c r="H141" s="3" t="str">
        <f t="shared" si="6"/>
        <v>11.30.09</v>
      </c>
      <c r="I141" s="2">
        <v>135.0</v>
      </c>
      <c r="J141" s="2">
        <v>0.555</v>
      </c>
      <c r="K141" s="4">
        <f t="shared" si="7"/>
        <v>56.29</v>
      </c>
      <c r="L141" s="4">
        <f t="shared" si="8"/>
        <v>45</v>
      </c>
      <c r="M141" s="4">
        <f t="shared" si="9"/>
        <v>3.752666667</v>
      </c>
      <c r="N141" s="4">
        <f t="shared" si="10"/>
        <v>4.163647094</v>
      </c>
      <c r="O141" s="4">
        <f t="shared" si="11"/>
        <v>124.9094128</v>
      </c>
      <c r="P141" s="4">
        <f t="shared" si="12"/>
        <v>0.7853981634</v>
      </c>
    </row>
    <row r="142">
      <c r="A142" s="2">
        <v>1.0</v>
      </c>
      <c r="B142" s="1" t="s">
        <v>155</v>
      </c>
      <c r="C142" s="3" t="str">
        <f t="shared" si="1"/>
        <v>k45</v>
      </c>
      <c r="D142" s="3" t="str">
        <f t="shared" si="2"/>
        <v>k4</v>
      </c>
      <c r="E142" s="3" t="str">
        <f t="shared" si="3"/>
        <v>f</v>
      </c>
      <c r="F142" s="3" t="str">
        <f t="shared" si="4"/>
        <v>15</v>
      </c>
      <c r="G142" s="3" t="str">
        <f t="shared" si="5"/>
        <v>k45f</v>
      </c>
      <c r="H142" s="3" t="str">
        <f t="shared" si="6"/>
        <v>11.30.09</v>
      </c>
      <c r="I142" s="2">
        <v>-158.199</v>
      </c>
      <c r="J142" s="2">
        <v>0.852</v>
      </c>
      <c r="K142" s="4">
        <f t="shared" si="7"/>
        <v>64.95</v>
      </c>
      <c r="L142" s="4">
        <f t="shared" si="8"/>
        <v>21.801</v>
      </c>
      <c r="M142" s="4">
        <f t="shared" si="9"/>
        <v>4.33</v>
      </c>
      <c r="N142" s="4">
        <f t="shared" si="10"/>
        <v>5.13083051</v>
      </c>
      <c r="O142" s="4">
        <f t="shared" si="11"/>
        <v>153.9249153</v>
      </c>
      <c r="P142" s="4">
        <f t="shared" si="12"/>
        <v>0.3804992302</v>
      </c>
    </row>
    <row r="143">
      <c r="A143" s="2">
        <v>1.0</v>
      </c>
      <c r="B143" s="1" t="s">
        <v>156</v>
      </c>
      <c r="C143" s="3" t="str">
        <f t="shared" si="1"/>
        <v>k45</v>
      </c>
      <c r="D143" s="3" t="str">
        <f t="shared" si="2"/>
        <v>k4</v>
      </c>
      <c r="E143" s="3" t="str">
        <f t="shared" si="3"/>
        <v>f</v>
      </c>
      <c r="F143" s="3" t="str">
        <f t="shared" si="4"/>
        <v>15</v>
      </c>
      <c r="G143" s="3" t="str">
        <f t="shared" si="5"/>
        <v>k45f</v>
      </c>
      <c r="H143" s="3" t="str">
        <f t="shared" si="6"/>
        <v>11.30.09</v>
      </c>
      <c r="I143" s="2">
        <v>144.689</v>
      </c>
      <c r="J143" s="2">
        <v>1.164</v>
      </c>
      <c r="K143" s="4">
        <f t="shared" si="7"/>
        <v>64.95</v>
      </c>
      <c r="L143" s="4">
        <f t="shared" si="8"/>
        <v>35.311</v>
      </c>
      <c r="M143" s="4">
        <f t="shared" si="9"/>
        <v>4.33</v>
      </c>
      <c r="N143" s="4">
        <f t="shared" si="10"/>
        <v>5.322550171</v>
      </c>
      <c r="O143" s="4">
        <f t="shared" si="11"/>
        <v>159.6765051</v>
      </c>
      <c r="P143" s="4">
        <f t="shared" si="12"/>
        <v>0.6162932122</v>
      </c>
    </row>
    <row r="144">
      <c r="A144" s="2">
        <v>1.0</v>
      </c>
      <c r="B144" s="1" t="s">
        <v>157</v>
      </c>
      <c r="C144" s="3" t="str">
        <f t="shared" si="1"/>
        <v>k45</v>
      </c>
      <c r="D144" s="3" t="str">
        <f t="shared" si="2"/>
        <v>k4</v>
      </c>
      <c r="E144" s="3" t="str">
        <f t="shared" si="3"/>
        <v>f</v>
      </c>
      <c r="F144" s="3" t="str">
        <f t="shared" si="4"/>
        <v>17</v>
      </c>
      <c r="G144" s="3" t="str">
        <f t="shared" si="5"/>
        <v>k45f</v>
      </c>
      <c r="H144" s="3" t="str">
        <f t="shared" si="6"/>
        <v>11.30.09</v>
      </c>
      <c r="I144" s="2">
        <v>120.964</v>
      </c>
      <c r="J144" s="2">
        <v>1.143</v>
      </c>
      <c r="K144" s="4">
        <f t="shared" si="7"/>
        <v>73.61</v>
      </c>
      <c r="L144" s="4">
        <f t="shared" si="8"/>
        <v>59.036</v>
      </c>
      <c r="M144" s="4">
        <f t="shared" si="9"/>
        <v>4.907333333</v>
      </c>
      <c r="N144" s="4">
        <f t="shared" si="10"/>
        <v>5.582123976</v>
      </c>
      <c r="O144" s="4">
        <f t="shared" si="11"/>
        <v>167.4637193</v>
      </c>
      <c r="P144" s="4">
        <f t="shared" si="12"/>
        <v>1.030372577</v>
      </c>
    </row>
    <row r="145">
      <c r="A145" s="2">
        <v>1.0</v>
      </c>
      <c r="B145" s="1" t="s">
        <v>158</v>
      </c>
      <c r="C145" s="3" t="str">
        <f t="shared" si="1"/>
        <v>k45</v>
      </c>
      <c r="D145" s="3" t="str">
        <f t="shared" si="2"/>
        <v>k4</v>
      </c>
      <c r="E145" s="3" t="str">
        <f t="shared" si="3"/>
        <v>f</v>
      </c>
      <c r="F145" s="3" t="str">
        <f t="shared" si="4"/>
        <v>17</v>
      </c>
      <c r="G145" s="3" t="str">
        <f t="shared" si="5"/>
        <v>k45f</v>
      </c>
      <c r="H145" s="3" t="str">
        <f t="shared" si="6"/>
        <v>11.30.09</v>
      </c>
      <c r="I145" s="2">
        <v>-177.397</v>
      </c>
      <c r="J145" s="2">
        <v>0.864</v>
      </c>
      <c r="K145" s="4">
        <f t="shared" si="7"/>
        <v>73.61</v>
      </c>
      <c r="L145" s="4">
        <f t="shared" si="8"/>
        <v>2.603</v>
      </c>
      <c r="M145" s="4">
        <f t="shared" si="9"/>
        <v>4.907333333</v>
      </c>
      <c r="N145" s="4">
        <f t="shared" si="10"/>
        <v>5.770575262</v>
      </c>
      <c r="O145" s="4">
        <f t="shared" si="11"/>
        <v>173.1172579</v>
      </c>
      <c r="P145" s="4">
        <f t="shared" si="12"/>
        <v>0.04543092043</v>
      </c>
    </row>
    <row r="146">
      <c r="A146" s="2">
        <v>1.0</v>
      </c>
      <c r="B146" s="1" t="s">
        <v>159</v>
      </c>
      <c r="C146" s="3" t="str">
        <f t="shared" si="1"/>
        <v>k45</v>
      </c>
      <c r="D146" s="3" t="str">
        <f t="shared" si="2"/>
        <v>k4</v>
      </c>
      <c r="E146" s="3" t="str">
        <f t="shared" si="3"/>
        <v>f</v>
      </c>
      <c r="F146" s="3" t="str">
        <f t="shared" si="4"/>
        <v>19</v>
      </c>
      <c r="G146" s="3" t="str">
        <f t="shared" si="5"/>
        <v>k45f</v>
      </c>
      <c r="H146" s="3" t="str">
        <f t="shared" si="6"/>
        <v>11.30.09</v>
      </c>
      <c r="I146" s="2">
        <v>131.009</v>
      </c>
      <c r="J146" s="2">
        <v>1.185</v>
      </c>
      <c r="K146" s="4">
        <f t="shared" si="7"/>
        <v>82.27</v>
      </c>
      <c r="L146" s="4">
        <f t="shared" si="8"/>
        <v>48.991</v>
      </c>
      <c r="M146" s="4">
        <f t="shared" si="9"/>
        <v>5.484666667</v>
      </c>
      <c r="N146" s="4">
        <f t="shared" si="10"/>
        <v>6.325758657</v>
      </c>
      <c r="O146" s="4">
        <f t="shared" si="11"/>
        <v>189.7727597</v>
      </c>
      <c r="P146" s="4">
        <f t="shared" si="12"/>
        <v>0.8550542538</v>
      </c>
    </row>
    <row r="147">
      <c r="A147" s="2">
        <v>1.0</v>
      </c>
      <c r="B147" s="1" t="s">
        <v>160</v>
      </c>
      <c r="C147" s="3" t="str">
        <f t="shared" si="1"/>
        <v>k45</v>
      </c>
      <c r="D147" s="3" t="str">
        <f t="shared" si="2"/>
        <v>k4</v>
      </c>
      <c r="E147" s="3" t="str">
        <f t="shared" si="3"/>
        <v>f</v>
      </c>
      <c r="F147" s="3" t="str">
        <f t="shared" si="4"/>
        <v>19</v>
      </c>
      <c r="G147" s="3" t="str">
        <f t="shared" si="5"/>
        <v>k45f</v>
      </c>
      <c r="H147" s="3" t="str">
        <f t="shared" si="6"/>
        <v>11.30.09</v>
      </c>
      <c r="I147" s="2">
        <v>-125.538</v>
      </c>
      <c r="J147" s="2">
        <v>1.371</v>
      </c>
      <c r="K147" s="4">
        <f t="shared" si="7"/>
        <v>82.27</v>
      </c>
      <c r="L147" s="4">
        <f t="shared" si="8"/>
        <v>54.462</v>
      </c>
      <c r="M147" s="4">
        <f t="shared" si="9"/>
        <v>5.484666667</v>
      </c>
      <c r="N147" s="4">
        <f t="shared" si="10"/>
        <v>6.379850616</v>
      </c>
      <c r="O147" s="4">
        <f t="shared" si="11"/>
        <v>191.3955185</v>
      </c>
      <c r="P147" s="4">
        <f t="shared" si="12"/>
        <v>0.9505412172</v>
      </c>
    </row>
    <row r="148">
      <c r="A148" s="2">
        <v>1.0</v>
      </c>
      <c r="B148" s="1" t="s">
        <v>161</v>
      </c>
      <c r="C148" s="3" t="str">
        <f t="shared" si="1"/>
        <v>k45</v>
      </c>
      <c r="D148" s="3" t="str">
        <f t="shared" si="2"/>
        <v>k4</v>
      </c>
      <c r="E148" s="3" t="str">
        <f t="shared" si="3"/>
        <v>f</v>
      </c>
      <c r="F148" s="3" t="str">
        <f t="shared" si="4"/>
        <v>19</v>
      </c>
      <c r="G148" s="3" t="str">
        <f t="shared" si="5"/>
        <v>k45f</v>
      </c>
      <c r="H148" s="3" t="str">
        <f t="shared" si="6"/>
        <v>11.30.09</v>
      </c>
      <c r="I148" s="2">
        <v>-116.565</v>
      </c>
      <c r="J148" s="2">
        <v>1.727</v>
      </c>
      <c r="K148" s="4">
        <f t="shared" si="7"/>
        <v>82.27</v>
      </c>
      <c r="L148" s="4">
        <f t="shared" si="8"/>
        <v>63.435</v>
      </c>
      <c r="M148" s="4">
        <f t="shared" si="9"/>
        <v>5.484666667</v>
      </c>
      <c r="N148" s="4">
        <f t="shared" si="10"/>
        <v>6.44485174</v>
      </c>
      <c r="O148" s="4">
        <f t="shared" si="11"/>
        <v>193.3455522</v>
      </c>
      <c r="P148" s="4">
        <f t="shared" si="12"/>
        <v>1.107149611</v>
      </c>
    </row>
    <row r="149">
      <c r="A149" s="2">
        <v>1.0</v>
      </c>
      <c r="B149" s="1" t="s">
        <v>162</v>
      </c>
      <c r="C149" s="3" t="str">
        <f t="shared" si="1"/>
        <v>k45</v>
      </c>
      <c r="D149" s="3" t="str">
        <f t="shared" si="2"/>
        <v>k4</v>
      </c>
      <c r="E149" s="3" t="str">
        <f t="shared" si="3"/>
        <v>m</v>
      </c>
      <c r="F149" s="3" t="str">
        <f t="shared" si="4"/>
        <v>07</v>
      </c>
      <c r="G149" s="3" t="str">
        <f t="shared" si="5"/>
        <v>k45m</v>
      </c>
      <c r="H149" s="3" t="str">
        <f t="shared" si="6"/>
        <v>11.30.09</v>
      </c>
      <c r="I149" s="2">
        <v>-159.444</v>
      </c>
      <c r="J149" s="2">
        <v>0.327</v>
      </c>
      <c r="K149" s="4">
        <f t="shared" si="7"/>
        <v>30.31</v>
      </c>
      <c r="L149" s="4">
        <f t="shared" si="8"/>
        <v>20.556</v>
      </c>
      <c r="M149" s="4">
        <f t="shared" si="9"/>
        <v>2.020666667</v>
      </c>
      <c r="N149" s="4">
        <f t="shared" si="10"/>
        <v>2.329677474</v>
      </c>
      <c r="O149" s="4">
        <f t="shared" si="11"/>
        <v>69.89032422</v>
      </c>
      <c r="P149" s="4">
        <f t="shared" si="12"/>
        <v>0.358769881</v>
      </c>
    </row>
    <row r="150">
      <c r="A150" s="2">
        <v>1.0</v>
      </c>
      <c r="B150" s="1" t="s">
        <v>163</v>
      </c>
      <c r="C150" s="3" t="str">
        <f t="shared" si="1"/>
        <v>k45</v>
      </c>
      <c r="D150" s="3" t="str">
        <f t="shared" si="2"/>
        <v>k4</v>
      </c>
      <c r="E150" s="3" t="str">
        <f t="shared" si="3"/>
        <v>m</v>
      </c>
      <c r="F150" s="3" t="str">
        <f t="shared" si="4"/>
        <v>09</v>
      </c>
      <c r="G150" s="3" t="str">
        <f t="shared" si="5"/>
        <v>k45m</v>
      </c>
      <c r="H150" s="3" t="str">
        <f t="shared" si="6"/>
        <v>11.30.09</v>
      </c>
      <c r="I150" s="2">
        <v>170.538</v>
      </c>
      <c r="J150" s="2">
        <v>1.167</v>
      </c>
      <c r="K150" s="4">
        <f t="shared" si="7"/>
        <v>38.97</v>
      </c>
      <c r="L150" s="4">
        <f t="shared" si="8"/>
        <v>9.462</v>
      </c>
      <c r="M150" s="4">
        <f t="shared" si="9"/>
        <v>2.598</v>
      </c>
      <c r="N150" s="4">
        <f t="shared" si="10"/>
        <v>3.754028104</v>
      </c>
      <c r="O150" s="4">
        <f t="shared" si="11"/>
        <v>112.6208431</v>
      </c>
      <c r="P150" s="4">
        <f t="shared" si="12"/>
        <v>0.1651430538</v>
      </c>
    </row>
    <row r="151">
      <c r="A151" s="2">
        <v>1.0</v>
      </c>
      <c r="B151" s="1" t="s">
        <v>164</v>
      </c>
      <c r="C151" s="3" t="str">
        <f t="shared" si="1"/>
        <v>k45</v>
      </c>
      <c r="D151" s="3" t="str">
        <f t="shared" si="2"/>
        <v>k4</v>
      </c>
      <c r="E151" s="3" t="str">
        <f t="shared" si="3"/>
        <v>m</v>
      </c>
      <c r="F151" s="3" t="str">
        <f t="shared" si="4"/>
        <v>13</v>
      </c>
      <c r="G151" s="3" t="str">
        <f t="shared" si="5"/>
        <v>k45m</v>
      </c>
      <c r="H151" s="3" t="str">
        <f t="shared" si="6"/>
        <v>11.30.09</v>
      </c>
      <c r="I151" s="2">
        <v>176.82</v>
      </c>
      <c r="J151" s="2">
        <v>0.707</v>
      </c>
      <c r="K151" s="4">
        <f t="shared" si="7"/>
        <v>56.29</v>
      </c>
      <c r="L151" s="4">
        <f t="shared" si="8"/>
        <v>3.18</v>
      </c>
      <c r="M151" s="4">
        <f t="shared" si="9"/>
        <v>3.752666667</v>
      </c>
      <c r="N151" s="4">
        <f t="shared" si="10"/>
        <v>4.458750511</v>
      </c>
      <c r="O151" s="4">
        <f t="shared" si="11"/>
        <v>133.7625153</v>
      </c>
      <c r="P151" s="4">
        <f t="shared" si="12"/>
        <v>0.05550147021</v>
      </c>
    </row>
    <row r="152">
      <c r="A152" s="2">
        <v>1.0</v>
      </c>
      <c r="B152" s="1" t="s">
        <v>165</v>
      </c>
      <c r="C152" s="3" t="str">
        <f t="shared" si="1"/>
        <v>k45</v>
      </c>
      <c r="D152" s="3" t="str">
        <f t="shared" si="2"/>
        <v>k4</v>
      </c>
      <c r="E152" s="3" t="str">
        <f t="shared" si="3"/>
        <v>m</v>
      </c>
      <c r="F152" s="3" t="str">
        <f t="shared" si="4"/>
        <v>13</v>
      </c>
      <c r="G152" s="3" t="str">
        <f t="shared" si="5"/>
        <v>k45m</v>
      </c>
      <c r="H152" s="3" t="str">
        <f t="shared" si="6"/>
        <v>11.30.09</v>
      </c>
      <c r="I152" s="2">
        <v>173.66</v>
      </c>
      <c r="J152" s="2">
        <v>0.71</v>
      </c>
      <c r="K152" s="4">
        <f t="shared" si="7"/>
        <v>56.29</v>
      </c>
      <c r="L152" s="4">
        <f t="shared" si="8"/>
        <v>6.34</v>
      </c>
      <c r="M152" s="4">
        <f t="shared" si="9"/>
        <v>3.752666667</v>
      </c>
      <c r="N152" s="4">
        <f t="shared" si="10"/>
        <v>4.459013733</v>
      </c>
      <c r="O152" s="4">
        <f t="shared" si="11"/>
        <v>133.770412</v>
      </c>
      <c r="P152" s="4">
        <f t="shared" si="12"/>
        <v>0.1106538746</v>
      </c>
    </row>
    <row r="153">
      <c r="A153" s="2">
        <v>1.0</v>
      </c>
      <c r="B153" s="1" t="s">
        <v>166</v>
      </c>
      <c r="C153" s="3" t="str">
        <f t="shared" si="1"/>
        <v>k45</v>
      </c>
      <c r="D153" s="3" t="str">
        <f t="shared" si="2"/>
        <v>k4</v>
      </c>
      <c r="E153" s="3" t="str">
        <f t="shared" si="3"/>
        <v>m</v>
      </c>
      <c r="F153" s="3" t="str">
        <f t="shared" si="4"/>
        <v>17</v>
      </c>
      <c r="G153" s="3" t="str">
        <f t="shared" si="5"/>
        <v>k45m</v>
      </c>
      <c r="H153" s="3" t="str">
        <f t="shared" si="6"/>
        <v>11.30.09</v>
      </c>
      <c r="I153" s="2">
        <v>147.995</v>
      </c>
      <c r="J153" s="2">
        <v>1.48</v>
      </c>
      <c r="K153" s="4">
        <f t="shared" si="7"/>
        <v>73.61</v>
      </c>
      <c r="L153" s="4">
        <f t="shared" si="8"/>
        <v>32.005</v>
      </c>
      <c r="M153" s="4">
        <f t="shared" si="9"/>
        <v>4.907333333</v>
      </c>
      <c r="N153" s="4">
        <f t="shared" si="10"/>
        <v>6.212096792</v>
      </c>
      <c r="O153" s="4">
        <f t="shared" si="11"/>
        <v>186.3629038</v>
      </c>
      <c r="P153" s="4">
        <f t="shared" si="12"/>
        <v>0.5585926271</v>
      </c>
    </row>
    <row r="154">
      <c r="A154" s="2">
        <v>1.0</v>
      </c>
      <c r="B154" s="1" t="s">
        <v>167</v>
      </c>
      <c r="C154" s="3" t="str">
        <f t="shared" si="1"/>
        <v>k45</v>
      </c>
      <c r="D154" s="3" t="str">
        <f t="shared" si="2"/>
        <v>k4</v>
      </c>
      <c r="E154" s="3" t="str">
        <f t="shared" si="3"/>
        <v>m</v>
      </c>
      <c r="F154" s="3" t="str">
        <f t="shared" si="4"/>
        <v>17</v>
      </c>
      <c r="G154" s="3" t="str">
        <f t="shared" si="5"/>
        <v>k45m</v>
      </c>
      <c r="H154" s="3" t="str">
        <f t="shared" si="6"/>
        <v>11.30.09</v>
      </c>
      <c r="I154" s="2">
        <v>-127.875</v>
      </c>
      <c r="J154" s="2">
        <v>0.894</v>
      </c>
      <c r="K154" s="4">
        <f t="shared" si="7"/>
        <v>73.61</v>
      </c>
      <c r="L154" s="4">
        <f t="shared" si="8"/>
        <v>52.125</v>
      </c>
      <c r="M154" s="4">
        <f t="shared" si="9"/>
        <v>4.907333333</v>
      </c>
      <c r="N154" s="4">
        <f t="shared" si="10"/>
        <v>5.50164202</v>
      </c>
      <c r="O154" s="4">
        <f t="shared" si="11"/>
        <v>165.0492606</v>
      </c>
      <c r="P154" s="4">
        <f t="shared" si="12"/>
        <v>0.9097528726</v>
      </c>
    </row>
    <row r="155">
      <c r="A155" s="2">
        <v>1.0</v>
      </c>
      <c r="B155" s="1" t="s">
        <v>168</v>
      </c>
      <c r="C155" s="3" t="str">
        <f t="shared" si="1"/>
        <v>k45</v>
      </c>
      <c r="D155" s="3" t="str">
        <f t="shared" si="2"/>
        <v>k4</v>
      </c>
      <c r="E155" s="3" t="str">
        <f t="shared" si="3"/>
        <v>m</v>
      </c>
      <c r="F155" s="3" t="str">
        <f t="shared" si="4"/>
        <v>17</v>
      </c>
      <c r="G155" s="3" t="str">
        <f t="shared" si="5"/>
        <v>k45m</v>
      </c>
      <c r="H155" s="3" t="str">
        <f t="shared" si="6"/>
        <v>11.30.09</v>
      </c>
      <c r="I155" s="2">
        <v>166.504</v>
      </c>
      <c r="J155" s="2">
        <v>1.032</v>
      </c>
      <c r="K155" s="4">
        <f t="shared" si="7"/>
        <v>73.61</v>
      </c>
      <c r="L155" s="4">
        <f t="shared" si="8"/>
        <v>13.496</v>
      </c>
      <c r="M155" s="4">
        <f t="shared" si="9"/>
        <v>4.907333333</v>
      </c>
      <c r="N155" s="4">
        <f t="shared" si="10"/>
        <v>5.915740673</v>
      </c>
      <c r="O155" s="4">
        <f t="shared" si="11"/>
        <v>177.4722202</v>
      </c>
      <c r="P155" s="4">
        <f t="shared" si="12"/>
        <v>0.2355496358</v>
      </c>
    </row>
    <row r="156">
      <c r="A156" s="2">
        <v>1.0</v>
      </c>
      <c r="B156" s="1" t="s">
        <v>169</v>
      </c>
      <c r="C156" s="3" t="str">
        <f t="shared" si="1"/>
        <v>k45</v>
      </c>
      <c r="D156" s="3" t="str">
        <f t="shared" si="2"/>
        <v>k4</v>
      </c>
      <c r="E156" s="3" t="str">
        <f t="shared" si="3"/>
        <v>m</v>
      </c>
      <c r="F156" s="3" t="str">
        <f t="shared" si="4"/>
        <v>17</v>
      </c>
      <c r="G156" s="3" t="str">
        <f t="shared" si="5"/>
        <v>k45m</v>
      </c>
      <c r="H156" s="3" t="str">
        <f t="shared" si="6"/>
        <v>11.30.09</v>
      </c>
      <c r="I156" s="2">
        <v>137.121</v>
      </c>
      <c r="J156" s="2">
        <v>0.749</v>
      </c>
      <c r="K156" s="4">
        <f t="shared" si="7"/>
        <v>73.61</v>
      </c>
      <c r="L156" s="4">
        <f t="shared" si="8"/>
        <v>42.879</v>
      </c>
      <c r="M156" s="4">
        <f t="shared" si="9"/>
        <v>4.907333333</v>
      </c>
      <c r="N156" s="4">
        <f t="shared" si="10"/>
        <v>5.479946514</v>
      </c>
      <c r="O156" s="4">
        <f t="shared" si="11"/>
        <v>164.3983954</v>
      </c>
      <c r="P156" s="4">
        <f t="shared" si="12"/>
        <v>0.74837973</v>
      </c>
    </row>
    <row r="157">
      <c r="A157" s="2">
        <v>1.0</v>
      </c>
      <c r="B157" s="1" t="s">
        <v>170</v>
      </c>
      <c r="C157" s="3" t="str">
        <f t="shared" si="1"/>
        <v>k45</v>
      </c>
      <c r="D157" s="3" t="str">
        <f t="shared" si="2"/>
        <v>k4</v>
      </c>
      <c r="E157" s="3" t="str">
        <f t="shared" si="3"/>
        <v>m</v>
      </c>
      <c r="F157" s="3" t="str">
        <f t="shared" si="4"/>
        <v>19</v>
      </c>
      <c r="G157" s="3" t="str">
        <f t="shared" si="5"/>
        <v>k45m</v>
      </c>
      <c r="H157" s="3" t="str">
        <f t="shared" si="6"/>
        <v>11.30.09</v>
      </c>
      <c r="I157" s="2">
        <v>157.834</v>
      </c>
      <c r="J157" s="2">
        <v>1.136</v>
      </c>
      <c r="K157" s="4">
        <f t="shared" si="7"/>
        <v>82.27</v>
      </c>
      <c r="L157" s="4">
        <f t="shared" si="8"/>
        <v>22.166</v>
      </c>
      <c r="M157" s="4">
        <f t="shared" si="9"/>
        <v>5.484666667</v>
      </c>
      <c r="N157" s="4">
        <f t="shared" si="10"/>
        <v>6.55074655</v>
      </c>
      <c r="O157" s="4">
        <f t="shared" si="11"/>
        <v>196.5223965</v>
      </c>
      <c r="P157" s="4">
        <f t="shared" si="12"/>
        <v>0.386869682</v>
      </c>
    </row>
    <row r="158">
      <c r="A158" s="2">
        <v>1.0</v>
      </c>
      <c r="B158" s="1" t="s">
        <v>171</v>
      </c>
      <c r="C158" s="3" t="str">
        <f t="shared" si="1"/>
        <v>k45</v>
      </c>
      <c r="D158" s="3" t="str">
        <f t="shared" si="2"/>
        <v>k4</v>
      </c>
      <c r="E158" s="3" t="str">
        <f t="shared" si="3"/>
        <v>m</v>
      </c>
      <c r="F158" s="3" t="str">
        <f t="shared" si="4"/>
        <v>19</v>
      </c>
      <c r="G158" s="3" t="str">
        <f t="shared" si="5"/>
        <v>k45m</v>
      </c>
      <c r="H158" s="3" t="str">
        <f t="shared" si="6"/>
        <v>11.30.09</v>
      </c>
      <c r="I158" s="2">
        <v>-136.169</v>
      </c>
      <c r="J158" s="2">
        <v>1.378</v>
      </c>
      <c r="K158" s="4">
        <f t="shared" si="7"/>
        <v>82.27</v>
      </c>
      <c r="L158" s="4">
        <f t="shared" si="8"/>
        <v>43.831</v>
      </c>
      <c r="M158" s="4">
        <f t="shared" si="9"/>
        <v>5.484666667</v>
      </c>
      <c r="N158" s="4">
        <f t="shared" si="10"/>
        <v>6.548643458</v>
      </c>
      <c r="O158" s="4">
        <f t="shared" si="11"/>
        <v>196.4593037</v>
      </c>
      <c r="P158" s="4">
        <f t="shared" si="12"/>
        <v>0.7649952644</v>
      </c>
    </row>
    <row r="159">
      <c r="A159" s="2">
        <v>1.0</v>
      </c>
      <c r="B159" s="1" t="s">
        <v>172</v>
      </c>
      <c r="C159" s="3" t="str">
        <f t="shared" si="1"/>
        <v>k45</v>
      </c>
      <c r="D159" s="3" t="str">
        <f t="shared" si="2"/>
        <v>k4</v>
      </c>
      <c r="E159" s="3" t="str">
        <f t="shared" si="3"/>
        <v>m</v>
      </c>
      <c r="F159" s="3" t="str">
        <f t="shared" si="4"/>
        <v>21</v>
      </c>
      <c r="G159" s="3" t="str">
        <f t="shared" si="5"/>
        <v>k45m</v>
      </c>
      <c r="H159" s="3" t="str">
        <f t="shared" si="6"/>
        <v>11.30.09</v>
      </c>
      <c r="I159" s="2">
        <v>154.537</v>
      </c>
      <c r="J159" s="2">
        <v>0.921</v>
      </c>
      <c r="K159" s="4">
        <f t="shared" si="7"/>
        <v>90.93</v>
      </c>
      <c r="L159" s="4">
        <f t="shared" si="8"/>
        <v>25.463</v>
      </c>
      <c r="M159" s="4">
        <f t="shared" si="9"/>
        <v>6.062</v>
      </c>
      <c r="N159" s="4">
        <f t="shared" si="10"/>
        <v>6.904899612</v>
      </c>
      <c r="O159" s="4">
        <f t="shared" si="11"/>
        <v>207.1469884</v>
      </c>
      <c r="P159" s="4">
        <f t="shared" si="12"/>
        <v>0.4444131874</v>
      </c>
    </row>
    <row r="160">
      <c r="A160" s="2">
        <v>1.0</v>
      </c>
      <c r="B160" s="1" t="s">
        <v>173</v>
      </c>
      <c r="C160" s="3" t="str">
        <f t="shared" si="1"/>
        <v>n60</v>
      </c>
      <c r="D160" s="3" t="str">
        <f t="shared" si="2"/>
        <v>n6</v>
      </c>
      <c r="E160" s="3" t="str">
        <f t="shared" si="3"/>
        <v>f</v>
      </c>
      <c r="F160" s="3" t="str">
        <f t="shared" si="4"/>
        <v>09</v>
      </c>
      <c r="G160" s="3" t="str">
        <f t="shared" si="5"/>
        <v>n60f</v>
      </c>
      <c r="H160" s="3" t="str">
        <f t="shared" si="6"/>
        <v>11.30.09</v>
      </c>
      <c r="I160" s="2">
        <v>-157.834</v>
      </c>
      <c r="J160" s="2">
        <v>1.143</v>
      </c>
      <c r="K160" s="4">
        <f t="shared" si="7"/>
        <v>38.97</v>
      </c>
      <c r="L160" s="4">
        <f t="shared" si="8"/>
        <v>22.166</v>
      </c>
      <c r="M160" s="4">
        <f t="shared" si="9"/>
        <v>2.598</v>
      </c>
      <c r="N160" s="4">
        <f t="shared" si="10"/>
        <v>3.681868409</v>
      </c>
      <c r="O160" s="4">
        <f t="shared" si="11"/>
        <v>110.4560523</v>
      </c>
      <c r="P160" s="4">
        <f t="shared" si="12"/>
        <v>0.386869682</v>
      </c>
    </row>
    <row r="161">
      <c r="A161" s="2">
        <v>1.0</v>
      </c>
      <c r="B161" s="1" t="s">
        <v>174</v>
      </c>
      <c r="C161" s="3" t="str">
        <f t="shared" si="1"/>
        <v>n60</v>
      </c>
      <c r="D161" s="3" t="str">
        <f t="shared" si="2"/>
        <v>n6</v>
      </c>
      <c r="E161" s="3" t="str">
        <f t="shared" si="3"/>
        <v>f</v>
      </c>
      <c r="F161" s="3" t="str">
        <f t="shared" si="4"/>
        <v>09</v>
      </c>
      <c r="G161" s="3" t="str">
        <f t="shared" si="5"/>
        <v>n60f</v>
      </c>
      <c r="H161" s="3" t="str">
        <f t="shared" si="6"/>
        <v>11.30.09</v>
      </c>
      <c r="I161" s="2">
        <v>140.631</v>
      </c>
      <c r="J161" s="2">
        <v>1.978</v>
      </c>
      <c r="K161" s="4">
        <f t="shared" si="7"/>
        <v>38.97</v>
      </c>
      <c r="L161" s="4">
        <f t="shared" si="8"/>
        <v>39.369</v>
      </c>
      <c r="M161" s="4">
        <f t="shared" si="9"/>
        <v>2.598</v>
      </c>
      <c r="N161" s="4">
        <f t="shared" si="10"/>
        <v>4.313644747</v>
      </c>
      <c r="O161" s="4">
        <f t="shared" si="11"/>
        <v>129.4093424</v>
      </c>
      <c r="P161" s="4">
        <f t="shared" si="12"/>
        <v>0.6871186732</v>
      </c>
    </row>
    <row r="162">
      <c r="A162" s="2">
        <v>1.0</v>
      </c>
      <c r="B162" s="1" t="s">
        <v>175</v>
      </c>
      <c r="C162" s="3" t="str">
        <f t="shared" si="1"/>
        <v>n60</v>
      </c>
      <c r="D162" s="3" t="str">
        <f t="shared" si="2"/>
        <v>n6</v>
      </c>
      <c r="E162" s="3" t="str">
        <f t="shared" si="3"/>
        <v>f</v>
      </c>
      <c r="F162" s="3" t="str">
        <f t="shared" si="4"/>
        <v>09</v>
      </c>
      <c r="G162" s="3" t="str">
        <f t="shared" si="5"/>
        <v>n60f</v>
      </c>
      <c r="H162" s="3" t="str">
        <f t="shared" si="6"/>
        <v>11.30.09</v>
      </c>
      <c r="I162" s="2">
        <v>-162.3</v>
      </c>
      <c r="J162" s="2">
        <v>1.935</v>
      </c>
      <c r="K162" s="4">
        <f t="shared" si="7"/>
        <v>38.97</v>
      </c>
      <c r="L162" s="4">
        <f t="shared" si="8"/>
        <v>17.7</v>
      </c>
      <c r="M162" s="4">
        <f t="shared" si="9"/>
        <v>2.598</v>
      </c>
      <c r="N162" s="4">
        <f t="shared" si="10"/>
        <v>4.480193659</v>
      </c>
      <c r="O162" s="4">
        <f t="shared" si="11"/>
        <v>134.4058098</v>
      </c>
      <c r="P162" s="4">
        <f t="shared" si="12"/>
        <v>0.3089232776</v>
      </c>
    </row>
    <row r="163">
      <c r="A163" s="2">
        <v>1.0</v>
      </c>
      <c r="B163" s="1" t="s">
        <v>176</v>
      </c>
      <c r="C163" s="3" t="str">
        <f t="shared" si="1"/>
        <v>n60</v>
      </c>
      <c r="D163" s="3" t="str">
        <f t="shared" si="2"/>
        <v>n6</v>
      </c>
      <c r="E163" s="3" t="str">
        <f t="shared" si="3"/>
        <v>f</v>
      </c>
      <c r="F163" s="3" t="str">
        <f t="shared" si="4"/>
        <v>11</v>
      </c>
      <c r="G163" s="3" t="str">
        <f t="shared" si="5"/>
        <v>n60f</v>
      </c>
      <c r="H163" s="3" t="str">
        <f t="shared" si="6"/>
        <v>11.30.09</v>
      </c>
      <c r="I163" s="2">
        <v>-148.134</v>
      </c>
      <c r="J163" s="2">
        <v>1.726</v>
      </c>
      <c r="K163" s="4">
        <f t="shared" si="7"/>
        <v>47.63</v>
      </c>
      <c r="L163" s="4">
        <f t="shared" si="8"/>
        <v>31.866</v>
      </c>
      <c r="M163" s="4">
        <f t="shared" si="9"/>
        <v>3.175333333</v>
      </c>
      <c r="N163" s="4">
        <f t="shared" si="10"/>
        <v>4.729803893</v>
      </c>
      <c r="O163" s="4">
        <f t="shared" si="11"/>
        <v>141.8941168</v>
      </c>
      <c r="P163" s="4">
        <f t="shared" si="12"/>
        <v>0.5561666194</v>
      </c>
    </row>
    <row r="164">
      <c r="A164" s="2">
        <v>1.0</v>
      </c>
      <c r="B164" s="1" t="s">
        <v>177</v>
      </c>
      <c r="C164" s="3" t="str">
        <f t="shared" si="1"/>
        <v>n60</v>
      </c>
      <c r="D164" s="3" t="str">
        <f t="shared" si="2"/>
        <v>n6</v>
      </c>
      <c r="E164" s="3" t="str">
        <f t="shared" si="3"/>
        <v>f</v>
      </c>
      <c r="F164" s="3" t="str">
        <f t="shared" si="4"/>
        <v>11</v>
      </c>
      <c r="G164" s="3" t="str">
        <f t="shared" si="5"/>
        <v>n60f</v>
      </c>
      <c r="H164" s="3" t="str">
        <f t="shared" si="6"/>
        <v>11.30.09</v>
      </c>
      <c r="I164" s="2">
        <v>137.121</v>
      </c>
      <c r="J164" s="2">
        <v>0.749</v>
      </c>
      <c r="K164" s="4">
        <f t="shared" si="7"/>
        <v>47.63</v>
      </c>
      <c r="L164" s="4">
        <f t="shared" si="8"/>
        <v>42.879</v>
      </c>
      <c r="M164" s="4">
        <f t="shared" si="9"/>
        <v>3.175333333</v>
      </c>
      <c r="N164" s="4">
        <f t="shared" si="10"/>
        <v>3.758906624</v>
      </c>
      <c r="O164" s="4">
        <f t="shared" si="11"/>
        <v>112.7671987</v>
      </c>
      <c r="P164" s="4">
        <f t="shared" si="12"/>
        <v>0.74837973</v>
      </c>
    </row>
    <row r="165">
      <c r="A165" s="2">
        <v>1.0</v>
      </c>
      <c r="B165" s="1" t="s">
        <v>178</v>
      </c>
      <c r="C165" s="3" t="str">
        <f t="shared" si="1"/>
        <v>n60</v>
      </c>
      <c r="D165" s="3" t="str">
        <f t="shared" si="2"/>
        <v>n6</v>
      </c>
      <c r="E165" s="3" t="str">
        <f t="shared" si="3"/>
        <v>f</v>
      </c>
      <c r="F165" s="3" t="str">
        <f t="shared" si="4"/>
        <v>11</v>
      </c>
      <c r="G165" s="3" t="str">
        <f t="shared" si="5"/>
        <v>n60f</v>
      </c>
      <c r="H165" s="3" t="str">
        <f t="shared" si="6"/>
        <v>11.30.09</v>
      </c>
      <c r="I165" s="2">
        <v>-147.529</v>
      </c>
      <c r="J165" s="2">
        <v>1.033</v>
      </c>
      <c r="K165" s="4">
        <f t="shared" si="7"/>
        <v>47.63</v>
      </c>
      <c r="L165" s="4">
        <f t="shared" si="8"/>
        <v>32.471</v>
      </c>
      <c r="M165" s="4">
        <f t="shared" si="9"/>
        <v>3.175333333</v>
      </c>
      <c r="N165" s="4">
        <f t="shared" si="10"/>
        <v>4.084661958</v>
      </c>
      <c r="O165" s="4">
        <f t="shared" si="11"/>
        <v>122.5398587</v>
      </c>
      <c r="P165" s="4">
        <f t="shared" si="12"/>
        <v>0.5667258614</v>
      </c>
    </row>
    <row r="166">
      <c r="A166" s="2">
        <v>1.0</v>
      </c>
      <c r="B166" s="1" t="s">
        <v>179</v>
      </c>
      <c r="C166" s="3" t="str">
        <f t="shared" si="1"/>
        <v>n60</v>
      </c>
      <c r="D166" s="3" t="str">
        <f t="shared" si="2"/>
        <v>n6</v>
      </c>
      <c r="E166" s="3" t="str">
        <f t="shared" si="3"/>
        <v>f</v>
      </c>
      <c r="F166" s="3" t="str">
        <f t="shared" si="4"/>
        <v>11</v>
      </c>
      <c r="G166" s="3" t="str">
        <f t="shared" si="5"/>
        <v>n60f</v>
      </c>
      <c r="H166" s="3" t="str">
        <f t="shared" si="6"/>
        <v>11.30.09</v>
      </c>
      <c r="I166" s="2">
        <v>154.179</v>
      </c>
      <c r="J166" s="2">
        <v>1.333</v>
      </c>
      <c r="K166" s="4">
        <f t="shared" si="7"/>
        <v>47.63</v>
      </c>
      <c r="L166" s="4">
        <f t="shared" si="8"/>
        <v>25.821</v>
      </c>
      <c r="M166" s="4">
        <f t="shared" si="9"/>
        <v>3.175333333</v>
      </c>
      <c r="N166" s="4">
        <f t="shared" si="10"/>
        <v>4.413600933</v>
      </c>
      <c r="O166" s="4">
        <f t="shared" si="11"/>
        <v>132.408028</v>
      </c>
      <c r="P166" s="4">
        <f t="shared" si="12"/>
        <v>0.4506614662</v>
      </c>
    </row>
    <row r="167">
      <c r="A167" s="2">
        <v>1.0</v>
      </c>
      <c r="B167" s="1" t="s">
        <v>180</v>
      </c>
      <c r="C167" s="3" t="str">
        <f t="shared" si="1"/>
        <v>n60</v>
      </c>
      <c r="D167" s="3" t="str">
        <f t="shared" si="2"/>
        <v>n6</v>
      </c>
      <c r="E167" s="3" t="str">
        <f t="shared" si="3"/>
        <v>f</v>
      </c>
      <c r="F167" s="3" t="str">
        <f t="shared" si="4"/>
        <v>11</v>
      </c>
      <c r="G167" s="3" t="str">
        <f t="shared" si="5"/>
        <v>n60f</v>
      </c>
      <c r="H167" s="3" t="str">
        <f t="shared" si="6"/>
        <v>11.30.09</v>
      </c>
      <c r="I167" s="2">
        <v>131.878</v>
      </c>
      <c r="J167" s="2">
        <v>1.519</v>
      </c>
      <c r="K167" s="4">
        <f t="shared" si="7"/>
        <v>47.63</v>
      </c>
      <c r="L167" s="4">
        <f t="shared" si="8"/>
        <v>48.122</v>
      </c>
      <c r="M167" s="4">
        <f t="shared" si="9"/>
        <v>3.175333333</v>
      </c>
      <c r="N167" s="4">
        <f t="shared" si="10"/>
        <v>4.339320306</v>
      </c>
      <c r="O167" s="4">
        <f t="shared" si="11"/>
        <v>130.1796092</v>
      </c>
      <c r="P167" s="4">
        <f t="shared" si="12"/>
        <v>0.8398873426</v>
      </c>
    </row>
    <row r="168">
      <c r="A168" s="2">
        <v>1.0</v>
      </c>
      <c r="B168" s="1" t="s">
        <v>181</v>
      </c>
      <c r="C168" s="3" t="str">
        <f t="shared" si="1"/>
        <v>n60</v>
      </c>
      <c r="D168" s="3" t="str">
        <f t="shared" si="2"/>
        <v>n6</v>
      </c>
      <c r="E168" s="3" t="str">
        <f t="shared" si="3"/>
        <v>f</v>
      </c>
      <c r="F168" s="3" t="str">
        <f t="shared" si="4"/>
        <v>11</v>
      </c>
      <c r="G168" s="3" t="str">
        <f t="shared" si="5"/>
        <v>n60f</v>
      </c>
      <c r="H168" s="3" t="str">
        <f t="shared" si="6"/>
        <v>11.30.09</v>
      </c>
      <c r="I168" s="2">
        <v>-171.18</v>
      </c>
      <c r="J168" s="2">
        <v>2.321</v>
      </c>
      <c r="K168" s="4">
        <f t="shared" si="7"/>
        <v>47.63</v>
      </c>
      <c r="L168" s="4">
        <f t="shared" si="8"/>
        <v>8.82</v>
      </c>
      <c r="M168" s="4">
        <f t="shared" si="9"/>
        <v>3.175333333</v>
      </c>
      <c r="N168" s="4">
        <f t="shared" si="10"/>
        <v>5.480454327</v>
      </c>
      <c r="O168" s="4">
        <f t="shared" si="11"/>
        <v>164.4136298</v>
      </c>
      <c r="P168" s="4">
        <f t="shared" si="12"/>
        <v>0.15393804</v>
      </c>
    </row>
    <row r="169">
      <c r="A169" s="2">
        <v>1.0</v>
      </c>
      <c r="B169" s="1" t="s">
        <v>182</v>
      </c>
      <c r="C169" s="3" t="str">
        <f t="shared" si="1"/>
        <v>n60</v>
      </c>
      <c r="D169" s="3" t="str">
        <f t="shared" si="2"/>
        <v>n6</v>
      </c>
      <c r="E169" s="3" t="str">
        <f t="shared" si="3"/>
        <v>f</v>
      </c>
      <c r="F169" s="3" t="str">
        <f t="shared" si="4"/>
        <v>11</v>
      </c>
      <c r="G169" s="3" t="str">
        <f t="shared" si="5"/>
        <v>n60f</v>
      </c>
      <c r="H169" s="3" t="str">
        <f t="shared" si="6"/>
        <v>11.30.09</v>
      </c>
      <c r="I169" s="2">
        <v>159.444</v>
      </c>
      <c r="J169" s="2">
        <v>0.67</v>
      </c>
      <c r="K169" s="4">
        <f t="shared" si="7"/>
        <v>47.63</v>
      </c>
      <c r="L169" s="4">
        <f t="shared" si="8"/>
        <v>20.556</v>
      </c>
      <c r="M169" s="4">
        <f t="shared" si="9"/>
        <v>3.175333333</v>
      </c>
      <c r="N169" s="4">
        <f t="shared" si="10"/>
        <v>3.809944051</v>
      </c>
      <c r="O169" s="4">
        <f t="shared" si="11"/>
        <v>114.2983215</v>
      </c>
      <c r="P169" s="4">
        <f t="shared" si="12"/>
        <v>0.358769881</v>
      </c>
    </row>
    <row r="170">
      <c r="A170" s="2">
        <v>1.0</v>
      </c>
      <c r="B170" s="1" t="s">
        <v>183</v>
      </c>
      <c r="C170" s="3" t="str">
        <f t="shared" si="1"/>
        <v>n60</v>
      </c>
      <c r="D170" s="3" t="str">
        <f t="shared" si="2"/>
        <v>n6</v>
      </c>
      <c r="E170" s="3" t="str">
        <f t="shared" si="3"/>
        <v>f</v>
      </c>
      <c r="F170" s="3" t="str">
        <f t="shared" si="4"/>
        <v>11</v>
      </c>
      <c r="G170" s="3" t="str">
        <f t="shared" si="5"/>
        <v>n60f</v>
      </c>
      <c r="H170" s="3" t="str">
        <f t="shared" si="6"/>
        <v>11.30.09</v>
      </c>
      <c r="I170" s="2">
        <v>158.552</v>
      </c>
      <c r="J170" s="2">
        <v>1.191</v>
      </c>
      <c r="K170" s="4">
        <f t="shared" si="7"/>
        <v>47.63</v>
      </c>
      <c r="L170" s="4">
        <f t="shared" si="8"/>
        <v>21.448</v>
      </c>
      <c r="M170" s="4">
        <f t="shared" si="9"/>
        <v>3.175333333</v>
      </c>
      <c r="N170" s="4">
        <f t="shared" si="10"/>
        <v>4.305935787</v>
      </c>
      <c r="O170" s="4">
        <f t="shared" si="11"/>
        <v>129.1780736</v>
      </c>
      <c r="P170" s="4">
        <f t="shared" si="12"/>
        <v>0.374338218</v>
      </c>
    </row>
    <row r="171">
      <c r="A171" s="2">
        <v>1.0</v>
      </c>
      <c r="B171" s="1" t="s">
        <v>184</v>
      </c>
      <c r="C171" s="3" t="str">
        <f t="shared" si="1"/>
        <v>n60</v>
      </c>
      <c r="D171" s="3" t="str">
        <f t="shared" si="2"/>
        <v>n6</v>
      </c>
      <c r="E171" s="3" t="str">
        <f t="shared" si="3"/>
        <v>f</v>
      </c>
      <c r="F171" s="3" t="str">
        <f t="shared" si="4"/>
        <v>11</v>
      </c>
      <c r="G171" s="3" t="str">
        <f t="shared" si="5"/>
        <v>n60f</v>
      </c>
      <c r="H171" s="3" t="str">
        <f t="shared" si="6"/>
        <v>11.30.09</v>
      </c>
      <c r="I171" s="2">
        <v>165.964</v>
      </c>
      <c r="J171" s="2">
        <v>0.97</v>
      </c>
      <c r="K171" s="4">
        <f t="shared" si="7"/>
        <v>47.63</v>
      </c>
      <c r="L171" s="4">
        <f t="shared" si="8"/>
        <v>14.036</v>
      </c>
      <c r="M171" s="4">
        <f t="shared" si="9"/>
        <v>3.175333333</v>
      </c>
      <c r="N171" s="4">
        <f t="shared" si="10"/>
        <v>4.123089644</v>
      </c>
      <c r="O171" s="4">
        <f t="shared" si="11"/>
        <v>123.6926893</v>
      </c>
      <c r="P171" s="4">
        <f t="shared" si="12"/>
        <v>0.2449744138</v>
      </c>
    </row>
    <row r="172">
      <c r="A172" s="2">
        <v>1.0</v>
      </c>
      <c r="B172" s="1" t="s">
        <v>185</v>
      </c>
      <c r="C172" s="3" t="str">
        <f t="shared" si="1"/>
        <v>n60</v>
      </c>
      <c r="D172" s="3" t="str">
        <f t="shared" si="2"/>
        <v>n6</v>
      </c>
      <c r="E172" s="3" t="str">
        <f t="shared" si="3"/>
        <v>f</v>
      </c>
      <c r="F172" s="3" t="str">
        <f t="shared" si="4"/>
        <v>13</v>
      </c>
      <c r="G172" s="3" t="str">
        <f t="shared" si="5"/>
        <v>n60f</v>
      </c>
      <c r="H172" s="3" t="str">
        <f t="shared" si="6"/>
        <v>11.30.09</v>
      </c>
      <c r="I172" s="2">
        <v>172.235</v>
      </c>
      <c r="J172" s="2">
        <v>1.745</v>
      </c>
      <c r="K172" s="4">
        <f t="shared" si="7"/>
        <v>56.29</v>
      </c>
      <c r="L172" s="4">
        <f t="shared" si="8"/>
        <v>7.765</v>
      </c>
      <c r="M172" s="4">
        <f t="shared" si="9"/>
        <v>3.752666667</v>
      </c>
      <c r="N172" s="4">
        <f t="shared" si="10"/>
        <v>5.486733854</v>
      </c>
      <c r="O172" s="4">
        <f t="shared" si="11"/>
        <v>164.6020156</v>
      </c>
      <c r="P172" s="4">
        <f t="shared" si="12"/>
        <v>0.1355248164</v>
      </c>
    </row>
    <row r="173">
      <c r="A173" s="2">
        <v>1.0</v>
      </c>
      <c r="B173" s="1" t="s">
        <v>186</v>
      </c>
      <c r="C173" s="3" t="str">
        <f t="shared" si="1"/>
        <v>n60</v>
      </c>
      <c r="D173" s="3" t="str">
        <f t="shared" si="2"/>
        <v>n6</v>
      </c>
      <c r="E173" s="3" t="str">
        <f t="shared" si="3"/>
        <v>f</v>
      </c>
      <c r="F173" s="3" t="str">
        <f t="shared" si="4"/>
        <v>13</v>
      </c>
      <c r="G173" s="3" t="str">
        <f t="shared" si="5"/>
        <v>n60f</v>
      </c>
      <c r="H173" s="3" t="str">
        <f t="shared" si="6"/>
        <v>11.30.09</v>
      </c>
      <c r="I173" s="2">
        <v>180.0</v>
      </c>
      <c r="J173" s="2">
        <v>1.216</v>
      </c>
      <c r="K173" s="4">
        <f t="shared" si="7"/>
        <v>56.29</v>
      </c>
      <c r="L173" s="4">
        <f t="shared" si="8"/>
        <v>0</v>
      </c>
      <c r="M173" s="4">
        <f t="shared" si="9"/>
        <v>3.752666667</v>
      </c>
      <c r="N173" s="4">
        <f t="shared" si="10"/>
        <v>4.968666667</v>
      </c>
      <c r="O173" s="4">
        <f t="shared" si="11"/>
        <v>149.06</v>
      </c>
      <c r="P173" s="4">
        <f t="shared" si="12"/>
        <v>0</v>
      </c>
    </row>
    <row r="174">
      <c r="A174" s="2">
        <v>1.0</v>
      </c>
      <c r="B174" s="1" t="s">
        <v>187</v>
      </c>
      <c r="C174" s="3" t="str">
        <f t="shared" si="1"/>
        <v>n60</v>
      </c>
      <c r="D174" s="3" t="str">
        <f t="shared" si="2"/>
        <v>n6</v>
      </c>
      <c r="E174" s="3" t="str">
        <f t="shared" si="3"/>
        <v>f</v>
      </c>
      <c r="F174" s="3" t="str">
        <f t="shared" si="4"/>
        <v>15</v>
      </c>
      <c r="G174" s="3" t="str">
        <f t="shared" si="5"/>
        <v>n60f</v>
      </c>
      <c r="H174" s="3" t="str">
        <f t="shared" si="6"/>
        <v>11.30.09</v>
      </c>
      <c r="I174" s="2">
        <v>153.435</v>
      </c>
      <c r="J174" s="2">
        <v>1.061</v>
      </c>
      <c r="K174" s="4">
        <f t="shared" si="7"/>
        <v>64.95</v>
      </c>
      <c r="L174" s="4">
        <f t="shared" si="8"/>
        <v>26.565</v>
      </c>
      <c r="M174" s="4">
        <f t="shared" si="9"/>
        <v>4.33</v>
      </c>
      <c r="N174" s="4">
        <f t="shared" si="10"/>
        <v>5.300269262</v>
      </c>
      <c r="O174" s="4">
        <f t="shared" si="11"/>
        <v>159.0080779</v>
      </c>
      <c r="P174" s="4">
        <f t="shared" si="12"/>
        <v>0.4636467158</v>
      </c>
    </row>
    <row r="175">
      <c r="A175" s="2">
        <v>1.0</v>
      </c>
      <c r="B175" s="1" t="s">
        <v>188</v>
      </c>
      <c r="C175" s="3" t="str">
        <f t="shared" si="1"/>
        <v>n60</v>
      </c>
      <c r="D175" s="3" t="str">
        <f t="shared" si="2"/>
        <v>n6</v>
      </c>
      <c r="E175" s="3" t="str">
        <f t="shared" si="3"/>
        <v>f</v>
      </c>
      <c r="F175" s="3" t="str">
        <f t="shared" si="4"/>
        <v>15</v>
      </c>
      <c r="G175" s="3" t="str">
        <f t="shared" si="5"/>
        <v>n60f</v>
      </c>
      <c r="H175" s="3" t="str">
        <f t="shared" si="6"/>
        <v>11.30.09</v>
      </c>
      <c r="I175" s="2">
        <v>178.091</v>
      </c>
      <c r="J175" s="2">
        <v>1.177</v>
      </c>
      <c r="K175" s="4">
        <f t="shared" si="7"/>
        <v>64.95</v>
      </c>
      <c r="L175" s="4">
        <f t="shared" si="8"/>
        <v>1.909</v>
      </c>
      <c r="M175" s="4">
        <f t="shared" si="9"/>
        <v>4.33</v>
      </c>
      <c r="N175" s="4">
        <f t="shared" si="10"/>
        <v>5.506486352</v>
      </c>
      <c r="O175" s="4">
        <f t="shared" si="11"/>
        <v>165.1945905</v>
      </c>
      <c r="P175" s="4">
        <f t="shared" si="12"/>
        <v>0.03331833542</v>
      </c>
    </row>
    <row r="176">
      <c r="A176" s="2">
        <v>1.0</v>
      </c>
      <c r="B176" s="1" t="s">
        <v>189</v>
      </c>
      <c r="C176" s="3" t="str">
        <f t="shared" si="1"/>
        <v>n60</v>
      </c>
      <c r="D176" s="3" t="str">
        <f t="shared" si="2"/>
        <v>n6</v>
      </c>
      <c r="E176" s="3" t="str">
        <f t="shared" si="3"/>
        <v>f</v>
      </c>
      <c r="F176" s="3" t="str">
        <f t="shared" si="4"/>
        <v>15</v>
      </c>
      <c r="G176" s="3" t="str">
        <f t="shared" si="5"/>
        <v>n60f</v>
      </c>
      <c r="H176" s="3" t="str">
        <f t="shared" si="6"/>
        <v>11.30.09</v>
      </c>
      <c r="I176" s="2">
        <v>180.0</v>
      </c>
      <c r="J176" s="2">
        <v>0.811</v>
      </c>
      <c r="K176" s="4">
        <f t="shared" si="7"/>
        <v>64.95</v>
      </c>
      <c r="L176" s="4">
        <f t="shared" si="8"/>
        <v>0</v>
      </c>
      <c r="M176" s="4">
        <f t="shared" si="9"/>
        <v>4.33</v>
      </c>
      <c r="N176" s="4">
        <f t="shared" si="10"/>
        <v>5.141</v>
      </c>
      <c r="O176" s="4">
        <f t="shared" si="11"/>
        <v>154.23</v>
      </c>
      <c r="P176" s="4">
        <f t="shared" si="12"/>
        <v>0</v>
      </c>
    </row>
    <row r="177">
      <c r="A177" s="2">
        <v>1.0</v>
      </c>
      <c r="B177" s="1" t="s">
        <v>190</v>
      </c>
      <c r="C177" s="3" t="str">
        <f t="shared" si="1"/>
        <v>n60</v>
      </c>
      <c r="D177" s="3" t="str">
        <f t="shared" si="2"/>
        <v>n6</v>
      </c>
      <c r="E177" s="3" t="str">
        <f t="shared" si="3"/>
        <v>f</v>
      </c>
      <c r="F177" s="3" t="str">
        <f t="shared" si="4"/>
        <v>15</v>
      </c>
      <c r="G177" s="3" t="str">
        <f t="shared" si="5"/>
        <v>n60f</v>
      </c>
      <c r="H177" s="3" t="str">
        <f t="shared" si="6"/>
        <v>11.30.09</v>
      </c>
      <c r="I177" s="2">
        <v>170.538</v>
      </c>
      <c r="J177" s="2">
        <v>0.69</v>
      </c>
      <c r="K177" s="4">
        <f t="shared" si="7"/>
        <v>64.95</v>
      </c>
      <c r="L177" s="4">
        <f t="shared" si="8"/>
        <v>9.462</v>
      </c>
      <c r="M177" s="4">
        <f t="shared" si="9"/>
        <v>4.33</v>
      </c>
      <c r="N177" s="4">
        <f t="shared" si="10"/>
        <v>5.011896226</v>
      </c>
      <c r="O177" s="4">
        <f t="shared" si="11"/>
        <v>150.3568868</v>
      </c>
      <c r="P177" s="4">
        <f t="shared" si="12"/>
        <v>0.1651430538</v>
      </c>
    </row>
    <row r="178">
      <c r="A178" s="2">
        <v>1.0</v>
      </c>
      <c r="B178" s="1" t="s">
        <v>191</v>
      </c>
      <c r="C178" s="3" t="str">
        <f t="shared" si="1"/>
        <v>n60</v>
      </c>
      <c r="D178" s="3" t="str">
        <f t="shared" si="2"/>
        <v>n6</v>
      </c>
      <c r="E178" s="3" t="str">
        <f t="shared" si="3"/>
        <v>f</v>
      </c>
      <c r="F178" s="3" t="str">
        <f t="shared" si="4"/>
        <v>15</v>
      </c>
      <c r="G178" s="3" t="str">
        <f t="shared" si="5"/>
        <v>n60f</v>
      </c>
      <c r="H178" s="3" t="str">
        <f t="shared" si="6"/>
        <v>11.30.09</v>
      </c>
      <c r="I178" s="2">
        <v>-150.018</v>
      </c>
      <c r="J178" s="2">
        <v>1.184</v>
      </c>
      <c r="K178" s="4">
        <f t="shared" si="7"/>
        <v>64.95</v>
      </c>
      <c r="L178" s="4">
        <f t="shared" si="8"/>
        <v>29.982</v>
      </c>
      <c r="M178" s="4">
        <f t="shared" si="9"/>
        <v>4.33</v>
      </c>
      <c r="N178" s="4">
        <f t="shared" si="10"/>
        <v>5.388144921</v>
      </c>
      <c r="O178" s="4">
        <f t="shared" si="11"/>
        <v>161.6443476</v>
      </c>
      <c r="P178" s="4">
        <f t="shared" si="12"/>
        <v>0.5232846163</v>
      </c>
    </row>
    <row r="179">
      <c r="A179" s="2">
        <v>1.0</v>
      </c>
      <c r="B179" s="1" t="s">
        <v>192</v>
      </c>
      <c r="C179" s="3" t="str">
        <f t="shared" si="1"/>
        <v>n60</v>
      </c>
      <c r="D179" s="3" t="str">
        <f t="shared" si="2"/>
        <v>n6</v>
      </c>
      <c r="E179" s="3" t="str">
        <f t="shared" si="3"/>
        <v>f</v>
      </c>
      <c r="F179" s="3" t="str">
        <f t="shared" si="4"/>
        <v>15</v>
      </c>
      <c r="G179" s="3" t="str">
        <f t="shared" si="5"/>
        <v>n60f</v>
      </c>
      <c r="H179" s="3" t="str">
        <f t="shared" si="6"/>
        <v>11.30.09</v>
      </c>
      <c r="I179" s="2">
        <v>-121.504</v>
      </c>
      <c r="J179" s="2">
        <v>1.426</v>
      </c>
      <c r="K179" s="4">
        <f t="shared" si="7"/>
        <v>64.95</v>
      </c>
      <c r="L179" s="4">
        <f t="shared" si="8"/>
        <v>58.496</v>
      </c>
      <c r="M179" s="4">
        <f t="shared" si="9"/>
        <v>4.33</v>
      </c>
      <c r="N179" s="4">
        <f t="shared" si="10"/>
        <v>5.218767043</v>
      </c>
      <c r="O179" s="4">
        <f t="shared" si="11"/>
        <v>156.5630113</v>
      </c>
      <c r="P179" s="4">
        <f t="shared" si="12"/>
        <v>1.020947799</v>
      </c>
    </row>
    <row r="180">
      <c r="A180" s="2">
        <v>1.0</v>
      </c>
      <c r="B180" s="1" t="s">
        <v>193</v>
      </c>
      <c r="C180" s="3" t="str">
        <f t="shared" si="1"/>
        <v>n60</v>
      </c>
      <c r="D180" s="3" t="str">
        <f t="shared" si="2"/>
        <v>n6</v>
      </c>
      <c r="E180" s="3" t="str">
        <f t="shared" si="3"/>
        <v>f</v>
      </c>
      <c r="F180" s="3" t="str">
        <f t="shared" si="4"/>
        <v>17</v>
      </c>
      <c r="G180" s="3" t="str">
        <f t="shared" si="5"/>
        <v>n60f</v>
      </c>
      <c r="H180" s="3" t="str">
        <f t="shared" si="6"/>
        <v>11.30.09</v>
      </c>
      <c r="I180" s="2">
        <v>161.565</v>
      </c>
      <c r="J180" s="2">
        <v>1.124</v>
      </c>
      <c r="K180" s="4">
        <f t="shared" si="7"/>
        <v>73.61</v>
      </c>
      <c r="L180" s="4">
        <f t="shared" si="8"/>
        <v>18.435</v>
      </c>
      <c r="M180" s="4">
        <f t="shared" si="9"/>
        <v>4.907333333</v>
      </c>
      <c r="N180" s="4">
        <f t="shared" si="10"/>
        <v>5.984218324</v>
      </c>
      <c r="O180" s="4">
        <f t="shared" si="11"/>
        <v>179.5265497</v>
      </c>
      <c r="P180" s="4">
        <f t="shared" si="12"/>
        <v>0.3217514476</v>
      </c>
    </row>
    <row r="181">
      <c r="A181" s="2">
        <v>1.0</v>
      </c>
      <c r="B181" s="1" t="s">
        <v>194</v>
      </c>
      <c r="C181" s="3" t="str">
        <f t="shared" si="1"/>
        <v>n60</v>
      </c>
      <c r="D181" s="3" t="str">
        <f t="shared" si="2"/>
        <v>n6</v>
      </c>
      <c r="E181" s="3" t="str">
        <f t="shared" si="3"/>
        <v>f</v>
      </c>
      <c r="F181" s="3" t="str">
        <f t="shared" si="4"/>
        <v>17</v>
      </c>
      <c r="G181" s="3" t="str">
        <f t="shared" si="5"/>
        <v>n60f</v>
      </c>
      <c r="H181" s="3" t="str">
        <f t="shared" si="6"/>
        <v>11.30.09</v>
      </c>
      <c r="I181" s="2">
        <v>177.138</v>
      </c>
      <c r="J181" s="2">
        <v>0.766</v>
      </c>
      <c r="K181" s="4">
        <f t="shared" si="7"/>
        <v>73.61</v>
      </c>
      <c r="L181" s="4">
        <f t="shared" si="8"/>
        <v>2.862</v>
      </c>
      <c r="M181" s="4">
        <f t="shared" si="9"/>
        <v>4.907333333</v>
      </c>
      <c r="N181" s="4">
        <f t="shared" si="10"/>
        <v>5.672506836</v>
      </c>
      <c r="O181" s="4">
        <f t="shared" si="11"/>
        <v>170.1752051</v>
      </c>
      <c r="P181" s="4">
        <f t="shared" si="12"/>
        <v>0.04995132319</v>
      </c>
    </row>
    <row r="182">
      <c r="A182" s="2">
        <v>1.0</v>
      </c>
      <c r="B182" s="1" t="s">
        <v>195</v>
      </c>
      <c r="C182" s="3" t="str">
        <f t="shared" si="1"/>
        <v>n60</v>
      </c>
      <c r="D182" s="3" t="str">
        <f t="shared" si="2"/>
        <v>n6</v>
      </c>
      <c r="E182" s="3" t="str">
        <f t="shared" si="3"/>
        <v>f</v>
      </c>
      <c r="F182" s="3" t="str">
        <f t="shared" si="4"/>
        <v>17</v>
      </c>
      <c r="G182" s="3" t="str">
        <f t="shared" si="5"/>
        <v>n60f</v>
      </c>
      <c r="H182" s="3" t="str">
        <f t="shared" si="6"/>
        <v>11.30.09</v>
      </c>
      <c r="I182" s="2">
        <v>-140.906</v>
      </c>
      <c r="J182" s="2">
        <v>0.772</v>
      </c>
      <c r="K182" s="4">
        <f t="shared" si="7"/>
        <v>73.61</v>
      </c>
      <c r="L182" s="4">
        <f t="shared" si="8"/>
        <v>39.094</v>
      </c>
      <c r="M182" s="4">
        <f t="shared" si="9"/>
        <v>4.907333333</v>
      </c>
      <c r="N182" s="4">
        <f t="shared" si="10"/>
        <v>5.527969649</v>
      </c>
      <c r="O182" s="4">
        <f t="shared" si="11"/>
        <v>165.8390895</v>
      </c>
      <c r="P182" s="4">
        <f t="shared" si="12"/>
        <v>0.6823190178</v>
      </c>
    </row>
    <row r="183">
      <c r="A183" s="2">
        <v>1.0</v>
      </c>
      <c r="B183" s="1" t="s">
        <v>196</v>
      </c>
      <c r="C183" s="3" t="str">
        <f t="shared" si="1"/>
        <v>n60</v>
      </c>
      <c r="D183" s="3" t="str">
        <f t="shared" si="2"/>
        <v>n6</v>
      </c>
      <c r="E183" s="3" t="str">
        <f t="shared" si="3"/>
        <v>f</v>
      </c>
      <c r="F183" s="3" t="str">
        <f t="shared" si="4"/>
        <v>19</v>
      </c>
      <c r="G183" s="3" t="str">
        <f t="shared" si="5"/>
        <v>n60f</v>
      </c>
      <c r="H183" s="3" t="str">
        <f t="shared" si="6"/>
        <v>11.30.09</v>
      </c>
      <c r="I183" s="2">
        <v>-164.745</v>
      </c>
      <c r="J183" s="2">
        <v>1.341</v>
      </c>
      <c r="K183" s="4">
        <f t="shared" si="7"/>
        <v>82.27</v>
      </c>
      <c r="L183" s="4">
        <f t="shared" si="8"/>
        <v>15.255</v>
      </c>
      <c r="M183" s="4">
        <f t="shared" si="9"/>
        <v>5.484666667</v>
      </c>
      <c r="N183" s="4">
        <f t="shared" si="10"/>
        <v>6.787592625</v>
      </c>
      <c r="O183" s="4">
        <f t="shared" si="11"/>
        <v>203.6277787</v>
      </c>
      <c r="P183" s="4">
        <f t="shared" si="12"/>
        <v>0.2662499774</v>
      </c>
    </row>
    <row r="184">
      <c r="A184" s="2">
        <v>1.0</v>
      </c>
      <c r="B184" s="1" t="s">
        <v>197</v>
      </c>
      <c r="C184" s="3" t="str">
        <f t="shared" si="1"/>
        <v>n60</v>
      </c>
      <c r="D184" s="3" t="str">
        <f t="shared" si="2"/>
        <v>n6</v>
      </c>
      <c r="E184" s="3" t="str">
        <f t="shared" si="3"/>
        <v>f</v>
      </c>
      <c r="F184" s="3" t="str">
        <f t="shared" si="4"/>
        <v>21</v>
      </c>
      <c r="G184" s="3" t="str">
        <f t="shared" si="5"/>
        <v>n60f</v>
      </c>
      <c r="H184" s="3" t="str">
        <f t="shared" si="6"/>
        <v>11.30.09</v>
      </c>
      <c r="I184" s="2">
        <v>155.225</v>
      </c>
      <c r="J184" s="2">
        <v>0.58</v>
      </c>
      <c r="K184" s="4">
        <f t="shared" si="7"/>
        <v>90.93</v>
      </c>
      <c r="L184" s="4">
        <f t="shared" si="8"/>
        <v>24.775</v>
      </c>
      <c r="M184" s="4">
        <f t="shared" si="9"/>
        <v>6.062</v>
      </c>
      <c r="N184" s="4">
        <f t="shared" si="10"/>
        <v>6.593098588</v>
      </c>
      <c r="O184" s="4">
        <f t="shared" si="11"/>
        <v>197.7929576</v>
      </c>
      <c r="P184" s="4">
        <f t="shared" si="12"/>
        <v>0.4324053222</v>
      </c>
    </row>
    <row r="185">
      <c r="A185" s="2">
        <v>1.0</v>
      </c>
      <c r="B185" s="1" t="s">
        <v>198</v>
      </c>
      <c r="C185" s="3" t="str">
        <f t="shared" si="1"/>
        <v>n60</v>
      </c>
      <c r="D185" s="3" t="str">
        <f t="shared" si="2"/>
        <v>n6</v>
      </c>
      <c r="E185" s="3" t="str">
        <f t="shared" si="3"/>
        <v>m</v>
      </c>
      <c r="F185" s="3" t="str">
        <f t="shared" si="4"/>
        <v>11</v>
      </c>
      <c r="G185" s="3" t="str">
        <f t="shared" si="5"/>
        <v>n60m</v>
      </c>
      <c r="H185" s="3" t="str">
        <f t="shared" si="6"/>
        <v>11.30.09</v>
      </c>
      <c r="I185" s="2">
        <v>146.634</v>
      </c>
      <c r="J185" s="2">
        <v>1.922</v>
      </c>
      <c r="K185" s="4">
        <f t="shared" si="7"/>
        <v>47.63</v>
      </c>
      <c r="L185" s="4">
        <f t="shared" si="8"/>
        <v>33.366</v>
      </c>
      <c r="M185" s="4">
        <f t="shared" si="9"/>
        <v>3.175333333</v>
      </c>
      <c r="N185" s="4">
        <f t="shared" si="10"/>
        <v>4.896013546</v>
      </c>
      <c r="O185" s="4">
        <f t="shared" si="11"/>
        <v>146.8804064</v>
      </c>
      <c r="P185" s="4">
        <f t="shared" si="12"/>
        <v>0.5823465582</v>
      </c>
    </row>
    <row r="186">
      <c r="A186" s="2">
        <v>1.0</v>
      </c>
      <c r="B186" s="1" t="s">
        <v>199</v>
      </c>
      <c r="C186" s="3" t="str">
        <f t="shared" si="1"/>
        <v>n60</v>
      </c>
      <c r="D186" s="3" t="str">
        <f t="shared" si="2"/>
        <v>n6</v>
      </c>
      <c r="E186" s="3" t="str">
        <f t="shared" si="3"/>
        <v>m</v>
      </c>
      <c r="F186" s="3" t="str">
        <f t="shared" si="4"/>
        <v>11</v>
      </c>
      <c r="G186" s="3" t="str">
        <f t="shared" si="5"/>
        <v>n60m</v>
      </c>
      <c r="H186" s="3" t="str">
        <f t="shared" si="6"/>
        <v>11.30.09</v>
      </c>
      <c r="I186" s="2">
        <v>-171.87</v>
      </c>
      <c r="J186" s="2">
        <v>1.386</v>
      </c>
      <c r="K186" s="4">
        <f t="shared" si="7"/>
        <v>47.63</v>
      </c>
      <c r="L186" s="4">
        <f t="shared" si="8"/>
        <v>8.13</v>
      </c>
      <c r="M186" s="4">
        <f t="shared" si="9"/>
        <v>3.175333333</v>
      </c>
      <c r="N186" s="4">
        <f t="shared" si="10"/>
        <v>4.551625996</v>
      </c>
      <c r="O186" s="4">
        <f t="shared" si="11"/>
        <v>136.5487799</v>
      </c>
      <c r="P186" s="4">
        <f t="shared" si="12"/>
        <v>0.1418952682</v>
      </c>
    </row>
    <row r="187">
      <c r="A187" s="2">
        <v>1.0</v>
      </c>
      <c r="B187" s="1" t="s">
        <v>200</v>
      </c>
      <c r="C187" s="3" t="str">
        <f t="shared" si="1"/>
        <v>n60</v>
      </c>
      <c r="D187" s="3" t="str">
        <f t="shared" si="2"/>
        <v>n6</v>
      </c>
      <c r="E187" s="3" t="str">
        <f t="shared" si="3"/>
        <v>m</v>
      </c>
      <c r="F187" s="3" t="str">
        <f t="shared" si="4"/>
        <v>11</v>
      </c>
      <c r="G187" s="3" t="str">
        <f t="shared" si="5"/>
        <v>n60m</v>
      </c>
      <c r="H187" s="3" t="str">
        <f t="shared" si="6"/>
        <v>11.30.09</v>
      </c>
      <c r="I187" s="2">
        <v>-167.005</v>
      </c>
      <c r="J187" s="2">
        <v>0.517</v>
      </c>
      <c r="K187" s="4">
        <f t="shared" si="7"/>
        <v>47.63</v>
      </c>
      <c r="L187" s="4">
        <f t="shared" si="8"/>
        <v>12.995</v>
      </c>
      <c r="M187" s="4">
        <f t="shared" si="9"/>
        <v>3.175333333</v>
      </c>
      <c r="N187" s="4">
        <f t="shared" si="10"/>
        <v>3.680929129</v>
      </c>
      <c r="O187" s="4">
        <f t="shared" si="11"/>
        <v>110.4278739</v>
      </c>
      <c r="P187" s="4">
        <f t="shared" si="12"/>
        <v>0.2268055363</v>
      </c>
    </row>
    <row r="188">
      <c r="A188" s="2">
        <v>1.0</v>
      </c>
      <c r="B188" s="1" t="s">
        <v>201</v>
      </c>
      <c r="C188" s="3" t="str">
        <f t="shared" si="1"/>
        <v>n60</v>
      </c>
      <c r="D188" s="3" t="str">
        <f t="shared" si="2"/>
        <v>n6</v>
      </c>
      <c r="E188" s="3" t="str">
        <f t="shared" si="3"/>
        <v>m</v>
      </c>
      <c r="F188" s="3" t="str">
        <f t="shared" si="4"/>
        <v>13</v>
      </c>
      <c r="G188" s="3" t="str">
        <f t="shared" si="5"/>
        <v>n60m</v>
      </c>
      <c r="H188" s="3" t="str">
        <f t="shared" si="6"/>
        <v>11.30.09</v>
      </c>
      <c r="I188" s="2">
        <v>-160.017</v>
      </c>
      <c r="J188" s="2">
        <v>0.467</v>
      </c>
      <c r="K188" s="4">
        <f t="shared" si="7"/>
        <v>56.29</v>
      </c>
      <c r="L188" s="4">
        <f t="shared" si="8"/>
        <v>19.983</v>
      </c>
      <c r="M188" s="4">
        <f t="shared" si="9"/>
        <v>3.752666667</v>
      </c>
      <c r="N188" s="4">
        <f t="shared" si="10"/>
        <v>4.194587646</v>
      </c>
      <c r="O188" s="4">
        <f t="shared" si="11"/>
        <v>125.8376294</v>
      </c>
      <c r="P188" s="4">
        <f t="shared" si="12"/>
        <v>0.3487691444</v>
      </c>
    </row>
    <row r="189">
      <c r="A189" s="2">
        <v>1.0</v>
      </c>
      <c r="B189" s="1" t="s">
        <v>202</v>
      </c>
      <c r="C189" s="3" t="str">
        <f t="shared" si="1"/>
        <v>n60</v>
      </c>
      <c r="D189" s="3" t="str">
        <f t="shared" si="2"/>
        <v>n6</v>
      </c>
      <c r="E189" s="3" t="str">
        <f t="shared" si="3"/>
        <v>m</v>
      </c>
      <c r="F189" s="3" t="str">
        <f t="shared" si="4"/>
        <v>13</v>
      </c>
      <c r="G189" s="3" t="str">
        <f t="shared" si="5"/>
        <v>n60m</v>
      </c>
      <c r="H189" s="3" t="str">
        <f t="shared" si="6"/>
        <v>11.30.09</v>
      </c>
      <c r="I189" s="2">
        <v>161.565</v>
      </c>
      <c r="J189" s="2">
        <v>0.744</v>
      </c>
      <c r="K189" s="4">
        <f t="shared" si="7"/>
        <v>56.29</v>
      </c>
      <c r="L189" s="4">
        <f t="shared" si="8"/>
        <v>18.435</v>
      </c>
      <c r="M189" s="4">
        <f t="shared" si="9"/>
        <v>3.752666667</v>
      </c>
      <c r="N189" s="4">
        <f t="shared" si="10"/>
        <v>4.464690215</v>
      </c>
      <c r="O189" s="4">
        <f t="shared" si="11"/>
        <v>133.9407064</v>
      </c>
      <c r="P189" s="4">
        <f t="shared" si="12"/>
        <v>0.3217514476</v>
      </c>
    </row>
    <row r="190">
      <c r="A190" s="2">
        <v>1.0</v>
      </c>
      <c r="B190" s="1" t="s">
        <v>203</v>
      </c>
      <c r="C190" s="3" t="str">
        <f t="shared" si="1"/>
        <v>n60</v>
      </c>
      <c r="D190" s="3" t="str">
        <f t="shared" si="2"/>
        <v>n6</v>
      </c>
      <c r="E190" s="3" t="str">
        <f t="shared" si="3"/>
        <v>m</v>
      </c>
      <c r="F190" s="3" t="str">
        <f t="shared" si="4"/>
        <v>13</v>
      </c>
      <c r="G190" s="3" t="str">
        <f t="shared" si="5"/>
        <v>n60m</v>
      </c>
      <c r="H190" s="3" t="str">
        <f t="shared" si="6"/>
        <v>11.30.09</v>
      </c>
      <c r="I190" s="2">
        <v>180.0</v>
      </c>
      <c r="J190" s="2">
        <v>0.993</v>
      </c>
      <c r="K190" s="4">
        <f t="shared" si="7"/>
        <v>56.29</v>
      </c>
      <c r="L190" s="4">
        <f t="shared" si="8"/>
        <v>0</v>
      </c>
      <c r="M190" s="4">
        <f t="shared" si="9"/>
        <v>3.752666667</v>
      </c>
      <c r="N190" s="4">
        <f t="shared" si="10"/>
        <v>4.745666667</v>
      </c>
      <c r="O190" s="4">
        <f t="shared" si="11"/>
        <v>142.37</v>
      </c>
      <c r="P190" s="4">
        <f t="shared" si="12"/>
        <v>0</v>
      </c>
    </row>
    <row r="191">
      <c r="A191" s="2">
        <v>1.0</v>
      </c>
      <c r="B191" s="1" t="s">
        <v>204</v>
      </c>
      <c r="C191" s="3" t="str">
        <f t="shared" si="1"/>
        <v>n60</v>
      </c>
      <c r="D191" s="3" t="str">
        <f t="shared" si="2"/>
        <v>n6</v>
      </c>
      <c r="E191" s="3" t="str">
        <f t="shared" si="3"/>
        <v>m</v>
      </c>
      <c r="F191" s="3" t="str">
        <f t="shared" si="4"/>
        <v>15</v>
      </c>
      <c r="G191" s="3" t="str">
        <f t="shared" si="5"/>
        <v>n60m</v>
      </c>
      <c r="H191" s="3" t="str">
        <f t="shared" si="6"/>
        <v>11.30.09</v>
      </c>
      <c r="I191" s="2">
        <v>167.471</v>
      </c>
      <c r="J191" s="2">
        <v>1.421</v>
      </c>
      <c r="K191" s="4">
        <f t="shared" si="7"/>
        <v>64.95</v>
      </c>
      <c r="L191" s="4">
        <f t="shared" si="8"/>
        <v>12.529</v>
      </c>
      <c r="M191" s="4">
        <f t="shared" si="9"/>
        <v>4.33</v>
      </c>
      <c r="N191" s="4">
        <f t="shared" si="10"/>
        <v>5.725465338</v>
      </c>
      <c r="O191" s="4">
        <f t="shared" si="11"/>
        <v>171.7639601</v>
      </c>
      <c r="P191" s="4">
        <f t="shared" si="12"/>
        <v>0.218672302</v>
      </c>
    </row>
    <row r="192">
      <c r="A192" s="2">
        <v>1.0</v>
      </c>
      <c r="B192" s="1" t="s">
        <v>205</v>
      </c>
      <c r="C192" s="3" t="str">
        <f t="shared" si="1"/>
        <v>n60</v>
      </c>
      <c r="D192" s="3" t="str">
        <f t="shared" si="2"/>
        <v>n6</v>
      </c>
      <c r="E192" s="3" t="str">
        <f t="shared" si="3"/>
        <v>m</v>
      </c>
      <c r="F192" s="3" t="str">
        <f t="shared" si="4"/>
        <v>15</v>
      </c>
      <c r="G192" s="3" t="str">
        <f t="shared" si="5"/>
        <v>n60m</v>
      </c>
      <c r="H192" s="3" t="str">
        <f t="shared" si="6"/>
        <v>11.30.09</v>
      </c>
      <c r="I192" s="2">
        <v>155.772</v>
      </c>
      <c r="J192" s="2">
        <v>0.859</v>
      </c>
      <c r="K192" s="4">
        <f t="shared" si="7"/>
        <v>64.95</v>
      </c>
      <c r="L192" s="4">
        <f t="shared" si="8"/>
        <v>24.228</v>
      </c>
      <c r="M192" s="4">
        <f t="shared" si="9"/>
        <v>4.33</v>
      </c>
      <c r="N192" s="4">
        <f t="shared" si="10"/>
        <v>5.125475275</v>
      </c>
      <c r="O192" s="4">
        <f t="shared" si="11"/>
        <v>153.7642582</v>
      </c>
      <c r="P192" s="4">
        <f t="shared" si="12"/>
        <v>0.4228583712</v>
      </c>
    </row>
    <row r="193">
      <c r="A193" s="2">
        <v>1.0</v>
      </c>
      <c r="B193" s="1" t="s">
        <v>206</v>
      </c>
      <c r="C193" s="3" t="str">
        <f t="shared" si="1"/>
        <v>n60</v>
      </c>
      <c r="D193" s="3" t="str">
        <f t="shared" si="2"/>
        <v>n6</v>
      </c>
      <c r="E193" s="3" t="str">
        <f t="shared" si="3"/>
        <v>m</v>
      </c>
      <c r="F193" s="3" t="str">
        <f t="shared" si="4"/>
        <v>17</v>
      </c>
      <c r="G193" s="3" t="str">
        <f t="shared" si="5"/>
        <v>n60m</v>
      </c>
      <c r="H193" s="3" t="str">
        <f t="shared" si="6"/>
        <v>11.30.09</v>
      </c>
      <c r="I193" s="2">
        <v>165.256</v>
      </c>
      <c r="J193" s="2">
        <v>0.77</v>
      </c>
      <c r="K193" s="4">
        <f t="shared" si="7"/>
        <v>73.61</v>
      </c>
      <c r="L193" s="4">
        <f t="shared" si="8"/>
        <v>14.744</v>
      </c>
      <c r="M193" s="4">
        <f t="shared" si="9"/>
        <v>4.907333333</v>
      </c>
      <c r="N193" s="4">
        <f t="shared" si="10"/>
        <v>5.655375471</v>
      </c>
      <c r="O193" s="4">
        <f t="shared" si="11"/>
        <v>169.6612641</v>
      </c>
      <c r="P193" s="4">
        <f t="shared" si="12"/>
        <v>0.2573313449</v>
      </c>
    </row>
    <row r="194">
      <c r="A194" s="2">
        <v>1.0</v>
      </c>
      <c r="B194" s="1" t="s">
        <v>207</v>
      </c>
      <c r="C194" s="3" t="str">
        <f t="shared" si="1"/>
        <v>n60</v>
      </c>
      <c r="D194" s="3" t="str">
        <f t="shared" si="2"/>
        <v>n6</v>
      </c>
      <c r="E194" s="3" t="str">
        <f t="shared" si="3"/>
        <v>m</v>
      </c>
      <c r="F194" s="3" t="str">
        <f t="shared" si="4"/>
        <v>17</v>
      </c>
      <c r="G194" s="3" t="str">
        <f t="shared" si="5"/>
        <v>n60m</v>
      </c>
      <c r="H194" s="3" t="str">
        <f t="shared" si="6"/>
        <v>11.30.09</v>
      </c>
      <c r="I194" s="2">
        <v>-170.074</v>
      </c>
      <c r="J194" s="2">
        <v>1.592</v>
      </c>
      <c r="K194" s="4">
        <f t="shared" si="7"/>
        <v>73.61</v>
      </c>
      <c r="L194" s="4">
        <f t="shared" si="8"/>
        <v>9.926</v>
      </c>
      <c r="M194" s="4">
        <f t="shared" si="9"/>
        <v>4.907333333</v>
      </c>
      <c r="N194" s="4">
        <f t="shared" si="10"/>
        <v>6.481315231</v>
      </c>
      <c r="O194" s="4">
        <f t="shared" si="11"/>
        <v>194.4394569</v>
      </c>
      <c r="P194" s="4">
        <f t="shared" si="12"/>
        <v>0.1732413816</v>
      </c>
    </row>
    <row r="195">
      <c r="A195" s="2">
        <v>1.0</v>
      </c>
      <c r="B195" s="1" t="s">
        <v>208</v>
      </c>
      <c r="C195" s="3" t="str">
        <f t="shared" si="1"/>
        <v>n60</v>
      </c>
      <c r="D195" s="3" t="str">
        <f t="shared" si="2"/>
        <v>n6</v>
      </c>
      <c r="E195" s="3" t="str">
        <f t="shared" si="3"/>
        <v>m</v>
      </c>
      <c r="F195" s="3" t="str">
        <f t="shared" si="4"/>
        <v>17</v>
      </c>
      <c r="G195" s="3" t="str">
        <f t="shared" si="5"/>
        <v>n60m</v>
      </c>
      <c r="H195" s="3" t="str">
        <f t="shared" si="6"/>
        <v>11.30.09</v>
      </c>
      <c r="I195" s="2">
        <v>176.055</v>
      </c>
      <c r="J195" s="2">
        <v>1.16</v>
      </c>
      <c r="K195" s="4">
        <f t="shared" si="7"/>
        <v>73.61</v>
      </c>
      <c r="L195" s="4">
        <f t="shared" si="8"/>
        <v>3.945</v>
      </c>
      <c r="M195" s="4">
        <f t="shared" si="9"/>
        <v>4.907333333</v>
      </c>
      <c r="N195" s="4">
        <f t="shared" si="10"/>
        <v>6.065109857</v>
      </c>
      <c r="O195" s="4">
        <f t="shared" si="11"/>
        <v>181.9532957</v>
      </c>
      <c r="P195" s="4">
        <f t="shared" si="12"/>
        <v>0.06885323899</v>
      </c>
    </row>
    <row r="196">
      <c r="A196" s="2">
        <v>1.0</v>
      </c>
      <c r="B196" s="1" t="s">
        <v>209</v>
      </c>
      <c r="C196" s="3" t="str">
        <f t="shared" si="1"/>
        <v>n60</v>
      </c>
      <c r="D196" s="3" t="str">
        <f t="shared" si="2"/>
        <v>n6</v>
      </c>
      <c r="E196" s="3" t="str">
        <f t="shared" si="3"/>
        <v>m</v>
      </c>
      <c r="F196" s="3" t="str">
        <f t="shared" si="4"/>
        <v>17</v>
      </c>
      <c r="G196" s="3" t="str">
        <f t="shared" si="5"/>
        <v>n60m</v>
      </c>
      <c r="H196" s="3" t="str">
        <f t="shared" si="6"/>
        <v>11.30.09</v>
      </c>
      <c r="I196" s="2">
        <v>-176.82</v>
      </c>
      <c r="J196" s="2">
        <v>1.415</v>
      </c>
      <c r="K196" s="4">
        <f t="shared" si="7"/>
        <v>73.61</v>
      </c>
      <c r="L196" s="4">
        <f t="shared" si="8"/>
        <v>3.18</v>
      </c>
      <c r="M196" s="4">
        <f t="shared" si="9"/>
        <v>4.907333333</v>
      </c>
      <c r="N196" s="4">
        <f t="shared" si="10"/>
        <v>6.320641918</v>
      </c>
      <c r="O196" s="4">
        <f t="shared" si="11"/>
        <v>189.6192575</v>
      </c>
      <c r="P196" s="4">
        <f t="shared" si="12"/>
        <v>0.05550147021</v>
      </c>
    </row>
    <row r="197">
      <c r="A197" s="2">
        <v>1.0</v>
      </c>
      <c r="B197" s="1" t="s">
        <v>210</v>
      </c>
      <c r="C197" s="3" t="str">
        <f t="shared" si="1"/>
        <v>n60</v>
      </c>
      <c r="D197" s="3" t="str">
        <f t="shared" si="2"/>
        <v>n6</v>
      </c>
      <c r="E197" s="3" t="str">
        <f t="shared" si="3"/>
        <v>m</v>
      </c>
      <c r="F197" s="3" t="str">
        <f t="shared" si="4"/>
        <v>17</v>
      </c>
      <c r="G197" s="3" t="str">
        <f t="shared" si="5"/>
        <v>n60m</v>
      </c>
      <c r="H197" s="3" t="str">
        <f t="shared" si="6"/>
        <v>11.30.09</v>
      </c>
      <c r="I197" s="2">
        <v>157.166</v>
      </c>
      <c r="J197" s="2">
        <v>0.821</v>
      </c>
      <c r="K197" s="4">
        <f t="shared" si="7"/>
        <v>73.61</v>
      </c>
      <c r="L197" s="4">
        <f t="shared" si="8"/>
        <v>22.834</v>
      </c>
      <c r="M197" s="4">
        <f t="shared" si="9"/>
        <v>4.907333333</v>
      </c>
      <c r="N197" s="4">
        <f t="shared" si="10"/>
        <v>5.672947575</v>
      </c>
      <c r="O197" s="4">
        <f t="shared" si="11"/>
        <v>170.1884273</v>
      </c>
      <c r="P197" s="4">
        <f t="shared" si="12"/>
        <v>0.3985284814</v>
      </c>
    </row>
    <row r="198">
      <c r="A198" s="2">
        <v>1.0</v>
      </c>
      <c r="B198" s="1" t="s">
        <v>211</v>
      </c>
      <c r="C198" s="3" t="str">
        <f t="shared" si="1"/>
        <v>n60</v>
      </c>
      <c r="D198" s="3" t="str">
        <f t="shared" si="2"/>
        <v>n6</v>
      </c>
      <c r="E198" s="3" t="str">
        <f t="shared" si="3"/>
        <v>m</v>
      </c>
      <c r="F198" s="3" t="str">
        <f t="shared" si="4"/>
        <v>17</v>
      </c>
      <c r="G198" s="3" t="str">
        <f t="shared" si="5"/>
        <v>n60m</v>
      </c>
      <c r="H198" s="3" t="str">
        <f t="shared" si="6"/>
        <v>11.30.09</v>
      </c>
      <c r="I198" s="2">
        <v>164.476</v>
      </c>
      <c r="J198" s="2">
        <v>0.733</v>
      </c>
      <c r="K198" s="4">
        <f t="shared" si="7"/>
        <v>73.61</v>
      </c>
      <c r="L198" s="4">
        <f t="shared" si="8"/>
        <v>15.524</v>
      </c>
      <c r="M198" s="4">
        <f t="shared" si="9"/>
        <v>4.907333333</v>
      </c>
      <c r="N198" s="4">
        <f t="shared" si="10"/>
        <v>5.617019333</v>
      </c>
      <c r="O198" s="4">
        <f t="shared" si="11"/>
        <v>168.51058</v>
      </c>
      <c r="P198" s="4">
        <f t="shared" si="12"/>
        <v>0.2709449131</v>
      </c>
    </row>
    <row r="199">
      <c r="A199" s="2">
        <v>1.0</v>
      </c>
      <c r="B199" s="1" t="s">
        <v>212</v>
      </c>
      <c r="C199" s="3" t="str">
        <f t="shared" si="1"/>
        <v>n60</v>
      </c>
      <c r="D199" s="3" t="str">
        <f t="shared" si="2"/>
        <v>n6</v>
      </c>
      <c r="E199" s="3" t="str">
        <f t="shared" si="3"/>
        <v>m</v>
      </c>
      <c r="F199" s="3" t="str">
        <f t="shared" si="4"/>
        <v>19</v>
      </c>
      <c r="G199" s="3" t="str">
        <f t="shared" si="5"/>
        <v>n60m</v>
      </c>
      <c r="H199" s="3" t="str">
        <f t="shared" si="6"/>
        <v>11.30.09</v>
      </c>
      <c r="I199" s="2">
        <v>-147.724</v>
      </c>
      <c r="J199" s="2">
        <v>0.888</v>
      </c>
      <c r="K199" s="4">
        <f t="shared" si="7"/>
        <v>82.27</v>
      </c>
      <c r="L199" s="4">
        <f t="shared" si="8"/>
        <v>32.276</v>
      </c>
      <c r="M199" s="4">
        <f t="shared" si="9"/>
        <v>5.484666667</v>
      </c>
      <c r="N199" s="4">
        <f t="shared" si="10"/>
        <v>6.253462353</v>
      </c>
      <c r="O199" s="4">
        <f t="shared" si="11"/>
        <v>187.6038706</v>
      </c>
      <c r="P199" s="4">
        <f t="shared" si="12"/>
        <v>0.5633224694</v>
      </c>
    </row>
    <row r="200">
      <c r="A200" s="2">
        <v>1.0</v>
      </c>
      <c r="B200" s="1" t="s">
        <v>213</v>
      </c>
      <c r="C200" s="3" t="str">
        <f t="shared" si="1"/>
        <v>n60</v>
      </c>
      <c r="D200" s="3" t="str">
        <f t="shared" si="2"/>
        <v>n6</v>
      </c>
      <c r="E200" s="3" t="str">
        <f t="shared" si="3"/>
        <v>m</v>
      </c>
      <c r="F200" s="3" t="str">
        <f t="shared" si="4"/>
        <v>19</v>
      </c>
      <c r="G200" s="3" t="str">
        <f t="shared" si="5"/>
        <v>n60m</v>
      </c>
      <c r="H200" s="3" t="str">
        <f t="shared" si="6"/>
        <v>11.30.09</v>
      </c>
      <c r="I200" s="2">
        <v>-141.072</v>
      </c>
      <c r="J200" s="2">
        <v>1.294</v>
      </c>
      <c r="K200" s="4">
        <f t="shared" si="7"/>
        <v>82.27</v>
      </c>
      <c r="L200" s="4">
        <f t="shared" si="8"/>
        <v>38.928</v>
      </c>
      <c r="M200" s="4">
        <f t="shared" si="9"/>
        <v>5.484666667</v>
      </c>
      <c r="N200" s="4">
        <f t="shared" si="10"/>
        <v>6.542039237</v>
      </c>
      <c r="O200" s="4">
        <f t="shared" si="11"/>
        <v>196.2611771</v>
      </c>
      <c r="P200" s="4">
        <f t="shared" si="12"/>
        <v>0.6794217712</v>
      </c>
    </row>
    <row r="201">
      <c r="A201" s="2">
        <v>1.0</v>
      </c>
      <c r="B201" s="1" t="s">
        <v>213</v>
      </c>
      <c r="C201" s="3" t="str">
        <f t="shared" si="1"/>
        <v>n60</v>
      </c>
      <c r="D201" s="3" t="str">
        <f t="shared" si="2"/>
        <v>n6</v>
      </c>
      <c r="E201" s="3" t="str">
        <f t="shared" si="3"/>
        <v>m</v>
      </c>
      <c r="F201" s="3" t="str">
        <f t="shared" si="4"/>
        <v>19</v>
      </c>
      <c r="G201" s="3" t="str">
        <f t="shared" si="5"/>
        <v>n60m</v>
      </c>
      <c r="H201" s="3" t="str">
        <f t="shared" si="6"/>
        <v>11.30.09</v>
      </c>
      <c r="I201" s="2">
        <v>-114.146</v>
      </c>
      <c r="J201" s="2">
        <v>1.246</v>
      </c>
      <c r="K201" s="4">
        <f t="shared" si="7"/>
        <v>82.27</v>
      </c>
      <c r="L201" s="4">
        <f t="shared" si="8"/>
        <v>65.854</v>
      </c>
      <c r="M201" s="4">
        <f t="shared" si="9"/>
        <v>5.484666667</v>
      </c>
      <c r="N201" s="4">
        <f t="shared" si="10"/>
        <v>6.101235455</v>
      </c>
      <c r="O201" s="4">
        <f t="shared" si="11"/>
        <v>183.0370636</v>
      </c>
      <c r="P201" s="4">
        <f t="shared" si="12"/>
        <v>1.149369126</v>
      </c>
    </row>
    <row r="202">
      <c r="A202" s="2">
        <v>1.0</v>
      </c>
      <c r="B202" s="1" t="s">
        <v>214</v>
      </c>
      <c r="C202" s="3" t="str">
        <f t="shared" si="1"/>
        <v>n60</v>
      </c>
      <c r="D202" s="3" t="str">
        <f t="shared" si="2"/>
        <v>n6</v>
      </c>
      <c r="E202" s="3" t="str">
        <f t="shared" si="3"/>
        <v>m</v>
      </c>
      <c r="F202" s="3" t="str">
        <f t="shared" si="4"/>
        <v>19</v>
      </c>
      <c r="G202" s="3" t="str">
        <f t="shared" si="5"/>
        <v>n60m</v>
      </c>
      <c r="H202" s="3" t="str">
        <f t="shared" si="6"/>
        <v>11.30.09</v>
      </c>
      <c r="I202" s="2">
        <v>150.751</v>
      </c>
      <c r="J202" s="2">
        <v>1.124</v>
      </c>
      <c r="K202" s="4">
        <f t="shared" si="7"/>
        <v>82.27</v>
      </c>
      <c r="L202" s="4">
        <f t="shared" si="8"/>
        <v>29.249</v>
      </c>
      <c r="M202" s="4">
        <f t="shared" si="9"/>
        <v>5.484666667</v>
      </c>
      <c r="N202" s="4">
        <f t="shared" si="10"/>
        <v>6.488645149</v>
      </c>
      <c r="O202" s="4">
        <f t="shared" si="11"/>
        <v>194.6593545</v>
      </c>
      <c r="P202" s="4">
        <f t="shared" si="12"/>
        <v>0.5104913529</v>
      </c>
    </row>
    <row r="203">
      <c r="A203" s="2">
        <v>1.0</v>
      </c>
      <c r="B203" s="1" t="s">
        <v>214</v>
      </c>
      <c r="C203" s="3" t="str">
        <f t="shared" si="1"/>
        <v>n60</v>
      </c>
      <c r="D203" s="3" t="str">
        <f t="shared" si="2"/>
        <v>n6</v>
      </c>
      <c r="E203" s="3" t="str">
        <f t="shared" si="3"/>
        <v>m</v>
      </c>
      <c r="F203" s="3" t="str">
        <f t="shared" si="4"/>
        <v>19</v>
      </c>
      <c r="G203" s="3" t="str">
        <f t="shared" si="5"/>
        <v>n60m</v>
      </c>
      <c r="H203" s="3" t="str">
        <f t="shared" si="6"/>
        <v>11.30.09</v>
      </c>
      <c r="I203" s="2">
        <v>168.69</v>
      </c>
      <c r="J203" s="2">
        <v>0.6</v>
      </c>
      <c r="K203" s="4">
        <f t="shared" si="7"/>
        <v>82.27</v>
      </c>
      <c r="L203" s="4">
        <f t="shared" si="8"/>
        <v>11.31</v>
      </c>
      <c r="M203" s="4">
        <f t="shared" si="9"/>
        <v>5.484666667</v>
      </c>
      <c r="N203" s="4">
        <f t="shared" si="10"/>
        <v>6.074154813</v>
      </c>
      <c r="O203" s="4">
        <f t="shared" si="11"/>
        <v>182.2246444</v>
      </c>
      <c r="P203" s="4">
        <f t="shared" si="12"/>
        <v>0.1973967384</v>
      </c>
    </row>
    <row r="204">
      <c r="A204" s="2">
        <v>1.0</v>
      </c>
      <c r="B204" s="1" t="s">
        <v>215</v>
      </c>
      <c r="C204" s="3" t="str">
        <f t="shared" si="1"/>
        <v>n60</v>
      </c>
      <c r="D204" s="3" t="str">
        <f t="shared" si="2"/>
        <v>n6</v>
      </c>
      <c r="E204" s="3" t="str">
        <f t="shared" si="3"/>
        <v>m</v>
      </c>
      <c r="F204" s="3" t="str">
        <f t="shared" si="4"/>
        <v>19</v>
      </c>
      <c r="G204" s="3" t="str">
        <f t="shared" si="5"/>
        <v>n60m</v>
      </c>
      <c r="H204" s="3" t="str">
        <f t="shared" si="6"/>
        <v>11.30.09</v>
      </c>
      <c r="I204" s="2">
        <v>-163.856</v>
      </c>
      <c r="J204" s="2">
        <v>1.55</v>
      </c>
      <c r="K204" s="4">
        <f t="shared" si="7"/>
        <v>82.27</v>
      </c>
      <c r="L204" s="4">
        <f t="shared" si="8"/>
        <v>16.144</v>
      </c>
      <c r="M204" s="4">
        <f t="shared" si="9"/>
        <v>5.484666667</v>
      </c>
      <c r="N204" s="4">
        <f t="shared" si="10"/>
        <v>6.986848952</v>
      </c>
      <c r="O204" s="4">
        <f t="shared" si="11"/>
        <v>209.6054686</v>
      </c>
      <c r="P204" s="4">
        <f t="shared" si="12"/>
        <v>0.2817659544</v>
      </c>
    </row>
    <row r="205">
      <c r="A205" s="2">
        <v>1.0</v>
      </c>
      <c r="B205" s="1" t="s">
        <v>215</v>
      </c>
      <c r="C205" s="3" t="str">
        <f t="shared" si="1"/>
        <v>n60</v>
      </c>
      <c r="D205" s="3" t="str">
        <f t="shared" si="2"/>
        <v>n6</v>
      </c>
      <c r="E205" s="3" t="str">
        <f t="shared" si="3"/>
        <v>m</v>
      </c>
      <c r="F205" s="3" t="str">
        <f t="shared" si="4"/>
        <v>19</v>
      </c>
      <c r="G205" s="3" t="str">
        <f t="shared" si="5"/>
        <v>n60m</v>
      </c>
      <c r="H205" s="3" t="str">
        <f t="shared" si="6"/>
        <v>11.30.09</v>
      </c>
      <c r="I205" s="2">
        <v>180.0</v>
      </c>
      <c r="J205" s="2">
        <v>0.52</v>
      </c>
      <c r="K205" s="4">
        <f t="shared" si="7"/>
        <v>82.27</v>
      </c>
      <c r="L205" s="4">
        <f t="shared" si="8"/>
        <v>0</v>
      </c>
      <c r="M205" s="4">
        <f t="shared" si="9"/>
        <v>5.484666667</v>
      </c>
      <c r="N205" s="4">
        <f t="shared" si="10"/>
        <v>6.004666667</v>
      </c>
      <c r="O205" s="4">
        <f t="shared" si="11"/>
        <v>180.14</v>
      </c>
      <c r="P205" s="4">
        <f t="shared" si="12"/>
        <v>0</v>
      </c>
    </row>
    <row r="206">
      <c r="A206" s="2">
        <v>1.0</v>
      </c>
      <c r="B206" s="1" t="s">
        <v>216</v>
      </c>
      <c r="C206" s="3" t="str">
        <f t="shared" si="1"/>
        <v>n60</v>
      </c>
      <c r="D206" s="3" t="str">
        <f t="shared" si="2"/>
        <v>n6</v>
      </c>
      <c r="E206" s="3" t="str">
        <f t="shared" si="3"/>
        <v>m</v>
      </c>
      <c r="F206" s="3" t="str">
        <f t="shared" si="4"/>
        <v>19</v>
      </c>
      <c r="G206" s="3" t="str">
        <f t="shared" si="5"/>
        <v>n60m</v>
      </c>
      <c r="H206" s="3" t="str">
        <f t="shared" si="6"/>
        <v>11.30.09</v>
      </c>
      <c r="I206" s="2">
        <v>-158.199</v>
      </c>
      <c r="J206" s="2">
        <v>1.263</v>
      </c>
      <c r="K206" s="4">
        <f t="shared" si="7"/>
        <v>82.27</v>
      </c>
      <c r="L206" s="4">
        <f t="shared" si="8"/>
        <v>21.801</v>
      </c>
      <c r="M206" s="4">
        <f t="shared" si="9"/>
        <v>5.484666667</v>
      </c>
      <c r="N206" s="4">
        <f t="shared" si="10"/>
        <v>6.673839909</v>
      </c>
      <c r="O206" s="4">
        <f t="shared" si="11"/>
        <v>200.2151973</v>
      </c>
      <c r="P206" s="4">
        <f t="shared" si="12"/>
        <v>0.3804992302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
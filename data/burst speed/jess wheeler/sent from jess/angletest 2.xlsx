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<sst xmlns="http://schemas.openxmlformats.org/spreadsheetml/2006/main" count="9" uniqueCount="9">
  <si>
    <t>hz</t>
  </si>
  <si>
    <t xml:space="preserve">angle </t>
  </si>
  <si>
    <t xml:space="preserve">dist </t>
  </si>
  <si>
    <t>theta</t>
  </si>
  <si>
    <t>theta rad</t>
  </si>
  <si>
    <t xml:space="preserve">wind speed </t>
  </si>
  <si>
    <t>L</t>
  </si>
  <si>
    <t>H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</si>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</sst>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9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25.0</v>
      </c>
      <c r="B2" s="2">
        <v>180.0</v>
      </c>
      <c r="C2" s="2">
        <v>1.0</v>
      </c>
      <c r="D2" s="3">
        <f t="shared" ref="D2:D4" si="1">180-(ABS(B2))</f>
        <v>0</v>
      </c>
      <c r="E2" s="3">
        <f t="shared" ref="E2:E4" si="2">RADIANS(D2)</f>
        <v>0</v>
      </c>
      <c r="F2" s="3">
        <f t="shared" ref="F2:F4" si="3">A2*7.388</f>
        <v>184.7</v>
      </c>
      <c r="G2" s="3">
        <f t="shared" ref="G2:G5" si="4">F2+(C2*(COS(E2)))</f>
        <v>185.7</v>
      </c>
      <c r="H2" s="3">
        <f t="shared" ref="H2:H5" si="5">C2*(SIN(E2))</f>
        <v>0</v>
      </c>
      <c r="I2" s="3">
        <f t="shared" ref="I2:I5" si="6">SQRT((G2^2)+(H2^2))</f>
        <v>185.7</v>
      </c>
    </row>
    <row r="3">
      <c r="A3" s="2">
        <v>25.0</v>
      </c>
      <c r="B3" s="2">
        <v>135.0</v>
      </c>
      <c r="C3" s="2">
        <v>1.0</v>
      </c>
      <c r="D3" s="3">
        <f t="shared" si="1"/>
        <v>45</v>
      </c>
      <c r="E3" s="3">
        <f t="shared" si="2"/>
        <v>0.7853981634</v>
      </c>
      <c r="F3" s="3">
        <f t="shared" si="3"/>
        <v>184.7</v>
      </c>
      <c r="G3" s="3">
        <f t="shared" si="4"/>
        <v>185.4071068</v>
      </c>
      <c r="H3" s="3">
        <f t="shared" si="5"/>
        <v>0.7071067812</v>
      </c>
      <c r="I3" s="3">
        <f t="shared" si="6"/>
        <v>185.4084552</v>
      </c>
    </row>
    <row r="4">
      <c r="A4" s="2">
        <v>25.0</v>
      </c>
      <c r="B4" s="2">
        <v>90.0</v>
      </c>
      <c r="C4" s="2">
        <v>1.0</v>
      </c>
      <c r="D4" s="3">
        <f t="shared" si="1"/>
        <v>90</v>
      </c>
      <c r="E4" s="3">
        <f t="shared" si="2"/>
        <v>1.570796327</v>
      </c>
      <c r="F4" s="3">
        <f t="shared" si="3"/>
        <v>184.7</v>
      </c>
      <c r="G4" s="3">
        <f t="shared" si="4"/>
        <v>184.7</v>
      </c>
      <c r="H4" s="3">
        <f t="shared" si="5"/>
        <v>1</v>
      </c>
      <c r="I4" s="3">
        <f t="shared" si="6"/>
        <v>184.7027071</v>
      </c>
    </row>
    <row r="5">
      <c r="C5" s="2">
        <v>1.473</v>
      </c>
      <c r="E5" s="2">
        <v>22.84</v>
      </c>
      <c r="F5" s="2">
        <v>51.74</v>
      </c>
      <c r="G5" s="3">
        <f t="shared" si="4"/>
        <v>50.76657441</v>
      </c>
      <c r="H5" s="3">
        <f t="shared" si="5"/>
        <v>-1.105518714</v>
      </c>
      <c r="I5" s="3">
        <f t="shared" si="6"/>
        <v>50.77861015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8.13"/>
  </cols>
  <sheetData/>
  <drawing r:id="rId1"/>
</worksheet>
</file>
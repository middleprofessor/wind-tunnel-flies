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sent from jess/"/>
    </mc:Choice>
  </mc:AlternateContent>
  <xr:revisionPtr revIDLastSave="0" documentId="13_ncr:1_{3CAE1D0D-F7CF-9749-8067-DBEC457AEEAE}" xr6:coauthVersionLast="47" xr6:coauthVersionMax="47" xr10:uidLastSave="{00000000-0000-0000-0000-000000000000}"/>
  <bookViews>
    <workbookView xWindow="0" yWindow="2320" windowWidth="27220" windowHeight="174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2" i="1" l="1"/>
  <c r="AJ63" i="1"/>
  <c r="AJ38" i="1"/>
  <c r="AJ13" i="1"/>
  <c r="AG82" i="1"/>
  <c r="AH82" i="1"/>
  <c r="AI82" i="1"/>
  <c r="AF82" i="1"/>
  <c r="AI63" i="1"/>
  <c r="AI38" i="1"/>
  <c r="AI13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" i="1"/>
  <c r="AG63" i="1"/>
  <c r="AH63" i="1"/>
  <c r="AF63" i="1"/>
  <c r="AG38" i="1"/>
  <c r="AH38" i="1"/>
  <c r="AF38" i="1"/>
  <c r="AG13" i="1"/>
  <c r="AH13" i="1"/>
  <c r="T14" i="1"/>
  <c r="U14" i="1"/>
  <c r="V14" i="1"/>
  <c r="W14" i="1"/>
  <c r="X14" i="1" s="1"/>
  <c r="AB14" i="1" s="1"/>
  <c r="Y14" i="1"/>
  <c r="Z14" i="1"/>
  <c r="AA14" i="1"/>
  <c r="AC14" i="1" s="1"/>
  <c r="AD14" i="1"/>
  <c r="T15" i="1"/>
  <c r="U15" i="1"/>
  <c r="V15" i="1"/>
  <c r="W15" i="1"/>
  <c r="X15" i="1" s="1"/>
  <c r="AB15" i="1" s="1"/>
  <c r="Y15" i="1"/>
  <c r="Z15" i="1" s="1"/>
  <c r="AA15" i="1" s="1"/>
  <c r="AC15" i="1" s="1"/>
  <c r="AD15" i="1"/>
  <c r="T16" i="1"/>
  <c r="U16" i="1"/>
  <c r="V16" i="1"/>
  <c r="Y16" i="1"/>
  <c r="Z16" i="1"/>
  <c r="AD16" i="1"/>
  <c r="T17" i="1"/>
  <c r="U17" i="1"/>
  <c r="V17" i="1"/>
  <c r="W17" i="1" s="1"/>
  <c r="X17" i="1" s="1"/>
  <c r="AB17" i="1" s="1"/>
  <c r="Y17" i="1"/>
  <c r="Z17" i="1"/>
  <c r="AA17" i="1" s="1"/>
  <c r="AC17" i="1" s="1"/>
  <c r="AD17" i="1"/>
  <c r="T18" i="1"/>
  <c r="U18" i="1"/>
  <c r="V18" i="1"/>
  <c r="W18" i="1" s="1"/>
  <c r="X18" i="1" s="1"/>
  <c r="AB18" i="1" s="1"/>
  <c r="Y18" i="1"/>
  <c r="Z18" i="1" s="1"/>
  <c r="AA18" i="1" s="1"/>
  <c r="AC18" i="1" s="1"/>
  <c r="AD18" i="1"/>
  <c r="T19" i="1"/>
  <c r="U19" i="1"/>
  <c r="V19" i="1"/>
  <c r="Y19" i="1"/>
  <c r="AD19" i="1"/>
  <c r="T20" i="1"/>
  <c r="U20" i="1"/>
  <c r="V20" i="1"/>
  <c r="W20" i="1" s="1"/>
  <c r="X20" i="1" s="1"/>
  <c r="AB20" i="1" s="1"/>
  <c r="Y20" i="1"/>
  <c r="Z20" i="1" s="1"/>
  <c r="AD20" i="1"/>
  <c r="T21" i="1"/>
  <c r="U21" i="1"/>
  <c r="V21" i="1"/>
  <c r="Y21" i="1"/>
  <c r="Z21" i="1"/>
  <c r="AA21" i="1" s="1"/>
  <c r="AC21" i="1" s="1"/>
  <c r="AD21" i="1"/>
  <c r="T22" i="1"/>
  <c r="W22" i="1" s="1"/>
  <c r="X22" i="1" s="1"/>
  <c r="AB22" i="1" s="1"/>
  <c r="U22" i="1"/>
  <c r="V22" i="1"/>
  <c r="Y22" i="1"/>
  <c r="Z22" i="1" s="1"/>
  <c r="AA22" i="1" s="1"/>
  <c r="AC22" i="1" s="1"/>
  <c r="AD22" i="1"/>
  <c r="T23" i="1"/>
  <c r="Z23" i="1" s="1"/>
  <c r="U23" i="1"/>
  <c r="V23" i="1"/>
  <c r="Y23" i="1"/>
  <c r="AD23" i="1"/>
  <c r="T24" i="1"/>
  <c r="W24" i="1" s="1"/>
  <c r="X24" i="1" s="1"/>
  <c r="AB24" i="1" s="1"/>
  <c r="U24" i="1"/>
  <c r="V24" i="1"/>
  <c r="Y24" i="1"/>
  <c r="Z24" i="1" s="1"/>
  <c r="AA24" i="1" s="1"/>
  <c r="AC24" i="1" s="1"/>
  <c r="AD24" i="1"/>
  <c r="T25" i="1"/>
  <c r="U25" i="1"/>
  <c r="V25" i="1"/>
  <c r="W25" i="1"/>
  <c r="X25" i="1" s="1"/>
  <c r="AB25" i="1" s="1"/>
  <c r="Y25" i="1"/>
  <c r="Z25" i="1" s="1"/>
  <c r="AA25" i="1" s="1"/>
  <c r="AC25" i="1" s="1"/>
  <c r="AD25" i="1"/>
  <c r="T26" i="1"/>
  <c r="U26" i="1"/>
  <c r="V26" i="1"/>
  <c r="Y26" i="1"/>
  <c r="AD26" i="1"/>
  <c r="T27" i="1"/>
  <c r="U27" i="1"/>
  <c r="V27" i="1"/>
  <c r="Y27" i="1"/>
  <c r="Z27" i="1" s="1"/>
  <c r="AA27" i="1" s="1"/>
  <c r="AC27" i="1" s="1"/>
  <c r="AD27" i="1"/>
  <c r="T28" i="1"/>
  <c r="U28" i="1"/>
  <c r="V28" i="1"/>
  <c r="Y28" i="1"/>
  <c r="AD28" i="1"/>
  <c r="T29" i="1"/>
  <c r="U29" i="1"/>
  <c r="V29" i="1"/>
  <c r="Y29" i="1"/>
  <c r="Z29" i="1" s="1"/>
  <c r="AA29" i="1" s="1"/>
  <c r="AC29" i="1" s="1"/>
  <c r="AD29" i="1"/>
  <c r="T30" i="1"/>
  <c r="W30" i="1" s="1"/>
  <c r="X30" i="1" s="1"/>
  <c r="AB30" i="1" s="1"/>
  <c r="U30" i="1"/>
  <c r="V30" i="1"/>
  <c r="Y30" i="1"/>
  <c r="Z30" i="1" s="1"/>
  <c r="AA30" i="1" s="1"/>
  <c r="AC30" i="1" s="1"/>
  <c r="AD30" i="1"/>
  <c r="T31" i="1"/>
  <c r="Z31" i="1" s="1"/>
  <c r="U31" i="1"/>
  <c r="V31" i="1"/>
  <c r="Y31" i="1"/>
  <c r="AD31" i="1"/>
  <c r="T32" i="1"/>
  <c r="U32" i="1"/>
  <c r="V32" i="1"/>
  <c r="Y32" i="1"/>
  <c r="Z32" i="1" s="1"/>
  <c r="AA32" i="1" s="1"/>
  <c r="AC32" i="1" s="1"/>
  <c r="AD32" i="1"/>
  <c r="T33" i="1"/>
  <c r="Z33" i="1" s="1"/>
  <c r="AA33" i="1" s="1"/>
  <c r="AC33" i="1" s="1"/>
  <c r="U33" i="1"/>
  <c r="V33" i="1"/>
  <c r="W33" i="1" s="1"/>
  <c r="X33" i="1" s="1"/>
  <c r="AB33" i="1" s="1"/>
  <c r="Y33" i="1"/>
  <c r="AD33" i="1"/>
  <c r="T34" i="1"/>
  <c r="U34" i="1"/>
  <c r="V34" i="1"/>
  <c r="Y34" i="1"/>
  <c r="AD34" i="1"/>
  <c r="T35" i="1"/>
  <c r="U35" i="1"/>
  <c r="V35" i="1"/>
  <c r="Y35" i="1"/>
  <c r="AD35" i="1"/>
  <c r="T36" i="1"/>
  <c r="U36" i="1"/>
  <c r="V36" i="1"/>
  <c r="Y36" i="1"/>
  <c r="Z36" i="1" s="1"/>
  <c r="AA36" i="1" s="1"/>
  <c r="AC36" i="1" s="1"/>
  <c r="AD36" i="1"/>
  <c r="T37" i="1"/>
  <c r="U37" i="1"/>
  <c r="V37" i="1"/>
  <c r="W37" i="1" s="1"/>
  <c r="Y37" i="1"/>
  <c r="Z37" i="1" s="1"/>
  <c r="AD37" i="1"/>
  <c r="T38" i="1"/>
  <c r="W38" i="1" s="1"/>
  <c r="X38" i="1" s="1"/>
  <c r="AB38" i="1" s="1"/>
  <c r="U38" i="1"/>
  <c r="V38" i="1"/>
  <c r="Y38" i="1"/>
  <c r="Z38" i="1" s="1"/>
  <c r="AA38" i="1" s="1"/>
  <c r="AC38" i="1" s="1"/>
  <c r="AD38" i="1"/>
  <c r="T39" i="1"/>
  <c r="Z39" i="1" s="1"/>
  <c r="U39" i="1"/>
  <c r="V39" i="1"/>
  <c r="Y39" i="1"/>
  <c r="AD39" i="1"/>
  <c r="T40" i="1"/>
  <c r="U40" i="1"/>
  <c r="V40" i="1"/>
  <c r="Y40" i="1"/>
  <c r="Z40" i="1" s="1"/>
  <c r="AA40" i="1" s="1"/>
  <c r="AC40" i="1" s="1"/>
  <c r="AD40" i="1"/>
  <c r="T41" i="1"/>
  <c r="U41" i="1"/>
  <c r="V41" i="1"/>
  <c r="W41" i="1" s="1"/>
  <c r="X41" i="1" s="1"/>
  <c r="AB41" i="1" s="1"/>
  <c r="Y41" i="1"/>
  <c r="Z41" i="1"/>
  <c r="AA41" i="1" s="1"/>
  <c r="AC41" i="1" s="1"/>
  <c r="AD41" i="1"/>
  <c r="T42" i="1"/>
  <c r="U42" i="1"/>
  <c r="V42" i="1"/>
  <c r="Y42" i="1"/>
  <c r="AD42" i="1"/>
  <c r="T43" i="1"/>
  <c r="U43" i="1"/>
  <c r="V43" i="1"/>
  <c r="Y43" i="1"/>
  <c r="AD43" i="1"/>
  <c r="T44" i="1"/>
  <c r="U44" i="1"/>
  <c r="V44" i="1"/>
  <c r="Y44" i="1"/>
  <c r="Z44" i="1" s="1"/>
  <c r="AA44" i="1" s="1"/>
  <c r="AC44" i="1" s="1"/>
  <c r="AD44" i="1"/>
  <c r="T45" i="1"/>
  <c r="U45" i="1"/>
  <c r="V45" i="1"/>
  <c r="W45" i="1" s="1"/>
  <c r="Y45" i="1"/>
  <c r="Z45" i="1" s="1"/>
  <c r="AD45" i="1"/>
  <c r="T46" i="1"/>
  <c r="W46" i="1" s="1"/>
  <c r="U46" i="1"/>
  <c r="V46" i="1"/>
  <c r="Y46" i="1"/>
  <c r="Z46" i="1" s="1"/>
  <c r="AD46" i="1"/>
  <c r="T47" i="1"/>
  <c r="Z47" i="1" s="1"/>
  <c r="U47" i="1"/>
  <c r="V47" i="1"/>
  <c r="Y47" i="1"/>
  <c r="AD47" i="1"/>
  <c r="T48" i="1"/>
  <c r="U48" i="1"/>
  <c r="V48" i="1"/>
  <c r="Y48" i="1"/>
  <c r="Z48" i="1" s="1"/>
  <c r="AA48" i="1" s="1"/>
  <c r="AC48" i="1" s="1"/>
  <c r="AD48" i="1"/>
  <c r="T49" i="1"/>
  <c r="Z49" i="1" s="1"/>
  <c r="AA49" i="1" s="1"/>
  <c r="AC49" i="1" s="1"/>
  <c r="U49" i="1"/>
  <c r="V49" i="1"/>
  <c r="W49" i="1" s="1"/>
  <c r="X49" i="1" s="1"/>
  <c r="AB49" i="1" s="1"/>
  <c r="Y49" i="1"/>
  <c r="AD49" i="1"/>
  <c r="T50" i="1"/>
  <c r="U50" i="1"/>
  <c r="V50" i="1"/>
  <c r="Y50" i="1"/>
  <c r="AD50" i="1"/>
  <c r="T51" i="1"/>
  <c r="U51" i="1"/>
  <c r="V51" i="1"/>
  <c r="Y51" i="1"/>
  <c r="AD51" i="1"/>
  <c r="T52" i="1"/>
  <c r="U52" i="1"/>
  <c r="V52" i="1"/>
  <c r="Y52" i="1"/>
  <c r="Z52" i="1" s="1"/>
  <c r="AA52" i="1" s="1"/>
  <c r="AC52" i="1" s="1"/>
  <c r="AD52" i="1"/>
  <c r="T53" i="1"/>
  <c r="U53" i="1"/>
  <c r="V53" i="1"/>
  <c r="W53" i="1" s="1"/>
  <c r="Y53" i="1"/>
  <c r="Z53" i="1" s="1"/>
  <c r="AA53" i="1" s="1"/>
  <c r="AC53" i="1" s="1"/>
  <c r="AD53" i="1"/>
  <c r="T54" i="1"/>
  <c r="W54" i="1" s="1"/>
  <c r="X54" i="1" s="1"/>
  <c r="AB54" i="1" s="1"/>
  <c r="U54" i="1"/>
  <c r="V54" i="1"/>
  <c r="Y54" i="1"/>
  <c r="AD54" i="1"/>
  <c r="T55" i="1"/>
  <c r="Z55" i="1" s="1"/>
  <c r="AA55" i="1" s="1"/>
  <c r="AC55" i="1" s="1"/>
  <c r="U55" i="1"/>
  <c r="V55" i="1"/>
  <c r="Y55" i="1"/>
  <c r="AD55" i="1"/>
  <c r="T56" i="1"/>
  <c r="U56" i="1"/>
  <c r="V56" i="1"/>
  <c r="Y56" i="1"/>
  <c r="AD56" i="1"/>
  <c r="T57" i="1"/>
  <c r="U57" i="1"/>
  <c r="V57" i="1"/>
  <c r="W57" i="1"/>
  <c r="X57" i="1" s="1"/>
  <c r="AB57" i="1" s="1"/>
  <c r="Y57" i="1"/>
  <c r="Z57" i="1" s="1"/>
  <c r="AA57" i="1" s="1"/>
  <c r="AC57" i="1" s="1"/>
  <c r="AD57" i="1"/>
  <c r="T58" i="1"/>
  <c r="U58" i="1"/>
  <c r="V58" i="1"/>
  <c r="Y58" i="1"/>
  <c r="AD58" i="1"/>
  <c r="T59" i="1"/>
  <c r="U59" i="1"/>
  <c r="V59" i="1"/>
  <c r="Y59" i="1"/>
  <c r="AD59" i="1"/>
  <c r="T60" i="1"/>
  <c r="U60" i="1"/>
  <c r="V60" i="1"/>
  <c r="W60" i="1" s="1"/>
  <c r="X60" i="1" s="1"/>
  <c r="AB60" i="1" s="1"/>
  <c r="Y60" i="1"/>
  <c r="Z60" i="1" s="1"/>
  <c r="AA60" i="1" s="1"/>
  <c r="AC60" i="1" s="1"/>
  <c r="AD60" i="1"/>
  <c r="T61" i="1"/>
  <c r="U61" i="1"/>
  <c r="AA61" i="1" s="1"/>
  <c r="AC61" i="1" s="1"/>
  <c r="V61" i="1"/>
  <c r="Y61" i="1"/>
  <c r="Z61" i="1" s="1"/>
  <c r="AD61" i="1"/>
  <c r="T62" i="1"/>
  <c r="U62" i="1"/>
  <c r="V62" i="1"/>
  <c r="W62" i="1"/>
  <c r="X62" i="1" s="1"/>
  <c r="AB62" i="1" s="1"/>
  <c r="Y62" i="1"/>
  <c r="Z62" i="1" s="1"/>
  <c r="AA62" i="1" s="1"/>
  <c r="AC62" i="1" s="1"/>
  <c r="AD62" i="1"/>
  <c r="T63" i="1"/>
  <c r="Z63" i="1" s="1"/>
  <c r="AA63" i="1" s="1"/>
  <c r="AC63" i="1" s="1"/>
  <c r="U63" i="1"/>
  <c r="V63" i="1"/>
  <c r="Y63" i="1"/>
  <c r="AD63" i="1"/>
  <c r="T64" i="1"/>
  <c r="U64" i="1"/>
  <c r="V64" i="1"/>
  <c r="Y64" i="1"/>
  <c r="Z64" i="1" s="1"/>
  <c r="AD64" i="1"/>
  <c r="T65" i="1"/>
  <c r="U65" i="1"/>
  <c r="V65" i="1"/>
  <c r="W65" i="1"/>
  <c r="X65" i="1" s="1"/>
  <c r="AB65" i="1" s="1"/>
  <c r="Y65" i="1"/>
  <c r="Z65" i="1"/>
  <c r="AA65" i="1" s="1"/>
  <c r="AC65" i="1" s="1"/>
  <c r="AD65" i="1"/>
  <c r="T66" i="1"/>
  <c r="U66" i="1"/>
  <c r="V66" i="1"/>
  <c r="Y66" i="1"/>
  <c r="AD66" i="1"/>
  <c r="T67" i="1"/>
  <c r="U67" i="1"/>
  <c r="V67" i="1"/>
  <c r="Y67" i="1"/>
  <c r="AD67" i="1"/>
  <c r="T68" i="1"/>
  <c r="U68" i="1"/>
  <c r="V68" i="1"/>
  <c r="W68" i="1" s="1"/>
  <c r="X68" i="1" s="1"/>
  <c r="AB68" i="1" s="1"/>
  <c r="Y68" i="1"/>
  <c r="AD68" i="1"/>
  <c r="T69" i="1"/>
  <c r="Z69" i="1" s="1"/>
  <c r="U69" i="1"/>
  <c r="V69" i="1"/>
  <c r="Y69" i="1"/>
  <c r="AD69" i="1"/>
  <c r="T70" i="1"/>
  <c r="U70" i="1"/>
  <c r="V70" i="1"/>
  <c r="W70" i="1" s="1"/>
  <c r="X70" i="1" s="1"/>
  <c r="AB70" i="1" s="1"/>
  <c r="Y70" i="1"/>
  <c r="Z70" i="1" s="1"/>
  <c r="AA70" i="1" s="1"/>
  <c r="AC70" i="1" s="1"/>
  <c r="AD70" i="1"/>
  <c r="T71" i="1"/>
  <c r="U71" i="1"/>
  <c r="V71" i="1"/>
  <c r="Y71" i="1"/>
  <c r="AD71" i="1"/>
  <c r="T72" i="1"/>
  <c r="U72" i="1"/>
  <c r="V72" i="1"/>
  <c r="Y72" i="1"/>
  <c r="Z72" i="1" s="1"/>
  <c r="AD72" i="1"/>
  <c r="T73" i="1"/>
  <c r="Z73" i="1" s="1"/>
  <c r="AA73" i="1" s="1"/>
  <c r="AC73" i="1" s="1"/>
  <c r="U73" i="1"/>
  <c r="V73" i="1"/>
  <c r="W73" i="1" s="1"/>
  <c r="X73" i="1" s="1"/>
  <c r="AB73" i="1" s="1"/>
  <c r="Y73" i="1"/>
  <c r="AD73" i="1"/>
  <c r="T74" i="1"/>
  <c r="U74" i="1"/>
  <c r="V74" i="1"/>
  <c r="Y74" i="1"/>
  <c r="AD74" i="1"/>
  <c r="T75" i="1"/>
  <c r="U75" i="1"/>
  <c r="V75" i="1"/>
  <c r="Y75" i="1"/>
  <c r="AD75" i="1"/>
  <c r="T76" i="1"/>
  <c r="U76" i="1"/>
  <c r="V76" i="1"/>
  <c r="W76" i="1" s="1"/>
  <c r="X76" i="1" s="1"/>
  <c r="AB76" i="1" s="1"/>
  <c r="Y76" i="1"/>
  <c r="Z76" i="1" s="1"/>
  <c r="AA76" i="1" s="1"/>
  <c r="AC76" i="1" s="1"/>
  <c r="AD76" i="1"/>
  <c r="T77" i="1"/>
  <c r="U77" i="1"/>
  <c r="V77" i="1"/>
  <c r="Y77" i="1"/>
  <c r="Z77" i="1" s="1"/>
  <c r="AD77" i="1"/>
  <c r="T78" i="1"/>
  <c r="W78" i="1" s="1"/>
  <c r="X78" i="1" s="1"/>
  <c r="AB78" i="1" s="1"/>
  <c r="U78" i="1"/>
  <c r="V78" i="1"/>
  <c r="Y78" i="1"/>
  <c r="AD78" i="1"/>
  <c r="T79" i="1"/>
  <c r="W79" i="1" s="1"/>
  <c r="X79" i="1" s="1"/>
  <c r="AB79" i="1" s="1"/>
  <c r="U79" i="1"/>
  <c r="V79" i="1"/>
  <c r="Y79" i="1"/>
  <c r="AD79" i="1"/>
  <c r="T80" i="1"/>
  <c r="U80" i="1"/>
  <c r="V80" i="1"/>
  <c r="Y80" i="1"/>
  <c r="Z80" i="1" s="1"/>
  <c r="AD80" i="1"/>
  <c r="T81" i="1"/>
  <c r="U81" i="1"/>
  <c r="V81" i="1"/>
  <c r="Y81" i="1"/>
  <c r="AD81" i="1"/>
  <c r="T82" i="1"/>
  <c r="U82" i="1"/>
  <c r="V82" i="1"/>
  <c r="Y82" i="1"/>
  <c r="Z82" i="1" s="1"/>
  <c r="AA82" i="1" s="1"/>
  <c r="AC82" i="1" s="1"/>
  <c r="AD82" i="1"/>
  <c r="T83" i="1"/>
  <c r="U83" i="1"/>
  <c r="V83" i="1"/>
  <c r="W83" i="1" s="1"/>
  <c r="X83" i="1" s="1"/>
  <c r="AB83" i="1" s="1"/>
  <c r="Y83" i="1"/>
  <c r="Z83" i="1" s="1"/>
  <c r="AD83" i="1"/>
  <c r="T84" i="1"/>
  <c r="U84" i="1"/>
  <c r="V84" i="1"/>
  <c r="Y84" i="1"/>
  <c r="Z84" i="1" s="1"/>
  <c r="AA84" i="1" s="1"/>
  <c r="AC84" i="1" s="1"/>
  <c r="AD84" i="1"/>
  <c r="T85" i="1"/>
  <c r="U85" i="1"/>
  <c r="V85" i="1"/>
  <c r="W85" i="1" s="1"/>
  <c r="X85" i="1" s="1"/>
  <c r="AB85" i="1" s="1"/>
  <c r="Y85" i="1"/>
  <c r="Z85" i="1" s="1"/>
  <c r="AA85" i="1" s="1"/>
  <c r="AC85" i="1" s="1"/>
  <c r="AD85" i="1"/>
  <c r="T86" i="1"/>
  <c r="W86" i="1" s="1"/>
  <c r="X86" i="1" s="1"/>
  <c r="AB86" i="1" s="1"/>
  <c r="U86" i="1"/>
  <c r="V86" i="1"/>
  <c r="Y86" i="1"/>
  <c r="Z86" i="1" s="1"/>
  <c r="AA86" i="1" s="1"/>
  <c r="AC86" i="1" s="1"/>
  <c r="AD86" i="1"/>
  <c r="T87" i="1"/>
  <c r="U87" i="1"/>
  <c r="V87" i="1"/>
  <c r="W87" i="1" s="1"/>
  <c r="X87" i="1" s="1"/>
  <c r="AB87" i="1" s="1"/>
  <c r="Y87" i="1"/>
  <c r="AD87" i="1"/>
  <c r="T88" i="1"/>
  <c r="U88" i="1"/>
  <c r="V88" i="1"/>
  <c r="Y88" i="1"/>
  <c r="AD88" i="1"/>
  <c r="T89" i="1"/>
  <c r="U89" i="1"/>
  <c r="V89" i="1"/>
  <c r="Y89" i="1"/>
  <c r="Z89" i="1"/>
  <c r="AD89" i="1"/>
  <c r="T90" i="1"/>
  <c r="U90" i="1"/>
  <c r="V90" i="1"/>
  <c r="W90" i="1" s="1"/>
  <c r="X90" i="1" s="1"/>
  <c r="AB90" i="1" s="1"/>
  <c r="Y90" i="1"/>
  <c r="Z90" i="1" s="1"/>
  <c r="AA90" i="1" s="1"/>
  <c r="AC90" i="1" s="1"/>
  <c r="AD90" i="1"/>
  <c r="T91" i="1"/>
  <c r="U91" i="1"/>
  <c r="V91" i="1"/>
  <c r="Y91" i="1"/>
  <c r="Z91" i="1" s="1"/>
  <c r="AA91" i="1" s="1"/>
  <c r="AC91" i="1" s="1"/>
  <c r="AD91" i="1"/>
  <c r="T92" i="1"/>
  <c r="U92" i="1"/>
  <c r="V92" i="1"/>
  <c r="Y92" i="1"/>
  <c r="AD92" i="1"/>
  <c r="T93" i="1"/>
  <c r="U93" i="1"/>
  <c r="V93" i="1"/>
  <c r="W93" i="1" s="1"/>
  <c r="Y93" i="1"/>
  <c r="Z93" i="1"/>
  <c r="AA93" i="1"/>
  <c r="AC93" i="1" s="1"/>
  <c r="AD93" i="1"/>
  <c r="T94" i="1"/>
  <c r="U94" i="1"/>
  <c r="V94" i="1"/>
  <c r="W94" i="1"/>
  <c r="X94" i="1" s="1"/>
  <c r="AB94" i="1" s="1"/>
  <c r="Y94" i="1"/>
  <c r="Z94" i="1" s="1"/>
  <c r="AA94" i="1" s="1"/>
  <c r="AC94" i="1" s="1"/>
  <c r="AD94" i="1"/>
  <c r="T95" i="1"/>
  <c r="U95" i="1"/>
  <c r="V95" i="1"/>
  <c r="W95" i="1"/>
  <c r="X95" i="1" s="1"/>
  <c r="AB95" i="1" s="1"/>
  <c r="Y95" i="1"/>
  <c r="AD95" i="1"/>
  <c r="T96" i="1"/>
  <c r="U96" i="1"/>
  <c r="V96" i="1"/>
  <c r="Y96" i="1"/>
  <c r="AD96" i="1"/>
  <c r="T97" i="1"/>
  <c r="U97" i="1"/>
  <c r="V97" i="1"/>
  <c r="Y97" i="1"/>
  <c r="AD97" i="1"/>
  <c r="T98" i="1"/>
  <c r="U98" i="1"/>
  <c r="V98" i="1"/>
  <c r="Y98" i="1"/>
  <c r="AD98" i="1"/>
  <c r="T99" i="1"/>
  <c r="U99" i="1"/>
  <c r="V99" i="1"/>
  <c r="Y99" i="1"/>
  <c r="AD99" i="1"/>
  <c r="T100" i="1"/>
  <c r="U100" i="1"/>
  <c r="V100" i="1"/>
  <c r="W100" i="1" s="1"/>
  <c r="X100" i="1" s="1"/>
  <c r="AB100" i="1" s="1"/>
  <c r="Y100" i="1"/>
  <c r="Z100" i="1" s="1"/>
  <c r="AA100" i="1" s="1"/>
  <c r="AC100" i="1"/>
  <c r="AD100" i="1"/>
  <c r="T101" i="1"/>
  <c r="U101" i="1"/>
  <c r="V101" i="1"/>
  <c r="Y101" i="1"/>
  <c r="Z101" i="1" s="1"/>
  <c r="AA101" i="1" s="1"/>
  <c r="AC101" i="1" s="1"/>
  <c r="AD101" i="1"/>
  <c r="T102" i="1"/>
  <c r="U102" i="1"/>
  <c r="V102" i="1"/>
  <c r="W102" i="1"/>
  <c r="X102" i="1" s="1"/>
  <c r="AB102" i="1" s="1"/>
  <c r="Y102" i="1"/>
  <c r="Z102" i="1" s="1"/>
  <c r="AA102" i="1" s="1"/>
  <c r="AC102" i="1" s="1"/>
  <c r="AD102" i="1"/>
  <c r="T103" i="1"/>
  <c r="Z103" i="1" s="1"/>
  <c r="U103" i="1"/>
  <c r="V103" i="1"/>
  <c r="Y103" i="1"/>
  <c r="AD103" i="1"/>
  <c r="T104" i="1"/>
  <c r="W104" i="1" s="1"/>
  <c r="X104" i="1" s="1"/>
  <c r="AB104" i="1" s="1"/>
  <c r="U104" i="1"/>
  <c r="V104" i="1"/>
  <c r="Y104" i="1"/>
  <c r="Z104" i="1" s="1"/>
  <c r="AA104" i="1" s="1"/>
  <c r="AC104" i="1" s="1"/>
  <c r="AD104" i="1"/>
  <c r="T105" i="1"/>
  <c r="U105" i="1"/>
  <c r="V105" i="1"/>
  <c r="W105" i="1" s="1"/>
  <c r="X105" i="1" s="1"/>
  <c r="AB105" i="1" s="1"/>
  <c r="Y105" i="1"/>
  <c r="Z105" i="1"/>
  <c r="AA105" i="1" s="1"/>
  <c r="AC105" i="1" s="1"/>
  <c r="AD105" i="1"/>
  <c r="T106" i="1"/>
  <c r="U106" i="1"/>
  <c r="V106" i="1"/>
  <c r="Y106" i="1"/>
  <c r="AD106" i="1"/>
  <c r="T107" i="1"/>
  <c r="U107" i="1"/>
  <c r="V107" i="1"/>
  <c r="Y107" i="1"/>
  <c r="AD107" i="1"/>
  <c r="T108" i="1"/>
  <c r="U108" i="1"/>
  <c r="V108" i="1"/>
  <c r="W108" i="1" s="1"/>
  <c r="X108" i="1" s="1"/>
  <c r="AB108" i="1" s="1"/>
  <c r="Y108" i="1"/>
  <c r="AD108" i="1"/>
  <c r="T109" i="1"/>
  <c r="U109" i="1"/>
  <c r="V109" i="1"/>
  <c r="W109" i="1"/>
  <c r="Y109" i="1"/>
  <c r="AD109" i="1"/>
  <c r="T110" i="1"/>
  <c r="U110" i="1"/>
  <c r="V110" i="1"/>
  <c r="Y110" i="1"/>
  <c r="Z110" i="1" s="1"/>
  <c r="AA110" i="1" s="1"/>
  <c r="AC110" i="1" s="1"/>
  <c r="AD110" i="1"/>
  <c r="T111" i="1"/>
  <c r="U111" i="1"/>
  <c r="V111" i="1"/>
  <c r="Y111" i="1"/>
  <c r="AD111" i="1"/>
  <c r="T112" i="1"/>
  <c r="U112" i="1"/>
  <c r="V112" i="1"/>
  <c r="Y112" i="1"/>
  <c r="Z112" i="1" s="1"/>
  <c r="AA112" i="1" s="1"/>
  <c r="AC112" i="1" s="1"/>
  <c r="AD112" i="1"/>
  <c r="T113" i="1"/>
  <c r="U113" i="1"/>
  <c r="V113" i="1"/>
  <c r="Y113" i="1"/>
  <c r="AD113" i="1"/>
  <c r="T114" i="1"/>
  <c r="W114" i="1" s="1"/>
  <c r="U114" i="1"/>
  <c r="V114" i="1"/>
  <c r="Y114" i="1"/>
  <c r="AD114" i="1"/>
  <c r="T115" i="1"/>
  <c r="Z115" i="1" s="1"/>
  <c r="AA115" i="1" s="1"/>
  <c r="AC115" i="1" s="1"/>
  <c r="U115" i="1"/>
  <c r="V115" i="1"/>
  <c r="W115" i="1" s="1"/>
  <c r="X115" i="1" s="1"/>
  <c r="AB115" i="1" s="1"/>
  <c r="Y115" i="1"/>
  <c r="AD115" i="1"/>
  <c r="T116" i="1"/>
  <c r="U116" i="1"/>
  <c r="V116" i="1"/>
  <c r="W116" i="1"/>
  <c r="Y116" i="1"/>
  <c r="Z116" i="1" s="1"/>
  <c r="AA116" i="1" s="1"/>
  <c r="AC116" i="1" s="1"/>
  <c r="AD116" i="1"/>
  <c r="T117" i="1"/>
  <c r="U117" i="1"/>
  <c r="V117" i="1"/>
  <c r="W117" i="1" s="1"/>
  <c r="X117" i="1" s="1"/>
  <c r="AB117" i="1" s="1"/>
  <c r="Y117" i="1"/>
  <c r="AD117" i="1"/>
  <c r="T118" i="1"/>
  <c r="U118" i="1"/>
  <c r="V118" i="1"/>
  <c r="W118" i="1" s="1"/>
  <c r="X118" i="1" s="1"/>
  <c r="AB118" i="1" s="1"/>
  <c r="Y118" i="1"/>
  <c r="Z118" i="1"/>
  <c r="AA118" i="1" s="1"/>
  <c r="AC118" i="1" s="1"/>
  <c r="AD118" i="1"/>
  <c r="T119" i="1"/>
  <c r="Z119" i="1" s="1"/>
  <c r="U119" i="1"/>
  <c r="V119" i="1"/>
  <c r="Y119" i="1"/>
  <c r="AD119" i="1"/>
  <c r="T120" i="1"/>
  <c r="U120" i="1"/>
  <c r="V120" i="1"/>
  <c r="Y120" i="1"/>
  <c r="AD120" i="1"/>
  <c r="T121" i="1"/>
  <c r="U121" i="1"/>
  <c r="V121" i="1"/>
  <c r="W121" i="1"/>
  <c r="X121" i="1" s="1"/>
  <c r="AB121" i="1" s="1"/>
  <c r="Y121" i="1"/>
  <c r="Z121" i="1" s="1"/>
  <c r="AA121" i="1" s="1"/>
  <c r="AC121" i="1" s="1"/>
  <c r="AD121" i="1"/>
  <c r="T122" i="1"/>
  <c r="U122" i="1"/>
  <c r="V122" i="1"/>
  <c r="Y122" i="1"/>
  <c r="Z122" i="1" s="1"/>
  <c r="AA122" i="1" s="1"/>
  <c r="AC122" i="1" s="1"/>
  <c r="AD122" i="1"/>
  <c r="T123" i="1"/>
  <c r="U123" i="1"/>
  <c r="V123" i="1"/>
  <c r="Y123" i="1"/>
  <c r="AD123" i="1"/>
  <c r="T124" i="1"/>
  <c r="U124" i="1"/>
  <c r="V124" i="1"/>
  <c r="Y124" i="1"/>
  <c r="Z124" i="1" s="1"/>
  <c r="AD124" i="1"/>
  <c r="T125" i="1"/>
  <c r="U125" i="1"/>
  <c r="V125" i="1"/>
  <c r="W125" i="1"/>
  <c r="X125" i="1" s="1"/>
  <c r="AB125" i="1" s="1"/>
  <c r="Y125" i="1"/>
  <c r="Z125" i="1"/>
  <c r="AA125" i="1"/>
  <c r="AC125" i="1" s="1"/>
  <c r="AD125" i="1"/>
  <c r="T126" i="1"/>
  <c r="U126" i="1"/>
  <c r="V126" i="1"/>
  <c r="W126" i="1"/>
  <c r="X126" i="1" s="1"/>
  <c r="AB126" i="1" s="1"/>
  <c r="Y126" i="1"/>
  <c r="Z126" i="1" s="1"/>
  <c r="AA126" i="1" s="1"/>
  <c r="AC126" i="1" s="1"/>
  <c r="AD126" i="1"/>
  <c r="T127" i="1"/>
  <c r="U127" i="1"/>
  <c r="V127" i="1"/>
  <c r="Y127" i="1"/>
  <c r="Z127" i="1" s="1"/>
  <c r="AD127" i="1"/>
  <c r="T128" i="1"/>
  <c r="U128" i="1"/>
  <c r="V128" i="1"/>
  <c r="W128" i="1" s="1"/>
  <c r="X128" i="1" s="1"/>
  <c r="AB128" i="1" s="1"/>
  <c r="Y128" i="1"/>
  <c r="Z128" i="1" s="1"/>
  <c r="AA128" i="1" s="1"/>
  <c r="AC128" i="1" s="1"/>
  <c r="AD128" i="1"/>
  <c r="T129" i="1"/>
  <c r="U129" i="1"/>
  <c r="V129" i="1"/>
  <c r="W129" i="1"/>
  <c r="X129" i="1" s="1"/>
  <c r="AB129" i="1" s="1"/>
  <c r="Y129" i="1"/>
  <c r="AD129" i="1"/>
  <c r="T130" i="1"/>
  <c r="U130" i="1"/>
  <c r="V130" i="1"/>
  <c r="Y130" i="1"/>
  <c r="Z130" i="1" s="1"/>
  <c r="AD130" i="1"/>
  <c r="T131" i="1"/>
  <c r="U131" i="1"/>
  <c r="V131" i="1"/>
  <c r="W131" i="1" s="1"/>
  <c r="X131" i="1" s="1"/>
  <c r="AB131" i="1" s="1"/>
  <c r="Y131" i="1"/>
  <c r="Z131" i="1" s="1"/>
  <c r="AA131" i="1" s="1"/>
  <c r="AC131" i="1" s="1"/>
  <c r="AD131" i="1"/>
  <c r="T132" i="1"/>
  <c r="W132" i="1" s="1"/>
  <c r="U132" i="1"/>
  <c r="V132" i="1"/>
  <c r="Y132" i="1"/>
  <c r="AD132" i="1"/>
  <c r="T133" i="1"/>
  <c r="W133" i="1" s="1"/>
  <c r="X133" i="1" s="1"/>
  <c r="AB133" i="1" s="1"/>
  <c r="U133" i="1"/>
  <c r="V133" i="1"/>
  <c r="Y133" i="1"/>
  <c r="AD133" i="1"/>
  <c r="T134" i="1"/>
  <c r="U134" i="1"/>
  <c r="V134" i="1"/>
  <c r="W134" i="1" s="1"/>
  <c r="X134" i="1"/>
  <c r="AB134" i="1" s="1"/>
  <c r="Y134" i="1"/>
  <c r="Z134" i="1" s="1"/>
  <c r="AA134" i="1" s="1"/>
  <c r="AC134" i="1" s="1"/>
  <c r="AD134" i="1"/>
  <c r="T135" i="1"/>
  <c r="Z135" i="1" s="1"/>
  <c r="AA135" i="1" s="1"/>
  <c r="U135" i="1"/>
  <c r="V135" i="1"/>
  <c r="Y135" i="1"/>
  <c r="AC135" i="1"/>
  <c r="AD135" i="1"/>
  <c r="T136" i="1"/>
  <c r="W136" i="1" s="1"/>
  <c r="X136" i="1" s="1"/>
  <c r="AB136" i="1" s="1"/>
  <c r="U136" i="1"/>
  <c r="V136" i="1"/>
  <c r="Y136" i="1"/>
  <c r="AD136" i="1"/>
  <c r="T137" i="1"/>
  <c r="W137" i="1" s="1"/>
  <c r="U137" i="1"/>
  <c r="V137" i="1"/>
  <c r="Y137" i="1"/>
  <c r="AD137" i="1"/>
  <c r="T138" i="1"/>
  <c r="U138" i="1"/>
  <c r="V138" i="1"/>
  <c r="Y138" i="1"/>
  <c r="Z138" i="1" s="1"/>
  <c r="AA138" i="1" s="1"/>
  <c r="AC138" i="1" s="1"/>
  <c r="AD138" i="1"/>
  <c r="T139" i="1"/>
  <c r="U139" i="1"/>
  <c r="V139" i="1"/>
  <c r="W139" i="1" s="1"/>
  <c r="X139" i="1" s="1"/>
  <c r="AB139" i="1" s="1"/>
  <c r="Y139" i="1"/>
  <c r="Z139" i="1" s="1"/>
  <c r="AA139" i="1" s="1"/>
  <c r="AC139" i="1" s="1"/>
  <c r="AD139" i="1"/>
  <c r="T140" i="1"/>
  <c r="Z140" i="1" s="1"/>
  <c r="AA140" i="1" s="1"/>
  <c r="AC140" i="1" s="1"/>
  <c r="U140" i="1"/>
  <c r="V140" i="1"/>
  <c r="Y140" i="1"/>
  <c r="AD140" i="1"/>
  <c r="T141" i="1"/>
  <c r="W141" i="1" s="1"/>
  <c r="U141" i="1"/>
  <c r="V141" i="1"/>
  <c r="X141" i="1"/>
  <c r="AB141" i="1" s="1"/>
  <c r="Y141" i="1"/>
  <c r="AD141" i="1"/>
  <c r="T142" i="1"/>
  <c r="U142" i="1"/>
  <c r="V142" i="1"/>
  <c r="W142" i="1" s="1"/>
  <c r="X142" i="1" s="1"/>
  <c r="AB142" i="1" s="1"/>
  <c r="Y142" i="1"/>
  <c r="Z142" i="1" s="1"/>
  <c r="AD142" i="1"/>
  <c r="T143" i="1"/>
  <c r="Z143" i="1" s="1"/>
  <c r="AA143" i="1" s="1"/>
  <c r="AC143" i="1" s="1"/>
  <c r="U143" i="1"/>
  <c r="V143" i="1"/>
  <c r="Y143" i="1"/>
  <c r="AD143" i="1"/>
  <c r="T144" i="1"/>
  <c r="U144" i="1"/>
  <c r="V144" i="1"/>
  <c r="W144" i="1" s="1"/>
  <c r="X144" i="1" s="1"/>
  <c r="AB144" i="1" s="1"/>
  <c r="Y144" i="1"/>
  <c r="Z144" i="1" s="1"/>
  <c r="AA144" i="1" s="1"/>
  <c r="AC144" i="1" s="1"/>
  <c r="AD144" i="1"/>
  <c r="T145" i="1"/>
  <c r="W145" i="1" s="1"/>
  <c r="X145" i="1" s="1"/>
  <c r="AB145" i="1" s="1"/>
  <c r="U145" i="1"/>
  <c r="V145" i="1"/>
  <c r="Y145" i="1"/>
  <c r="AD145" i="1"/>
  <c r="T146" i="1"/>
  <c r="U146" i="1"/>
  <c r="V146" i="1"/>
  <c r="Y146" i="1"/>
  <c r="Z146" i="1" s="1"/>
  <c r="AD146" i="1"/>
  <c r="T147" i="1"/>
  <c r="U147" i="1"/>
  <c r="V147" i="1"/>
  <c r="Y147" i="1"/>
  <c r="Z147" i="1"/>
  <c r="AA147" i="1" s="1"/>
  <c r="AC147" i="1" s="1"/>
  <c r="AD147" i="1"/>
  <c r="T148" i="1"/>
  <c r="U148" i="1"/>
  <c r="V148" i="1"/>
  <c r="Y148" i="1"/>
  <c r="Z148" i="1" s="1"/>
  <c r="AA148" i="1" s="1"/>
  <c r="AC148" i="1" s="1"/>
  <c r="AD148" i="1"/>
  <c r="T149" i="1"/>
  <c r="U149" i="1"/>
  <c r="V149" i="1"/>
  <c r="Y149" i="1"/>
  <c r="AD149" i="1"/>
  <c r="T150" i="1"/>
  <c r="U150" i="1"/>
  <c r="V150" i="1"/>
  <c r="W150" i="1" s="1"/>
  <c r="X150" i="1" s="1"/>
  <c r="AB150" i="1" s="1"/>
  <c r="Y150" i="1"/>
  <c r="Z150" i="1" s="1"/>
  <c r="AA150" i="1" s="1"/>
  <c r="AC150" i="1"/>
  <c r="AD150" i="1"/>
  <c r="T151" i="1"/>
  <c r="U151" i="1"/>
  <c r="V151" i="1"/>
  <c r="W151" i="1" s="1"/>
  <c r="Y151" i="1"/>
  <c r="Z151" i="1" s="1"/>
  <c r="AA151" i="1" s="1"/>
  <c r="AC151" i="1" s="1"/>
  <c r="AD151" i="1"/>
  <c r="T152" i="1"/>
  <c r="W152" i="1" s="1"/>
  <c r="U152" i="1"/>
  <c r="V152" i="1"/>
  <c r="Y152" i="1"/>
  <c r="AD152" i="1"/>
  <c r="T153" i="1"/>
  <c r="Z153" i="1" s="1"/>
  <c r="U153" i="1"/>
  <c r="V153" i="1"/>
  <c r="W153" i="1" s="1"/>
  <c r="X153" i="1" s="1"/>
  <c r="AB153" i="1" s="1"/>
  <c r="Y153" i="1"/>
  <c r="AD153" i="1"/>
  <c r="T154" i="1"/>
  <c r="W154" i="1" s="1"/>
  <c r="X154" i="1" s="1"/>
  <c r="AB154" i="1" s="1"/>
  <c r="U154" i="1"/>
  <c r="V154" i="1"/>
  <c r="Y154" i="1"/>
  <c r="AD154" i="1"/>
  <c r="T155" i="1"/>
  <c r="U155" i="1"/>
  <c r="V155" i="1"/>
  <c r="W155" i="1" s="1"/>
  <c r="X155" i="1" s="1"/>
  <c r="AB155" i="1" s="1"/>
  <c r="Y155" i="1"/>
  <c r="Z155" i="1" s="1"/>
  <c r="AD155" i="1"/>
  <c r="T156" i="1"/>
  <c r="U156" i="1"/>
  <c r="V156" i="1"/>
  <c r="Y156" i="1"/>
  <c r="AD156" i="1"/>
  <c r="T157" i="1"/>
  <c r="W157" i="1" s="1"/>
  <c r="X157" i="1" s="1"/>
  <c r="AB157" i="1" s="1"/>
  <c r="U157" i="1"/>
  <c r="V157" i="1"/>
  <c r="Y157" i="1"/>
  <c r="AD157" i="1"/>
  <c r="T158" i="1"/>
  <c r="U158" i="1"/>
  <c r="V158" i="1"/>
  <c r="Y158" i="1"/>
  <c r="Z158" i="1" s="1"/>
  <c r="AD158" i="1"/>
  <c r="T159" i="1"/>
  <c r="Z159" i="1" s="1"/>
  <c r="U159" i="1"/>
  <c r="V159" i="1"/>
  <c r="Y159" i="1"/>
  <c r="AA159" i="1"/>
  <c r="AC159" i="1" s="1"/>
  <c r="AD159" i="1"/>
  <c r="T160" i="1"/>
  <c r="U160" i="1"/>
  <c r="V160" i="1"/>
  <c r="Y160" i="1"/>
  <c r="AD160" i="1"/>
  <c r="T161" i="1"/>
  <c r="U161" i="1"/>
  <c r="V161" i="1"/>
  <c r="Y161" i="1"/>
  <c r="Z161" i="1" s="1"/>
  <c r="AD161" i="1"/>
  <c r="T162" i="1"/>
  <c r="U162" i="1"/>
  <c r="V162" i="1"/>
  <c r="Y162" i="1"/>
  <c r="Z162" i="1"/>
  <c r="AA162" i="1" s="1"/>
  <c r="AC162" i="1" s="1"/>
  <c r="AD162" i="1"/>
  <c r="T163" i="1"/>
  <c r="U163" i="1"/>
  <c r="V163" i="1"/>
  <c r="Y163" i="1"/>
  <c r="AD163" i="1"/>
  <c r="T164" i="1"/>
  <c r="Z164" i="1" s="1"/>
  <c r="U164" i="1"/>
  <c r="V164" i="1"/>
  <c r="Y164" i="1"/>
  <c r="AD164" i="1"/>
  <c r="T165" i="1"/>
  <c r="U165" i="1"/>
  <c r="V165" i="1"/>
  <c r="W165" i="1"/>
  <c r="X165" i="1" s="1"/>
  <c r="AB165" i="1" s="1"/>
  <c r="Y165" i="1"/>
  <c r="Z165" i="1" s="1"/>
  <c r="AA165" i="1" s="1"/>
  <c r="AC165" i="1" s="1"/>
  <c r="AD165" i="1"/>
  <c r="T166" i="1"/>
  <c r="U166" i="1"/>
  <c r="V166" i="1"/>
  <c r="W166" i="1" s="1"/>
  <c r="X166" i="1" s="1"/>
  <c r="AB166" i="1" s="1"/>
  <c r="Y166" i="1"/>
  <c r="AD166" i="1"/>
  <c r="T167" i="1"/>
  <c r="W167" i="1" s="1"/>
  <c r="U167" i="1"/>
  <c r="V167" i="1"/>
  <c r="Y167" i="1"/>
  <c r="Z167" i="1" s="1"/>
  <c r="AA167" i="1" s="1"/>
  <c r="AC167" i="1" s="1"/>
  <c r="AD167" i="1"/>
  <c r="T168" i="1"/>
  <c r="U168" i="1"/>
  <c r="V168" i="1"/>
  <c r="W168" i="1" s="1"/>
  <c r="X168" i="1" s="1"/>
  <c r="AB168" i="1" s="1"/>
  <c r="Y168" i="1"/>
  <c r="AD168" i="1"/>
  <c r="T169" i="1"/>
  <c r="U169" i="1"/>
  <c r="V169" i="1"/>
  <c r="W169" i="1" s="1"/>
  <c r="X169" i="1" s="1"/>
  <c r="AB169" i="1" s="1"/>
  <c r="Y169" i="1"/>
  <c r="Z169" i="1" s="1"/>
  <c r="AD169" i="1"/>
  <c r="T170" i="1"/>
  <c r="Z170" i="1" s="1"/>
  <c r="U170" i="1"/>
  <c r="V170" i="1"/>
  <c r="Y170" i="1"/>
  <c r="AA170" i="1"/>
  <c r="AC170" i="1" s="1"/>
  <c r="AD170" i="1"/>
  <c r="T171" i="1"/>
  <c r="W171" i="1" s="1"/>
  <c r="X171" i="1" s="1"/>
  <c r="AB171" i="1" s="1"/>
  <c r="U171" i="1"/>
  <c r="V171" i="1"/>
  <c r="Y171" i="1"/>
  <c r="AD171" i="1"/>
  <c r="T172" i="1"/>
  <c r="Z172" i="1" s="1"/>
  <c r="U172" i="1"/>
  <c r="V172" i="1"/>
  <c r="W172" i="1" s="1"/>
  <c r="Y172" i="1"/>
  <c r="AD172" i="1"/>
  <c r="T173" i="1"/>
  <c r="U173" i="1"/>
  <c r="V173" i="1"/>
  <c r="W173" i="1" s="1"/>
  <c r="X173" i="1" s="1"/>
  <c r="AB173" i="1" s="1"/>
  <c r="Y173" i="1"/>
  <c r="Z173" i="1"/>
  <c r="AA173" i="1" s="1"/>
  <c r="AC173" i="1" s="1"/>
  <c r="AD173" i="1"/>
  <c r="T174" i="1"/>
  <c r="U174" i="1"/>
  <c r="V174" i="1"/>
  <c r="W174" i="1"/>
  <c r="X174" i="1" s="1"/>
  <c r="AB174" i="1" s="1"/>
  <c r="Y174" i="1"/>
  <c r="AD174" i="1"/>
  <c r="T175" i="1"/>
  <c r="W175" i="1" s="1"/>
  <c r="X175" i="1" s="1"/>
  <c r="AB175" i="1" s="1"/>
  <c r="U175" i="1"/>
  <c r="V175" i="1"/>
  <c r="Y175" i="1"/>
  <c r="AD175" i="1"/>
  <c r="T176" i="1"/>
  <c r="U176" i="1"/>
  <c r="V176" i="1"/>
  <c r="W176" i="1" s="1"/>
  <c r="X176" i="1" s="1"/>
  <c r="AB176" i="1" s="1"/>
  <c r="Y176" i="1"/>
  <c r="Z176" i="1" s="1"/>
  <c r="AA176" i="1" s="1"/>
  <c r="AC176" i="1" s="1"/>
  <c r="AD176" i="1"/>
  <c r="T177" i="1"/>
  <c r="U177" i="1"/>
  <c r="V177" i="1"/>
  <c r="W177" i="1" s="1"/>
  <c r="X177" i="1" s="1"/>
  <c r="AB177" i="1" s="1"/>
  <c r="Y177" i="1"/>
  <c r="Z177" i="1" s="1"/>
  <c r="AA177" i="1" s="1"/>
  <c r="AC177" i="1" s="1"/>
  <c r="AD177" i="1"/>
  <c r="T178" i="1"/>
  <c r="U178" i="1"/>
  <c r="V178" i="1"/>
  <c r="Y178" i="1"/>
  <c r="AD178" i="1"/>
  <c r="T179" i="1"/>
  <c r="U179" i="1"/>
  <c r="V179" i="1"/>
  <c r="W179" i="1" s="1"/>
  <c r="X179" i="1" s="1"/>
  <c r="AB179" i="1" s="1"/>
  <c r="Y179" i="1"/>
  <c r="AD179" i="1"/>
  <c r="T180" i="1"/>
  <c r="Z180" i="1" s="1"/>
  <c r="AA180" i="1" s="1"/>
  <c r="AC180" i="1" s="1"/>
  <c r="U180" i="1"/>
  <c r="V180" i="1"/>
  <c r="Y180" i="1"/>
  <c r="AD180" i="1"/>
  <c r="T181" i="1"/>
  <c r="U181" i="1"/>
  <c r="V181" i="1"/>
  <c r="W181" i="1"/>
  <c r="X181" i="1" s="1"/>
  <c r="AB181" i="1" s="1"/>
  <c r="Y181" i="1"/>
  <c r="Z181" i="1"/>
  <c r="AA181" i="1" s="1"/>
  <c r="AC181" i="1" s="1"/>
  <c r="AD181" i="1"/>
  <c r="T182" i="1"/>
  <c r="U182" i="1"/>
  <c r="V182" i="1"/>
  <c r="W182" i="1"/>
  <c r="X182" i="1" s="1"/>
  <c r="AB182" i="1" s="1"/>
  <c r="Y182" i="1"/>
  <c r="AD182" i="1"/>
  <c r="T183" i="1"/>
  <c r="W183" i="1" s="1"/>
  <c r="U183" i="1"/>
  <c r="V183" i="1"/>
  <c r="Y183" i="1"/>
  <c r="AD183" i="1"/>
  <c r="T184" i="1"/>
  <c r="U184" i="1"/>
  <c r="V184" i="1"/>
  <c r="Y184" i="1"/>
  <c r="Z184" i="1" s="1"/>
  <c r="AD184" i="1"/>
  <c r="T185" i="1"/>
  <c r="U185" i="1"/>
  <c r="V185" i="1"/>
  <c r="Y185" i="1"/>
  <c r="Z185" i="1" s="1"/>
  <c r="AA185" i="1" s="1"/>
  <c r="AC185" i="1" s="1"/>
  <c r="AD185" i="1"/>
  <c r="T186" i="1"/>
  <c r="Z186" i="1" s="1"/>
  <c r="U186" i="1"/>
  <c r="V186" i="1"/>
  <c r="W186" i="1" s="1"/>
  <c r="X186" i="1" s="1"/>
  <c r="AB186" i="1" s="1"/>
  <c r="Y186" i="1"/>
  <c r="AD186" i="1"/>
  <c r="T187" i="1"/>
  <c r="U187" i="1"/>
  <c r="V187" i="1"/>
  <c r="W187" i="1" s="1"/>
  <c r="X187" i="1" s="1"/>
  <c r="AB187" i="1" s="1"/>
  <c r="Y187" i="1"/>
  <c r="AD187" i="1"/>
  <c r="T188" i="1"/>
  <c r="U188" i="1"/>
  <c r="V188" i="1"/>
  <c r="Y188" i="1"/>
  <c r="AD188" i="1"/>
  <c r="T189" i="1"/>
  <c r="U189" i="1"/>
  <c r="V189" i="1"/>
  <c r="W189" i="1"/>
  <c r="X189" i="1" s="1"/>
  <c r="AB189" i="1" s="1"/>
  <c r="Y189" i="1"/>
  <c r="Z189" i="1" s="1"/>
  <c r="AA189" i="1" s="1"/>
  <c r="AC189" i="1" s="1"/>
  <c r="AD189" i="1"/>
  <c r="T190" i="1"/>
  <c r="Z190" i="1" s="1"/>
  <c r="AA190" i="1" s="1"/>
  <c r="AC190" i="1" s="1"/>
  <c r="U190" i="1"/>
  <c r="V190" i="1"/>
  <c r="Y190" i="1"/>
  <c r="AD190" i="1"/>
  <c r="T191" i="1"/>
  <c r="U191" i="1"/>
  <c r="V191" i="1"/>
  <c r="Y191" i="1"/>
  <c r="AD191" i="1"/>
  <c r="T192" i="1"/>
  <c r="U192" i="1"/>
  <c r="V192" i="1"/>
  <c r="W192" i="1" s="1"/>
  <c r="X192" i="1" s="1"/>
  <c r="AB192" i="1" s="1"/>
  <c r="Y192" i="1"/>
  <c r="Z192" i="1" s="1"/>
  <c r="AD192" i="1"/>
  <c r="T193" i="1"/>
  <c r="U193" i="1"/>
  <c r="V193" i="1"/>
  <c r="Y193" i="1"/>
  <c r="AD193" i="1"/>
  <c r="T194" i="1"/>
  <c r="U194" i="1"/>
  <c r="V194" i="1"/>
  <c r="W194" i="1" s="1"/>
  <c r="X194" i="1" s="1"/>
  <c r="AB194" i="1" s="1"/>
  <c r="Y194" i="1"/>
  <c r="Z194" i="1" s="1"/>
  <c r="AA194" i="1" s="1"/>
  <c r="AC194" i="1" s="1"/>
  <c r="AD194" i="1"/>
  <c r="T195" i="1"/>
  <c r="U195" i="1"/>
  <c r="V195" i="1"/>
  <c r="W195" i="1"/>
  <c r="X195" i="1"/>
  <c r="AB195" i="1" s="1"/>
  <c r="Y195" i="1"/>
  <c r="AD195" i="1"/>
  <c r="T196" i="1"/>
  <c r="U196" i="1"/>
  <c r="V196" i="1"/>
  <c r="W196" i="1" s="1"/>
  <c r="X196" i="1" s="1"/>
  <c r="AB196" i="1" s="1"/>
  <c r="Y196" i="1"/>
  <c r="AD196" i="1"/>
  <c r="T197" i="1"/>
  <c r="Z197" i="1" s="1"/>
  <c r="AA197" i="1" s="1"/>
  <c r="AC197" i="1" s="1"/>
  <c r="U197" i="1"/>
  <c r="V197" i="1"/>
  <c r="W197" i="1" s="1"/>
  <c r="X197" i="1" s="1"/>
  <c r="AB197" i="1" s="1"/>
  <c r="Y197" i="1"/>
  <c r="AD197" i="1"/>
  <c r="T198" i="1"/>
  <c r="U198" i="1"/>
  <c r="V198" i="1"/>
  <c r="Y198" i="1"/>
  <c r="AD198" i="1"/>
  <c r="T199" i="1"/>
  <c r="W199" i="1" s="1"/>
  <c r="X199" i="1" s="1"/>
  <c r="AB199" i="1" s="1"/>
  <c r="U199" i="1"/>
  <c r="V199" i="1"/>
  <c r="Y199" i="1"/>
  <c r="AD199" i="1"/>
  <c r="T200" i="1"/>
  <c r="U200" i="1"/>
  <c r="V200" i="1"/>
  <c r="W200" i="1" s="1"/>
  <c r="X200" i="1" s="1"/>
  <c r="AB200" i="1" s="1"/>
  <c r="Y200" i="1"/>
  <c r="Z200" i="1" s="1"/>
  <c r="AA200" i="1" s="1"/>
  <c r="AC200" i="1" s="1"/>
  <c r="AD200" i="1"/>
  <c r="T201" i="1"/>
  <c r="U201" i="1"/>
  <c r="V201" i="1"/>
  <c r="Y201" i="1"/>
  <c r="AD201" i="1"/>
  <c r="T202" i="1"/>
  <c r="U202" i="1"/>
  <c r="V202" i="1"/>
  <c r="Y202" i="1"/>
  <c r="Z202" i="1"/>
  <c r="AD202" i="1"/>
  <c r="T203" i="1"/>
  <c r="U203" i="1"/>
  <c r="V203" i="1"/>
  <c r="W203" i="1" s="1"/>
  <c r="X203" i="1"/>
  <c r="AB203" i="1" s="1"/>
  <c r="Y203" i="1"/>
  <c r="Z203" i="1" s="1"/>
  <c r="AA203" i="1" s="1"/>
  <c r="AC203" i="1" s="1"/>
  <c r="AD203" i="1"/>
  <c r="T204" i="1"/>
  <c r="U204" i="1"/>
  <c r="V204" i="1"/>
  <c r="W204" i="1" s="1"/>
  <c r="X204" i="1" s="1"/>
  <c r="AB204" i="1" s="1"/>
  <c r="Y204" i="1"/>
  <c r="AD204" i="1"/>
  <c r="T205" i="1"/>
  <c r="U205" i="1"/>
  <c r="V205" i="1"/>
  <c r="Y205" i="1"/>
  <c r="AD205" i="1"/>
  <c r="T206" i="1"/>
  <c r="Z206" i="1" s="1"/>
  <c r="U206" i="1"/>
  <c r="V206" i="1"/>
  <c r="W206" i="1" s="1"/>
  <c r="X206" i="1" s="1"/>
  <c r="AB206" i="1" s="1"/>
  <c r="Y206" i="1"/>
  <c r="AD206" i="1"/>
  <c r="T207" i="1"/>
  <c r="W207" i="1" s="1"/>
  <c r="U207" i="1"/>
  <c r="V207" i="1"/>
  <c r="Y207" i="1"/>
  <c r="Z207" i="1" s="1"/>
  <c r="AA207" i="1" s="1"/>
  <c r="AC207" i="1" s="1"/>
  <c r="AD207" i="1"/>
  <c r="T208" i="1"/>
  <c r="U208" i="1"/>
  <c r="V208" i="1"/>
  <c r="Y208" i="1"/>
  <c r="Z208" i="1" s="1"/>
  <c r="AA208" i="1" s="1"/>
  <c r="AC208" i="1" s="1"/>
  <c r="AD208" i="1"/>
  <c r="T209" i="1"/>
  <c r="U209" i="1"/>
  <c r="V209" i="1"/>
  <c r="W209" i="1" s="1"/>
  <c r="X209" i="1" s="1"/>
  <c r="AB209" i="1" s="1"/>
  <c r="Y209" i="1"/>
  <c r="AD209" i="1"/>
  <c r="T210" i="1"/>
  <c r="U210" i="1"/>
  <c r="V210" i="1"/>
  <c r="W210" i="1" s="1"/>
  <c r="X210" i="1" s="1"/>
  <c r="AB210" i="1" s="1"/>
  <c r="Y210" i="1"/>
  <c r="AD210" i="1"/>
  <c r="AD3" i="1"/>
  <c r="AD4" i="1"/>
  <c r="AD5" i="1"/>
  <c r="AD6" i="1"/>
  <c r="AD7" i="1"/>
  <c r="AD8" i="1"/>
  <c r="AD9" i="1"/>
  <c r="AD10" i="1"/>
  <c r="AD11" i="1"/>
  <c r="AD12" i="1"/>
  <c r="AD13" i="1"/>
  <c r="AD2" i="1"/>
  <c r="AC4" i="1"/>
  <c r="AB9" i="1"/>
  <c r="AC11" i="1"/>
  <c r="AC12" i="1"/>
  <c r="T10" i="1"/>
  <c r="U10" i="1"/>
  <c r="V10" i="1"/>
  <c r="W10" i="1"/>
  <c r="Y10" i="1"/>
  <c r="Z10" i="1" s="1"/>
  <c r="AA10" i="1" s="1"/>
  <c r="AC10" i="1" s="1"/>
  <c r="T11" i="1"/>
  <c r="U11" i="1"/>
  <c r="V11" i="1"/>
  <c r="W11" i="1" s="1"/>
  <c r="X11" i="1"/>
  <c r="AB11" i="1" s="1"/>
  <c r="Y11" i="1"/>
  <c r="Z11" i="1" s="1"/>
  <c r="AA11" i="1" s="1"/>
  <c r="T12" i="1"/>
  <c r="U12" i="1"/>
  <c r="V12" i="1"/>
  <c r="W12" i="1"/>
  <c r="X12" i="1"/>
  <c r="AB12" i="1" s="1"/>
  <c r="Y12" i="1"/>
  <c r="Z12" i="1"/>
  <c r="AA12" i="1"/>
  <c r="T13" i="1"/>
  <c r="U13" i="1"/>
  <c r="V13" i="1"/>
  <c r="W13" i="1"/>
  <c r="X13" i="1"/>
  <c r="AB13" i="1" s="1"/>
  <c r="Y13" i="1"/>
  <c r="Z13" i="1"/>
  <c r="AA13" i="1"/>
  <c r="AC13" i="1" s="1"/>
  <c r="Y3" i="1"/>
  <c r="Y4" i="1"/>
  <c r="Z4" i="1"/>
  <c r="AA4" i="1"/>
  <c r="Y5" i="1"/>
  <c r="Z5" i="1" s="1"/>
  <c r="AA5" i="1" s="1"/>
  <c r="AC5" i="1" s="1"/>
  <c r="Y6" i="1"/>
  <c r="Z6" i="1" s="1"/>
  <c r="AA6" i="1" s="1"/>
  <c r="AC6" i="1" s="1"/>
  <c r="Y7" i="1"/>
  <c r="Z7" i="1" s="1"/>
  <c r="Y8" i="1"/>
  <c r="Y9" i="1"/>
  <c r="Z9" i="1"/>
  <c r="AA9" i="1" s="1"/>
  <c r="AC9" i="1" s="1"/>
  <c r="V2" i="1"/>
  <c r="W2" i="1" s="1"/>
  <c r="X2" i="1" s="1"/>
  <c r="AB2" i="1" s="1"/>
  <c r="AA2" i="1"/>
  <c r="AC2" i="1" s="1"/>
  <c r="Y2" i="1"/>
  <c r="Z2" i="1" s="1"/>
  <c r="T3" i="1"/>
  <c r="U3" i="1"/>
  <c r="V3" i="1"/>
  <c r="W3" i="1"/>
  <c r="X3" i="1"/>
  <c r="AB3" i="1" s="1"/>
  <c r="T4" i="1"/>
  <c r="U4" i="1"/>
  <c r="V4" i="1"/>
  <c r="W4" i="1" s="1"/>
  <c r="X4" i="1" s="1"/>
  <c r="AB4" i="1" s="1"/>
  <c r="T5" i="1"/>
  <c r="U5" i="1"/>
  <c r="V5" i="1"/>
  <c r="W5" i="1"/>
  <c r="X5" i="1"/>
  <c r="AB5" i="1" s="1"/>
  <c r="T6" i="1"/>
  <c r="U6" i="1"/>
  <c r="V6" i="1"/>
  <c r="T7" i="1"/>
  <c r="U7" i="1"/>
  <c r="V7" i="1"/>
  <c r="W7" i="1"/>
  <c r="X7" i="1" s="1"/>
  <c r="AB7" i="1" s="1"/>
  <c r="T8" i="1"/>
  <c r="W8" i="1" s="1"/>
  <c r="X8" i="1" s="1"/>
  <c r="AB8" i="1" s="1"/>
  <c r="U8" i="1"/>
  <c r="V8" i="1"/>
  <c r="T9" i="1"/>
  <c r="U9" i="1"/>
  <c r="V9" i="1"/>
  <c r="W9" i="1" s="1"/>
  <c r="X9" i="1" s="1"/>
  <c r="U2" i="1"/>
  <c r="T2" i="1"/>
  <c r="X172" i="1" l="1"/>
  <c r="AB172" i="1" s="1"/>
  <c r="X137" i="1"/>
  <c r="AB137" i="1" s="1"/>
  <c r="X114" i="1"/>
  <c r="AB114" i="1" s="1"/>
  <c r="X46" i="1"/>
  <c r="AB46" i="1" s="1"/>
  <c r="X152" i="1"/>
  <c r="AB152" i="1" s="1"/>
  <c r="Z54" i="1"/>
  <c r="AA54" i="1" s="1"/>
  <c r="AC54" i="1" s="1"/>
  <c r="AF13" i="1"/>
  <c r="X10" i="1"/>
  <c r="AB10" i="1" s="1"/>
  <c r="AA89" i="1"/>
  <c r="AC89" i="1" s="1"/>
  <c r="Z78" i="1"/>
  <c r="AA78" i="1" s="1"/>
  <c r="AC78" i="1" s="1"/>
  <c r="AA77" i="1"/>
  <c r="AC77" i="1" s="1"/>
  <c r="AA7" i="1"/>
  <c r="AC7" i="1" s="1"/>
  <c r="AA202" i="1"/>
  <c r="AC202" i="1" s="1"/>
  <c r="Z199" i="1"/>
  <c r="AA199" i="1" s="1"/>
  <c r="AC199" i="1" s="1"/>
  <c r="Z198" i="1"/>
  <c r="AA198" i="1" s="1"/>
  <c r="AC198" i="1" s="1"/>
  <c r="W198" i="1"/>
  <c r="X198" i="1" s="1"/>
  <c r="AB198" i="1" s="1"/>
  <c r="AA184" i="1"/>
  <c r="AC184" i="1" s="1"/>
  <c r="X183" i="1"/>
  <c r="AB183" i="1" s="1"/>
  <c r="W180" i="1"/>
  <c r="X180" i="1" s="1"/>
  <c r="AB180" i="1" s="1"/>
  <c r="Z163" i="1"/>
  <c r="AA163" i="1" s="1"/>
  <c r="AC163" i="1" s="1"/>
  <c r="Z154" i="1"/>
  <c r="AA154" i="1" s="1"/>
  <c r="AC154" i="1" s="1"/>
  <c r="Z133" i="1"/>
  <c r="AA133" i="1" s="1"/>
  <c r="AC133" i="1" s="1"/>
  <c r="X132" i="1"/>
  <c r="AB132" i="1" s="1"/>
  <c r="Z205" i="1"/>
  <c r="AA205" i="1" s="1"/>
  <c r="AC205" i="1" s="1"/>
  <c r="W205" i="1"/>
  <c r="X205" i="1" s="1"/>
  <c r="AB205" i="1" s="1"/>
  <c r="W190" i="1"/>
  <c r="X190" i="1" s="1"/>
  <c r="AB190" i="1" s="1"/>
  <c r="AA186" i="1"/>
  <c r="AC186" i="1" s="1"/>
  <c r="Z178" i="1"/>
  <c r="AA178" i="1" s="1"/>
  <c r="AC178" i="1" s="1"/>
  <c r="W163" i="1"/>
  <c r="X163" i="1" s="1"/>
  <c r="AB163" i="1" s="1"/>
  <c r="AA46" i="1"/>
  <c r="AC46" i="1" s="1"/>
  <c r="AA164" i="1"/>
  <c r="AC164" i="1" s="1"/>
  <c r="AA161" i="1"/>
  <c r="AC161" i="1" s="1"/>
  <c r="W138" i="1"/>
  <c r="AA130" i="1"/>
  <c r="AC130" i="1" s="1"/>
  <c r="AA124" i="1"/>
  <c r="AC124" i="1" s="1"/>
  <c r="AA119" i="1"/>
  <c r="AC119" i="1" s="1"/>
  <c r="X116" i="1"/>
  <c r="AB116" i="1" s="1"/>
  <c r="W112" i="1"/>
  <c r="X112" i="1" s="1"/>
  <c r="AB112" i="1" s="1"/>
  <c r="X109" i="1"/>
  <c r="AB109" i="1" s="1"/>
  <c r="Z97" i="1"/>
  <c r="AA97" i="1" s="1"/>
  <c r="AC97" i="1" s="1"/>
  <c r="W92" i="1"/>
  <c r="X92" i="1" s="1"/>
  <c r="AB92" i="1" s="1"/>
  <c r="AA83" i="1"/>
  <c r="AC83" i="1" s="1"/>
  <c r="W82" i="1"/>
  <c r="X82" i="1" s="1"/>
  <c r="AB82" i="1" s="1"/>
  <c r="Z51" i="1"/>
  <c r="AA51" i="1" s="1"/>
  <c r="AC51" i="1" s="1"/>
  <c r="AA45" i="1"/>
  <c r="AC45" i="1" s="1"/>
  <c r="AA37" i="1"/>
  <c r="AC37" i="1" s="1"/>
  <c r="W29" i="1"/>
  <c r="Z26" i="1"/>
  <c r="AA26" i="1" s="1"/>
  <c r="AC26" i="1" s="1"/>
  <c r="W23" i="1"/>
  <c r="X23" i="1" s="1"/>
  <c r="AB23" i="1" s="1"/>
  <c r="AA16" i="1"/>
  <c r="AC16" i="1" s="1"/>
  <c r="AA206" i="1"/>
  <c r="AC206" i="1" s="1"/>
  <c r="W202" i="1"/>
  <c r="X202" i="1" s="1"/>
  <c r="AB202" i="1" s="1"/>
  <c r="AA192" i="1"/>
  <c r="AC192" i="1" s="1"/>
  <c r="W191" i="1"/>
  <c r="X191" i="1" s="1"/>
  <c r="AB191" i="1" s="1"/>
  <c r="W188" i="1"/>
  <c r="X188" i="1" s="1"/>
  <c r="AB188" i="1" s="1"/>
  <c r="W184" i="1"/>
  <c r="X184" i="1" s="1"/>
  <c r="AB184" i="1" s="1"/>
  <c r="AA172" i="1"/>
  <c r="AC172" i="1" s="1"/>
  <c r="AA169" i="1"/>
  <c r="AC169" i="1" s="1"/>
  <c r="W161" i="1"/>
  <c r="X161" i="1" s="1"/>
  <c r="AB161" i="1" s="1"/>
  <c r="AA158" i="1"/>
  <c r="AC158" i="1" s="1"/>
  <c r="AA155" i="1"/>
  <c r="AC155" i="1" s="1"/>
  <c r="AA153" i="1"/>
  <c r="AC153" i="1" s="1"/>
  <c r="W149" i="1"/>
  <c r="X149" i="1" s="1"/>
  <c r="AB149" i="1" s="1"/>
  <c r="W146" i="1"/>
  <c r="W130" i="1"/>
  <c r="X130" i="1" s="1"/>
  <c r="AB130" i="1" s="1"/>
  <c r="W124" i="1"/>
  <c r="X124" i="1" s="1"/>
  <c r="AB124" i="1" s="1"/>
  <c r="W97" i="1"/>
  <c r="X97" i="1" s="1"/>
  <c r="AB97" i="1" s="1"/>
  <c r="W89" i="1"/>
  <c r="X89" i="1" s="1"/>
  <c r="AB89" i="1" s="1"/>
  <c r="AA80" i="1"/>
  <c r="AC80" i="1" s="1"/>
  <c r="AA72" i="1"/>
  <c r="AC72" i="1" s="1"/>
  <c r="W71" i="1"/>
  <c r="X71" i="1" s="1"/>
  <c r="AB71" i="1" s="1"/>
  <c r="Z68" i="1"/>
  <c r="AA68" i="1" s="1"/>
  <c r="AC68" i="1" s="1"/>
  <c r="AA64" i="1"/>
  <c r="AC64" i="1" s="1"/>
  <c r="Z56" i="1"/>
  <c r="AA56" i="1" s="1"/>
  <c r="AC56" i="1" s="1"/>
  <c r="W26" i="1"/>
  <c r="X26" i="1" s="1"/>
  <c r="AB26" i="1" s="1"/>
  <c r="W21" i="1"/>
  <c r="X21" i="1" s="1"/>
  <c r="AB21" i="1" s="1"/>
  <c r="Z171" i="1"/>
  <c r="AA171" i="1" s="1"/>
  <c r="AC171" i="1" s="1"/>
  <c r="Z109" i="1"/>
  <c r="AA109" i="1" s="1"/>
  <c r="AC109" i="1" s="1"/>
  <c r="Z210" i="1"/>
  <c r="AA210" i="1" s="1"/>
  <c r="AC210" i="1" s="1"/>
  <c r="W208" i="1"/>
  <c r="X208" i="1" s="1"/>
  <c r="AB208" i="1" s="1"/>
  <c r="Z196" i="1"/>
  <c r="AA196" i="1" s="1"/>
  <c r="AC196" i="1" s="1"/>
  <c r="Z193" i="1"/>
  <c r="AA193" i="1" s="1"/>
  <c r="AC193" i="1" s="1"/>
  <c r="W185" i="1"/>
  <c r="X185" i="1" s="1"/>
  <c r="AB185" i="1" s="1"/>
  <c r="Z179" i="1"/>
  <c r="AA179" i="1" s="1"/>
  <c r="AC179" i="1" s="1"/>
  <c r="Z175" i="1"/>
  <c r="AA175" i="1" s="1"/>
  <c r="AC175" i="1" s="1"/>
  <c r="Z166" i="1"/>
  <c r="AA166" i="1" s="1"/>
  <c r="AC166" i="1" s="1"/>
  <c r="W162" i="1"/>
  <c r="X162" i="1" s="1"/>
  <c r="AB162" i="1" s="1"/>
  <c r="Z156" i="1"/>
  <c r="AA156" i="1" s="1"/>
  <c r="AC156" i="1" s="1"/>
  <c r="W147" i="1"/>
  <c r="X147" i="1" s="1"/>
  <c r="AB147" i="1" s="1"/>
  <c r="Z137" i="1"/>
  <c r="AA137" i="1" s="1"/>
  <c r="AC137" i="1" s="1"/>
  <c r="Z132" i="1"/>
  <c r="AA132" i="1" s="1"/>
  <c r="AC132" i="1" s="1"/>
  <c r="W127" i="1"/>
  <c r="X127" i="1" s="1"/>
  <c r="AB127" i="1" s="1"/>
  <c r="W122" i="1"/>
  <c r="X122" i="1" s="1"/>
  <c r="AB122" i="1" s="1"/>
  <c r="Z111" i="1"/>
  <c r="AA111" i="1" s="1"/>
  <c r="AC111" i="1" s="1"/>
  <c r="Z107" i="1"/>
  <c r="AA107" i="1" s="1"/>
  <c r="AC107" i="1" s="1"/>
  <c r="W84" i="1"/>
  <c r="X84" i="1" s="1"/>
  <c r="AB84" i="1" s="1"/>
  <c r="Z81" i="1"/>
  <c r="AA81" i="1" s="1"/>
  <c r="AC81" i="1" s="1"/>
  <c r="W66" i="1"/>
  <c r="X66" i="1" s="1"/>
  <c r="AB66" i="1" s="1"/>
  <c r="W64" i="1"/>
  <c r="X64" i="1" s="1"/>
  <c r="AB64" i="1" s="1"/>
  <c r="W56" i="1"/>
  <c r="X56" i="1" s="1"/>
  <c r="AB56" i="1" s="1"/>
  <c r="W52" i="1"/>
  <c r="X52" i="1" s="1"/>
  <c r="AB52" i="1" s="1"/>
  <c r="W44" i="1"/>
  <c r="X44" i="1" s="1"/>
  <c r="AB44" i="1" s="1"/>
  <c r="W36" i="1"/>
  <c r="X36" i="1" s="1"/>
  <c r="AB36" i="1" s="1"/>
  <c r="Z28" i="1"/>
  <c r="AA28" i="1" s="1"/>
  <c r="AC28" i="1" s="1"/>
  <c r="Z19" i="1"/>
  <c r="AA19" i="1" s="1"/>
  <c r="AC19" i="1" s="1"/>
  <c r="W16" i="1"/>
  <c r="X16" i="1" s="1"/>
  <c r="AB16" i="1" s="1"/>
  <c r="X207" i="1"/>
  <c r="AB207" i="1" s="1"/>
  <c r="Z188" i="1"/>
  <c r="AA188" i="1" s="1"/>
  <c r="AC188" i="1" s="1"/>
  <c r="Z152" i="1"/>
  <c r="AA152" i="1" s="1"/>
  <c r="AC152" i="1" s="1"/>
  <c r="Z136" i="1"/>
  <c r="AA136" i="1" s="1"/>
  <c r="AC136" i="1" s="1"/>
  <c r="AA39" i="1"/>
  <c r="AC39" i="1" s="1"/>
  <c r="AA23" i="1"/>
  <c r="AC23" i="1" s="1"/>
  <c r="Z8" i="1"/>
  <c r="AA8" i="1" s="1"/>
  <c r="AC8" i="1" s="1"/>
  <c r="Z204" i="1"/>
  <c r="AA204" i="1" s="1"/>
  <c r="AC204" i="1" s="1"/>
  <c r="Z201" i="1"/>
  <c r="AA201" i="1" s="1"/>
  <c r="AC201" i="1" s="1"/>
  <c r="W193" i="1"/>
  <c r="X193" i="1" s="1"/>
  <c r="AB193" i="1" s="1"/>
  <c r="Z187" i="1"/>
  <c r="AA187" i="1" s="1"/>
  <c r="AC187" i="1" s="1"/>
  <c r="Z183" i="1"/>
  <c r="AA183" i="1" s="1"/>
  <c r="AC183" i="1" s="1"/>
  <c r="Z174" i="1"/>
  <c r="AA174" i="1" s="1"/>
  <c r="AC174" i="1" s="1"/>
  <c r="W170" i="1"/>
  <c r="X170" i="1" s="1"/>
  <c r="AB170" i="1" s="1"/>
  <c r="Z160" i="1"/>
  <c r="AA160" i="1" s="1"/>
  <c r="AC160" i="1" s="1"/>
  <c r="W159" i="1"/>
  <c r="X159" i="1" s="1"/>
  <c r="AB159" i="1" s="1"/>
  <c r="W156" i="1"/>
  <c r="X156" i="1" s="1"/>
  <c r="AB156" i="1" s="1"/>
  <c r="Z145" i="1"/>
  <c r="AA145" i="1" s="1"/>
  <c r="AC145" i="1" s="1"/>
  <c r="W143" i="1"/>
  <c r="X143" i="1" s="1"/>
  <c r="AB143" i="1" s="1"/>
  <c r="W140" i="1"/>
  <c r="X140" i="1" s="1"/>
  <c r="AB140" i="1" s="1"/>
  <c r="W135" i="1"/>
  <c r="X135" i="1" s="1"/>
  <c r="AB135" i="1" s="1"/>
  <c r="Z129" i="1"/>
  <c r="AA129" i="1" s="1"/>
  <c r="AC129" i="1" s="1"/>
  <c r="Z123" i="1"/>
  <c r="AA123" i="1" s="1"/>
  <c r="AC123" i="1" s="1"/>
  <c r="Z117" i="1"/>
  <c r="AA117" i="1" s="1"/>
  <c r="AC117" i="1" s="1"/>
  <c r="W110" i="1"/>
  <c r="X110" i="1" s="1"/>
  <c r="AB110" i="1" s="1"/>
  <c r="Z108" i="1"/>
  <c r="AA108" i="1" s="1"/>
  <c r="AC108" i="1" s="1"/>
  <c r="W103" i="1"/>
  <c r="X103" i="1" s="1"/>
  <c r="AB103" i="1" s="1"/>
  <c r="Z96" i="1"/>
  <c r="AA96" i="1" s="1"/>
  <c r="AC96" i="1" s="1"/>
  <c r="Z88" i="1"/>
  <c r="AA88" i="1" s="1"/>
  <c r="AC88" i="1" s="1"/>
  <c r="W81" i="1"/>
  <c r="X81" i="1" s="1"/>
  <c r="AB81" i="1" s="1"/>
  <c r="W69" i="1"/>
  <c r="W58" i="1"/>
  <c r="X58" i="1" s="1"/>
  <c r="AB58" i="1" s="1"/>
  <c r="W48" i="1"/>
  <c r="X48" i="1" s="1"/>
  <c r="AB48" i="1" s="1"/>
  <c r="W40" i="1"/>
  <c r="X40" i="1" s="1"/>
  <c r="AB40" i="1" s="1"/>
  <c r="W32" i="1"/>
  <c r="X32" i="1" s="1"/>
  <c r="AB32" i="1" s="1"/>
  <c r="W28" i="1"/>
  <c r="X28" i="1" s="1"/>
  <c r="AB28" i="1" s="1"/>
  <c r="W19" i="1"/>
  <c r="X19" i="1" s="1"/>
  <c r="AB19" i="1" s="1"/>
  <c r="Z120" i="1"/>
  <c r="AA120" i="1" s="1"/>
  <c r="AC120" i="1" s="1"/>
  <c r="AA47" i="1"/>
  <c r="AC47" i="1" s="1"/>
  <c r="AA31" i="1"/>
  <c r="AC31" i="1" s="1"/>
  <c r="W6" i="1"/>
  <c r="X6" i="1" s="1"/>
  <c r="AB6" i="1" s="1"/>
  <c r="Z3" i="1"/>
  <c r="AA3" i="1" s="1"/>
  <c r="AC3" i="1" s="1"/>
  <c r="Z209" i="1"/>
  <c r="AA209" i="1" s="1"/>
  <c r="AC209" i="1" s="1"/>
  <c r="W201" i="1"/>
  <c r="X201" i="1" s="1"/>
  <c r="AB201" i="1" s="1"/>
  <c r="Z195" i="1"/>
  <c r="AA195" i="1" s="1"/>
  <c r="AC195" i="1" s="1"/>
  <c r="Z191" i="1"/>
  <c r="AA191" i="1" s="1"/>
  <c r="AC191" i="1" s="1"/>
  <c r="Z182" i="1"/>
  <c r="AA182" i="1" s="1"/>
  <c r="AC182" i="1" s="1"/>
  <c r="W178" i="1"/>
  <c r="X178" i="1" s="1"/>
  <c r="AB178" i="1" s="1"/>
  <c r="Z168" i="1"/>
  <c r="AA168" i="1" s="1"/>
  <c r="AC168" i="1" s="1"/>
  <c r="X167" i="1"/>
  <c r="AB167" i="1" s="1"/>
  <c r="W164" i="1"/>
  <c r="X164" i="1" s="1"/>
  <c r="AB164" i="1" s="1"/>
  <c r="W160" i="1"/>
  <c r="X160" i="1" s="1"/>
  <c r="AB160" i="1" s="1"/>
  <c r="W148" i="1"/>
  <c r="X148" i="1" s="1"/>
  <c r="AB148" i="1" s="1"/>
  <c r="W123" i="1"/>
  <c r="X123" i="1" s="1"/>
  <c r="AB123" i="1" s="1"/>
  <c r="W119" i="1"/>
  <c r="X119" i="1" s="1"/>
  <c r="AB119" i="1" s="1"/>
  <c r="W111" i="1"/>
  <c r="X111" i="1" s="1"/>
  <c r="AB111" i="1" s="1"/>
  <c r="Z99" i="1"/>
  <c r="AA99" i="1" s="1"/>
  <c r="AC99" i="1" s="1"/>
  <c r="W96" i="1"/>
  <c r="X96" i="1" s="1"/>
  <c r="AB96" i="1" s="1"/>
  <c r="Z92" i="1"/>
  <c r="AA92" i="1" s="1"/>
  <c r="AC92" i="1" s="1"/>
  <c r="W77" i="1"/>
  <c r="W74" i="1"/>
  <c r="X74" i="1" s="1"/>
  <c r="AB74" i="1" s="1"/>
  <c r="AA69" i="1"/>
  <c r="AC69" i="1" s="1"/>
  <c r="W61" i="1"/>
  <c r="W50" i="1"/>
  <c r="X50" i="1" s="1"/>
  <c r="AB50" i="1" s="1"/>
  <c r="W42" i="1"/>
  <c r="X42" i="1" s="1"/>
  <c r="AB42" i="1" s="1"/>
  <c r="W34" i="1"/>
  <c r="X34" i="1" s="1"/>
  <c r="AB34" i="1" s="1"/>
  <c r="AA20" i="1"/>
  <c r="AC20" i="1" s="1"/>
  <c r="W158" i="1"/>
  <c r="X158" i="1" s="1"/>
  <c r="AB158" i="1" s="1"/>
  <c r="AA127" i="1"/>
  <c r="AC127" i="1" s="1"/>
  <c r="W120" i="1"/>
  <c r="X120" i="1" s="1"/>
  <c r="AB120" i="1" s="1"/>
  <c r="AA146" i="1"/>
  <c r="AC146" i="1" s="1"/>
  <c r="W106" i="1"/>
  <c r="X106" i="1" s="1"/>
  <c r="AB106" i="1" s="1"/>
  <c r="Z149" i="1"/>
  <c r="AA149" i="1" s="1"/>
  <c r="AC149" i="1" s="1"/>
  <c r="X146" i="1"/>
  <c r="AB146" i="1" s="1"/>
  <c r="X151" i="1"/>
  <c r="AB151" i="1" s="1"/>
  <c r="X138" i="1"/>
  <c r="AB138" i="1" s="1"/>
  <c r="Z113" i="1"/>
  <c r="AA113" i="1" s="1"/>
  <c r="AC113" i="1" s="1"/>
  <c r="W113" i="1"/>
  <c r="X113" i="1" s="1"/>
  <c r="AB113" i="1" s="1"/>
  <c r="Z157" i="1"/>
  <c r="AA157" i="1" s="1"/>
  <c r="AC157" i="1" s="1"/>
  <c r="AA142" i="1"/>
  <c r="AC142" i="1" s="1"/>
  <c r="Z141" i="1"/>
  <c r="AA141" i="1" s="1"/>
  <c r="AC141" i="1" s="1"/>
  <c r="W98" i="1"/>
  <c r="X98" i="1" s="1"/>
  <c r="AB98" i="1" s="1"/>
  <c r="Z114" i="1"/>
  <c r="AA114" i="1" s="1"/>
  <c r="AC114" i="1" s="1"/>
  <c r="Z79" i="1"/>
  <c r="AA79" i="1" s="1"/>
  <c r="AC79" i="1" s="1"/>
  <c r="Z71" i="1"/>
  <c r="AA71" i="1" s="1"/>
  <c r="AC71" i="1" s="1"/>
  <c r="X93" i="1"/>
  <c r="AB93" i="1" s="1"/>
  <c r="Z75" i="1"/>
  <c r="AA75" i="1" s="1"/>
  <c r="AC75" i="1" s="1"/>
  <c r="Z74" i="1"/>
  <c r="AA74" i="1" s="1"/>
  <c r="AC74" i="1" s="1"/>
  <c r="Z67" i="1"/>
  <c r="AA67" i="1" s="1"/>
  <c r="AC67" i="1" s="1"/>
  <c r="Z66" i="1"/>
  <c r="AA66" i="1" s="1"/>
  <c r="AC66" i="1" s="1"/>
  <c r="Z59" i="1"/>
  <c r="AA59" i="1" s="1"/>
  <c r="AC59" i="1" s="1"/>
  <c r="Z58" i="1"/>
  <c r="AA58" i="1" s="1"/>
  <c r="AC58" i="1" s="1"/>
  <c r="Z50" i="1"/>
  <c r="AA50" i="1" s="1"/>
  <c r="AC50" i="1" s="1"/>
  <c r="Z43" i="1"/>
  <c r="AA43" i="1" s="1"/>
  <c r="AC43" i="1" s="1"/>
  <c r="Z42" i="1"/>
  <c r="AA42" i="1" s="1"/>
  <c r="AC42" i="1" s="1"/>
  <c r="Z35" i="1"/>
  <c r="AA35" i="1" s="1"/>
  <c r="AC35" i="1" s="1"/>
  <c r="Z34" i="1"/>
  <c r="AA34" i="1" s="1"/>
  <c r="AC34" i="1" s="1"/>
  <c r="Z106" i="1"/>
  <c r="AA106" i="1" s="1"/>
  <c r="AC106" i="1" s="1"/>
  <c r="W91" i="1"/>
  <c r="X91" i="1" s="1"/>
  <c r="AB91" i="1" s="1"/>
  <c r="Z87" i="1"/>
  <c r="AA87" i="1" s="1"/>
  <c r="AC87" i="1" s="1"/>
  <c r="W80" i="1"/>
  <c r="X80" i="1" s="1"/>
  <c r="AB80" i="1" s="1"/>
  <c r="W72" i="1"/>
  <c r="X72" i="1" s="1"/>
  <c r="AB72" i="1" s="1"/>
  <c r="W63" i="1"/>
  <c r="X63" i="1" s="1"/>
  <c r="AB63" i="1" s="1"/>
  <c r="W55" i="1"/>
  <c r="X55" i="1" s="1"/>
  <c r="AB55" i="1" s="1"/>
  <c r="W47" i="1"/>
  <c r="X47" i="1" s="1"/>
  <c r="AB47" i="1" s="1"/>
  <c r="W39" i="1"/>
  <c r="X39" i="1" s="1"/>
  <c r="AB39" i="1" s="1"/>
  <c r="W31" i="1"/>
  <c r="X31" i="1" s="1"/>
  <c r="AB31" i="1" s="1"/>
  <c r="W107" i="1"/>
  <c r="X107" i="1" s="1"/>
  <c r="AB107" i="1" s="1"/>
  <c r="AA103" i="1"/>
  <c r="AC103" i="1" s="1"/>
  <c r="W101" i="1"/>
  <c r="X101" i="1" s="1"/>
  <c r="AB101" i="1" s="1"/>
  <c r="Z98" i="1"/>
  <c r="AA98" i="1" s="1"/>
  <c r="AC98" i="1" s="1"/>
  <c r="W75" i="1"/>
  <c r="X75" i="1" s="1"/>
  <c r="AB75" i="1" s="1"/>
  <c r="W67" i="1"/>
  <c r="X67" i="1" s="1"/>
  <c r="AB67" i="1" s="1"/>
  <c r="W59" i="1"/>
  <c r="X59" i="1" s="1"/>
  <c r="AB59" i="1" s="1"/>
  <c r="W51" i="1"/>
  <c r="X51" i="1" s="1"/>
  <c r="AB51" i="1" s="1"/>
  <c r="W43" i="1"/>
  <c r="X43" i="1" s="1"/>
  <c r="AB43" i="1" s="1"/>
  <c r="W35" i="1"/>
  <c r="X35" i="1" s="1"/>
  <c r="AB35" i="1" s="1"/>
  <c r="W27" i="1"/>
  <c r="X27" i="1" s="1"/>
  <c r="AB27" i="1" s="1"/>
  <c r="W99" i="1"/>
  <c r="X99" i="1" s="1"/>
  <c r="AB99" i="1" s="1"/>
  <c r="Z95" i="1"/>
  <c r="AA95" i="1" s="1"/>
  <c r="AC95" i="1" s="1"/>
  <c r="W88" i="1"/>
  <c r="X88" i="1" s="1"/>
  <c r="AB88" i="1" s="1"/>
  <c r="X77" i="1"/>
  <c r="AB77" i="1" s="1"/>
  <c r="X69" i="1"/>
  <c r="AB69" i="1" s="1"/>
  <c r="X61" i="1"/>
  <c r="AB61" i="1" s="1"/>
  <c r="X53" i="1"/>
  <c r="AB53" i="1" s="1"/>
  <c r="X45" i="1"/>
  <c r="AB45" i="1" s="1"/>
  <c r="X37" i="1"/>
  <c r="AB37" i="1" s="1"/>
  <c r="X29" i="1"/>
  <c r="AB29" i="1" s="1"/>
</calcChain>
</file>

<file path=xl/sharedStrings.xml><?xml version="1.0" encoding="utf-8"?>
<sst xmlns="http://schemas.openxmlformats.org/spreadsheetml/2006/main" count="1915" uniqueCount="271">
  <si>
    <t xml:space="preserve">Filename </t>
  </si>
  <si>
    <t>line</t>
  </si>
  <si>
    <t>des</t>
  </si>
  <si>
    <t>sex</t>
  </si>
  <si>
    <t>Hz</t>
  </si>
  <si>
    <t>line/sex</t>
  </si>
  <si>
    <t xml:space="preserve">date </t>
  </si>
  <si>
    <t>Angle</t>
  </si>
  <si>
    <t>Length</t>
  </si>
  <si>
    <t>wind(cm/sec)</t>
  </si>
  <si>
    <t>θ</t>
  </si>
  <si>
    <t>w</t>
  </si>
  <si>
    <t>T</t>
  </si>
  <si>
    <t>T cm/sec</t>
  </si>
  <si>
    <t>θrad</t>
  </si>
  <si>
    <t>aa1m09.11.30.09-01</t>
  </si>
  <si>
    <t>aa1</t>
  </si>
  <si>
    <t>aa</t>
  </si>
  <si>
    <t>m</t>
  </si>
  <si>
    <t>09</t>
  </si>
  <si>
    <t>aa1m</t>
  </si>
  <si>
    <t>11.30.09</t>
  </si>
  <si>
    <t>aa1m15.11.30.09-01</t>
  </si>
  <si>
    <t>15</t>
  </si>
  <si>
    <t>aa1m19.11.30.09-01</t>
  </si>
  <si>
    <t>19</t>
  </si>
  <si>
    <t>aa1m19.11.30.09-02</t>
  </si>
  <si>
    <t>aa1m19.11.30.09-03</t>
  </si>
  <si>
    <t>aa1m19.11.30.09-04</t>
  </si>
  <si>
    <t>aa1m19.11.30.09-05</t>
  </si>
  <si>
    <t>aa1m19.11.30.09-06</t>
  </si>
  <si>
    <t>aa1m21.11.30.09-01</t>
  </si>
  <si>
    <t>21</t>
  </si>
  <si>
    <t>aa1m21.11.30.09-02</t>
  </si>
  <si>
    <t>aa1m21.11.30.09-03</t>
  </si>
  <si>
    <t>aa1m21.11.30.09-04</t>
  </si>
  <si>
    <t>aa2m05.11.30.09-01</t>
  </si>
  <si>
    <t>aa2</t>
  </si>
  <si>
    <t>05</t>
  </si>
  <si>
    <t>aa2m</t>
  </si>
  <si>
    <t>aa2m09.11.30.09-01</t>
  </si>
  <si>
    <t>aa2m17.11.30.09-01</t>
  </si>
  <si>
    <t>17</t>
  </si>
  <si>
    <t>aa2m17.11.30.09-02</t>
  </si>
  <si>
    <t>aa2m17.11.30.09-03</t>
  </si>
  <si>
    <t>aa2m17.11.30.09-04</t>
  </si>
  <si>
    <t>aa2m19.11.30.09-01</t>
  </si>
  <si>
    <t>aa2m19.11.30.09-02</t>
  </si>
  <si>
    <t>aa2m19.11.30.09-03</t>
  </si>
  <si>
    <t>aa2m21.11.30.09-01</t>
  </si>
  <si>
    <t>aa2m21.11.30.09-02</t>
  </si>
  <si>
    <t>aa2m21.11.30.09-03</t>
  </si>
  <si>
    <t>aa2m21.11.30.09-04</t>
  </si>
  <si>
    <t>aa2m21.11.30.09-05</t>
  </si>
  <si>
    <t>aa2m23.11.30.09-01</t>
  </si>
  <si>
    <t>23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</si>
  <si>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</si>
  <si>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</si>
  <si>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</si>
  <si>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</si>
  <si>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</si>
  <si>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</si>
  <si>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</si>
  <si>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</si>
  <si>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</si>
  <si>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</si>
  <si>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cn1m03.11.30.09-01</t>
  </si>
  <si>
    <t>cn1</t>
  </si>
  <si>
    <t>cn</t>
  </si>
  <si>
    <t>03</t>
  </si>
  <si>
    <t>cn1m</t>
  </si>
  <si>
    <t>cn1m03.11.30.09-02</t>
  </si>
  <si>
    <t>cn1m03.11.30.09-03</t>
  </si>
  <si>
    <t>cn1m04.11.30.09-04</t>
  </si>
  <si>
    <t>04</t>
  </si>
  <si>
    <t>cn1m05.11.30.09-01</t>
  </si>
  <si>
    <t>cn1m05.11.30.09-02</t>
  </si>
  <si>
    <t>cn1m05.11.30.09-03</t>
  </si>
  <si>
    <t>cn1m07.11.30.09-01</t>
  </si>
  <si>
    <t>07</t>
  </si>
  <si>
    <t>cn1m07.11.30.09-02</t>
  </si>
  <si>
    <t>cn1m07.11.30.09-03</t>
  </si>
  <si>
    <t>cn1m07.11.30.09-04</t>
  </si>
  <si>
    <t>cn1m09.11.30.09-01</t>
  </si>
  <si>
    <t>cn1m09.11.30.09-02</t>
  </si>
  <si>
    <t>cn1m09.11.30.09-03</t>
  </si>
  <si>
    <t>cn1m09.11.30.09-04</t>
  </si>
  <si>
    <t>cn1m11.11.30.09-01</t>
  </si>
  <si>
    <t>11</t>
  </si>
  <si>
    <t>cn1m11.11.30.09-02</t>
  </si>
  <si>
    <t>cn1m11.11.30.09-03</t>
  </si>
  <si>
    <t>cn1m11.11.30.09-04</t>
  </si>
  <si>
    <t>cn1m11.11.30.09-05</t>
  </si>
  <si>
    <t>cn1m11.11.30.09-06</t>
  </si>
  <si>
    <t>cn1m13.11.30.09-01</t>
  </si>
  <si>
    <t>13</t>
  </si>
  <si>
    <t>cn1m13.11.30.09-02</t>
  </si>
  <si>
    <t>cn1m13.11.30.09-03</t>
  </si>
  <si>
    <t>cn1m13.11.30.09-04</t>
  </si>
  <si>
    <t>cn2m05.11.30.09-01</t>
  </si>
  <si>
    <t>cn2</t>
  </si>
  <si>
    <t>cn2m</t>
  </si>
  <si>
    <t>cn2m07.11.30.09-01</t>
  </si>
  <si>
    <t>cn2m07.11.30.09-02</t>
  </si>
  <si>
    <t>cn2m09.11.30.09-01</t>
  </si>
  <si>
    <t>cn2m11.11.30.09-01</t>
  </si>
  <si>
    <t>cn2m11.11.30.09-02</t>
  </si>
  <si>
    <t>cn2m11.11.30.09-03</t>
  </si>
  <si>
    <t>cn2m13.11.30.09-01</t>
  </si>
  <si>
    <t>cn2m13.11.30.09-02</t>
  </si>
  <si>
    <t>cn2m13.11.30.09-03</t>
  </si>
  <si>
    <t>cn2m13.11.30.09-04</t>
  </si>
  <si>
    <t>cn2m13.11.30.09-05</t>
  </si>
  <si>
    <t>cn2m15.11.30.09-01</t>
  </si>
  <si>
    <t>cn2m15.11.30.09-02</t>
  </si>
  <si>
    <t>cn2m15.11.30.09-03</t>
  </si>
  <si>
    <t>cn2m15.11.30.09-04</t>
  </si>
  <si>
    <t>cn2m15.11.30.09-05</t>
  </si>
  <si>
    <t>cn2m15.11.30.09-06</t>
  </si>
  <si>
    <t>cn2m17.11.30.09-01</t>
  </si>
  <si>
    <t>k45m07.11.30.09-01</t>
  </si>
  <si>
    <t>k45</t>
  </si>
  <si>
    <t>k4</t>
  </si>
  <si>
    <t>k45m</t>
  </si>
  <si>
    <t>k45m09.11.30.09-01</t>
  </si>
  <si>
    <t>k45m13.11.30.09-01</t>
  </si>
  <si>
    <t>k45m13.11.30.09-03</t>
  </si>
  <si>
    <t>k45m17.11.30.09-01</t>
  </si>
  <si>
    <t>k45m17.11.30.09-02</t>
  </si>
  <si>
    <t>k45m17.11.30.09-03</t>
  </si>
  <si>
    <t>k45m17.11.30.09-04</t>
  </si>
  <si>
    <t>k45m19.11.30.09-01</t>
  </si>
  <si>
    <t>k45m19.11.30.09-02</t>
  </si>
  <si>
    <t>k45m21.11.30.09-01</t>
  </si>
  <si>
    <t>n60m11.11.30.09-01</t>
  </si>
  <si>
    <t>n60</t>
  </si>
  <si>
    <t>n6</t>
  </si>
  <si>
    <t>n60m</t>
  </si>
  <si>
    <t>n60m11.11.30.09-02</t>
  </si>
  <si>
    <t>n60m11.11.30.09-03</t>
  </si>
  <si>
    <t>n60m13.11.30.09-01</t>
  </si>
  <si>
    <t>n60m13.11.30.09-02</t>
  </si>
  <si>
    <t>n60m13.11.30.09-03</t>
  </si>
  <si>
    <t>n60m15.11.30.09-01</t>
  </si>
  <si>
    <t>n60m15.11.30.09-02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</si>
  <si>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</si>
  <si>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</si>
  <si>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</si>
  <si>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</si>
  <si>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</si>
  <si>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</si>
  <si>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n60m19.11.30.09-01</t>
  </si>
  <si>
    <t>n60m19.11.30.09-02</t>
  </si>
  <si>
    <t>n60m19.11.30.09-03</t>
  </si>
  <si>
    <t>n60m19.11.30.09-04</t>
  </si>
  <si>
    <t>n60m19.11.30.09-06</t>
  </si>
  <si>
    <t>aa1m07.11.12.09-02</t>
  </si>
  <si>
    <t>11.12.09</t>
  </si>
  <si>
    <t>aa1m07.11.21.09-01</t>
  </si>
  <si>
    <t>11.21.09</t>
  </si>
  <si>
    <t>aa1m09.11.12.09-01</t>
  </si>
  <si>
    <t>aa1m11.11.12.09-02</t>
  </si>
  <si>
    <t>aa1m11.11.12.09-03</t>
  </si>
  <si>
    <t>aa1m11.11.12.09-04</t>
  </si>
  <si>
    <t>aa1m11.11.12.09-05</t>
  </si>
  <si>
    <t>aa1m13.11.21.09-01</t>
  </si>
  <si>
    <t>aa1m17.11.21.09-01</t>
  </si>
  <si>
    <t>aa1m19.11.21.09-01</t>
  </si>
  <si>
    <t>aa1m21.11.21.09-01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</si>
  <si>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</si>
  <si>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</si>
  <si>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</si>
  <si>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</si>
  <si>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</si>
  <si>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</si>
  <si>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</si>
  <si>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</si>
  <si>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</si>
  <si>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</si>
  <si>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</si>
  <si>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aa1m27.11.21.09-01</t>
  </si>
  <si>
    <t>27</t>
  </si>
  <si>
    <t>cn1m03.11.21.09-01</t>
  </si>
  <si>
    <t>cn1m05.11.21.09-01</t>
  </si>
  <si>
    <t>cn1m05.11.21.09-02</t>
  </si>
  <si>
    <t>cn1m05.11.21.09-03</t>
  </si>
  <si>
    <t>cn1m05.11.21.09-04</t>
  </si>
  <si>
    <t>cn1m07.11.21.09-01</t>
  </si>
  <si>
    <t>cn1m07.11.21.09-02</t>
  </si>
  <si>
    <t>cn1m07.11.21.09-03</t>
  </si>
  <si>
    <t>cn1m07.11.21.09-04</t>
  </si>
  <si>
    <t>cn1m07.11.21.09-05</t>
  </si>
  <si>
    <t>cn1m09.11.21.09-01</t>
  </si>
  <si>
    <t>cn1m09.11.21.09-02</t>
  </si>
  <si>
    <t>cn1m09.11.21.09-04</t>
  </si>
  <si>
    <t>cn1m09.11.21.09-05</t>
  </si>
  <si>
    <t>cn1m11.11.21.09-01</t>
  </si>
  <si>
    <t>cn1m11.11.21.09-02</t>
  </si>
  <si>
    <t>cn1m11.11.21.09-03</t>
  </si>
  <si>
    <t>cn1m11.11.21.09-04</t>
  </si>
  <si>
    <t>cn1m11.11.21.09-05</t>
  </si>
  <si>
    <t>cn1m13.11.21.09-01</t>
  </si>
  <si>
    <t>cn2m03.11.21.09-02</t>
  </si>
  <si>
    <t>cn2m03.11.21.09-03</t>
  </si>
  <si>
    <t>cn2m05.11.21.09-01</t>
  </si>
  <si>
    <t>cn2m07.11.21.09-01</t>
  </si>
  <si>
    <t>cn2m07.11.21.09-04</t>
  </si>
  <si>
    <t>cn2m09.11.21.09-01</t>
  </si>
  <si>
    <t>cn2m09.11.21.09-02</t>
  </si>
  <si>
    <t>cn2m09.11.21.09-03</t>
  </si>
  <si>
    <t>cn2m11.11.21.09-01</t>
  </si>
  <si>
    <t>cn2m13.11.21.09-02</t>
  </si>
  <si>
    <t>cn2m13.11.21.09-03</t>
  </si>
  <si>
    <t>cn2m13.11.21.09-04</t>
  </si>
  <si>
    <t>cn2m13.11.21.09-05</t>
  </si>
  <si>
    <t>cn2m15.11.21.09-01</t>
  </si>
  <si>
    <t>cn2m15.11.21.09-02</t>
  </si>
  <si>
    <t>cn2m15.11.21.09-03</t>
  </si>
  <si>
    <t>cn2m15.11.21.09-04</t>
  </si>
  <si>
    <t>k45m13.11.21.09-02</t>
  </si>
  <si>
    <t>k45m13.11.21.09-03</t>
  </si>
  <si>
    <t>k45m13.11.21.09-04</t>
  </si>
  <si>
    <t>k45m13.11.21.09-05</t>
  </si>
  <si>
    <t>k45m13.11.21.09-06</t>
  </si>
  <si>
    <t>k45m15.11.21.09-01</t>
  </si>
  <si>
    <t>k45m15.11.21.09-02</t>
  </si>
  <si>
    <t>k45m17.11.21.09-01</t>
  </si>
  <si>
    <t>k45m19.11.21.09-02</t>
  </si>
  <si>
    <t>k45m19.11.21.09-03</t>
  </si>
  <si>
    <t>k45m19.11.21.09-04</t>
  </si>
  <si>
    <t>k45m21.11.21.09-01</t>
  </si>
  <si>
    <t>k45m21.11.21.09-02</t>
  </si>
  <si>
    <t>k45m23.11.21.09-01</t>
  </si>
  <si>
    <t>n60m03.11.21.09-01</t>
  </si>
  <si>
    <t>n60m11.11.21.09-01</t>
  </si>
  <si>
    <t>n60m15.11.21.09-01</t>
  </si>
  <si>
    <t>n60m15.11.21.09-02</t>
  </si>
  <si>
    <t>n60m17.11.21.09-01</t>
  </si>
  <si>
    <t>n60m17.11.21.09-02</t>
  </si>
  <si>
    <t>n60m17.11.21.09-03</t>
  </si>
  <si>
    <t>n60m17.11.21.09-04</t>
  </si>
  <si>
    <t>n60m17.11.21.09-05</t>
  </si>
  <si>
    <t>n60m17.11.21.09-06</t>
  </si>
  <si>
    <t>n60m17.11.21.09-08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</si>
  <si>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</si>
  <si>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</si>
  <si>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</si>
  <si>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</si>
  <si>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</si>
  <si>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</si>
  <si>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</si>
  <si>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n60m21.11.21.09-01</t>
  </si>
  <si>
    <t>n60m21.11.21.09-02</t>
  </si>
  <si>
    <t>n60m23.21.09-01</t>
  </si>
  <si>
    <t>21.09-01</t>
  </si>
  <si>
    <t>d'</t>
  </si>
  <si>
    <t>h</t>
  </si>
  <si>
    <t>w + d'</t>
  </si>
  <si>
    <t>T incorrect</t>
  </si>
  <si>
    <t>T correct</t>
  </si>
  <si>
    <t>w incorrect</t>
  </si>
  <si>
    <t>w+d' incorrect</t>
  </si>
  <si>
    <t>V correct</t>
  </si>
  <si>
    <t>V incorrect</t>
  </si>
  <si>
    <t>wind - smoke</t>
  </si>
  <si>
    <t>Correct</t>
  </si>
  <si>
    <t>Jess</t>
  </si>
  <si>
    <t>Wind</t>
  </si>
  <si>
    <t>Wind Jess</t>
  </si>
  <si>
    <t>Wind-Jess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</si>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</sst>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wrapText="1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wrapText="1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E14686"/>
  <sheetViews>
    <sheetView tabSelected="1" topLeftCell="E1" workbookViewId="0">
      <selection activeCell="AD2" sqref="AD2"/>
    </sheetView>
  </sheetViews>
  <sheetFormatPr baseColWidth="10" defaultColWidth="12.6640625" defaultRowHeight="12.75" customHeight="1" x14ac:dyDescent="0.15"/>
  <cols>
    <col min="1" max="1" width="8.1640625" customWidth="1"/>
    <col min="2" max="2" width="22.33203125" customWidth="1"/>
    <col min="3" max="24" width="8.1640625" customWidth="1"/>
    <col min="25" max="25" width="9.6640625" customWidth="1"/>
    <col min="26" max="28" width="8.1640625" customWidth="1"/>
    <col min="29" max="29" width="9.5" customWidth="1"/>
    <col min="30" max="30" width="8.1640625" customWidth="1"/>
    <col min="31" max="31" width="8.1640625" style="10" customWidth="1"/>
    <col min="32" max="265" width="8.1640625" customWidth="1"/>
  </cols>
  <sheetData>
    <row r="1" spans="1:265" ht="12.75" customHeigh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</v>
      </c>
      <c r="P1" s="1" t="s">
        <v>1</v>
      </c>
      <c r="Q1" s="1" t="s">
        <v>13</v>
      </c>
      <c r="R1" s="1" t="s">
        <v>14</v>
      </c>
      <c r="S1" s="1"/>
      <c r="T1" s="1" t="s">
        <v>255</v>
      </c>
      <c r="U1" s="1" t="s">
        <v>256</v>
      </c>
      <c r="V1" s="1" t="s">
        <v>11</v>
      </c>
      <c r="W1" s="1" t="s">
        <v>257</v>
      </c>
      <c r="X1" s="1" t="s">
        <v>259</v>
      </c>
      <c r="Y1" s="3" t="s">
        <v>260</v>
      </c>
      <c r="Z1" s="1" t="s">
        <v>261</v>
      </c>
      <c r="AA1" s="1" t="s">
        <v>258</v>
      </c>
      <c r="AB1" s="1" t="s">
        <v>262</v>
      </c>
      <c r="AC1" s="4" t="s">
        <v>263</v>
      </c>
      <c r="AD1" s="1" t="s">
        <v>264</v>
      </c>
      <c r="AE1" s="9" t="s">
        <v>269</v>
      </c>
      <c r="AF1" s="1"/>
      <c r="AG1" s="1"/>
      <c r="AH1" s="1"/>
      <c r="AI1" s="1"/>
      <c r="AJ1" s="1"/>
      <c r="AK1" s="1"/>
      <c r="AL1" s="1"/>
      <c r="AM1" s="1"/>
      <c r="AN1" s="1"/>
      <c r="AO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</row>
    <row r="2" spans="1:265" s="7" customFormat="1" ht="12.75" customHeight="1" x14ac:dyDescent="0.15">
      <c r="A2" s="5">
        <v>1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5">
        <v>-121.504</v>
      </c>
      <c r="J2" s="5">
        <v>1.46</v>
      </c>
      <c r="K2" s="5">
        <v>38.97</v>
      </c>
      <c r="L2" s="5">
        <v>58.496000000000002</v>
      </c>
      <c r="M2" s="5">
        <v>2.5979999999999999</v>
      </c>
      <c r="N2" s="5">
        <v>3.5840498423026999</v>
      </c>
      <c r="O2" s="6" t="s">
        <v>17</v>
      </c>
      <c r="P2" s="6" t="s">
        <v>16</v>
      </c>
      <c r="Q2" s="5">
        <v>107.521495269081</v>
      </c>
      <c r="R2" s="5">
        <v>1.0209477992466001</v>
      </c>
      <c r="S2" s="5"/>
      <c r="T2" s="5">
        <f>J2*COS(L2*PI()/180)</f>
        <v>0.76293480987490458</v>
      </c>
      <c r="U2" s="5">
        <f>J2*SIN(L2*PI()/180)</f>
        <v>1.2448013800928817</v>
      </c>
      <c r="V2" s="5">
        <f>K2/30</f>
        <v>1.2989999999999999</v>
      </c>
      <c r="W2" s="5">
        <f>V2+T2</f>
        <v>2.0619348098749044</v>
      </c>
      <c r="X2" s="5">
        <f>SQRT(W2^2 + U2^2)</f>
        <v>2.4085484500119572</v>
      </c>
      <c r="Y2" s="5">
        <f>K2/(30/2)</f>
        <v>2.5979999999999999</v>
      </c>
      <c r="Z2" s="5">
        <f>Y2+T2</f>
        <v>3.3609348098749043</v>
      </c>
      <c r="AA2" s="5">
        <f>SQRT(Z2^2 + U2^2)</f>
        <v>3.584049842302699</v>
      </c>
      <c r="AB2" s="5">
        <f>X2*30</f>
        <v>72.256453500358717</v>
      </c>
      <c r="AC2" s="5">
        <f>AA2*30</f>
        <v>107.52149526908097</v>
      </c>
      <c r="AD2" s="7">
        <f>-27.34662187 + 7.520741322 * F2</f>
        <v>40.340050028</v>
      </c>
      <c r="AE2" s="10">
        <f>K2</f>
        <v>38.97</v>
      </c>
    </row>
    <row r="3" spans="1:265" s="7" customFormat="1" ht="12.75" customHeight="1" x14ac:dyDescent="0.15">
      <c r="A3" s="5">
        <v>1</v>
      </c>
      <c r="B3" s="6" t="s">
        <v>22</v>
      </c>
      <c r="C3" s="6" t="s">
        <v>16</v>
      </c>
      <c r="D3" s="6" t="s">
        <v>17</v>
      </c>
      <c r="E3" s="6" t="s">
        <v>18</v>
      </c>
      <c r="F3" s="6" t="s">
        <v>23</v>
      </c>
      <c r="G3" s="6" t="s">
        <v>20</v>
      </c>
      <c r="H3" s="6" t="s">
        <v>21</v>
      </c>
      <c r="I3" s="5">
        <v>166.43</v>
      </c>
      <c r="J3" s="5">
        <v>1.1930000000000001</v>
      </c>
      <c r="K3" s="5">
        <v>64.95</v>
      </c>
      <c r="L3" s="5">
        <v>13.57</v>
      </c>
      <c r="M3" s="5">
        <v>4.33</v>
      </c>
      <c r="N3" s="5">
        <v>5.4968280004359</v>
      </c>
      <c r="O3" s="6" t="s">
        <v>17</v>
      </c>
      <c r="P3" s="6" t="s">
        <v>16</v>
      </c>
      <c r="Q3" s="5">
        <v>164.90484001307701</v>
      </c>
      <c r="R3" s="5">
        <v>0.23684117949562999</v>
      </c>
      <c r="S3" s="5"/>
      <c r="T3" s="5">
        <f t="shared" ref="T3:T9" si="0">J3*COS(L3*PI()/180)</f>
        <v>1.1596961970411188</v>
      </c>
      <c r="U3" s="5">
        <f t="shared" ref="U3:U9" si="1">J3*SIN(L3*PI()/180)</f>
        <v>0.27991736382076488</v>
      </c>
      <c r="V3" s="5">
        <f t="shared" ref="V3:V9" si="2">K3/30</f>
        <v>2.165</v>
      </c>
      <c r="W3" s="5">
        <f t="shared" ref="W3:W9" si="3">V3+T3</f>
        <v>3.3246961970411189</v>
      </c>
      <c r="X3" s="5">
        <f t="shared" ref="X3:X9" si="4">SQRT(W3^2 + U3^2)</f>
        <v>3.3364589811936911</v>
      </c>
      <c r="Y3" s="5">
        <f t="shared" ref="Y3:Y9" si="5">K3/(30/2)</f>
        <v>4.33</v>
      </c>
      <c r="Z3" s="5">
        <f t="shared" ref="Z3:Z9" si="6">Y3+T3</f>
        <v>5.4896961970411189</v>
      </c>
      <c r="AA3" s="5">
        <f t="shared" ref="AA3:AA9" si="7">SQRT(Z3^2 + U3^2)</f>
        <v>5.4968280004358956</v>
      </c>
      <c r="AB3" s="5">
        <f t="shared" ref="AB3:AB12" si="8">X3*30</f>
        <v>100.09376943581073</v>
      </c>
      <c r="AC3" s="5">
        <f t="shared" ref="AC3:AC12" si="9">AA3*30</f>
        <v>164.90484001307686</v>
      </c>
      <c r="AD3" s="7">
        <f t="shared" ref="AD3:AD13" si="10">-27.34662187 + 7.520741322 * F3</f>
        <v>85.464497959999989</v>
      </c>
      <c r="AE3" s="10">
        <f t="shared" ref="AE3:AE66" si="11">K3</f>
        <v>64.95</v>
      </c>
    </row>
    <row r="4" spans="1:265" s="7" customFormat="1" ht="12.75" customHeight="1" x14ac:dyDescent="0.15">
      <c r="A4" s="5">
        <v>1</v>
      </c>
      <c r="B4" s="6" t="s">
        <v>24</v>
      </c>
      <c r="C4" s="6" t="s">
        <v>16</v>
      </c>
      <c r="D4" s="6" t="s">
        <v>17</v>
      </c>
      <c r="E4" s="6" t="s">
        <v>18</v>
      </c>
      <c r="F4" s="6" t="s">
        <v>25</v>
      </c>
      <c r="G4" s="6" t="s">
        <v>20</v>
      </c>
      <c r="H4" s="6" t="s">
        <v>21</v>
      </c>
      <c r="I4" s="5">
        <v>153.435</v>
      </c>
      <c r="J4" s="5">
        <v>0.45200000000000001</v>
      </c>
      <c r="K4" s="5">
        <v>82.27</v>
      </c>
      <c r="L4" s="5">
        <v>26.565000000000001</v>
      </c>
      <c r="M4" s="5">
        <v>5.4846666666666701</v>
      </c>
      <c r="N4" s="5">
        <v>5.8924161822813099</v>
      </c>
      <c r="O4" s="6" t="s">
        <v>17</v>
      </c>
      <c r="P4" s="6" t="s">
        <v>16</v>
      </c>
      <c r="Q4" s="5">
        <v>176.77248546843899</v>
      </c>
      <c r="R4" s="5">
        <v>0.46364671579229</v>
      </c>
      <c r="S4" s="5"/>
      <c r="T4" s="5">
        <f t="shared" si="0"/>
        <v>0.40428127088545635</v>
      </c>
      <c r="U4" s="5">
        <f t="shared" si="1"/>
        <v>0.20214018405858905</v>
      </c>
      <c r="V4" s="5">
        <f t="shared" si="2"/>
        <v>2.7423333333333333</v>
      </c>
      <c r="W4" s="5">
        <f t="shared" si="3"/>
        <v>3.1466146042187897</v>
      </c>
      <c r="X4" s="5">
        <f t="shared" si="4"/>
        <v>3.1531007154060604</v>
      </c>
      <c r="Y4" s="5">
        <f t="shared" si="5"/>
        <v>5.4846666666666666</v>
      </c>
      <c r="Z4" s="5">
        <f t="shared" si="6"/>
        <v>5.888947937552123</v>
      </c>
      <c r="AA4" s="5">
        <f t="shared" si="7"/>
        <v>5.892416182281309</v>
      </c>
      <c r="AB4" s="5">
        <f t="shared" si="8"/>
        <v>94.59302146218181</v>
      </c>
      <c r="AC4" s="5">
        <f t="shared" si="9"/>
        <v>176.77248546843927</v>
      </c>
      <c r="AD4" s="7">
        <f t="shared" si="10"/>
        <v>115.54746324799999</v>
      </c>
      <c r="AE4" s="10">
        <f t="shared" si="11"/>
        <v>82.27</v>
      </c>
    </row>
    <row r="5" spans="1:265" s="7" customFormat="1" ht="12.75" customHeight="1" x14ac:dyDescent="0.15">
      <c r="A5" s="5">
        <v>1</v>
      </c>
      <c r="B5" s="6" t="s">
        <v>26</v>
      </c>
      <c r="C5" s="6" t="s">
        <v>16</v>
      </c>
      <c r="D5" s="6" t="s">
        <v>17</v>
      </c>
      <c r="E5" s="6" t="s">
        <v>18</v>
      </c>
      <c r="F5" s="6" t="s">
        <v>25</v>
      </c>
      <c r="G5" s="6" t="s">
        <v>20</v>
      </c>
      <c r="H5" s="6" t="s">
        <v>21</v>
      </c>
      <c r="I5" s="5">
        <v>156.80099999999999</v>
      </c>
      <c r="J5" s="5">
        <v>0.51300000000000001</v>
      </c>
      <c r="K5" s="5">
        <v>82.27</v>
      </c>
      <c r="L5" s="5">
        <v>23.199000000000002</v>
      </c>
      <c r="M5" s="5">
        <v>5.4846666666666701</v>
      </c>
      <c r="N5" s="5">
        <v>5.9596138311695297</v>
      </c>
      <c r="O5" s="6" t="s">
        <v>17</v>
      </c>
      <c r="P5" s="6" t="s">
        <v>16</v>
      </c>
      <c r="Q5" s="5">
        <v>178.788414935086</v>
      </c>
      <c r="R5" s="5">
        <v>0.40489893317016001</v>
      </c>
      <c r="S5" s="5"/>
      <c r="T5" s="5">
        <f t="shared" si="0"/>
        <v>0.47151995614039505</v>
      </c>
      <c r="U5" s="5">
        <f t="shared" si="1"/>
        <v>0.20208397007521398</v>
      </c>
      <c r="V5" s="5">
        <f t="shared" si="2"/>
        <v>2.7423333333333333</v>
      </c>
      <c r="W5" s="5">
        <f t="shared" si="3"/>
        <v>3.2138532894737284</v>
      </c>
      <c r="X5" s="5">
        <f t="shared" si="4"/>
        <v>3.2202004436404987</v>
      </c>
      <c r="Y5" s="5">
        <f t="shared" si="5"/>
        <v>5.4846666666666666</v>
      </c>
      <c r="Z5" s="5">
        <f t="shared" si="6"/>
        <v>5.9561866228070617</v>
      </c>
      <c r="AA5" s="5">
        <f t="shared" si="7"/>
        <v>5.9596138311695288</v>
      </c>
      <c r="AB5" s="5">
        <f t="shared" si="8"/>
        <v>96.606013309214958</v>
      </c>
      <c r="AC5" s="5">
        <f t="shared" si="9"/>
        <v>178.78841493508585</v>
      </c>
      <c r="AD5" s="7">
        <f t="shared" si="10"/>
        <v>115.54746324799999</v>
      </c>
      <c r="AE5" s="10">
        <f t="shared" si="11"/>
        <v>82.27</v>
      </c>
    </row>
    <row r="6" spans="1:265" s="7" customFormat="1" ht="12.75" customHeight="1" x14ac:dyDescent="0.15">
      <c r="A6" s="5">
        <v>1</v>
      </c>
      <c r="B6" s="6" t="s">
        <v>27</v>
      </c>
      <c r="C6" s="6" t="s">
        <v>16</v>
      </c>
      <c r="D6" s="6" t="s">
        <v>17</v>
      </c>
      <c r="E6" s="6" t="s">
        <v>18</v>
      </c>
      <c r="F6" s="6" t="s">
        <v>25</v>
      </c>
      <c r="G6" s="6" t="s">
        <v>20</v>
      </c>
      <c r="H6" s="6" t="s">
        <v>21</v>
      </c>
      <c r="I6" s="5">
        <v>-134.43299999999999</v>
      </c>
      <c r="J6" s="5">
        <v>2.415</v>
      </c>
      <c r="K6" s="5">
        <v>82.27</v>
      </c>
      <c r="L6" s="5">
        <v>45.567</v>
      </c>
      <c r="M6" s="5">
        <v>5.4846666666666701</v>
      </c>
      <c r="N6" s="5">
        <v>7.3796633489083403</v>
      </c>
      <c r="O6" s="6" t="s">
        <v>17</v>
      </c>
      <c r="P6" s="6" t="s">
        <v>16</v>
      </c>
      <c r="Q6" s="5">
        <v>221.38990046724999</v>
      </c>
      <c r="R6" s="5">
        <v>0.79529418025625997</v>
      </c>
      <c r="S6" s="5"/>
      <c r="T6" s="5">
        <f t="shared" si="0"/>
        <v>1.6906804757605938</v>
      </c>
      <c r="U6" s="5">
        <f t="shared" si="1"/>
        <v>1.7244780453464557</v>
      </c>
      <c r="V6" s="5">
        <f t="shared" si="2"/>
        <v>2.7423333333333333</v>
      </c>
      <c r="W6" s="5">
        <f t="shared" si="3"/>
        <v>4.4330138090939268</v>
      </c>
      <c r="X6" s="5">
        <f t="shared" si="4"/>
        <v>4.7566202245396241</v>
      </c>
      <c r="Y6" s="5">
        <f t="shared" si="5"/>
        <v>5.4846666666666666</v>
      </c>
      <c r="Z6" s="5">
        <f t="shared" si="6"/>
        <v>7.1753471424272606</v>
      </c>
      <c r="AA6" s="5">
        <f t="shared" si="7"/>
        <v>7.3796633489083359</v>
      </c>
      <c r="AB6" s="5">
        <f t="shared" si="8"/>
        <v>142.69860673618871</v>
      </c>
      <c r="AC6" s="5">
        <f t="shared" si="9"/>
        <v>221.38990046725007</v>
      </c>
      <c r="AD6" s="7">
        <f t="shared" si="10"/>
        <v>115.54746324799999</v>
      </c>
      <c r="AE6" s="10">
        <f t="shared" si="11"/>
        <v>82.27</v>
      </c>
    </row>
    <row r="7" spans="1:265" s="7" customFormat="1" ht="12.75" customHeight="1" x14ac:dyDescent="0.15">
      <c r="A7" s="5">
        <v>1</v>
      </c>
      <c r="B7" s="6" t="s">
        <v>28</v>
      </c>
      <c r="C7" s="6" t="s">
        <v>16</v>
      </c>
      <c r="D7" s="6" t="s">
        <v>17</v>
      </c>
      <c r="E7" s="6" t="s">
        <v>18</v>
      </c>
      <c r="F7" s="6" t="s">
        <v>25</v>
      </c>
      <c r="G7" s="6" t="s">
        <v>20</v>
      </c>
      <c r="H7" s="6" t="s">
        <v>21</v>
      </c>
      <c r="I7" s="5">
        <v>-154.79900000000001</v>
      </c>
      <c r="J7" s="5">
        <v>0.629</v>
      </c>
      <c r="K7" s="5">
        <v>82.27</v>
      </c>
      <c r="L7" s="5">
        <v>25.201000000000001</v>
      </c>
      <c r="M7" s="5">
        <v>5.4846666666666701</v>
      </c>
      <c r="N7" s="5">
        <v>6.0597197159112399</v>
      </c>
      <c r="O7" s="6" t="s">
        <v>17</v>
      </c>
      <c r="P7" s="6" t="s">
        <v>16</v>
      </c>
      <c r="Q7" s="5">
        <v>181.79159147733699</v>
      </c>
      <c r="R7" s="5">
        <v>0.43984042479509</v>
      </c>
      <c r="S7" s="5"/>
      <c r="T7" s="5">
        <f t="shared" si="0"/>
        <v>0.56913154165786206</v>
      </c>
      <c r="U7" s="5">
        <f t="shared" si="1"/>
        <v>0.26782510765450118</v>
      </c>
      <c r="V7" s="5">
        <f t="shared" si="2"/>
        <v>2.7423333333333333</v>
      </c>
      <c r="W7" s="5">
        <f t="shared" si="3"/>
        <v>3.3114648749911955</v>
      </c>
      <c r="X7" s="5">
        <f t="shared" si="4"/>
        <v>3.3222778189956657</v>
      </c>
      <c r="Y7" s="5">
        <f t="shared" si="5"/>
        <v>5.4846666666666666</v>
      </c>
      <c r="Z7" s="5">
        <f t="shared" si="6"/>
        <v>6.0537982083245288</v>
      </c>
      <c r="AA7" s="5">
        <f t="shared" si="7"/>
        <v>6.0597197159112417</v>
      </c>
      <c r="AB7" s="5">
        <f t="shared" si="8"/>
        <v>99.66833456986997</v>
      </c>
      <c r="AC7" s="5">
        <f t="shared" si="9"/>
        <v>181.79159147733725</v>
      </c>
      <c r="AD7" s="7">
        <f t="shared" si="10"/>
        <v>115.54746324799999</v>
      </c>
      <c r="AE7" s="10">
        <f t="shared" si="11"/>
        <v>82.27</v>
      </c>
    </row>
    <row r="8" spans="1:265" s="7" customFormat="1" ht="12.75" customHeight="1" x14ac:dyDescent="0.15">
      <c r="A8" s="5">
        <v>1</v>
      </c>
      <c r="B8" s="6" t="s">
        <v>29</v>
      </c>
      <c r="C8" s="6" t="s">
        <v>16</v>
      </c>
      <c r="D8" s="6" t="s">
        <v>17</v>
      </c>
      <c r="E8" s="6" t="s">
        <v>18</v>
      </c>
      <c r="F8" s="6" t="s">
        <v>25</v>
      </c>
      <c r="G8" s="6" t="s">
        <v>20</v>
      </c>
      <c r="H8" s="6" t="s">
        <v>21</v>
      </c>
      <c r="I8" s="5">
        <v>-129.56</v>
      </c>
      <c r="J8" s="5">
        <v>1.998</v>
      </c>
      <c r="K8" s="5">
        <v>82.27</v>
      </c>
      <c r="L8" s="5">
        <v>50.44</v>
      </c>
      <c r="M8" s="5">
        <v>5.4846666666666701</v>
      </c>
      <c r="N8" s="5">
        <v>6.9305142525450902</v>
      </c>
      <c r="O8" s="6" t="s">
        <v>17</v>
      </c>
      <c r="P8" s="6" t="s">
        <v>16</v>
      </c>
      <c r="Q8" s="5">
        <v>207.91542757635301</v>
      </c>
      <c r="R8" s="5">
        <v>0.88034407470594001</v>
      </c>
      <c r="S8" s="5"/>
      <c r="T8" s="5">
        <f t="shared" si="0"/>
        <v>1.2724980576412592</v>
      </c>
      <c r="U8" s="5">
        <f t="shared" si="1"/>
        <v>1.5403742056069436</v>
      </c>
      <c r="V8" s="5">
        <f t="shared" si="2"/>
        <v>2.7423333333333333</v>
      </c>
      <c r="W8" s="5">
        <f t="shared" si="3"/>
        <v>4.0148313909745923</v>
      </c>
      <c r="X8" s="5">
        <f t="shared" si="4"/>
        <v>4.3001888087913303</v>
      </c>
      <c r="Y8" s="5">
        <f t="shared" si="5"/>
        <v>5.4846666666666666</v>
      </c>
      <c r="Z8" s="5">
        <f t="shared" si="6"/>
        <v>6.757164724307926</v>
      </c>
      <c r="AA8" s="5">
        <f t="shared" si="7"/>
        <v>6.9305142525450902</v>
      </c>
      <c r="AB8" s="5">
        <f t="shared" si="8"/>
        <v>129.0056642637399</v>
      </c>
      <c r="AC8" s="5">
        <f t="shared" si="9"/>
        <v>207.9154275763527</v>
      </c>
      <c r="AD8" s="7">
        <f t="shared" si="10"/>
        <v>115.54746324799999</v>
      </c>
      <c r="AE8" s="10">
        <f t="shared" si="11"/>
        <v>82.27</v>
      </c>
    </row>
    <row r="9" spans="1:265" s="7" customFormat="1" ht="12.75" customHeight="1" x14ac:dyDescent="0.15">
      <c r="A9" s="5">
        <v>1</v>
      </c>
      <c r="B9" s="6" t="s">
        <v>30</v>
      </c>
      <c r="C9" s="6" t="s">
        <v>16</v>
      </c>
      <c r="D9" s="6" t="s">
        <v>17</v>
      </c>
      <c r="E9" s="6" t="s">
        <v>18</v>
      </c>
      <c r="F9" s="6" t="s">
        <v>25</v>
      </c>
      <c r="G9" s="6" t="s">
        <v>20</v>
      </c>
      <c r="H9" s="6" t="s">
        <v>21</v>
      </c>
      <c r="I9" s="5">
        <v>176.05500000000001</v>
      </c>
      <c r="J9" s="5">
        <v>1.1779999999999999</v>
      </c>
      <c r="K9" s="5">
        <v>82.27</v>
      </c>
      <c r="L9" s="5">
        <v>3.9449999999999901</v>
      </c>
      <c r="M9" s="5">
        <v>5.4846666666666701</v>
      </c>
      <c r="N9" s="5">
        <v>6.6603685634969301</v>
      </c>
      <c r="O9" s="6" t="s">
        <v>17</v>
      </c>
      <c r="P9" s="6" t="s">
        <v>16</v>
      </c>
      <c r="Q9" s="5">
        <v>199.81105690490801</v>
      </c>
      <c r="R9" s="5">
        <v>6.8853238991176E-2</v>
      </c>
      <c r="S9" s="5"/>
      <c r="T9" s="5">
        <f t="shared" si="0"/>
        <v>1.1752087903099886</v>
      </c>
      <c r="U9" s="5">
        <f t="shared" si="1"/>
        <v>8.1045044130614891E-2</v>
      </c>
      <c r="V9" s="5">
        <f t="shared" si="2"/>
        <v>2.7423333333333333</v>
      </c>
      <c r="W9" s="5">
        <f t="shared" si="3"/>
        <v>3.9175421236433219</v>
      </c>
      <c r="X9" s="5">
        <f t="shared" si="4"/>
        <v>3.9183803528623864</v>
      </c>
      <c r="Y9" s="5">
        <f t="shared" si="5"/>
        <v>5.4846666666666666</v>
      </c>
      <c r="Z9" s="5">
        <f t="shared" si="6"/>
        <v>6.6598754569766552</v>
      </c>
      <c r="AA9" s="5">
        <f t="shared" si="7"/>
        <v>6.6603685634969292</v>
      </c>
      <c r="AB9" s="5">
        <f t="shared" si="8"/>
        <v>117.55141058587159</v>
      </c>
      <c r="AC9" s="5">
        <f t="shared" si="9"/>
        <v>199.81105690490787</v>
      </c>
      <c r="AD9" s="7">
        <f t="shared" si="10"/>
        <v>115.54746324799999</v>
      </c>
      <c r="AE9" s="10">
        <f t="shared" si="11"/>
        <v>82.27</v>
      </c>
    </row>
    <row r="10" spans="1:265" s="7" customFormat="1" ht="12.75" customHeight="1" x14ac:dyDescent="0.15">
      <c r="A10" s="5">
        <v>1</v>
      </c>
      <c r="B10" s="6" t="s">
        <v>31</v>
      </c>
      <c r="C10" s="6" t="s">
        <v>16</v>
      </c>
      <c r="D10" s="6" t="s">
        <v>17</v>
      </c>
      <c r="E10" s="6" t="s">
        <v>18</v>
      </c>
      <c r="F10" s="6" t="s">
        <v>32</v>
      </c>
      <c r="G10" s="6" t="s">
        <v>20</v>
      </c>
      <c r="H10" s="6" t="s">
        <v>21</v>
      </c>
      <c r="I10" s="5">
        <v>169.69499999999999</v>
      </c>
      <c r="J10" s="5">
        <v>0.375</v>
      </c>
      <c r="K10" s="5">
        <v>90.93</v>
      </c>
      <c r="L10" s="5">
        <v>10.305</v>
      </c>
      <c r="M10" s="5">
        <v>6.0620000000000003</v>
      </c>
      <c r="N10" s="5">
        <v>6.4313009078184704</v>
      </c>
      <c r="O10" s="6" t="s">
        <v>17</v>
      </c>
      <c r="P10" s="6" t="s">
        <v>16</v>
      </c>
      <c r="Q10" s="5">
        <v>192.939027234554</v>
      </c>
      <c r="R10" s="5">
        <v>0.17985617941802001</v>
      </c>
      <c r="S10" s="5"/>
      <c r="T10" s="5">
        <f t="shared" ref="T10:T13" si="12">J10*COS(L10*PI()/180)</f>
        <v>0.36895103653139499</v>
      </c>
      <c r="U10" s="5">
        <f t="shared" ref="U10:U13" si="13">J10*SIN(L10*PI()/180)</f>
        <v>6.7083027975854068E-2</v>
      </c>
      <c r="V10" s="5">
        <f t="shared" ref="V10:V13" si="14">K10/30</f>
        <v>3.0310000000000001</v>
      </c>
      <c r="W10" s="5">
        <f t="shared" ref="W10:W13" si="15">V10+T10</f>
        <v>3.399951036531395</v>
      </c>
      <c r="X10" s="5">
        <f t="shared" ref="X10:X13" si="16">SQRT(W10^2 + U10^2)</f>
        <v>3.4006127658781318</v>
      </c>
      <c r="Y10" s="5">
        <f t="shared" ref="Y10:Y13" si="17">K10/(30/2)</f>
        <v>6.0620000000000003</v>
      </c>
      <c r="Z10" s="5">
        <f t="shared" ref="Z10:Z13" si="18">Y10+T10</f>
        <v>6.4309510365313951</v>
      </c>
      <c r="AA10" s="5">
        <f t="shared" ref="AA10:AA13" si="19">SQRT(Z10^2 + U10^2)</f>
        <v>6.431300907818466</v>
      </c>
      <c r="AB10" s="5">
        <f t="shared" si="8"/>
        <v>102.01838297634396</v>
      </c>
      <c r="AC10" s="5">
        <f t="shared" si="9"/>
        <v>192.93902723455398</v>
      </c>
      <c r="AD10" s="7">
        <f t="shared" si="10"/>
        <v>130.588945892</v>
      </c>
      <c r="AE10" s="10">
        <f t="shared" si="11"/>
        <v>90.93</v>
      </c>
    </row>
    <row r="11" spans="1:265" s="7" customFormat="1" ht="12.75" customHeight="1" x14ac:dyDescent="0.15">
      <c r="A11" s="5">
        <v>1</v>
      </c>
      <c r="B11" s="6" t="s">
        <v>33</v>
      </c>
      <c r="C11" s="6" t="s">
        <v>16</v>
      </c>
      <c r="D11" s="6" t="s">
        <v>17</v>
      </c>
      <c r="E11" s="6" t="s">
        <v>18</v>
      </c>
      <c r="F11" s="6" t="s">
        <v>32</v>
      </c>
      <c r="G11" s="6" t="s">
        <v>20</v>
      </c>
      <c r="H11" s="6" t="s">
        <v>21</v>
      </c>
      <c r="I11" s="5">
        <v>180</v>
      </c>
      <c r="J11" s="5">
        <v>0.74199999999999999</v>
      </c>
      <c r="K11" s="5">
        <v>90.93</v>
      </c>
      <c r="L11" s="5">
        <v>0</v>
      </c>
      <c r="M11" s="5">
        <v>6.0620000000000003</v>
      </c>
      <c r="N11" s="5">
        <v>6.8040000000000003</v>
      </c>
      <c r="O11" s="6" t="s">
        <v>17</v>
      </c>
      <c r="P11" s="6" t="s">
        <v>16</v>
      </c>
      <c r="Q11" s="5">
        <v>204.12</v>
      </c>
      <c r="R11" s="5">
        <v>0</v>
      </c>
      <c r="S11" s="5"/>
      <c r="T11" s="5">
        <f t="shared" si="12"/>
        <v>0.74199999999999999</v>
      </c>
      <c r="U11" s="5">
        <f t="shared" si="13"/>
        <v>0</v>
      </c>
      <c r="V11" s="5">
        <f t="shared" si="14"/>
        <v>3.0310000000000001</v>
      </c>
      <c r="W11" s="5">
        <f t="shared" si="15"/>
        <v>3.7730000000000001</v>
      </c>
      <c r="X11" s="5">
        <f t="shared" si="16"/>
        <v>3.7730000000000001</v>
      </c>
      <c r="Y11" s="5">
        <f t="shared" si="17"/>
        <v>6.0620000000000003</v>
      </c>
      <c r="Z11" s="5">
        <f t="shared" si="18"/>
        <v>6.8040000000000003</v>
      </c>
      <c r="AA11" s="5">
        <f t="shared" si="19"/>
        <v>6.8040000000000003</v>
      </c>
      <c r="AB11" s="5">
        <f t="shared" si="8"/>
        <v>113.19</v>
      </c>
      <c r="AC11" s="5">
        <f t="shared" si="9"/>
        <v>204.12</v>
      </c>
      <c r="AD11" s="7">
        <f t="shared" si="10"/>
        <v>130.588945892</v>
      </c>
      <c r="AE11" s="10">
        <f t="shared" si="11"/>
        <v>90.93</v>
      </c>
    </row>
    <row r="12" spans="1:265" s="7" customFormat="1" ht="12.75" customHeight="1" x14ac:dyDescent="0.15">
      <c r="A12" s="5">
        <v>1</v>
      </c>
      <c r="B12" s="6" t="s">
        <v>34</v>
      </c>
      <c r="C12" s="6" t="s">
        <v>16</v>
      </c>
      <c r="D12" s="6" t="s">
        <v>17</v>
      </c>
      <c r="E12" s="6" t="s">
        <v>18</v>
      </c>
      <c r="F12" s="6" t="s">
        <v>32</v>
      </c>
      <c r="G12" s="6" t="s">
        <v>20</v>
      </c>
      <c r="H12" s="6" t="s">
        <v>21</v>
      </c>
      <c r="I12" s="5">
        <v>145.00800000000001</v>
      </c>
      <c r="J12" s="5">
        <v>0.40200000000000002</v>
      </c>
      <c r="K12" s="5">
        <v>90.93</v>
      </c>
      <c r="L12" s="5">
        <v>34.991999999999997</v>
      </c>
      <c r="M12" s="5">
        <v>6.0620000000000003</v>
      </c>
      <c r="N12" s="5">
        <v>6.3954875375276599</v>
      </c>
      <c r="O12" s="6" t="s">
        <v>17</v>
      </c>
      <c r="P12" s="6" t="s">
        <v>16</v>
      </c>
      <c r="Q12" s="5">
        <v>191.86462612583</v>
      </c>
      <c r="R12" s="5">
        <v>0.61072561185786001</v>
      </c>
      <c r="S12" s="5"/>
      <c r="T12" s="5">
        <f t="shared" si="12"/>
        <v>0.32933131331834314</v>
      </c>
      <c r="U12" s="5">
        <f t="shared" si="13"/>
        <v>0.23053174633445891</v>
      </c>
      <c r="V12" s="5">
        <f t="shared" si="14"/>
        <v>3.0310000000000001</v>
      </c>
      <c r="W12" s="5">
        <f t="shared" si="15"/>
        <v>3.3603313133183432</v>
      </c>
      <c r="X12" s="5">
        <f t="shared" si="16"/>
        <v>3.3682297162360819</v>
      </c>
      <c r="Y12" s="5">
        <f t="shared" si="17"/>
        <v>6.0620000000000003</v>
      </c>
      <c r="Z12" s="5">
        <f t="shared" si="18"/>
        <v>6.3913313133183438</v>
      </c>
      <c r="AA12" s="5">
        <f t="shared" si="19"/>
        <v>6.395487537527659</v>
      </c>
      <c r="AB12" s="5">
        <f t="shared" si="8"/>
        <v>101.04689148708246</v>
      </c>
      <c r="AC12" s="5">
        <f t="shared" si="9"/>
        <v>191.86462612582977</v>
      </c>
      <c r="AD12" s="7">
        <f t="shared" si="10"/>
        <v>130.588945892</v>
      </c>
      <c r="AE12" s="10">
        <f t="shared" si="11"/>
        <v>90.93</v>
      </c>
      <c r="AF12" s="14" t="s">
        <v>265</v>
      </c>
      <c r="AG12" s="14" t="s">
        <v>266</v>
      </c>
      <c r="AH12" s="14" t="s">
        <v>267</v>
      </c>
      <c r="AI12" s="14" t="s">
        <v>268</v>
      </c>
      <c r="AJ12" s="14" t="s">
        <v>270</v>
      </c>
    </row>
    <row r="13" spans="1:265" s="7" customFormat="1" ht="12.75" customHeight="1" x14ac:dyDescent="0.15">
      <c r="A13" s="5">
        <v>1</v>
      </c>
      <c r="B13" s="6" t="s">
        <v>35</v>
      </c>
      <c r="C13" s="6" t="s">
        <v>16</v>
      </c>
      <c r="D13" s="6" t="s">
        <v>17</v>
      </c>
      <c r="E13" s="6" t="s">
        <v>18</v>
      </c>
      <c r="F13" s="6" t="s">
        <v>32</v>
      </c>
      <c r="G13" s="6" t="s">
        <v>20</v>
      </c>
      <c r="H13" s="6" t="s">
        <v>21</v>
      </c>
      <c r="I13" s="5">
        <v>166.608</v>
      </c>
      <c r="J13" s="5">
        <v>0.72499999999999998</v>
      </c>
      <c r="K13" s="5">
        <v>90.93</v>
      </c>
      <c r="L13" s="5">
        <v>13.391999999999999</v>
      </c>
      <c r="M13" s="5">
        <v>6.0620000000000003</v>
      </c>
      <c r="N13" s="5">
        <v>6.7693689538307602</v>
      </c>
      <c r="O13" s="6" t="s">
        <v>17</v>
      </c>
      <c r="P13" s="6" t="s">
        <v>16</v>
      </c>
      <c r="Q13" s="5">
        <v>203.081068614923</v>
      </c>
      <c r="R13" s="5">
        <v>0.23373449342708</v>
      </c>
      <c r="S13" s="5"/>
      <c r="T13" s="5">
        <f t="shared" si="12"/>
        <v>0.70528596445792169</v>
      </c>
      <c r="U13" s="5">
        <f t="shared" si="13"/>
        <v>0.16791875517243215</v>
      </c>
      <c r="V13" s="5">
        <f t="shared" si="14"/>
        <v>3.0310000000000001</v>
      </c>
      <c r="W13" s="5">
        <f t="shared" si="15"/>
        <v>3.736285964457922</v>
      </c>
      <c r="X13" s="5">
        <f t="shared" si="16"/>
        <v>3.7400574215570441</v>
      </c>
      <c r="Y13" s="5">
        <f t="shared" si="17"/>
        <v>6.0620000000000003</v>
      </c>
      <c r="Z13" s="5">
        <f t="shared" si="18"/>
        <v>6.7672859644579217</v>
      </c>
      <c r="AA13" s="5">
        <f t="shared" si="19"/>
        <v>6.7693689538307664</v>
      </c>
      <c r="AB13" s="5">
        <f>X13*30</f>
        <v>112.20172264671132</v>
      </c>
      <c r="AC13" s="5">
        <f>AA13*30</f>
        <v>203.081068614923</v>
      </c>
      <c r="AD13" s="7">
        <f t="shared" si="10"/>
        <v>130.588945892</v>
      </c>
      <c r="AE13" s="10">
        <f t="shared" si="11"/>
        <v>90.93</v>
      </c>
      <c r="AF13" s="7">
        <f>AVERAGE(AB2:AB13)</f>
        <v>106.74418924778116</v>
      </c>
      <c r="AG13" s="7">
        <f t="shared" ref="AG13:AI13" si="20">AVERAGE(AC2:AC13)</f>
        <v>185.9083278405698</v>
      </c>
      <c r="AH13" s="7">
        <f t="shared" si="20"/>
        <v>111.787092587</v>
      </c>
      <c r="AI13" s="7">
        <f t="shared" si="20"/>
        <v>80.105000000000018</v>
      </c>
      <c r="AJ13" s="7">
        <f>AVERAGE(AF13:AG13)</f>
        <v>146.32625854417549</v>
      </c>
    </row>
    <row r="14" spans="1:265" s="13" customFormat="1" ht="12.75" customHeight="1" x14ac:dyDescent="0.15">
      <c r="A14" s="11">
        <v>1</v>
      </c>
      <c r="B14" s="12" t="s">
        <v>36</v>
      </c>
      <c r="C14" s="12" t="s">
        <v>37</v>
      </c>
      <c r="D14" s="12" t="s">
        <v>17</v>
      </c>
      <c r="E14" s="12" t="s">
        <v>18</v>
      </c>
      <c r="F14" s="12" t="s">
        <v>38</v>
      </c>
      <c r="G14" s="12" t="s">
        <v>39</v>
      </c>
      <c r="H14" s="12" t="s">
        <v>21</v>
      </c>
      <c r="I14" s="11">
        <v>136.84800000000001</v>
      </c>
      <c r="J14" s="11">
        <v>0.80200000000000005</v>
      </c>
      <c r="K14" s="11">
        <v>21.65</v>
      </c>
      <c r="L14" s="11">
        <v>43.152000000000001</v>
      </c>
      <c r="M14" s="11">
        <v>1.44333333333333</v>
      </c>
      <c r="N14" s="11">
        <v>2.1012811155212998</v>
      </c>
      <c r="O14" s="12" t="s">
        <v>17</v>
      </c>
      <c r="P14" s="12" t="s">
        <v>37</v>
      </c>
      <c r="Q14" s="11">
        <v>63.038433465639102</v>
      </c>
      <c r="R14" s="11">
        <v>0.75314447882058999</v>
      </c>
      <c r="S14" s="11"/>
      <c r="T14" s="11">
        <f t="shared" ref="T14:T77" si="21">J14*COS(L14*PI()/180)</f>
        <v>0.58509256882286576</v>
      </c>
      <c r="U14" s="11">
        <f t="shared" ref="U14:U77" si="22">J14*SIN(L14*PI()/180)</f>
        <v>0.54851680549301329</v>
      </c>
      <c r="V14" s="11">
        <f t="shared" ref="V14:V77" si="23">K14/30</f>
        <v>0.72166666666666657</v>
      </c>
      <c r="W14" s="11">
        <f t="shared" ref="W14:W77" si="24">V14+T14</f>
        <v>1.3067592354895323</v>
      </c>
      <c r="X14" s="11">
        <f t="shared" ref="X14:X77" si="25">SQRT(W14^2 + U14^2)</f>
        <v>1.4172121878693562</v>
      </c>
      <c r="Y14" s="11">
        <f t="shared" ref="Y14:Y77" si="26">K14/(30/2)</f>
        <v>1.4433333333333331</v>
      </c>
      <c r="Z14" s="11">
        <f t="shared" ref="Z14:Z77" si="27">Y14+T14</f>
        <v>2.028425902156199</v>
      </c>
      <c r="AA14" s="11">
        <f t="shared" ref="AA14:AA77" si="28">SQRT(Z14^2 + U14^2)</f>
        <v>2.1012811155213025</v>
      </c>
      <c r="AB14" s="11">
        <f t="shared" ref="AB14:AB77" si="29">X14*30</f>
        <v>42.516365636080685</v>
      </c>
      <c r="AC14" s="11">
        <f t="shared" ref="AC14:AC77" si="30">AA14*30</f>
        <v>63.038433465639073</v>
      </c>
      <c r="AD14" s="13">
        <f t="shared" ref="AD14:AD77" si="31">-27.34662187 + 7.520741322 * F14</f>
        <v>10.257084740000003</v>
      </c>
      <c r="AE14" s="13">
        <f t="shared" si="11"/>
        <v>21.65</v>
      </c>
    </row>
    <row r="15" spans="1:265" s="13" customFormat="1" ht="12.75" customHeight="1" x14ac:dyDescent="0.15">
      <c r="A15" s="11">
        <v>1</v>
      </c>
      <c r="B15" s="12" t="s">
        <v>40</v>
      </c>
      <c r="C15" s="12" t="s">
        <v>37</v>
      </c>
      <c r="D15" s="12" t="s">
        <v>17</v>
      </c>
      <c r="E15" s="12" t="s">
        <v>18</v>
      </c>
      <c r="F15" s="12" t="s">
        <v>19</v>
      </c>
      <c r="G15" s="12" t="s">
        <v>39</v>
      </c>
      <c r="H15" s="12" t="s">
        <v>21</v>
      </c>
      <c r="I15" s="11">
        <v>100.30500000000001</v>
      </c>
      <c r="J15" s="11">
        <v>0.79400000000000004</v>
      </c>
      <c r="K15" s="11">
        <v>38.97</v>
      </c>
      <c r="L15" s="11">
        <v>79.694999999999993</v>
      </c>
      <c r="M15" s="11">
        <v>2.5979999999999999</v>
      </c>
      <c r="N15" s="11">
        <v>2.8492218119853301</v>
      </c>
      <c r="O15" s="12" t="s">
        <v>17</v>
      </c>
      <c r="P15" s="12" t="s">
        <v>37</v>
      </c>
      <c r="Q15" s="11">
        <v>85.476654359559802</v>
      </c>
      <c r="R15" s="11">
        <v>1.3909401473768801</v>
      </c>
      <c r="S15" s="11"/>
      <c r="T15" s="11">
        <f t="shared" si="21"/>
        <v>0.1420371312342085</v>
      </c>
      <c r="U15" s="11">
        <f t="shared" si="22"/>
        <v>0.78119232801580707</v>
      </c>
      <c r="V15" s="11">
        <f t="shared" si="23"/>
        <v>1.2989999999999999</v>
      </c>
      <c r="W15" s="11">
        <f t="shared" si="24"/>
        <v>1.4410371312342085</v>
      </c>
      <c r="X15" s="11">
        <f t="shared" si="25"/>
        <v>1.6391612083460474</v>
      </c>
      <c r="Y15" s="11">
        <f t="shared" si="26"/>
        <v>2.5979999999999999</v>
      </c>
      <c r="Z15" s="11">
        <f t="shared" si="27"/>
        <v>2.7400371312342084</v>
      </c>
      <c r="AA15" s="11">
        <f t="shared" si="28"/>
        <v>2.8492218119853265</v>
      </c>
      <c r="AB15" s="11">
        <f t="shared" si="29"/>
        <v>49.174836250381425</v>
      </c>
      <c r="AC15" s="11">
        <f t="shared" si="30"/>
        <v>85.476654359559802</v>
      </c>
      <c r="AD15" s="13">
        <f t="shared" si="31"/>
        <v>40.340050028</v>
      </c>
      <c r="AE15" s="13">
        <f t="shared" si="11"/>
        <v>38.97</v>
      </c>
    </row>
    <row r="16" spans="1:265" s="13" customFormat="1" ht="12.75" customHeight="1" x14ac:dyDescent="0.15">
      <c r="A16" s="11">
        <v>1</v>
      </c>
      <c r="B16" s="12" t="s">
        <v>41</v>
      </c>
      <c r="C16" s="12" t="s">
        <v>37</v>
      </c>
      <c r="D16" s="12" t="s">
        <v>17</v>
      </c>
      <c r="E16" s="12" t="s">
        <v>18</v>
      </c>
      <c r="F16" s="12" t="s">
        <v>42</v>
      </c>
      <c r="G16" s="12" t="s">
        <v>39</v>
      </c>
      <c r="H16" s="12" t="s">
        <v>21</v>
      </c>
      <c r="I16" s="11">
        <v>-153.435</v>
      </c>
      <c r="J16" s="11">
        <v>1.0629999999999999</v>
      </c>
      <c r="K16" s="11">
        <v>73.61</v>
      </c>
      <c r="L16" s="11">
        <v>26.565000000000001</v>
      </c>
      <c r="M16" s="11">
        <v>4.9073333333333302</v>
      </c>
      <c r="N16" s="11">
        <v>5.8773671101664098</v>
      </c>
      <c r="O16" s="12" t="s">
        <v>17</v>
      </c>
      <c r="P16" s="12" t="s">
        <v>37</v>
      </c>
      <c r="Q16" s="11">
        <v>176.32101330499199</v>
      </c>
      <c r="R16" s="11">
        <v>0.46364671579229</v>
      </c>
      <c r="S16" s="11"/>
      <c r="T16" s="11">
        <f t="shared" si="21"/>
        <v>0.95077652865318596</v>
      </c>
      <c r="U16" s="11">
        <f t="shared" si="22"/>
        <v>0.47538720277495611</v>
      </c>
      <c r="V16" s="11">
        <f t="shared" si="23"/>
        <v>2.4536666666666664</v>
      </c>
      <c r="W16" s="11">
        <f t="shared" si="24"/>
        <v>3.4044431953198524</v>
      </c>
      <c r="X16" s="11">
        <f t="shared" si="25"/>
        <v>3.4374738490237049</v>
      </c>
      <c r="Y16" s="11">
        <f t="shared" si="26"/>
        <v>4.9073333333333329</v>
      </c>
      <c r="Z16" s="11">
        <f t="shared" si="27"/>
        <v>5.8581098619865184</v>
      </c>
      <c r="AA16" s="11">
        <f t="shared" si="28"/>
        <v>5.8773671101664133</v>
      </c>
      <c r="AB16" s="11">
        <f t="shared" si="29"/>
        <v>103.12421547071115</v>
      </c>
      <c r="AC16" s="11">
        <f t="shared" si="30"/>
        <v>176.32101330499239</v>
      </c>
      <c r="AD16" s="13">
        <f t="shared" si="31"/>
        <v>100.505980604</v>
      </c>
      <c r="AE16" s="13">
        <f t="shared" si="11"/>
        <v>73.61</v>
      </c>
    </row>
    <row r="17" spans="1:31" s="13" customFormat="1" ht="12.75" customHeight="1" x14ac:dyDescent="0.15">
      <c r="A17" s="11">
        <v>1</v>
      </c>
      <c r="B17" s="12" t="s">
        <v>43</v>
      </c>
      <c r="C17" s="12" t="s">
        <v>37</v>
      </c>
      <c r="D17" s="12" t="s">
        <v>17</v>
      </c>
      <c r="E17" s="12" t="s">
        <v>18</v>
      </c>
      <c r="F17" s="12" t="s">
        <v>42</v>
      </c>
      <c r="G17" s="12" t="s">
        <v>39</v>
      </c>
      <c r="H17" s="12" t="s">
        <v>21</v>
      </c>
      <c r="I17" s="11">
        <v>-141.34</v>
      </c>
      <c r="J17" s="11">
        <v>0.46800000000000003</v>
      </c>
      <c r="K17" s="11">
        <v>73.61</v>
      </c>
      <c r="L17" s="11">
        <v>38.659999999999997</v>
      </c>
      <c r="M17" s="11">
        <v>4.9073333333333302</v>
      </c>
      <c r="N17" s="11">
        <v>5.2808779036132902</v>
      </c>
      <c r="O17" s="12" t="s">
        <v>17</v>
      </c>
      <c r="P17" s="12" t="s">
        <v>37</v>
      </c>
      <c r="Q17" s="11">
        <v>158.426337108399</v>
      </c>
      <c r="R17" s="11">
        <v>0.67474428882101001</v>
      </c>
      <c r="S17" s="11"/>
      <c r="T17" s="11">
        <f t="shared" si="21"/>
        <v>0.36544562441515505</v>
      </c>
      <c r="U17" s="11">
        <f t="shared" si="22"/>
        <v>0.29235850525650431</v>
      </c>
      <c r="V17" s="11">
        <f t="shared" si="23"/>
        <v>2.4536666666666664</v>
      </c>
      <c r="W17" s="11">
        <f t="shared" si="24"/>
        <v>2.8191122910818214</v>
      </c>
      <c r="X17" s="11">
        <f t="shared" si="25"/>
        <v>2.8342313958680956</v>
      </c>
      <c r="Y17" s="11">
        <f t="shared" si="26"/>
        <v>4.9073333333333329</v>
      </c>
      <c r="Z17" s="11">
        <f t="shared" si="27"/>
        <v>5.2727789577484883</v>
      </c>
      <c r="AA17" s="11">
        <f t="shared" si="28"/>
        <v>5.2808779036132858</v>
      </c>
      <c r="AB17" s="11">
        <f t="shared" si="29"/>
        <v>85.026941876042869</v>
      </c>
      <c r="AC17" s="11">
        <f t="shared" si="30"/>
        <v>158.42633710839857</v>
      </c>
      <c r="AD17" s="13">
        <f t="shared" si="31"/>
        <v>100.505980604</v>
      </c>
      <c r="AE17" s="13">
        <f t="shared" si="11"/>
        <v>73.61</v>
      </c>
    </row>
    <row r="18" spans="1:31" s="13" customFormat="1" ht="12.75" customHeight="1" x14ac:dyDescent="0.15">
      <c r="A18" s="11">
        <v>1</v>
      </c>
      <c r="B18" s="12" t="s">
        <v>44</v>
      </c>
      <c r="C18" s="12" t="s">
        <v>37</v>
      </c>
      <c r="D18" s="12" t="s">
        <v>17</v>
      </c>
      <c r="E18" s="12" t="s">
        <v>18</v>
      </c>
      <c r="F18" s="12" t="s">
        <v>42</v>
      </c>
      <c r="G18" s="12" t="s">
        <v>39</v>
      </c>
      <c r="H18" s="12" t="s">
        <v>21</v>
      </c>
      <c r="I18" s="11">
        <v>-143.61600000000001</v>
      </c>
      <c r="J18" s="11">
        <v>1.726</v>
      </c>
      <c r="K18" s="11">
        <v>73.61</v>
      </c>
      <c r="L18" s="11">
        <v>36.384</v>
      </c>
      <c r="M18" s="11">
        <v>4.9073333333333302</v>
      </c>
      <c r="N18" s="11">
        <v>6.3795608270072401</v>
      </c>
      <c r="O18" s="12" t="s">
        <v>17</v>
      </c>
      <c r="P18" s="12" t="s">
        <v>37</v>
      </c>
      <c r="Q18" s="11">
        <v>191.38682481021701</v>
      </c>
      <c r="R18" s="11">
        <v>0.63502059504562003</v>
      </c>
      <c r="S18" s="11"/>
      <c r="T18" s="11">
        <f t="shared" si="21"/>
        <v>1.3895326621084934</v>
      </c>
      <c r="U18" s="11">
        <f t="shared" si="22"/>
        <v>1.0238530074838299</v>
      </c>
      <c r="V18" s="11">
        <f t="shared" si="23"/>
        <v>2.4536666666666664</v>
      </c>
      <c r="W18" s="11">
        <f t="shared" si="24"/>
        <v>3.8431993287751598</v>
      </c>
      <c r="X18" s="11">
        <f t="shared" si="25"/>
        <v>3.9772422684105533</v>
      </c>
      <c r="Y18" s="11">
        <f t="shared" si="26"/>
        <v>4.9073333333333329</v>
      </c>
      <c r="Z18" s="11">
        <f t="shared" si="27"/>
        <v>6.2968659954418262</v>
      </c>
      <c r="AA18" s="11">
        <f t="shared" si="28"/>
        <v>6.3795608270072375</v>
      </c>
      <c r="AB18" s="11">
        <f t="shared" si="29"/>
        <v>119.31726805231659</v>
      </c>
      <c r="AC18" s="11">
        <f t="shared" si="30"/>
        <v>191.38682481021712</v>
      </c>
      <c r="AD18" s="13">
        <f t="shared" si="31"/>
        <v>100.505980604</v>
      </c>
      <c r="AE18" s="13">
        <f t="shared" si="11"/>
        <v>73.61</v>
      </c>
    </row>
    <row r="19" spans="1:31" s="13" customFormat="1" ht="12.75" customHeight="1" x14ac:dyDescent="0.15">
      <c r="A19" s="11">
        <v>1</v>
      </c>
      <c r="B19" s="12" t="s">
        <v>45</v>
      </c>
      <c r="C19" s="12" t="s">
        <v>37</v>
      </c>
      <c r="D19" s="12" t="s">
        <v>17</v>
      </c>
      <c r="E19" s="12" t="s">
        <v>18</v>
      </c>
      <c r="F19" s="12" t="s">
        <v>42</v>
      </c>
      <c r="G19" s="12" t="s">
        <v>39</v>
      </c>
      <c r="H19" s="12" t="s">
        <v>21</v>
      </c>
      <c r="I19" s="11">
        <v>157.69399999999999</v>
      </c>
      <c r="J19" s="11">
        <v>1.542</v>
      </c>
      <c r="K19" s="11">
        <v>73.61</v>
      </c>
      <c r="L19" s="11">
        <v>22.306000000000001</v>
      </c>
      <c r="M19" s="11">
        <v>4.9073333333333302</v>
      </c>
      <c r="N19" s="11">
        <v>6.3609281327016802</v>
      </c>
      <c r="O19" s="12" t="s">
        <v>17</v>
      </c>
      <c r="P19" s="12" t="s">
        <v>37</v>
      </c>
      <c r="Q19" s="11">
        <v>190.82784398104999</v>
      </c>
      <c r="R19" s="11">
        <v>0.38931314294986002</v>
      </c>
      <c r="S19" s="11"/>
      <c r="T19" s="11">
        <f t="shared" si="21"/>
        <v>1.4266121041588626</v>
      </c>
      <c r="U19" s="11">
        <f t="shared" si="22"/>
        <v>0.5852707956727573</v>
      </c>
      <c r="V19" s="11">
        <f t="shared" si="23"/>
        <v>2.4536666666666664</v>
      </c>
      <c r="W19" s="11">
        <f t="shared" si="24"/>
        <v>3.8802787708255293</v>
      </c>
      <c r="X19" s="11">
        <f t="shared" si="25"/>
        <v>3.9241693698904871</v>
      </c>
      <c r="Y19" s="11">
        <f t="shared" si="26"/>
        <v>4.9073333333333329</v>
      </c>
      <c r="Z19" s="11">
        <f t="shared" si="27"/>
        <v>6.3339454374921953</v>
      </c>
      <c r="AA19" s="11">
        <f t="shared" si="28"/>
        <v>6.3609281327016749</v>
      </c>
      <c r="AB19" s="11">
        <f t="shared" si="29"/>
        <v>117.72508109671462</v>
      </c>
      <c r="AC19" s="11">
        <f t="shared" si="30"/>
        <v>190.82784398105025</v>
      </c>
      <c r="AD19" s="13">
        <f t="shared" si="31"/>
        <v>100.505980604</v>
      </c>
      <c r="AE19" s="13">
        <f t="shared" si="11"/>
        <v>73.61</v>
      </c>
    </row>
    <row r="20" spans="1:31" s="13" customFormat="1" ht="12.75" customHeight="1" x14ac:dyDescent="0.15">
      <c r="A20" s="11">
        <v>1</v>
      </c>
      <c r="B20" s="12" t="s">
        <v>46</v>
      </c>
      <c r="C20" s="12" t="s">
        <v>37</v>
      </c>
      <c r="D20" s="12" t="s">
        <v>17</v>
      </c>
      <c r="E20" s="12" t="s">
        <v>18</v>
      </c>
      <c r="F20" s="12" t="s">
        <v>25</v>
      </c>
      <c r="G20" s="12" t="s">
        <v>39</v>
      </c>
      <c r="H20" s="12" t="s">
        <v>21</v>
      </c>
      <c r="I20" s="11">
        <v>171.87</v>
      </c>
      <c r="J20" s="11">
        <v>0.77600000000000002</v>
      </c>
      <c r="K20" s="11">
        <v>82.27</v>
      </c>
      <c r="L20" s="11">
        <v>8.1300000000000008</v>
      </c>
      <c r="M20" s="11">
        <v>5.4846666666666701</v>
      </c>
      <c r="N20" s="11">
        <v>6.2538306112926199</v>
      </c>
      <c r="O20" s="12" t="s">
        <v>17</v>
      </c>
      <c r="P20" s="12" t="s">
        <v>37</v>
      </c>
      <c r="Q20" s="11">
        <v>187.61491833877901</v>
      </c>
      <c r="R20" s="11">
        <v>0.14189526818713999</v>
      </c>
      <c r="S20" s="11"/>
      <c r="T20" s="11">
        <f t="shared" si="21"/>
        <v>0.76820100312655382</v>
      </c>
      <c r="U20" s="11">
        <f t="shared" si="22"/>
        <v>0.10974160011297675</v>
      </c>
      <c r="V20" s="11">
        <f t="shared" si="23"/>
        <v>2.7423333333333333</v>
      </c>
      <c r="W20" s="11">
        <f t="shared" si="24"/>
        <v>3.5105343364598873</v>
      </c>
      <c r="X20" s="11">
        <f t="shared" si="25"/>
        <v>3.5122492147140156</v>
      </c>
      <c r="Y20" s="11">
        <f t="shared" si="26"/>
        <v>5.4846666666666666</v>
      </c>
      <c r="Z20" s="11">
        <f t="shared" si="27"/>
        <v>6.2528676697932202</v>
      </c>
      <c r="AA20" s="11">
        <f t="shared" si="28"/>
        <v>6.2538306112926225</v>
      </c>
      <c r="AB20" s="11">
        <f t="shared" si="29"/>
        <v>105.36747644142046</v>
      </c>
      <c r="AC20" s="11">
        <f t="shared" si="30"/>
        <v>187.61491833877866</v>
      </c>
      <c r="AD20" s="13">
        <f t="shared" si="31"/>
        <v>115.54746324799999</v>
      </c>
      <c r="AE20" s="13">
        <f t="shared" si="11"/>
        <v>82.27</v>
      </c>
    </row>
    <row r="21" spans="1:31" s="13" customFormat="1" ht="12.75" customHeight="1" x14ac:dyDescent="0.15">
      <c r="A21" s="11">
        <v>1</v>
      </c>
      <c r="B21" s="12" t="s">
        <v>47</v>
      </c>
      <c r="C21" s="12" t="s">
        <v>37</v>
      </c>
      <c r="D21" s="12" t="s">
        <v>17</v>
      </c>
      <c r="E21" s="12" t="s">
        <v>18</v>
      </c>
      <c r="F21" s="12" t="s">
        <v>25</v>
      </c>
      <c r="G21" s="12" t="s">
        <v>39</v>
      </c>
      <c r="H21" s="12" t="s">
        <v>21</v>
      </c>
      <c r="I21" s="11">
        <v>157.249</v>
      </c>
      <c r="J21" s="11">
        <v>1.2290000000000001</v>
      </c>
      <c r="K21" s="11">
        <v>82.27</v>
      </c>
      <c r="L21" s="11">
        <v>22.751000000000001</v>
      </c>
      <c r="M21" s="11">
        <v>5.4846666666666701</v>
      </c>
      <c r="N21" s="11">
        <v>6.6350882622810499</v>
      </c>
      <c r="O21" s="12" t="s">
        <v>17</v>
      </c>
      <c r="P21" s="12" t="s">
        <v>37</v>
      </c>
      <c r="Q21" s="11">
        <v>199.05264786843199</v>
      </c>
      <c r="R21" s="11">
        <v>0.39707985812122998</v>
      </c>
      <c r="S21" s="11"/>
      <c r="T21" s="11">
        <f t="shared" si="21"/>
        <v>1.1333766990229139</v>
      </c>
      <c r="U21" s="11">
        <f t="shared" si="22"/>
        <v>0.47528755307910536</v>
      </c>
      <c r="V21" s="11">
        <f t="shared" si="23"/>
        <v>2.7423333333333333</v>
      </c>
      <c r="W21" s="11">
        <f t="shared" si="24"/>
        <v>3.8757100323562472</v>
      </c>
      <c r="X21" s="11">
        <f t="shared" si="25"/>
        <v>3.9047441033976589</v>
      </c>
      <c r="Y21" s="11">
        <f t="shared" si="26"/>
        <v>5.4846666666666666</v>
      </c>
      <c r="Z21" s="11">
        <f t="shared" si="27"/>
        <v>6.6180433656895801</v>
      </c>
      <c r="AA21" s="11">
        <f t="shared" si="28"/>
        <v>6.6350882622810516</v>
      </c>
      <c r="AB21" s="11">
        <f t="shared" si="29"/>
        <v>117.14232310192976</v>
      </c>
      <c r="AC21" s="11">
        <f t="shared" si="30"/>
        <v>199.05264786843156</v>
      </c>
      <c r="AD21" s="13">
        <f t="shared" si="31"/>
        <v>115.54746324799999</v>
      </c>
      <c r="AE21" s="13">
        <f t="shared" si="11"/>
        <v>82.27</v>
      </c>
    </row>
    <row r="22" spans="1:31" s="13" customFormat="1" ht="12.75" customHeight="1" x14ac:dyDescent="0.15">
      <c r="A22" s="11">
        <v>1</v>
      </c>
      <c r="B22" s="12" t="s">
        <v>48</v>
      </c>
      <c r="C22" s="12" t="s">
        <v>37</v>
      </c>
      <c r="D22" s="12" t="s">
        <v>17</v>
      </c>
      <c r="E22" s="12" t="s">
        <v>18</v>
      </c>
      <c r="F22" s="12" t="s">
        <v>25</v>
      </c>
      <c r="G22" s="12" t="s">
        <v>39</v>
      </c>
      <c r="H22" s="12" t="s">
        <v>21</v>
      </c>
      <c r="I22" s="11">
        <v>-143.61600000000001</v>
      </c>
      <c r="J22" s="11">
        <v>1.726</v>
      </c>
      <c r="K22" s="11">
        <v>82.27</v>
      </c>
      <c r="L22" s="11">
        <v>36.384</v>
      </c>
      <c r="M22" s="11">
        <v>5.4846666666666701</v>
      </c>
      <c r="N22" s="11">
        <v>6.9500281576887604</v>
      </c>
      <c r="O22" s="12" t="s">
        <v>17</v>
      </c>
      <c r="P22" s="12" t="s">
        <v>37</v>
      </c>
      <c r="Q22" s="11">
        <v>208.500844730663</v>
      </c>
      <c r="R22" s="11">
        <v>0.63502059504562003</v>
      </c>
      <c r="S22" s="11"/>
      <c r="T22" s="11">
        <f t="shared" si="21"/>
        <v>1.3895326621084934</v>
      </c>
      <c r="U22" s="11">
        <f t="shared" si="22"/>
        <v>1.0238530074838299</v>
      </c>
      <c r="V22" s="11">
        <f t="shared" si="23"/>
        <v>2.7423333333333333</v>
      </c>
      <c r="W22" s="11">
        <f t="shared" si="24"/>
        <v>4.1318659954418262</v>
      </c>
      <c r="X22" s="11">
        <f t="shared" si="25"/>
        <v>4.2568288179373805</v>
      </c>
      <c r="Y22" s="11">
        <f t="shared" si="26"/>
        <v>5.4846666666666666</v>
      </c>
      <c r="Z22" s="11">
        <f t="shared" si="27"/>
        <v>6.8741993287751599</v>
      </c>
      <c r="AA22" s="11">
        <f t="shared" si="28"/>
        <v>6.950028157688755</v>
      </c>
      <c r="AB22" s="11">
        <f t="shared" si="29"/>
        <v>127.70486453812141</v>
      </c>
      <c r="AC22" s="11">
        <f t="shared" si="30"/>
        <v>208.50084473066266</v>
      </c>
      <c r="AD22" s="13">
        <f t="shared" si="31"/>
        <v>115.54746324799999</v>
      </c>
      <c r="AE22" s="13">
        <f t="shared" si="11"/>
        <v>82.27</v>
      </c>
    </row>
    <row r="23" spans="1:31" s="13" customFormat="1" ht="12.75" customHeight="1" x14ac:dyDescent="0.15">
      <c r="A23" s="11">
        <v>1</v>
      </c>
      <c r="B23" s="12" t="s">
        <v>49</v>
      </c>
      <c r="C23" s="12" t="s">
        <v>37</v>
      </c>
      <c r="D23" s="12" t="s">
        <v>17</v>
      </c>
      <c r="E23" s="12" t="s">
        <v>18</v>
      </c>
      <c r="F23" s="12" t="s">
        <v>32</v>
      </c>
      <c r="G23" s="12" t="s">
        <v>39</v>
      </c>
      <c r="H23" s="12" t="s">
        <v>21</v>
      </c>
      <c r="I23" s="11">
        <v>118.81100000000001</v>
      </c>
      <c r="J23" s="11">
        <v>0.82399999999999995</v>
      </c>
      <c r="K23" s="11">
        <v>90.93</v>
      </c>
      <c r="L23" s="11">
        <v>61.189</v>
      </c>
      <c r="M23" s="11">
        <v>6.0620000000000003</v>
      </c>
      <c r="N23" s="11">
        <v>6.4993310916961402</v>
      </c>
      <c r="O23" s="12" t="s">
        <v>17</v>
      </c>
      <c r="P23" s="12" t="s">
        <v>37</v>
      </c>
      <c r="Q23" s="11">
        <v>194.97993275088399</v>
      </c>
      <c r="R23" s="11">
        <v>1.0679495160028101</v>
      </c>
      <c r="S23" s="11"/>
      <c r="T23" s="11">
        <f t="shared" si="21"/>
        <v>0.3971036489185254</v>
      </c>
      <c r="U23" s="11">
        <f t="shared" si="22"/>
        <v>0.72200047923501576</v>
      </c>
      <c r="V23" s="11">
        <f t="shared" si="23"/>
        <v>3.0310000000000001</v>
      </c>
      <c r="W23" s="11">
        <f t="shared" si="24"/>
        <v>3.4281036489185257</v>
      </c>
      <c r="X23" s="11">
        <f t="shared" si="25"/>
        <v>3.5033097664557302</v>
      </c>
      <c r="Y23" s="11">
        <f t="shared" si="26"/>
        <v>6.0620000000000003</v>
      </c>
      <c r="Z23" s="11">
        <f t="shared" si="27"/>
        <v>6.4591036489185258</v>
      </c>
      <c r="AA23" s="11">
        <f t="shared" si="28"/>
        <v>6.4993310916961455</v>
      </c>
      <c r="AB23" s="11">
        <f t="shared" si="29"/>
        <v>105.09929299367191</v>
      </c>
      <c r="AC23" s="11">
        <f t="shared" si="30"/>
        <v>194.97993275088436</v>
      </c>
      <c r="AD23" s="13">
        <f t="shared" si="31"/>
        <v>130.588945892</v>
      </c>
      <c r="AE23" s="13">
        <f t="shared" si="11"/>
        <v>90.93</v>
      </c>
    </row>
    <row r="24" spans="1:31" s="13" customFormat="1" ht="12.75" customHeight="1" x14ac:dyDescent="0.15">
      <c r="A24" s="11">
        <v>1</v>
      </c>
      <c r="B24" s="12" t="s">
        <v>50</v>
      </c>
      <c r="C24" s="12" t="s">
        <v>37</v>
      </c>
      <c r="D24" s="12" t="s">
        <v>17</v>
      </c>
      <c r="E24" s="12" t="s">
        <v>18</v>
      </c>
      <c r="F24" s="12" t="s">
        <v>32</v>
      </c>
      <c r="G24" s="12" t="s">
        <v>39</v>
      </c>
      <c r="H24" s="12" t="s">
        <v>21</v>
      </c>
      <c r="I24" s="11">
        <v>-157.38</v>
      </c>
      <c r="J24" s="11">
        <v>0.93500000000000005</v>
      </c>
      <c r="K24" s="11">
        <v>90.93</v>
      </c>
      <c r="L24" s="11">
        <v>22.62</v>
      </c>
      <c r="M24" s="11">
        <v>6.0620000000000003</v>
      </c>
      <c r="N24" s="11">
        <v>6.9344072088714297</v>
      </c>
      <c r="O24" s="12" t="s">
        <v>17</v>
      </c>
      <c r="P24" s="12" t="s">
        <v>37</v>
      </c>
      <c r="Q24" s="11">
        <v>208.032216266143</v>
      </c>
      <c r="R24" s="11">
        <v>0.39479347680111998</v>
      </c>
      <c r="S24" s="11"/>
      <c r="T24" s="11">
        <f t="shared" si="21"/>
        <v>0.86307607542461495</v>
      </c>
      <c r="U24" s="11">
        <f t="shared" si="22"/>
        <v>0.35961741897417127</v>
      </c>
      <c r="V24" s="11">
        <f t="shared" si="23"/>
        <v>3.0310000000000001</v>
      </c>
      <c r="W24" s="11">
        <f t="shared" si="24"/>
        <v>3.8940760754246151</v>
      </c>
      <c r="X24" s="11">
        <f t="shared" si="25"/>
        <v>3.9106461319357466</v>
      </c>
      <c r="Y24" s="11">
        <f t="shared" si="26"/>
        <v>6.0620000000000003</v>
      </c>
      <c r="Z24" s="11">
        <f t="shared" si="27"/>
        <v>6.9250760754246148</v>
      </c>
      <c r="AA24" s="11">
        <f t="shared" si="28"/>
        <v>6.9344072088714279</v>
      </c>
      <c r="AB24" s="11">
        <f t="shared" si="29"/>
        <v>117.31938395807239</v>
      </c>
      <c r="AC24" s="11">
        <f t="shared" si="30"/>
        <v>208.03221626614283</v>
      </c>
      <c r="AD24" s="13">
        <f t="shared" si="31"/>
        <v>130.588945892</v>
      </c>
      <c r="AE24" s="13">
        <f t="shared" si="11"/>
        <v>90.93</v>
      </c>
    </row>
    <row r="25" spans="1:31" s="13" customFormat="1" ht="12.75" customHeight="1" x14ac:dyDescent="0.15">
      <c r="A25" s="11">
        <v>1</v>
      </c>
      <c r="B25" s="12" t="s">
        <v>51</v>
      </c>
      <c r="C25" s="12" t="s">
        <v>37</v>
      </c>
      <c r="D25" s="12" t="s">
        <v>17</v>
      </c>
      <c r="E25" s="12" t="s">
        <v>18</v>
      </c>
      <c r="F25" s="12" t="s">
        <v>32</v>
      </c>
      <c r="G25" s="12" t="s">
        <v>39</v>
      </c>
      <c r="H25" s="12" t="s">
        <v>21</v>
      </c>
      <c r="I25" s="11">
        <v>120.735</v>
      </c>
      <c r="J25" s="11">
        <v>1.5740000000000001</v>
      </c>
      <c r="K25" s="11">
        <v>90.93</v>
      </c>
      <c r="L25" s="11">
        <v>59.265000000000001</v>
      </c>
      <c r="M25" s="11">
        <v>6.0620000000000003</v>
      </c>
      <c r="N25" s="11">
        <v>6.9984371149245801</v>
      </c>
      <c r="O25" s="12" t="s">
        <v>17</v>
      </c>
      <c r="P25" s="12" t="s">
        <v>37</v>
      </c>
      <c r="Q25" s="11">
        <v>209.95311344773799</v>
      </c>
      <c r="R25" s="11">
        <v>1.0343693811944401</v>
      </c>
      <c r="S25" s="11"/>
      <c r="T25" s="11">
        <f t="shared" si="21"/>
        <v>0.80442115238814982</v>
      </c>
      <c r="U25" s="11">
        <f t="shared" si="22"/>
        <v>1.3529163350298203</v>
      </c>
      <c r="V25" s="11">
        <f t="shared" si="23"/>
        <v>3.0310000000000001</v>
      </c>
      <c r="W25" s="11">
        <f t="shared" si="24"/>
        <v>3.8354211523881498</v>
      </c>
      <c r="X25" s="11">
        <f t="shared" si="25"/>
        <v>4.0670429092618345</v>
      </c>
      <c r="Y25" s="11">
        <f t="shared" si="26"/>
        <v>6.0620000000000003</v>
      </c>
      <c r="Z25" s="11">
        <f t="shared" si="27"/>
        <v>6.86642115238815</v>
      </c>
      <c r="AA25" s="11">
        <f t="shared" si="28"/>
        <v>6.9984371149245836</v>
      </c>
      <c r="AB25" s="11">
        <f t="shared" si="29"/>
        <v>122.01128727785503</v>
      </c>
      <c r="AC25" s="11">
        <f t="shared" si="30"/>
        <v>209.95311344773751</v>
      </c>
      <c r="AD25" s="13">
        <f t="shared" si="31"/>
        <v>130.588945892</v>
      </c>
      <c r="AE25" s="13">
        <f t="shared" si="11"/>
        <v>90.93</v>
      </c>
    </row>
    <row r="26" spans="1:31" s="13" customFormat="1" ht="12.75" customHeight="1" x14ac:dyDescent="0.15">
      <c r="A26" s="11">
        <v>1</v>
      </c>
      <c r="B26" s="12" t="s">
        <v>52</v>
      </c>
      <c r="C26" s="12" t="s">
        <v>37</v>
      </c>
      <c r="D26" s="12" t="s">
        <v>17</v>
      </c>
      <c r="E26" s="12" t="s">
        <v>18</v>
      </c>
      <c r="F26" s="12" t="s">
        <v>32</v>
      </c>
      <c r="G26" s="12" t="s">
        <v>39</v>
      </c>
      <c r="H26" s="12" t="s">
        <v>21</v>
      </c>
      <c r="I26" s="11">
        <v>-147.095</v>
      </c>
      <c r="J26" s="11">
        <v>0.74099999999999999</v>
      </c>
      <c r="K26" s="11">
        <v>90.93</v>
      </c>
      <c r="L26" s="11">
        <v>32.905000000000001</v>
      </c>
      <c r="M26" s="11">
        <v>6.0620000000000003</v>
      </c>
      <c r="N26" s="11">
        <v>6.6962337619029801</v>
      </c>
      <c r="O26" s="12" t="s">
        <v>17</v>
      </c>
      <c r="P26" s="12" t="s">
        <v>37</v>
      </c>
      <c r="Q26" s="11">
        <v>200.88701285708899</v>
      </c>
      <c r="R26" s="11">
        <v>0.57430059036873005</v>
      </c>
      <c r="S26" s="11"/>
      <c r="T26" s="11">
        <f t="shared" si="21"/>
        <v>0.6221231931746406</v>
      </c>
      <c r="U26" s="11">
        <f t="shared" si="22"/>
        <v>0.40254655943653134</v>
      </c>
      <c r="V26" s="11">
        <f t="shared" si="23"/>
        <v>3.0310000000000001</v>
      </c>
      <c r="W26" s="11">
        <f t="shared" si="24"/>
        <v>3.6531231931746406</v>
      </c>
      <c r="X26" s="11">
        <f t="shared" si="25"/>
        <v>3.6752350669072409</v>
      </c>
      <c r="Y26" s="11">
        <f t="shared" si="26"/>
        <v>6.0620000000000003</v>
      </c>
      <c r="Z26" s="11">
        <f t="shared" si="27"/>
        <v>6.6841231931746412</v>
      </c>
      <c r="AA26" s="11">
        <f t="shared" si="28"/>
        <v>6.696233761902981</v>
      </c>
      <c r="AB26" s="11">
        <f t="shared" si="29"/>
        <v>110.25705200721723</v>
      </c>
      <c r="AC26" s="11">
        <f t="shared" si="30"/>
        <v>200.88701285708942</v>
      </c>
      <c r="AD26" s="13">
        <f t="shared" si="31"/>
        <v>130.588945892</v>
      </c>
      <c r="AE26" s="13">
        <f t="shared" si="11"/>
        <v>90.93</v>
      </c>
    </row>
    <row r="27" spans="1:31" s="13" customFormat="1" ht="12.75" customHeight="1" x14ac:dyDescent="0.15">
      <c r="A27" s="11">
        <v>1</v>
      </c>
      <c r="B27" s="12" t="s">
        <v>53</v>
      </c>
      <c r="C27" s="12" t="s">
        <v>37</v>
      </c>
      <c r="D27" s="12" t="s">
        <v>17</v>
      </c>
      <c r="E27" s="12" t="s">
        <v>18</v>
      </c>
      <c r="F27" s="12" t="s">
        <v>32</v>
      </c>
      <c r="G27" s="12" t="s">
        <v>39</v>
      </c>
      <c r="H27" s="12" t="s">
        <v>21</v>
      </c>
      <c r="I27" s="11">
        <v>-126.87</v>
      </c>
      <c r="J27" s="11">
        <v>0.91400000000000003</v>
      </c>
      <c r="K27" s="11">
        <v>90.93</v>
      </c>
      <c r="L27" s="11">
        <v>53.13</v>
      </c>
      <c r="M27" s="11">
        <v>6.0620000000000003</v>
      </c>
      <c r="N27" s="11">
        <v>6.6507185654408199</v>
      </c>
      <c r="O27" s="12" t="s">
        <v>17</v>
      </c>
      <c r="P27" s="12" t="s">
        <v>37</v>
      </c>
      <c r="Q27" s="11">
        <v>199.52155696322501</v>
      </c>
      <c r="R27" s="11">
        <v>0.92729343158458999</v>
      </c>
      <c r="S27" s="11"/>
      <c r="T27" s="11">
        <f t="shared" si="21"/>
        <v>0.54840130622725358</v>
      </c>
      <c r="U27" s="11">
        <f t="shared" si="22"/>
        <v>0.73119902032773687</v>
      </c>
      <c r="V27" s="11">
        <f t="shared" si="23"/>
        <v>3.0310000000000001</v>
      </c>
      <c r="W27" s="11">
        <f t="shared" si="24"/>
        <v>3.5794013062272536</v>
      </c>
      <c r="X27" s="11">
        <f t="shared" si="25"/>
        <v>3.6533225587606704</v>
      </c>
      <c r="Y27" s="11">
        <f t="shared" si="26"/>
        <v>6.0620000000000003</v>
      </c>
      <c r="Z27" s="11">
        <f t="shared" si="27"/>
        <v>6.6104013062272537</v>
      </c>
      <c r="AA27" s="11">
        <f t="shared" si="28"/>
        <v>6.6507185654408216</v>
      </c>
      <c r="AB27" s="11">
        <f t="shared" si="29"/>
        <v>109.59967676282011</v>
      </c>
      <c r="AC27" s="11">
        <f t="shared" si="30"/>
        <v>199.52155696322464</v>
      </c>
      <c r="AD27" s="13">
        <f t="shared" si="31"/>
        <v>130.588945892</v>
      </c>
      <c r="AE27" s="13">
        <f t="shared" si="11"/>
        <v>90.93</v>
      </c>
    </row>
    <row r="28" spans="1:31" s="13" customFormat="1" ht="12.75" customHeight="1" x14ac:dyDescent="0.15">
      <c r="A28" s="11">
        <v>1</v>
      </c>
      <c r="B28" s="12" t="s">
        <v>54</v>
      </c>
      <c r="C28" s="12" t="s">
        <v>37</v>
      </c>
      <c r="D28" s="12" t="s">
        <v>17</v>
      </c>
      <c r="E28" s="12" t="s">
        <v>18</v>
      </c>
      <c r="F28" s="12" t="s">
        <v>55</v>
      </c>
      <c r="G28" s="12" t="s">
        <v>39</v>
      </c>
      <c r="H28" s="12" t="s">
        <v>21</v>
      </c>
      <c r="I28" s="11">
        <v>168.69</v>
      </c>
      <c r="J28" s="11">
        <v>0.57699999999999996</v>
      </c>
      <c r="K28" s="11">
        <v>99.59</v>
      </c>
      <c r="L28" s="11">
        <v>11.31</v>
      </c>
      <c r="M28" s="11">
        <v>6.6393333333333304</v>
      </c>
      <c r="N28" s="11">
        <v>7.2060168060543104</v>
      </c>
      <c r="O28" s="12" t="s">
        <v>17</v>
      </c>
      <c r="P28" s="12" t="s">
        <v>37</v>
      </c>
      <c r="Q28" s="11">
        <v>216.180504181629</v>
      </c>
      <c r="R28" s="11">
        <v>0.19739673840055999</v>
      </c>
      <c r="S28" s="11"/>
      <c r="T28" s="11">
        <f t="shared" si="21"/>
        <v>0.56579491650963998</v>
      </c>
      <c r="U28" s="11">
        <f t="shared" si="22"/>
        <v>0.11315967679279319</v>
      </c>
      <c r="V28" s="11">
        <f t="shared" si="23"/>
        <v>3.319666666666667</v>
      </c>
      <c r="W28" s="11">
        <f t="shared" si="24"/>
        <v>3.8854615831763071</v>
      </c>
      <c r="X28" s="11">
        <f t="shared" si="25"/>
        <v>3.8871090577434</v>
      </c>
      <c r="Y28" s="11">
        <f t="shared" si="26"/>
        <v>6.639333333333334</v>
      </c>
      <c r="Z28" s="11">
        <f t="shared" si="27"/>
        <v>7.2051282498429741</v>
      </c>
      <c r="AA28" s="11">
        <f t="shared" si="28"/>
        <v>7.2060168060543077</v>
      </c>
      <c r="AB28" s="11">
        <f t="shared" si="29"/>
        <v>116.613271732302</v>
      </c>
      <c r="AC28" s="11">
        <f t="shared" si="30"/>
        <v>216.18050418162923</v>
      </c>
      <c r="AD28" s="13">
        <f t="shared" si="31"/>
        <v>145.63042853599998</v>
      </c>
      <c r="AE28" s="13">
        <f t="shared" si="11"/>
        <v>99.59</v>
      </c>
    </row>
    <row r="29" spans="1:31" s="13" customFormat="1" ht="12.75" customHeight="1" x14ac:dyDescent="0.15">
      <c r="A29" s="11">
        <v>1</v>
      </c>
      <c r="B29" s="12" t="s">
        <v>56</v>
      </c>
      <c r="C29" s="12" t="s">
        <v>37</v>
      </c>
      <c r="D29" s="12" t="s">
        <v>17</v>
      </c>
      <c r="E29" s="12" t="s">
        <v>18</v>
      </c>
      <c r="F29" s="12" t="s">
        <v>55</v>
      </c>
      <c r="G29" s="12" t="s">
        <v>39</v>
      </c>
      <c r="H29" s="12" t="s">
        <v>21</v>
      </c>
      <c r="I29" s="11">
        <v>-131.18600000000001</v>
      </c>
      <c r="J29" s="11">
        <v>0.76500000000000001</v>
      </c>
      <c r="K29" s="11">
        <v>99.59</v>
      </c>
      <c r="L29" s="11">
        <v>48.814</v>
      </c>
      <c r="M29" s="11">
        <v>6.6393333333333304</v>
      </c>
      <c r="N29" s="11">
        <v>7.1662535842367001</v>
      </c>
      <c r="O29" s="12" t="s">
        <v>17</v>
      </c>
      <c r="P29" s="12" t="s">
        <v>37</v>
      </c>
      <c r="Q29" s="11">
        <v>214.98760752710101</v>
      </c>
      <c r="R29" s="11">
        <v>0.85196502106851002</v>
      </c>
      <c r="S29" s="11"/>
      <c r="T29" s="11">
        <f t="shared" si="21"/>
        <v>0.50375677697114918</v>
      </c>
      <c r="U29" s="11">
        <f t="shared" si="22"/>
        <v>0.57572051349212827</v>
      </c>
      <c r="V29" s="11">
        <f t="shared" si="23"/>
        <v>3.319666666666667</v>
      </c>
      <c r="W29" s="11">
        <f t="shared" si="24"/>
        <v>3.8234234436378163</v>
      </c>
      <c r="X29" s="11">
        <f t="shared" si="25"/>
        <v>3.8665256935671457</v>
      </c>
      <c r="Y29" s="11">
        <f t="shared" si="26"/>
        <v>6.639333333333334</v>
      </c>
      <c r="Z29" s="11">
        <f t="shared" si="27"/>
        <v>7.1430901103044828</v>
      </c>
      <c r="AA29" s="11">
        <f t="shared" si="28"/>
        <v>7.1662535842367001</v>
      </c>
      <c r="AB29" s="11">
        <f t="shared" si="29"/>
        <v>115.99577080701437</v>
      </c>
      <c r="AC29" s="11">
        <f t="shared" si="30"/>
        <v>214.98760752710101</v>
      </c>
      <c r="AD29" s="13">
        <f t="shared" si="31"/>
        <v>145.63042853599998</v>
      </c>
      <c r="AE29" s="13">
        <f t="shared" si="11"/>
        <v>99.59</v>
      </c>
    </row>
    <row r="30" spans="1:31" s="13" customFormat="1" ht="12.75" customHeight="1" x14ac:dyDescent="0.15">
      <c r="A30" s="11">
        <v>1</v>
      </c>
      <c r="B30" s="12" t="s">
        <v>57</v>
      </c>
      <c r="C30" s="12" t="s">
        <v>37</v>
      </c>
      <c r="D30" s="12" t="s">
        <v>17</v>
      </c>
      <c r="E30" s="12" t="s">
        <v>18</v>
      </c>
      <c r="F30" s="12" t="s">
        <v>55</v>
      </c>
      <c r="G30" s="12" t="s">
        <v>39</v>
      </c>
      <c r="H30" s="12" t="s">
        <v>21</v>
      </c>
      <c r="I30" s="11">
        <v>138.81399999999999</v>
      </c>
      <c r="J30" s="11">
        <v>0.77</v>
      </c>
      <c r="K30" s="11">
        <v>99.59</v>
      </c>
      <c r="L30" s="11">
        <v>41.186</v>
      </c>
      <c r="M30" s="11">
        <v>6.6393333333333304</v>
      </c>
      <c r="N30" s="11">
        <v>7.2366023741243701</v>
      </c>
      <c r="O30" s="12" t="s">
        <v>17</v>
      </c>
      <c r="P30" s="12" t="s">
        <v>37</v>
      </c>
      <c r="Q30" s="11">
        <v>217.09807122373101</v>
      </c>
      <c r="R30" s="11">
        <v>0.71883130572637999</v>
      </c>
      <c r="S30" s="11"/>
      <c r="T30" s="11">
        <f t="shared" si="21"/>
        <v>0.57948339266527948</v>
      </c>
      <c r="U30" s="11">
        <f t="shared" si="22"/>
        <v>0.50704930492520894</v>
      </c>
      <c r="V30" s="11">
        <f t="shared" si="23"/>
        <v>3.319666666666667</v>
      </c>
      <c r="W30" s="11">
        <f t="shared" si="24"/>
        <v>3.8991500593319466</v>
      </c>
      <c r="X30" s="11">
        <f t="shared" si="25"/>
        <v>3.9319804402887688</v>
      </c>
      <c r="Y30" s="11">
        <f t="shared" si="26"/>
        <v>6.639333333333334</v>
      </c>
      <c r="Z30" s="11">
        <f t="shared" si="27"/>
        <v>7.2188167259986136</v>
      </c>
      <c r="AA30" s="11">
        <f t="shared" si="28"/>
        <v>7.236602374124371</v>
      </c>
      <c r="AB30" s="11">
        <f t="shared" si="29"/>
        <v>117.95941320866307</v>
      </c>
      <c r="AC30" s="11">
        <f t="shared" si="30"/>
        <v>217.09807122373113</v>
      </c>
      <c r="AD30" s="13">
        <f t="shared" si="31"/>
        <v>145.63042853599998</v>
      </c>
      <c r="AE30" s="13">
        <f t="shared" si="11"/>
        <v>99.59</v>
      </c>
    </row>
    <row r="31" spans="1:31" s="13" customFormat="1" ht="12.75" customHeight="1" x14ac:dyDescent="0.15">
      <c r="A31" s="11">
        <v>1</v>
      </c>
      <c r="B31" s="12" t="s">
        <v>58</v>
      </c>
      <c r="C31" s="12" t="s">
        <v>37</v>
      </c>
      <c r="D31" s="12" t="s">
        <v>17</v>
      </c>
      <c r="E31" s="12" t="s">
        <v>18</v>
      </c>
      <c r="F31" s="12" t="s">
        <v>55</v>
      </c>
      <c r="G31" s="12" t="s">
        <v>39</v>
      </c>
      <c r="H31" s="12" t="s">
        <v>21</v>
      </c>
      <c r="I31" s="11">
        <v>-147.381</v>
      </c>
      <c r="J31" s="11">
        <v>1.0580000000000001</v>
      </c>
      <c r="K31" s="11">
        <v>99.59</v>
      </c>
      <c r="L31" s="11">
        <v>32.619</v>
      </c>
      <c r="M31" s="11">
        <v>6.6393333333333304</v>
      </c>
      <c r="N31" s="11">
        <v>7.5520242583824198</v>
      </c>
      <c r="O31" s="12" t="s">
        <v>17</v>
      </c>
      <c r="P31" s="12" t="s">
        <v>37</v>
      </c>
      <c r="Q31" s="11">
        <v>226.560727751473</v>
      </c>
      <c r="R31" s="11">
        <v>0.56930894870802995</v>
      </c>
      <c r="S31" s="11"/>
      <c r="T31" s="11">
        <f t="shared" si="21"/>
        <v>0.89112556140818056</v>
      </c>
      <c r="U31" s="11">
        <f t="shared" si="22"/>
        <v>0.5703150303165393</v>
      </c>
      <c r="V31" s="11">
        <f t="shared" si="23"/>
        <v>3.319666666666667</v>
      </c>
      <c r="W31" s="11">
        <f t="shared" si="24"/>
        <v>4.2107922280748475</v>
      </c>
      <c r="X31" s="11">
        <f t="shared" si="25"/>
        <v>4.249238804988547</v>
      </c>
      <c r="Y31" s="11">
        <f t="shared" si="26"/>
        <v>6.639333333333334</v>
      </c>
      <c r="Z31" s="11">
        <f t="shared" si="27"/>
        <v>7.5304588947415141</v>
      </c>
      <c r="AA31" s="11">
        <f t="shared" si="28"/>
        <v>7.5520242583824198</v>
      </c>
      <c r="AB31" s="11">
        <f t="shared" si="29"/>
        <v>127.4771641496564</v>
      </c>
      <c r="AC31" s="11">
        <f t="shared" si="30"/>
        <v>226.5607277514726</v>
      </c>
      <c r="AD31" s="13">
        <f t="shared" si="31"/>
        <v>145.63042853599998</v>
      </c>
      <c r="AE31" s="13">
        <f t="shared" si="11"/>
        <v>99.59</v>
      </c>
    </row>
    <row r="32" spans="1:31" s="13" customFormat="1" ht="12.75" customHeight="1" x14ac:dyDescent="0.15">
      <c r="A32" s="11">
        <v>1</v>
      </c>
      <c r="B32" s="12" t="s">
        <v>59</v>
      </c>
      <c r="C32" s="12" t="s">
        <v>37</v>
      </c>
      <c r="D32" s="12" t="s">
        <v>17</v>
      </c>
      <c r="E32" s="12" t="s">
        <v>18</v>
      </c>
      <c r="F32" s="12" t="s">
        <v>55</v>
      </c>
      <c r="G32" s="12" t="s">
        <v>39</v>
      </c>
      <c r="H32" s="12" t="s">
        <v>21</v>
      </c>
      <c r="I32" s="11">
        <v>-158.19900000000001</v>
      </c>
      <c r="J32" s="11">
        <v>0.77100000000000002</v>
      </c>
      <c r="K32" s="11">
        <v>99.59</v>
      </c>
      <c r="L32" s="11">
        <v>21.800999999999998</v>
      </c>
      <c r="M32" s="11">
        <v>6.6393333333333304</v>
      </c>
      <c r="N32" s="11">
        <v>7.3607623403961098</v>
      </c>
      <c r="O32" s="12" t="s">
        <v>17</v>
      </c>
      <c r="P32" s="12" t="s">
        <v>37</v>
      </c>
      <c r="Q32" s="11">
        <v>220.82287021188299</v>
      </c>
      <c r="R32" s="11">
        <v>0.38049923022727999</v>
      </c>
      <c r="S32" s="11"/>
      <c r="T32" s="11">
        <f t="shared" si="21"/>
        <v>0.71585757510913195</v>
      </c>
      <c r="U32" s="11">
        <f t="shared" si="22"/>
        <v>0.28633709532450297</v>
      </c>
      <c r="V32" s="11">
        <f t="shared" si="23"/>
        <v>3.319666666666667</v>
      </c>
      <c r="W32" s="11">
        <f t="shared" si="24"/>
        <v>4.035524241775799</v>
      </c>
      <c r="X32" s="11">
        <f t="shared" si="25"/>
        <v>4.0456698874375565</v>
      </c>
      <c r="Y32" s="11">
        <f t="shared" si="26"/>
        <v>6.639333333333334</v>
      </c>
      <c r="Z32" s="11">
        <f t="shared" si="27"/>
        <v>7.3551909084424656</v>
      </c>
      <c r="AA32" s="11">
        <f t="shared" si="28"/>
        <v>7.3607623403961071</v>
      </c>
      <c r="AB32" s="11">
        <f t="shared" si="29"/>
        <v>121.3700966231267</v>
      </c>
      <c r="AC32" s="11">
        <f t="shared" si="30"/>
        <v>220.82287021188321</v>
      </c>
      <c r="AD32" s="13">
        <f t="shared" si="31"/>
        <v>145.63042853599998</v>
      </c>
      <c r="AE32" s="13">
        <f t="shared" si="11"/>
        <v>99.59</v>
      </c>
    </row>
    <row r="33" spans="1:36" s="13" customFormat="1" ht="12.75" customHeight="1" x14ac:dyDescent="0.15">
      <c r="A33" s="11">
        <v>1</v>
      </c>
      <c r="B33" s="12" t="s">
        <v>60</v>
      </c>
      <c r="C33" s="12" t="s">
        <v>37</v>
      </c>
      <c r="D33" s="12" t="s">
        <v>17</v>
      </c>
      <c r="E33" s="12" t="s">
        <v>18</v>
      </c>
      <c r="F33" s="12" t="s">
        <v>55</v>
      </c>
      <c r="G33" s="12" t="s">
        <v>39</v>
      </c>
      <c r="H33" s="12" t="s">
        <v>21</v>
      </c>
      <c r="I33" s="11">
        <v>-131.18600000000001</v>
      </c>
      <c r="J33" s="11">
        <v>0.40699999999999997</v>
      </c>
      <c r="K33" s="11">
        <v>99.59</v>
      </c>
      <c r="L33" s="11">
        <v>48.814</v>
      </c>
      <c r="M33" s="11">
        <v>6.6393333333333304</v>
      </c>
      <c r="N33" s="11">
        <v>6.91413299989176</v>
      </c>
      <c r="O33" s="12" t="s">
        <v>17</v>
      </c>
      <c r="P33" s="12" t="s">
        <v>37</v>
      </c>
      <c r="Q33" s="11">
        <v>207.42398999675299</v>
      </c>
      <c r="R33" s="11">
        <v>0.85196502106851002</v>
      </c>
      <c r="S33" s="11"/>
      <c r="T33" s="11">
        <f t="shared" si="21"/>
        <v>0.26801177546046756</v>
      </c>
      <c r="U33" s="11">
        <f t="shared" si="22"/>
        <v>0.30629836469450483</v>
      </c>
      <c r="V33" s="11">
        <f t="shared" si="23"/>
        <v>3.319666666666667</v>
      </c>
      <c r="W33" s="11">
        <f t="shared" si="24"/>
        <v>3.5876784421271344</v>
      </c>
      <c r="X33" s="11">
        <f t="shared" si="25"/>
        <v>3.6007298277319153</v>
      </c>
      <c r="Y33" s="11">
        <f t="shared" si="26"/>
        <v>6.639333333333334</v>
      </c>
      <c r="Z33" s="11">
        <f t="shared" si="27"/>
        <v>6.9073451087938018</v>
      </c>
      <c r="AA33" s="11">
        <f t="shared" si="28"/>
        <v>6.9141329998917564</v>
      </c>
      <c r="AB33" s="11">
        <f t="shared" si="29"/>
        <v>108.02189483195745</v>
      </c>
      <c r="AC33" s="11">
        <f t="shared" si="30"/>
        <v>207.42398999675268</v>
      </c>
      <c r="AD33" s="13">
        <f t="shared" si="31"/>
        <v>145.63042853599998</v>
      </c>
      <c r="AE33" s="13">
        <f t="shared" si="11"/>
        <v>99.59</v>
      </c>
    </row>
    <row r="34" spans="1:36" s="13" customFormat="1" ht="12.75" customHeight="1" x14ac:dyDescent="0.15">
      <c r="A34" s="11">
        <v>1</v>
      </c>
      <c r="B34" s="12" t="s">
        <v>61</v>
      </c>
      <c r="C34" s="12" t="s">
        <v>37</v>
      </c>
      <c r="D34" s="12" t="s">
        <v>17</v>
      </c>
      <c r="E34" s="12" t="s">
        <v>18</v>
      </c>
      <c r="F34" s="12" t="s">
        <v>55</v>
      </c>
      <c r="G34" s="12" t="s">
        <v>39</v>
      </c>
      <c r="H34" s="12" t="s">
        <v>21</v>
      </c>
      <c r="I34" s="11">
        <v>-169.38</v>
      </c>
      <c r="J34" s="11">
        <v>0.59899999999999998</v>
      </c>
      <c r="K34" s="11">
        <v>99.59</v>
      </c>
      <c r="L34" s="11">
        <v>10.62</v>
      </c>
      <c r="M34" s="11">
        <v>6.6393333333333304</v>
      </c>
      <c r="N34" s="11">
        <v>7.2289160561860601</v>
      </c>
      <c r="O34" s="12" t="s">
        <v>17</v>
      </c>
      <c r="P34" s="12" t="s">
        <v>37</v>
      </c>
      <c r="Q34" s="11">
        <v>216.86748168558199</v>
      </c>
      <c r="R34" s="11">
        <v>0.1853539665618</v>
      </c>
      <c r="S34" s="11"/>
      <c r="T34" s="11">
        <f t="shared" si="21"/>
        <v>0.58873977580129511</v>
      </c>
      <c r="U34" s="11">
        <f t="shared" si="22"/>
        <v>0.11039237468883764</v>
      </c>
      <c r="V34" s="11">
        <f t="shared" si="23"/>
        <v>3.319666666666667</v>
      </c>
      <c r="W34" s="11">
        <f t="shared" si="24"/>
        <v>3.9084064424679621</v>
      </c>
      <c r="X34" s="11">
        <f t="shared" si="25"/>
        <v>3.909965139987122</v>
      </c>
      <c r="Y34" s="11">
        <f t="shared" si="26"/>
        <v>6.639333333333334</v>
      </c>
      <c r="Z34" s="11">
        <f t="shared" si="27"/>
        <v>7.2280731091346286</v>
      </c>
      <c r="AA34" s="11">
        <f t="shared" si="28"/>
        <v>7.2289160561860575</v>
      </c>
      <c r="AB34" s="11">
        <f t="shared" si="29"/>
        <v>117.29895419961366</v>
      </c>
      <c r="AC34" s="11">
        <f t="shared" si="30"/>
        <v>216.86748168558174</v>
      </c>
      <c r="AD34" s="13">
        <f t="shared" si="31"/>
        <v>145.63042853599998</v>
      </c>
      <c r="AE34" s="13">
        <f t="shared" si="11"/>
        <v>99.59</v>
      </c>
    </row>
    <row r="35" spans="1:36" s="13" customFormat="1" ht="12.75" customHeight="1" x14ac:dyDescent="0.15">
      <c r="A35" s="11">
        <v>1</v>
      </c>
      <c r="B35" s="12" t="s">
        <v>62</v>
      </c>
      <c r="C35" s="12" t="s">
        <v>37</v>
      </c>
      <c r="D35" s="12" t="s">
        <v>17</v>
      </c>
      <c r="E35" s="12" t="s">
        <v>18</v>
      </c>
      <c r="F35" s="12" t="s">
        <v>55</v>
      </c>
      <c r="G35" s="12" t="s">
        <v>39</v>
      </c>
      <c r="H35" s="12" t="s">
        <v>21</v>
      </c>
      <c r="I35" s="11">
        <v>143.13</v>
      </c>
      <c r="J35" s="11">
        <v>0.35899999999999999</v>
      </c>
      <c r="K35" s="11">
        <v>99.59</v>
      </c>
      <c r="L35" s="11">
        <v>36.869999999999997</v>
      </c>
      <c r="M35" s="11">
        <v>6.6393333333333304</v>
      </c>
      <c r="N35" s="11">
        <v>6.92988138918823</v>
      </c>
      <c r="O35" s="12" t="s">
        <v>17</v>
      </c>
      <c r="P35" s="12" t="s">
        <v>37</v>
      </c>
      <c r="Q35" s="11">
        <v>207.896441675647</v>
      </c>
      <c r="R35" s="11">
        <v>0.64350289521031001</v>
      </c>
      <c r="S35" s="11"/>
      <c r="T35" s="11">
        <f t="shared" si="21"/>
        <v>0.28719961520531456</v>
      </c>
      <c r="U35" s="11">
        <f t="shared" si="22"/>
        <v>0.21540051305862584</v>
      </c>
      <c r="V35" s="11">
        <f t="shared" si="23"/>
        <v>3.319666666666667</v>
      </c>
      <c r="W35" s="11">
        <f t="shared" si="24"/>
        <v>3.6068662818719814</v>
      </c>
      <c r="X35" s="11">
        <f t="shared" si="25"/>
        <v>3.6132923707238156</v>
      </c>
      <c r="Y35" s="11">
        <f t="shared" si="26"/>
        <v>6.639333333333334</v>
      </c>
      <c r="Z35" s="11">
        <f t="shared" si="27"/>
        <v>6.9265329485386484</v>
      </c>
      <c r="AA35" s="11">
        <f t="shared" si="28"/>
        <v>6.9298813891882318</v>
      </c>
      <c r="AB35" s="11">
        <f t="shared" si="29"/>
        <v>108.39877112171447</v>
      </c>
      <c r="AC35" s="11">
        <f t="shared" si="30"/>
        <v>207.89644167564694</v>
      </c>
      <c r="AD35" s="13">
        <f t="shared" si="31"/>
        <v>145.63042853599998</v>
      </c>
      <c r="AE35" s="13">
        <f t="shared" si="11"/>
        <v>99.59</v>
      </c>
    </row>
    <row r="36" spans="1:36" s="13" customFormat="1" ht="12.75" customHeight="1" x14ac:dyDescent="0.15">
      <c r="A36" s="11">
        <v>1</v>
      </c>
      <c r="B36" s="12" t="s">
        <v>63</v>
      </c>
      <c r="C36" s="12" t="s">
        <v>37</v>
      </c>
      <c r="D36" s="12" t="s">
        <v>17</v>
      </c>
      <c r="E36" s="12" t="s">
        <v>18</v>
      </c>
      <c r="F36" s="12" t="s">
        <v>55</v>
      </c>
      <c r="G36" s="12" t="s">
        <v>39</v>
      </c>
      <c r="H36" s="12" t="s">
        <v>21</v>
      </c>
      <c r="I36" s="11">
        <v>-148.392</v>
      </c>
      <c r="J36" s="11">
        <v>0.55800000000000005</v>
      </c>
      <c r="K36" s="11">
        <v>99.59</v>
      </c>
      <c r="L36" s="11">
        <v>31.608000000000001</v>
      </c>
      <c r="M36" s="11">
        <v>6.6393333333333304</v>
      </c>
      <c r="N36" s="11">
        <v>7.1205643221544204</v>
      </c>
      <c r="O36" s="12" t="s">
        <v>17</v>
      </c>
      <c r="P36" s="12" t="s">
        <v>37</v>
      </c>
      <c r="Q36" s="11">
        <v>213.61692966463301</v>
      </c>
      <c r="R36" s="11">
        <v>0.55166366997036997</v>
      </c>
      <c r="S36" s="11"/>
      <c r="T36" s="11">
        <f t="shared" si="21"/>
        <v>0.47522280009243373</v>
      </c>
      <c r="U36" s="11">
        <f t="shared" si="22"/>
        <v>0.29245049200216233</v>
      </c>
      <c r="V36" s="11">
        <f t="shared" si="23"/>
        <v>3.319666666666667</v>
      </c>
      <c r="W36" s="11">
        <f t="shared" si="24"/>
        <v>3.7948894667591007</v>
      </c>
      <c r="X36" s="11">
        <f t="shared" si="25"/>
        <v>3.8061415311561233</v>
      </c>
      <c r="Y36" s="11">
        <f t="shared" si="26"/>
        <v>6.639333333333334</v>
      </c>
      <c r="Z36" s="11">
        <f t="shared" si="27"/>
        <v>7.1145561334257676</v>
      </c>
      <c r="AA36" s="11">
        <f t="shared" si="28"/>
        <v>7.1205643221544257</v>
      </c>
      <c r="AB36" s="11">
        <f t="shared" si="29"/>
        <v>114.1842459346837</v>
      </c>
      <c r="AC36" s="11">
        <f t="shared" si="30"/>
        <v>213.61692966463278</v>
      </c>
      <c r="AD36" s="13">
        <f t="shared" si="31"/>
        <v>145.63042853599998</v>
      </c>
      <c r="AE36" s="13">
        <f t="shared" si="11"/>
        <v>99.59</v>
      </c>
    </row>
    <row r="37" spans="1:36" s="13" customFormat="1" ht="12.75" customHeight="1" x14ac:dyDescent="0.15">
      <c r="A37" s="11">
        <v>1</v>
      </c>
      <c r="B37" s="12" t="s">
        <v>64</v>
      </c>
      <c r="C37" s="12" t="s">
        <v>37</v>
      </c>
      <c r="D37" s="12" t="s">
        <v>17</v>
      </c>
      <c r="E37" s="12" t="s">
        <v>18</v>
      </c>
      <c r="F37" s="12" t="s">
        <v>55</v>
      </c>
      <c r="G37" s="12" t="s">
        <v>39</v>
      </c>
      <c r="H37" s="12" t="s">
        <v>21</v>
      </c>
      <c r="I37" s="11">
        <v>122.196</v>
      </c>
      <c r="J37" s="11">
        <v>1.167</v>
      </c>
      <c r="K37" s="11">
        <v>99.59</v>
      </c>
      <c r="L37" s="11">
        <v>57.804000000000002</v>
      </c>
      <c r="M37" s="11">
        <v>6.6393333333333304</v>
      </c>
      <c r="N37" s="11">
        <v>7.3279792662688603</v>
      </c>
      <c r="O37" s="12" t="s">
        <v>17</v>
      </c>
      <c r="P37" s="12" t="s">
        <v>37</v>
      </c>
      <c r="Q37" s="11">
        <v>219.83937798806599</v>
      </c>
      <c r="R37" s="11">
        <v>1.0088701208227999</v>
      </c>
      <c r="S37" s="11"/>
      <c r="T37" s="11">
        <f t="shared" si="21"/>
        <v>0.62179767163533906</v>
      </c>
      <c r="U37" s="11">
        <f t="shared" si="22"/>
        <v>0.98755083694403867</v>
      </c>
      <c r="V37" s="11">
        <f t="shared" si="23"/>
        <v>3.319666666666667</v>
      </c>
      <c r="W37" s="11">
        <f t="shared" si="24"/>
        <v>3.9414643383020058</v>
      </c>
      <c r="X37" s="11">
        <f t="shared" si="25"/>
        <v>4.0632988796857337</v>
      </c>
      <c r="Y37" s="11">
        <f t="shared" si="26"/>
        <v>6.639333333333334</v>
      </c>
      <c r="Z37" s="11">
        <f t="shared" si="27"/>
        <v>7.2611310049686733</v>
      </c>
      <c r="AA37" s="11">
        <f t="shared" si="28"/>
        <v>7.3279792662688559</v>
      </c>
      <c r="AB37" s="11">
        <f t="shared" si="29"/>
        <v>121.89896639057201</v>
      </c>
      <c r="AC37" s="11">
        <f t="shared" si="30"/>
        <v>219.83937798806568</v>
      </c>
      <c r="AD37" s="13">
        <f t="shared" si="31"/>
        <v>145.63042853599998</v>
      </c>
      <c r="AE37" s="13">
        <f t="shared" si="11"/>
        <v>99.59</v>
      </c>
    </row>
    <row r="38" spans="1:36" s="13" customFormat="1" ht="12.75" customHeight="1" x14ac:dyDescent="0.15">
      <c r="A38" s="11">
        <v>1</v>
      </c>
      <c r="B38" s="12" t="s">
        <v>65</v>
      </c>
      <c r="C38" s="12" t="s">
        <v>37</v>
      </c>
      <c r="D38" s="12" t="s">
        <v>17</v>
      </c>
      <c r="E38" s="12" t="s">
        <v>18</v>
      </c>
      <c r="F38" s="12" t="s">
        <v>55</v>
      </c>
      <c r="G38" s="12" t="s">
        <v>39</v>
      </c>
      <c r="H38" s="12" t="s">
        <v>21</v>
      </c>
      <c r="I38" s="11">
        <v>-173.66</v>
      </c>
      <c r="J38" s="11">
        <v>0.66100000000000003</v>
      </c>
      <c r="K38" s="11">
        <v>99.59</v>
      </c>
      <c r="L38" s="11">
        <v>6.34</v>
      </c>
      <c r="M38" s="11">
        <v>6.6393333333333304</v>
      </c>
      <c r="N38" s="11">
        <v>7.2966558330271596</v>
      </c>
      <c r="O38" s="12" t="s">
        <v>17</v>
      </c>
      <c r="P38" s="12" t="s">
        <v>37</v>
      </c>
      <c r="Q38" s="11">
        <v>218.89967499081499</v>
      </c>
      <c r="R38" s="11">
        <v>0.11065387457644001</v>
      </c>
      <c r="S38" s="11"/>
      <c r="T38" s="11">
        <f t="shared" si="21"/>
        <v>0.65695739290126343</v>
      </c>
      <c r="U38" s="11">
        <f t="shared" si="22"/>
        <v>7.299304016394309E-2</v>
      </c>
      <c r="V38" s="11">
        <f t="shared" si="23"/>
        <v>3.319666666666667</v>
      </c>
      <c r="W38" s="11">
        <f t="shared" si="24"/>
        <v>3.9766240595679303</v>
      </c>
      <c r="X38" s="11">
        <f t="shared" si="25"/>
        <v>3.9772939161001037</v>
      </c>
      <c r="Y38" s="11">
        <f t="shared" si="26"/>
        <v>6.639333333333334</v>
      </c>
      <c r="Z38" s="11">
        <f t="shared" si="27"/>
        <v>7.2962907262345977</v>
      </c>
      <c r="AA38" s="11">
        <f t="shared" si="28"/>
        <v>7.2966558330271658</v>
      </c>
      <c r="AB38" s="11">
        <f t="shared" si="29"/>
        <v>119.31881748300312</v>
      </c>
      <c r="AC38" s="11">
        <f t="shared" si="30"/>
        <v>218.89967499081499</v>
      </c>
      <c r="AD38" s="13">
        <f t="shared" si="31"/>
        <v>145.63042853599998</v>
      </c>
      <c r="AE38" s="13">
        <f t="shared" si="11"/>
        <v>99.59</v>
      </c>
      <c r="AF38" s="13">
        <f>AVERAGE(AB14:AB38)</f>
        <v>108.79693727782647</v>
      </c>
      <c r="AG38" s="13">
        <f t="shared" ref="AG38:AI38" si="32">AVERAGE(AC14:AC38)</f>
        <v>194.1685210860048</v>
      </c>
      <c r="AH38" s="13">
        <f t="shared" si="32"/>
        <v>122.16571561136004</v>
      </c>
      <c r="AI38" s="13">
        <f t="shared" si="32"/>
        <v>86.080399999999997</v>
      </c>
      <c r="AJ38" s="7">
        <f>AVERAGE(AF38:AG38)</f>
        <v>151.48272918191563</v>
      </c>
    </row>
    <row r="39" spans="1:36" s="10" customFormat="1" ht="12.75" customHeight="1" x14ac:dyDescent="0.15">
      <c r="A39" s="8">
        <v>1</v>
      </c>
      <c r="B39" s="9" t="s">
        <v>66</v>
      </c>
      <c r="C39" s="9" t="s">
        <v>67</v>
      </c>
      <c r="D39" s="9" t="s">
        <v>68</v>
      </c>
      <c r="E39" s="9" t="s">
        <v>18</v>
      </c>
      <c r="F39" s="9" t="s">
        <v>69</v>
      </c>
      <c r="G39" s="9" t="s">
        <v>70</v>
      </c>
      <c r="H39" s="9" t="s">
        <v>21</v>
      </c>
      <c r="I39" s="8">
        <v>-172.09299999999999</v>
      </c>
      <c r="J39" s="8">
        <v>1.234</v>
      </c>
      <c r="K39" s="8">
        <v>12.99</v>
      </c>
      <c r="L39" s="8">
        <v>7.9070000000000098</v>
      </c>
      <c r="M39" s="8">
        <v>0.86599999999999999</v>
      </c>
      <c r="N39" s="8">
        <v>2.0951563389125498</v>
      </c>
      <c r="O39" s="9" t="s">
        <v>68</v>
      </c>
      <c r="P39" s="9" t="s">
        <v>67</v>
      </c>
      <c r="Q39" s="8">
        <v>62.854690167376503</v>
      </c>
      <c r="R39" s="8">
        <v>0.13800318395519001</v>
      </c>
      <c r="S39" s="8"/>
      <c r="T39" s="8">
        <f t="shared" si="21"/>
        <v>1.222267947162496</v>
      </c>
      <c r="U39" s="8">
        <f t="shared" si="22"/>
        <v>0.16975589927651455</v>
      </c>
      <c r="V39" s="8">
        <f t="shared" si="23"/>
        <v>0.433</v>
      </c>
      <c r="W39" s="8">
        <f t="shared" si="24"/>
        <v>1.655267947162496</v>
      </c>
      <c r="X39" s="8">
        <f t="shared" si="25"/>
        <v>1.6639498316483949</v>
      </c>
      <c r="Y39" s="8">
        <f t="shared" si="26"/>
        <v>0.86599999999999999</v>
      </c>
      <c r="Z39" s="8">
        <f t="shared" si="27"/>
        <v>2.0882679471624961</v>
      </c>
      <c r="AA39" s="8">
        <f t="shared" si="28"/>
        <v>2.0951563389125507</v>
      </c>
      <c r="AB39" s="8">
        <f t="shared" si="29"/>
        <v>49.918494949451848</v>
      </c>
      <c r="AC39" s="8">
        <f t="shared" si="30"/>
        <v>62.854690167376518</v>
      </c>
      <c r="AD39" s="10">
        <f t="shared" si="31"/>
        <v>-4.7843979039999986</v>
      </c>
      <c r="AE39" s="10">
        <f t="shared" si="11"/>
        <v>12.99</v>
      </c>
    </row>
    <row r="40" spans="1:36" s="10" customFormat="1" ht="12.75" customHeight="1" x14ac:dyDescent="0.15">
      <c r="A40" s="8">
        <v>1</v>
      </c>
      <c r="B40" s="9" t="s">
        <v>71</v>
      </c>
      <c r="C40" s="9" t="s">
        <v>67</v>
      </c>
      <c r="D40" s="9" t="s">
        <v>68</v>
      </c>
      <c r="E40" s="9" t="s">
        <v>18</v>
      </c>
      <c r="F40" s="9" t="s">
        <v>69</v>
      </c>
      <c r="G40" s="9" t="s">
        <v>70</v>
      </c>
      <c r="H40" s="9" t="s">
        <v>21</v>
      </c>
      <c r="I40" s="8">
        <v>169.38</v>
      </c>
      <c r="J40" s="8">
        <v>0.54700000000000004</v>
      </c>
      <c r="K40" s="8">
        <v>12.99</v>
      </c>
      <c r="L40" s="8">
        <v>10.62</v>
      </c>
      <c r="M40" s="8">
        <v>0.86599999999999999</v>
      </c>
      <c r="N40" s="8">
        <v>1.40724588857347</v>
      </c>
      <c r="O40" s="9" t="s">
        <v>68</v>
      </c>
      <c r="P40" s="9" t="s">
        <v>67</v>
      </c>
      <c r="Q40" s="8">
        <v>42.217376657203999</v>
      </c>
      <c r="R40" s="8">
        <v>0.1853539665618</v>
      </c>
      <c r="S40" s="8"/>
      <c r="T40" s="8">
        <f t="shared" si="21"/>
        <v>0.53763047973841149</v>
      </c>
      <c r="U40" s="8">
        <f t="shared" si="22"/>
        <v>0.10080906336359632</v>
      </c>
      <c r="V40" s="8">
        <f t="shared" si="23"/>
        <v>0.433</v>
      </c>
      <c r="W40" s="8">
        <f t="shared" si="24"/>
        <v>0.97063047973841154</v>
      </c>
      <c r="X40" s="8">
        <f t="shared" si="25"/>
        <v>0.975851420787747</v>
      </c>
      <c r="Y40" s="8">
        <f t="shared" si="26"/>
        <v>0.86599999999999999</v>
      </c>
      <c r="Z40" s="8">
        <f t="shared" si="27"/>
        <v>1.4036304797384114</v>
      </c>
      <c r="AA40" s="8">
        <f t="shared" si="28"/>
        <v>1.4072458885734676</v>
      </c>
      <c r="AB40" s="8">
        <f t="shared" si="29"/>
        <v>29.275542623632411</v>
      </c>
      <c r="AC40" s="8">
        <f t="shared" si="30"/>
        <v>42.217376657204028</v>
      </c>
      <c r="AD40" s="10">
        <f t="shared" si="31"/>
        <v>-4.7843979039999986</v>
      </c>
      <c r="AE40" s="10">
        <f t="shared" si="11"/>
        <v>12.99</v>
      </c>
    </row>
    <row r="41" spans="1:36" s="10" customFormat="1" ht="12.75" customHeight="1" x14ac:dyDescent="0.15">
      <c r="A41" s="8">
        <v>1</v>
      </c>
      <c r="B41" s="9" t="s">
        <v>72</v>
      </c>
      <c r="C41" s="9" t="s">
        <v>67</v>
      </c>
      <c r="D41" s="9" t="s">
        <v>68</v>
      </c>
      <c r="E41" s="9" t="s">
        <v>18</v>
      </c>
      <c r="F41" s="9" t="s">
        <v>69</v>
      </c>
      <c r="G41" s="9" t="s">
        <v>70</v>
      </c>
      <c r="H41" s="9" t="s">
        <v>21</v>
      </c>
      <c r="I41" s="8">
        <v>-129.47200000000001</v>
      </c>
      <c r="J41" s="8">
        <v>0.74</v>
      </c>
      <c r="K41" s="8">
        <v>12.99</v>
      </c>
      <c r="L41" s="8">
        <v>50.527999999999999</v>
      </c>
      <c r="M41" s="8">
        <v>0.86599999999999999</v>
      </c>
      <c r="N41" s="8">
        <v>1.4533827201696701</v>
      </c>
      <c r="O41" s="9" t="s">
        <v>68</v>
      </c>
      <c r="P41" s="9" t="s">
        <v>67</v>
      </c>
      <c r="Q41" s="8">
        <v>43.6014816050902</v>
      </c>
      <c r="R41" s="8">
        <v>0.88187996444769001</v>
      </c>
      <c r="S41" s="8"/>
      <c r="T41" s="8">
        <f t="shared" si="21"/>
        <v>0.47041878249872682</v>
      </c>
      <c r="U41" s="8">
        <f t="shared" si="22"/>
        <v>0.57123214989390747</v>
      </c>
      <c r="V41" s="8">
        <f t="shared" si="23"/>
        <v>0.433</v>
      </c>
      <c r="W41" s="8">
        <f t="shared" si="24"/>
        <v>0.90341878249872676</v>
      </c>
      <c r="X41" s="8">
        <f t="shared" si="25"/>
        <v>1.0688646619866788</v>
      </c>
      <c r="Y41" s="8">
        <f t="shared" si="26"/>
        <v>0.86599999999999999</v>
      </c>
      <c r="Z41" s="8">
        <f t="shared" si="27"/>
        <v>1.3364187824987268</v>
      </c>
      <c r="AA41" s="8">
        <f t="shared" si="28"/>
        <v>1.4533827201696718</v>
      </c>
      <c r="AB41" s="8">
        <f t="shared" si="29"/>
        <v>32.065939859600363</v>
      </c>
      <c r="AC41" s="8">
        <f t="shared" si="30"/>
        <v>43.601481605090157</v>
      </c>
      <c r="AD41" s="10">
        <f t="shared" si="31"/>
        <v>-4.7843979039999986</v>
      </c>
      <c r="AE41" s="10">
        <f t="shared" si="11"/>
        <v>12.99</v>
      </c>
    </row>
    <row r="42" spans="1:36" s="10" customFormat="1" ht="12.75" customHeight="1" x14ac:dyDescent="0.15">
      <c r="A42" s="8">
        <v>1</v>
      </c>
      <c r="B42" s="9" t="s">
        <v>73</v>
      </c>
      <c r="C42" s="9" t="s">
        <v>67</v>
      </c>
      <c r="D42" s="9" t="s">
        <v>68</v>
      </c>
      <c r="E42" s="9" t="s">
        <v>18</v>
      </c>
      <c r="F42" s="9" t="s">
        <v>74</v>
      </c>
      <c r="G42" s="9" t="s">
        <v>70</v>
      </c>
      <c r="H42" s="9" t="s">
        <v>21</v>
      </c>
      <c r="I42" s="8">
        <v>-172.875</v>
      </c>
      <c r="J42" s="8">
        <v>0.27100000000000002</v>
      </c>
      <c r="K42" s="8">
        <v>17.32</v>
      </c>
      <c r="L42" s="8">
        <v>7.125</v>
      </c>
      <c r="M42" s="8">
        <v>1.1546666666666701</v>
      </c>
      <c r="N42" s="8">
        <v>1.4239707635080801</v>
      </c>
      <c r="O42" s="9" t="s">
        <v>68</v>
      </c>
      <c r="P42" s="9" t="s">
        <v>67</v>
      </c>
      <c r="Q42" s="8">
        <v>42.719122905242401</v>
      </c>
      <c r="R42" s="8">
        <v>0.1243547092046</v>
      </c>
      <c r="S42" s="8"/>
      <c r="T42" s="8">
        <f t="shared" si="21"/>
        <v>0.26890731418071712</v>
      </c>
      <c r="U42" s="8">
        <f t="shared" si="22"/>
        <v>3.3613336343081522E-2</v>
      </c>
      <c r="V42" s="8">
        <f t="shared" si="23"/>
        <v>0.57733333333333337</v>
      </c>
      <c r="W42" s="8">
        <f t="shared" si="24"/>
        <v>0.84624064751405048</v>
      </c>
      <c r="X42" s="8">
        <f t="shared" si="25"/>
        <v>0.84690795833143073</v>
      </c>
      <c r="Y42" s="8">
        <f t="shared" si="26"/>
        <v>1.1546666666666667</v>
      </c>
      <c r="Z42" s="8">
        <f t="shared" si="27"/>
        <v>1.423573980847384</v>
      </c>
      <c r="AA42" s="8">
        <f t="shared" si="28"/>
        <v>1.4239707635080789</v>
      </c>
      <c r="AB42" s="8">
        <f t="shared" si="29"/>
        <v>25.407238749942923</v>
      </c>
      <c r="AC42" s="8">
        <f t="shared" si="30"/>
        <v>42.719122905242365</v>
      </c>
      <c r="AD42" s="10">
        <f t="shared" si="31"/>
        <v>2.7363434180000006</v>
      </c>
      <c r="AE42" s="10">
        <f t="shared" si="11"/>
        <v>17.32</v>
      </c>
    </row>
    <row r="43" spans="1:36" s="10" customFormat="1" ht="12.75" customHeight="1" x14ac:dyDescent="0.15">
      <c r="A43" s="8">
        <v>1</v>
      </c>
      <c r="B43" s="9" t="s">
        <v>75</v>
      </c>
      <c r="C43" s="9" t="s">
        <v>67</v>
      </c>
      <c r="D43" s="9" t="s">
        <v>68</v>
      </c>
      <c r="E43" s="9" t="s">
        <v>18</v>
      </c>
      <c r="F43" s="9" t="s">
        <v>38</v>
      </c>
      <c r="G43" s="9" t="s">
        <v>70</v>
      </c>
      <c r="H43" s="9" t="s">
        <v>21</v>
      </c>
      <c r="I43" s="8">
        <v>-115.71</v>
      </c>
      <c r="J43" s="8">
        <v>1.002</v>
      </c>
      <c r="K43" s="8">
        <v>21.65</v>
      </c>
      <c r="L43" s="8">
        <v>64.290000000000006</v>
      </c>
      <c r="M43" s="8">
        <v>1.44333333333333</v>
      </c>
      <c r="N43" s="8">
        <v>2.08374731235573</v>
      </c>
      <c r="O43" s="9" t="s">
        <v>68</v>
      </c>
      <c r="P43" s="9" t="s">
        <v>67</v>
      </c>
      <c r="Q43" s="8">
        <v>62.512419370671999</v>
      </c>
      <c r="R43" s="8">
        <v>1.1220721761071499</v>
      </c>
      <c r="S43" s="8"/>
      <c r="T43" s="8">
        <f t="shared" si="21"/>
        <v>0.4346839782812818</v>
      </c>
      <c r="U43" s="8">
        <f t="shared" si="22"/>
        <v>0.90280332244933503</v>
      </c>
      <c r="V43" s="8">
        <f t="shared" si="23"/>
        <v>0.72166666666666657</v>
      </c>
      <c r="W43" s="8">
        <f t="shared" si="24"/>
        <v>1.1563506449479484</v>
      </c>
      <c r="X43" s="8">
        <f t="shared" si="25"/>
        <v>1.4670380544134138</v>
      </c>
      <c r="Y43" s="8">
        <f t="shared" si="26"/>
        <v>1.4433333333333331</v>
      </c>
      <c r="Z43" s="8">
        <f t="shared" si="27"/>
        <v>1.8780173116146148</v>
      </c>
      <c r="AA43" s="8">
        <f t="shared" si="28"/>
        <v>2.0837473123557335</v>
      </c>
      <c r="AB43" s="8">
        <f t="shared" si="29"/>
        <v>44.011141632402413</v>
      </c>
      <c r="AC43" s="8">
        <f t="shared" si="30"/>
        <v>62.512419370672006</v>
      </c>
      <c r="AD43" s="10">
        <f t="shared" si="31"/>
        <v>10.257084740000003</v>
      </c>
      <c r="AE43" s="10">
        <f t="shared" si="11"/>
        <v>21.65</v>
      </c>
    </row>
    <row r="44" spans="1:36" s="10" customFormat="1" ht="12.75" customHeight="1" x14ac:dyDescent="0.15">
      <c r="A44" s="8">
        <v>1</v>
      </c>
      <c r="B44" s="9" t="s">
        <v>76</v>
      </c>
      <c r="C44" s="9" t="s">
        <v>67</v>
      </c>
      <c r="D44" s="9" t="s">
        <v>68</v>
      </c>
      <c r="E44" s="9" t="s">
        <v>18</v>
      </c>
      <c r="F44" s="9" t="s">
        <v>38</v>
      </c>
      <c r="G44" s="9" t="s">
        <v>70</v>
      </c>
      <c r="H44" s="9" t="s">
        <v>21</v>
      </c>
      <c r="I44" s="8">
        <v>149.036</v>
      </c>
      <c r="J44" s="8">
        <v>0.38800000000000001</v>
      </c>
      <c r="K44" s="8">
        <v>21.65</v>
      </c>
      <c r="L44" s="8">
        <v>30.963999999999999</v>
      </c>
      <c r="M44" s="8">
        <v>1.44333333333333</v>
      </c>
      <c r="N44" s="8">
        <v>1.7872234347484399</v>
      </c>
      <c r="O44" s="9" t="s">
        <v>68</v>
      </c>
      <c r="P44" s="9" t="s">
        <v>67</v>
      </c>
      <c r="Q44" s="8">
        <v>53.616703042453203</v>
      </c>
      <c r="R44" s="8">
        <v>0.54042374958752004</v>
      </c>
      <c r="S44" s="8"/>
      <c r="T44" s="8">
        <f t="shared" si="21"/>
        <v>0.33270640690631809</v>
      </c>
      <c r="U44" s="8">
        <f t="shared" si="22"/>
        <v>0.19962576688265352</v>
      </c>
      <c r="V44" s="8">
        <f t="shared" si="23"/>
        <v>0.72166666666666657</v>
      </c>
      <c r="W44" s="8">
        <f t="shared" si="24"/>
        <v>1.0543730735729846</v>
      </c>
      <c r="X44" s="8">
        <f t="shared" si="25"/>
        <v>1.073104386851172</v>
      </c>
      <c r="Y44" s="8">
        <f t="shared" si="26"/>
        <v>1.4433333333333331</v>
      </c>
      <c r="Z44" s="8">
        <f t="shared" si="27"/>
        <v>1.7760397402396513</v>
      </c>
      <c r="AA44" s="8">
        <f t="shared" si="28"/>
        <v>1.7872234347484413</v>
      </c>
      <c r="AB44" s="8">
        <f t="shared" si="29"/>
        <v>32.193131605535164</v>
      </c>
      <c r="AC44" s="8">
        <f t="shared" si="30"/>
        <v>53.616703042453238</v>
      </c>
      <c r="AD44" s="10">
        <f t="shared" si="31"/>
        <v>10.257084740000003</v>
      </c>
      <c r="AE44" s="10">
        <f t="shared" si="11"/>
        <v>21.65</v>
      </c>
    </row>
    <row r="45" spans="1:36" s="10" customFormat="1" ht="12.75" customHeight="1" x14ac:dyDescent="0.15">
      <c r="A45" s="8">
        <v>1</v>
      </c>
      <c r="B45" s="9" t="s">
        <v>77</v>
      </c>
      <c r="C45" s="9" t="s">
        <v>67</v>
      </c>
      <c r="D45" s="9" t="s">
        <v>68</v>
      </c>
      <c r="E45" s="9" t="s">
        <v>18</v>
      </c>
      <c r="F45" s="9" t="s">
        <v>38</v>
      </c>
      <c r="G45" s="9" t="s">
        <v>70</v>
      </c>
      <c r="H45" s="9" t="s">
        <v>21</v>
      </c>
      <c r="I45" s="8">
        <v>-150.94499999999999</v>
      </c>
      <c r="J45" s="8">
        <v>0.70699999999999996</v>
      </c>
      <c r="K45" s="8">
        <v>21.65</v>
      </c>
      <c r="L45" s="8">
        <v>29.055</v>
      </c>
      <c r="M45" s="8">
        <v>1.44333333333333</v>
      </c>
      <c r="N45" s="8">
        <v>2.08976016243968</v>
      </c>
      <c r="O45" s="9" t="s">
        <v>68</v>
      </c>
      <c r="P45" s="9" t="s">
        <v>67</v>
      </c>
      <c r="Q45" s="8">
        <v>62.692804873190397</v>
      </c>
      <c r="R45" s="8">
        <v>0.50710541416694999</v>
      </c>
      <c r="S45" s="8"/>
      <c r="T45" s="8">
        <f t="shared" si="21"/>
        <v>0.61802682173515222</v>
      </c>
      <c r="U45" s="8">
        <f t="shared" si="22"/>
        <v>0.34335382277753407</v>
      </c>
      <c r="V45" s="8">
        <f t="shared" si="23"/>
        <v>0.72166666666666657</v>
      </c>
      <c r="W45" s="8">
        <f t="shared" si="24"/>
        <v>1.3396934884018188</v>
      </c>
      <c r="X45" s="8">
        <f t="shared" si="25"/>
        <v>1.382993308184165</v>
      </c>
      <c r="Y45" s="8">
        <f t="shared" si="26"/>
        <v>1.4433333333333331</v>
      </c>
      <c r="Z45" s="8">
        <f t="shared" si="27"/>
        <v>2.0613601550684852</v>
      </c>
      <c r="AA45" s="8">
        <f t="shared" si="28"/>
        <v>2.0897601624396795</v>
      </c>
      <c r="AB45" s="8">
        <f t="shared" si="29"/>
        <v>41.489799245524949</v>
      </c>
      <c r="AC45" s="8">
        <f t="shared" si="30"/>
        <v>62.692804873190383</v>
      </c>
      <c r="AD45" s="10">
        <f t="shared" si="31"/>
        <v>10.257084740000003</v>
      </c>
      <c r="AE45" s="10">
        <f t="shared" si="11"/>
        <v>21.65</v>
      </c>
    </row>
    <row r="46" spans="1:36" s="10" customFormat="1" ht="12.75" customHeight="1" x14ac:dyDescent="0.15">
      <c r="A46" s="8">
        <v>1</v>
      </c>
      <c r="B46" s="9" t="s">
        <v>78</v>
      </c>
      <c r="C46" s="9" t="s">
        <v>67</v>
      </c>
      <c r="D46" s="9" t="s">
        <v>68</v>
      </c>
      <c r="E46" s="9" t="s">
        <v>18</v>
      </c>
      <c r="F46" s="9" t="s">
        <v>79</v>
      </c>
      <c r="G46" s="9" t="s">
        <v>70</v>
      </c>
      <c r="H46" s="9" t="s">
        <v>21</v>
      </c>
      <c r="I46" s="8">
        <v>157.166</v>
      </c>
      <c r="J46" s="8">
        <v>0.70099999999999996</v>
      </c>
      <c r="K46" s="8">
        <v>30.31</v>
      </c>
      <c r="L46" s="8">
        <v>22.834</v>
      </c>
      <c r="M46" s="8">
        <v>2.0206666666666702</v>
      </c>
      <c r="N46" s="8">
        <v>2.6805704266036301</v>
      </c>
      <c r="O46" s="9" t="s">
        <v>68</v>
      </c>
      <c r="P46" s="9" t="s">
        <v>67</v>
      </c>
      <c r="Q46" s="8">
        <v>80.417112798108803</v>
      </c>
      <c r="R46" s="8">
        <v>0.39852848140038999</v>
      </c>
      <c r="S46" s="8"/>
      <c r="T46" s="8">
        <f t="shared" si="21"/>
        <v>0.64606475607163594</v>
      </c>
      <c r="U46" s="8">
        <f t="shared" si="22"/>
        <v>0.27203185652069789</v>
      </c>
      <c r="V46" s="8">
        <f t="shared" si="23"/>
        <v>1.0103333333333333</v>
      </c>
      <c r="W46" s="8">
        <f t="shared" si="24"/>
        <v>1.6563980894049692</v>
      </c>
      <c r="X46" s="8">
        <f t="shared" si="25"/>
        <v>1.6785874899886899</v>
      </c>
      <c r="Y46" s="8">
        <f t="shared" si="26"/>
        <v>2.0206666666666666</v>
      </c>
      <c r="Z46" s="8">
        <f t="shared" si="27"/>
        <v>2.6667314227383025</v>
      </c>
      <c r="AA46" s="8">
        <f t="shared" si="28"/>
        <v>2.6805704266036265</v>
      </c>
      <c r="AB46" s="8">
        <f t="shared" si="29"/>
        <v>50.357624699660697</v>
      </c>
      <c r="AC46" s="8">
        <f t="shared" si="30"/>
        <v>80.417112798108803</v>
      </c>
      <c r="AD46" s="10">
        <f t="shared" si="31"/>
        <v>25.298567384000002</v>
      </c>
      <c r="AE46" s="10">
        <f t="shared" si="11"/>
        <v>30.31</v>
      </c>
    </row>
    <row r="47" spans="1:36" s="10" customFormat="1" ht="12.75" customHeight="1" x14ac:dyDescent="0.15">
      <c r="A47" s="8">
        <v>1</v>
      </c>
      <c r="B47" s="9" t="s">
        <v>80</v>
      </c>
      <c r="C47" s="9" t="s">
        <v>67</v>
      </c>
      <c r="D47" s="9" t="s">
        <v>68</v>
      </c>
      <c r="E47" s="9" t="s">
        <v>18</v>
      </c>
      <c r="F47" s="9" t="s">
        <v>79</v>
      </c>
      <c r="G47" s="9" t="s">
        <v>70</v>
      </c>
      <c r="H47" s="9" t="s">
        <v>21</v>
      </c>
      <c r="I47" s="8">
        <v>135</v>
      </c>
      <c r="J47" s="8">
        <v>0.624</v>
      </c>
      <c r="K47" s="8">
        <v>30.31</v>
      </c>
      <c r="L47" s="8">
        <v>45</v>
      </c>
      <c r="M47" s="8">
        <v>2.0206666666666702</v>
      </c>
      <c r="N47" s="8">
        <v>2.50112894544039</v>
      </c>
      <c r="O47" s="9" t="s">
        <v>68</v>
      </c>
      <c r="P47" s="9" t="s">
        <v>67</v>
      </c>
      <c r="Q47" s="8">
        <v>75.033868363211695</v>
      </c>
      <c r="R47" s="8">
        <v>0.78539816339745006</v>
      </c>
      <c r="S47" s="8"/>
      <c r="T47" s="8">
        <f t="shared" si="21"/>
        <v>0.4412346314604057</v>
      </c>
      <c r="U47" s="8">
        <f t="shared" si="22"/>
        <v>0.44123463146040559</v>
      </c>
      <c r="V47" s="8">
        <f t="shared" si="23"/>
        <v>1.0103333333333333</v>
      </c>
      <c r="W47" s="8">
        <f t="shared" si="24"/>
        <v>1.451567964793739</v>
      </c>
      <c r="X47" s="8">
        <f t="shared" si="25"/>
        <v>1.5171478360448059</v>
      </c>
      <c r="Y47" s="8">
        <f t="shared" si="26"/>
        <v>2.0206666666666666</v>
      </c>
      <c r="Z47" s="8">
        <f t="shared" si="27"/>
        <v>2.4619012981270725</v>
      </c>
      <c r="AA47" s="8">
        <f t="shared" si="28"/>
        <v>2.5011289454403913</v>
      </c>
      <c r="AB47" s="8">
        <f t="shared" si="29"/>
        <v>45.514435081344175</v>
      </c>
      <c r="AC47" s="8">
        <f t="shared" si="30"/>
        <v>75.033868363211738</v>
      </c>
      <c r="AD47" s="10">
        <f t="shared" si="31"/>
        <v>25.298567384000002</v>
      </c>
      <c r="AE47" s="10">
        <f t="shared" si="11"/>
        <v>30.31</v>
      </c>
    </row>
    <row r="48" spans="1:36" s="10" customFormat="1" ht="12.75" customHeight="1" x14ac:dyDescent="0.15">
      <c r="A48" s="8">
        <v>1</v>
      </c>
      <c r="B48" s="9" t="s">
        <v>81</v>
      </c>
      <c r="C48" s="9" t="s">
        <v>67</v>
      </c>
      <c r="D48" s="9" t="s">
        <v>68</v>
      </c>
      <c r="E48" s="9" t="s">
        <v>18</v>
      </c>
      <c r="F48" s="9" t="s">
        <v>79</v>
      </c>
      <c r="G48" s="9" t="s">
        <v>70</v>
      </c>
      <c r="H48" s="9" t="s">
        <v>21</v>
      </c>
      <c r="I48" s="8">
        <v>-153.435</v>
      </c>
      <c r="J48" s="8">
        <v>0.376</v>
      </c>
      <c r="K48" s="8">
        <v>30.31</v>
      </c>
      <c r="L48" s="8">
        <v>26.565000000000001</v>
      </c>
      <c r="M48" s="8">
        <v>2.0206666666666702</v>
      </c>
      <c r="N48" s="8">
        <v>2.36296201220993</v>
      </c>
      <c r="O48" s="9" t="s">
        <v>68</v>
      </c>
      <c r="P48" s="9" t="s">
        <v>67</v>
      </c>
      <c r="Q48" s="8">
        <v>70.888860366297905</v>
      </c>
      <c r="R48" s="8">
        <v>0.46364671579229</v>
      </c>
      <c r="S48" s="8"/>
      <c r="T48" s="8">
        <f t="shared" si="21"/>
        <v>0.33630477401091058</v>
      </c>
      <c r="U48" s="8">
        <f t="shared" si="22"/>
        <v>0.16815201151776435</v>
      </c>
      <c r="V48" s="8">
        <f t="shared" si="23"/>
        <v>1.0103333333333333</v>
      </c>
      <c r="W48" s="8">
        <f t="shared" si="24"/>
        <v>1.3466381073442439</v>
      </c>
      <c r="X48" s="8">
        <f t="shared" si="25"/>
        <v>1.3570959034383523</v>
      </c>
      <c r="Y48" s="8">
        <f t="shared" si="26"/>
        <v>2.0206666666666666</v>
      </c>
      <c r="Z48" s="8">
        <f t="shared" si="27"/>
        <v>2.3569714406775772</v>
      </c>
      <c r="AA48" s="8">
        <f t="shared" si="28"/>
        <v>2.3629620122099309</v>
      </c>
      <c r="AB48" s="8">
        <f t="shared" si="29"/>
        <v>40.712877103150568</v>
      </c>
      <c r="AC48" s="8">
        <f t="shared" si="30"/>
        <v>70.888860366297919</v>
      </c>
      <c r="AD48" s="10">
        <f t="shared" si="31"/>
        <v>25.298567384000002</v>
      </c>
      <c r="AE48" s="10">
        <f t="shared" si="11"/>
        <v>30.31</v>
      </c>
    </row>
    <row r="49" spans="1:36" s="10" customFormat="1" ht="12.75" customHeight="1" x14ac:dyDescent="0.15">
      <c r="A49" s="8">
        <v>1</v>
      </c>
      <c r="B49" s="9" t="s">
        <v>82</v>
      </c>
      <c r="C49" s="9" t="s">
        <v>67</v>
      </c>
      <c r="D49" s="9" t="s">
        <v>68</v>
      </c>
      <c r="E49" s="9" t="s">
        <v>18</v>
      </c>
      <c r="F49" s="9" t="s">
        <v>79</v>
      </c>
      <c r="G49" s="9" t="s">
        <v>70</v>
      </c>
      <c r="H49" s="9" t="s">
        <v>21</v>
      </c>
      <c r="I49" s="8">
        <v>160.346</v>
      </c>
      <c r="J49" s="8">
        <v>0.504</v>
      </c>
      <c r="K49" s="8">
        <v>30.31</v>
      </c>
      <c r="L49" s="8">
        <v>19.654</v>
      </c>
      <c r="M49" s="8">
        <v>2.0206666666666702</v>
      </c>
      <c r="N49" s="8">
        <v>2.5010553243350802</v>
      </c>
      <c r="O49" s="9" t="s">
        <v>68</v>
      </c>
      <c r="P49" s="9" t="s">
        <v>67</v>
      </c>
      <c r="Q49" s="8">
        <v>75.031659730052496</v>
      </c>
      <c r="R49" s="8">
        <v>0.34302701118696999</v>
      </c>
      <c r="S49" s="8"/>
      <c r="T49" s="8">
        <f t="shared" si="21"/>
        <v>0.4746374029050881</v>
      </c>
      <c r="U49" s="8">
        <f t="shared" si="22"/>
        <v>0.16951500158839355</v>
      </c>
      <c r="V49" s="8">
        <f t="shared" si="23"/>
        <v>1.0103333333333333</v>
      </c>
      <c r="W49" s="8">
        <f t="shared" si="24"/>
        <v>1.4849707362384215</v>
      </c>
      <c r="X49" s="8">
        <f t="shared" si="25"/>
        <v>1.4946148076504504</v>
      </c>
      <c r="Y49" s="8">
        <f t="shared" si="26"/>
        <v>2.0206666666666666</v>
      </c>
      <c r="Z49" s="8">
        <f t="shared" si="27"/>
        <v>2.4953040695717545</v>
      </c>
      <c r="AA49" s="8">
        <f t="shared" si="28"/>
        <v>2.5010553243350842</v>
      </c>
      <c r="AB49" s="8">
        <f t="shared" si="29"/>
        <v>44.838444229513513</v>
      </c>
      <c r="AC49" s="8">
        <f t="shared" si="30"/>
        <v>75.031659730052525</v>
      </c>
      <c r="AD49" s="10">
        <f t="shared" si="31"/>
        <v>25.298567384000002</v>
      </c>
      <c r="AE49" s="10">
        <f t="shared" si="11"/>
        <v>30.31</v>
      </c>
    </row>
    <row r="50" spans="1:36" s="10" customFormat="1" ht="12.75" customHeight="1" x14ac:dyDescent="0.15">
      <c r="A50" s="8">
        <v>1</v>
      </c>
      <c r="B50" s="9" t="s">
        <v>83</v>
      </c>
      <c r="C50" s="9" t="s">
        <v>67</v>
      </c>
      <c r="D50" s="9" t="s">
        <v>68</v>
      </c>
      <c r="E50" s="9" t="s">
        <v>18</v>
      </c>
      <c r="F50" s="9" t="s">
        <v>19</v>
      </c>
      <c r="G50" s="9" t="s">
        <v>70</v>
      </c>
      <c r="H50" s="9" t="s">
        <v>21</v>
      </c>
      <c r="I50" s="8">
        <v>-123.69</v>
      </c>
      <c r="J50" s="8">
        <v>0.35399999999999998</v>
      </c>
      <c r="K50" s="8">
        <v>38.97</v>
      </c>
      <c r="L50" s="8">
        <v>56.31</v>
      </c>
      <c r="M50" s="8">
        <v>2.5979999999999999</v>
      </c>
      <c r="N50" s="8">
        <v>2.8098442771812402</v>
      </c>
      <c r="O50" s="9" t="s">
        <v>68</v>
      </c>
      <c r="P50" s="9" t="s">
        <v>67</v>
      </c>
      <c r="Q50" s="8">
        <v>84.295328315437203</v>
      </c>
      <c r="R50" s="8">
        <v>0.98279490179800999</v>
      </c>
      <c r="S50" s="8"/>
      <c r="T50" s="8">
        <f t="shared" si="21"/>
        <v>0.19636352232643753</v>
      </c>
      <c r="U50" s="8">
        <f t="shared" si="22"/>
        <v>0.29454603562016357</v>
      </c>
      <c r="V50" s="8">
        <f t="shared" si="23"/>
        <v>1.2989999999999999</v>
      </c>
      <c r="W50" s="8">
        <f t="shared" si="24"/>
        <v>1.4953635223264374</v>
      </c>
      <c r="X50" s="8">
        <f t="shared" si="25"/>
        <v>1.5240962669740006</v>
      </c>
      <c r="Y50" s="8">
        <f t="shared" si="26"/>
        <v>2.5979999999999999</v>
      </c>
      <c r="Z50" s="8">
        <f t="shared" si="27"/>
        <v>2.7943635223264374</v>
      </c>
      <c r="AA50" s="8">
        <f t="shared" si="28"/>
        <v>2.8098442771812406</v>
      </c>
      <c r="AB50" s="8">
        <f t="shared" si="29"/>
        <v>45.722888009220014</v>
      </c>
      <c r="AC50" s="8">
        <f t="shared" si="30"/>
        <v>84.295328315437217</v>
      </c>
      <c r="AD50" s="10">
        <f t="shared" si="31"/>
        <v>40.340050028</v>
      </c>
      <c r="AE50" s="10">
        <f t="shared" si="11"/>
        <v>38.97</v>
      </c>
    </row>
    <row r="51" spans="1:36" s="10" customFormat="1" ht="12.75" customHeight="1" x14ac:dyDescent="0.15">
      <c r="A51" s="8">
        <v>1</v>
      </c>
      <c r="B51" s="9" t="s">
        <v>84</v>
      </c>
      <c r="C51" s="9" t="s">
        <v>67</v>
      </c>
      <c r="D51" s="9" t="s">
        <v>68</v>
      </c>
      <c r="E51" s="9" t="s">
        <v>18</v>
      </c>
      <c r="F51" s="9" t="s">
        <v>19</v>
      </c>
      <c r="G51" s="9" t="s">
        <v>70</v>
      </c>
      <c r="H51" s="9" t="s">
        <v>21</v>
      </c>
      <c r="I51" s="8">
        <v>-174.80600000000001</v>
      </c>
      <c r="J51" s="8">
        <v>1.1140000000000001</v>
      </c>
      <c r="K51" s="8">
        <v>38.97</v>
      </c>
      <c r="L51" s="8">
        <v>5.1939999999999902</v>
      </c>
      <c r="M51" s="8">
        <v>2.5979999999999999</v>
      </c>
      <c r="N51" s="8">
        <v>3.7087971620341702</v>
      </c>
      <c r="O51" s="9" t="s">
        <v>68</v>
      </c>
      <c r="P51" s="9" t="s">
        <v>67</v>
      </c>
      <c r="Q51" s="8">
        <v>111.263914861025</v>
      </c>
      <c r="R51" s="8">
        <v>9.0652401348585002E-2</v>
      </c>
      <c r="S51" s="8"/>
      <c r="T51" s="8">
        <f t="shared" si="21"/>
        <v>1.1094257869731892</v>
      </c>
      <c r="U51" s="8">
        <f t="shared" si="22"/>
        <v>0.10084851609676784</v>
      </c>
      <c r="V51" s="8">
        <f t="shared" si="23"/>
        <v>1.2989999999999999</v>
      </c>
      <c r="W51" s="8">
        <f t="shared" si="24"/>
        <v>2.4084257869731891</v>
      </c>
      <c r="X51" s="8">
        <f t="shared" si="25"/>
        <v>2.410536287749335</v>
      </c>
      <c r="Y51" s="8">
        <f t="shared" si="26"/>
        <v>2.5979999999999999</v>
      </c>
      <c r="Z51" s="8">
        <f t="shared" si="27"/>
        <v>3.707425786973189</v>
      </c>
      <c r="AA51" s="8">
        <f t="shared" si="28"/>
        <v>3.7087971620341667</v>
      </c>
      <c r="AB51" s="8">
        <f t="shared" si="29"/>
        <v>72.316088632480046</v>
      </c>
      <c r="AC51" s="8">
        <f t="shared" si="30"/>
        <v>111.263914861025</v>
      </c>
      <c r="AD51" s="10">
        <f t="shared" si="31"/>
        <v>40.340050028</v>
      </c>
      <c r="AE51" s="10">
        <f t="shared" si="11"/>
        <v>38.97</v>
      </c>
    </row>
    <row r="52" spans="1:36" s="10" customFormat="1" ht="12.75" customHeight="1" x14ac:dyDescent="0.15">
      <c r="A52" s="8">
        <v>1</v>
      </c>
      <c r="B52" s="9" t="s">
        <v>85</v>
      </c>
      <c r="C52" s="9" t="s">
        <v>67</v>
      </c>
      <c r="D52" s="9" t="s">
        <v>68</v>
      </c>
      <c r="E52" s="9" t="s">
        <v>18</v>
      </c>
      <c r="F52" s="9" t="s">
        <v>19</v>
      </c>
      <c r="G52" s="9" t="s">
        <v>70</v>
      </c>
      <c r="H52" s="9" t="s">
        <v>21</v>
      </c>
      <c r="I52" s="8">
        <v>-102.095</v>
      </c>
      <c r="J52" s="8">
        <v>0.46200000000000002</v>
      </c>
      <c r="K52" s="8">
        <v>38.97</v>
      </c>
      <c r="L52" s="8">
        <v>77.905000000000001</v>
      </c>
      <c r="M52" s="8">
        <v>2.5979999999999999</v>
      </c>
      <c r="N52" s="8">
        <v>2.7324061603204202</v>
      </c>
      <c r="O52" s="9" t="s">
        <v>68</v>
      </c>
      <c r="P52" s="9" t="s">
        <v>67</v>
      </c>
      <c r="Q52" s="8">
        <v>81.972184809612699</v>
      </c>
      <c r="R52" s="8">
        <v>1.35969875376618</v>
      </c>
      <c r="S52" s="8"/>
      <c r="T52" s="8">
        <f t="shared" si="21"/>
        <v>9.6804354302733278E-2</v>
      </c>
      <c r="U52" s="8">
        <f t="shared" si="22"/>
        <v>0.45174430487614442</v>
      </c>
      <c r="V52" s="8">
        <f t="shared" si="23"/>
        <v>1.2989999999999999</v>
      </c>
      <c r="W52" s="8">
        <f t="shared" si="24"/>
        <v>1.3958043543027332</v>
      </c>
      <c r="X52" s="8">
        <f t="shared" si="25"/>
        <v>1.4670864706889302</v>
      </c>
      <c r="Y52" s="8">
        <f t="shared" si="26"/>
        <v>2.5979999999999999</v>
      </c>
      <c r="Z52" s="8">
        <f t="shared" si="27"/>
        <v>2.6948043543027334</v>
      </c>
      <c r="AA52" s="8">
        <f t="shared" si="28"/>
        <v>2.7324061603204242</v>
      </c>
      <c r="AB52" s="8">
        <f t="shared" si="29"/>
        <v>44.012594120667906</v>
      </c>
      <c r="AC52" s="8">
        <f t="shared" si="30"/>
        <v>81.972184809612727</v>
      </c>
      <c r="AD52" s="10">
        <f t="shared" si="31"/>
        <v>40.340050028</v>
      </c>
      <c r="AE52" s="10">
        <f t="shared" si="11"/>
        <v>38.97</v>
      </c>
    </row>
    <row r="53" spans="1:36" s="10" customFormat="1" ht="12.75" customHeight="1" x14ac:dyDescent="0.15">
      <c r="A53" s="8">
        <v>1</v>
      </c>
      <c r="B53" s="9" t="s">
        <v>86</v>
      </c>
      <c r="C53" s="9" t="s">
        <v>67</v>
      </c>
      <c r="D53" s="9" t="s">
        <v>68</v>
      </c>
      <c r="E53" s="9" t="s">
        <v>18</v>
      </c>
      <c r="F53" s="9" t="s">
        <v>19</v>
      </c>
      <c r="G53" s="9" t="s">
        <v>70</v>
      </c>
      <c r="H53" s="9" t="s">
        <v>21</v>
      </c>
      <c r="I53" s="8">
        <v>-130.601</v>
      </c>
      <c r="J53" s="8">
        <v>0.62</v>
      </c>
      <c r="K53" s="8">
        <v>38.97</v>
      </c>
      <c r="L53" s="8">
        <v>49.399000000000001</v>
      </c>
      <c r="M53" s="8">
        <v>2.5979999999999999</v>
      </c>
      <c r="N53" s="8">
        <v>3.0381785409970399</v>
      </c>
      <c r="O53" s="9" t="s">
        <v>68</v>
      </c>
      <c r="P53" s="9" t="s">
        <v>67</v>
      </c>
      <c r="Q53" s="8">
        <v>91.145356229911201</v>
      </c>
      <c r="R53" s="8">
        <v>0.86217519719267999</v>
      </c>
      <c r="S53" s="8"/>
      <c r="T53" s="8">
        <f t="shared" si="21"/>
        <v>0.40348823074959561</v>
      </c>
      <c r="U53" s="8">
        <f t="shared" si="22"/>
        <v>0.47074116842120478</v>
      </c>
      <c r="V53" s="8">
        <f t="shared" si="23"/>
        <v>1.2989999999999999</v>
      </c>
      <c r="W53" s="8">
        <f t="shared" si="24"/>
        <v>1.7024882307495957</v>
      </c>
      <c r="X53" s="8">
        <f t="shared" si="25"/>
        <v>1.7663701264138978</v>
      </c>
      <c r="Y53" s="8">
        <f t="shared" si="26"/>
        <v>2.5979999999999999</v>
      </c>
      <c r="Z53" s="8">
        <f t="shared" si="27"/>
        <v>3.0014882307495956</v>
      </c>
      <c r="AA53" s="8">
        <f t="shared" si="28"/>
        <v>3.0381785409970394</v>
      </c>
      <c r="AB53" s="8">
        <f t="shared" si="29"/>
        <v>52.991103792416936</v>
      </c>
      <c r="AC53" s="8">
        <f t="shared" si="30"/>
        <v>91.145356229911187</v>
      </c>
      <c r="AD53" s="10">
        <f t="shared" si="31"/>
        <v>40.340050028</v>
      </c>
      <c r="AE53" s="10">
        <f t="shared" si="11"/>
        <v>38.97</v>
      </c>
    </row>
    <row r="54" spans="1:36" s="10" customFormat="1" ht="12.75" customHeight="1" x14ac:dyDescent="0.15">
      <c r="A54" s="8">
        <v>1</v>
      </c>
      <c r="B54" s="9" t="s">
        <v>87</v>
      </c>
      <c r="C54" s="9" t="s">
        <v>67</v>
      </c>
      <c r="D54" s="9" t="s">
        <v>68</v>
      </c>
      <c r="E54" s="9" t="s">
        <v>18</v>
      </c>
      <c r="F54" s="9" t="s">
        <v>88</v>
      </c>
      <c r="G54" s="9" t="s">
        <v>70</v>
      </c>
      <c r="H54" s="9" t="s">
        <v>21</v>
      </c>
      <c r="I54" s="8">
        <v>170.53800000000001</v>
      </c>
      <c r="J54" s="8">
        <v>0.43099999999999999</v>
      </c>
      <c r="K54" s="8">
        <v>47.63</v>
      </c>
      <c r="L54" s="8">
        <v>9.4619999999999909</v>
      </c>
      <c r="M54" s="8">
        <v>3.17533333333333</v>
      </c>
      <c r="N54" s="8">
        <v>3.6011666085516398</v>
      </c>
      <c r="O54" s="9" t="s">
        <v>68</v>
      </c>
      <c r="P54" s="9" t="s">
        <v>67</v>
      </c>
      <c r="Q54" s="8">
        <v>108.034998256549</v>
      </c>
      <c r="R54" s="8">
        <v>0.16514305382370001</v>
      </c>
      <c r="S54" s="8"/>
      <c r="T54" s="8">
        <f t="shared" si="21"/>
        <v>0.42513617962988492</v>
      </c>
      <c r="U54" s="8">
        <f t="shared" si="22"/>
        <v>7.0853572737768322E-2</v>
      </c>
      <c r="V54" s="8">
        <f t="shared" si="23"/>
        <v>1.5876666666666668</v>
      </c>
      <c r="W54" s="8">
        <f t="shared" si="24"/>
        <v>2.0128028462965517</v>
      </c>
      <c r="X54" s="8">
        <f t="shared" si="25"/>
        <v>2.0140495343534148</v>
      </c>
      <c r="Y54" s="8">
        <f t="shared" si="26"/>
        <v>3.1753333333333336</v>
      </c>
      <c r="Z54" s="8">
        <f t="shared" si="27"/>
        <v>3.6004695129632185</v>
      </c>
      <c r="AA54" s="8">
        <f t="shared" si="28"/>
        <v>3.6011666085516372</v>
      </c>
      <c r="AB54" s="8">
        <f t="shared" si="29"/>
        <v>60.421486030602445</v>
      </c>
      <c r="AC54" s="8">
        <f t="shared" si="30"/>
        <v>108.03499825654912</v>
      </c>
      <c r="AD54" s="10">
        <f t="shared" si="31"/>
        <v>55.381532671999999</v>
      </c>
      <c r="AE54" s="10">
        <f t="shared" si="11"/>
        <v>47.63</v>
      </c>
    </row>
    <row r="55" spans="1:36" s="10" customFormat="1" ht="12.75" customHeight="1" x14ac:dyDescent="0.15">
      <c r="A55" s="8">
        <v>1</v>
      </c>
      <c r="B55" s="9" t="s">
        <v>89</v>
      </c>
      <c r="C55" s="9" t="s">
        <v>67</v>
      </c>
      <c r="D55" s="9" t="s">
        <v>68</v>
      </c>
      <c r="E55" s="9" t="s">
        <v>18</v>
      </c>
      <c r="F55" s="9" t="s">
        <v>88</v>
      </c>
      <c r="G55" s="9" t="s">
        <v>70</v>
      </c>
      <c r="H55" s="9" t="s">
        <v>21</v>
      </c>
      <c r="I55" s="8">
        <v>-167.471</v>
      </c>
      <c r="J55" s="8">
        <v>0.63600000000000001</v>
      </c>
      <c r="K55" s="8">
        <v>47.63</v>
      </c>
      <c r="L55" s="8">
        <v>12.529</v>
      </c>
      <c r="M55" s="8">
        <v>3.17533333333333</v>
      </c>
      <c r="N55" s="8">
        <v>3.7986942232494001</v>
      </c>
      <c r="O55" s="9" t="s">
        <v>68</v>
      </c>
      <c r="P55" s="9" t="s">
        <v>67</v>
      </c>
      <c r="Q55" s="8">
        <v>113.96082669748201</v>
      </c>
      <c r="R55" s="8">
        <v>0.21867230198237</v>
      </c>
      <c r="S55" s="8"/>
      <c r="T55" s="8">
        <f t="shared" si="21"/>
        <v>0.62085450723869795</v>
      </c>
      <c r="U55" s="8">
        <f t="shared" si="22"/>
        <v>0.13796985482848637</v>
      </c>
      <c r="V55" s="8">
        <f t="shared" si="23"/>
        <v>1.5876666666666668</v>
      </c>
      <c r="W55" s="8">
        <f t="shared" si="24"/>
        <v>2.208521173905365</v>
      </c>
      <c r="X55" s="8">
        <f t="shared" si="25"/>
        <v>2.2128265762209485</v>
      </c>
      <c r="Y55" s="8">
        <f t="shared" si="26"/>
        <v>3.1753333333333336</v>
      </c>
      <c r="Z55" s="8">
        <f t="shared" si="27"/>
        <v>3.7961878405720313</v>
      </c>
      <c r="AA55" s="8">
        <f t="shared" si="28"/>
        <v>3.7986942232493961</v>
      </c>
      <c r="AB55" s="8">
        <f t="shared" si="29"/>
        <v>66.384797286628455</v>
      </c>
      <c r="AC55" s="8">
        <f t="shared" si="30"/>
        <v>113.96082669748188</v>
      </c>
      <c r="AD55" s="10">
        <f t="shared" si="31"/>
        <v>55.381532671999999</v>
      </c>
      <c r="AE55" s="10">
        <f t="shared" si="11"/>
        <v>47.63</v>
      </c>
    </row>
    <row r="56" spans="1:36" s="10" customFormat="1" ht="12.75" customHeight="1" x14ac:dyDescent="0.15">
      <c r="A56" s="8">
        <v>1</v>
      </c>
      <c r="B56" s="9" t="s">
        <v>90</v>
      </c>
      <c r="C56" s="9" t="s">
        <v>67</v>
      </c>
      <c r="D56" s="9" t="s">
        <v>68</v>
      </c>
      <c r="E56" s="9" t="s">
        <v>18</v>
      </c>
      <c r="F56" s="9" t="s">
        <v>88</v>
      </c>
      <c r="G56" s="9" t="s">
        <v>70</v>
      </c>
      <c r="H56" s="9" t="s">
        <v>21</v>
      </c>
      <c r="I56" s="8">
        <v>169.875</v>
      </c>
      <c r="J56" s="8">
        <v>0.95399999999999996</v>
      </c>
      <c r="K56" s="8">
        <v>47.63</v>
      </c>
      <c r="L56" s="8">
        <v>10.125</v>
      </c>
      <c r="M56" s="8">
        <v>3.17533333333333</v>
      </c>
      <c r="N56" s="8">
        <v>4.1178928567784299</v>
      </c>
      <c r="O56" s="9" t="s">
        <v>68</v>
      </c>
      <c r="P56" s="9" t="s">
        <v>67</v>
      </c>
      <c r="Q56" s="8">
        <v>123.536785703353</v>
      </c>
      <c r="R56" s="8">
        <v>0.17671458676443</v>
      </c>
      <c r="S56" s="8"/>
      <c r="T56" s="8">
        <f t="shared" si="21"/>
        <v>0.93914294595775649</v>
      </c>
      <c r="U56" s="8">
        <f t="shared" si="22"/>
        <v>0.1677096510573742</v>
      </c>
      <c r="V56" s="8">
        <f t="shared" si="23"/>
        <v>1.5876666666666668</v>
      </c>
      <c r="W56" s="8">
        <f t="shared" si="24"/>
        <v>2.5268096126244233</v>
      </c>
      <c r="X56" s="8">
        <f t="shared" si="25"/>
        <v>2.5323691171527449</v>
      </c>
      <c r="Y56" s="8">
        <f t="shared" si="26"/>
        <v>3.1753333333333336</v>
      </c>
      <c r="Z56" s="8">
        <f t="shared" si="27"/>
        <v>4.1144762792910896</v>
      </c>
      <c r="AA56" s="8">
        <f t="shared" si="28"/>
        <v>4.1178928567784316</v>
      </c>
      <c r="AB56" s="8">
        <f t="shared" si="29"/>
        <v>75.971073514582343</v>
      </c>
      <c r="AC56" s="8">
        <f t="shared" si="30"/>
        <v>123.53678570335295</v>
      </c>
      <c r="AD56" s="10">
        <f t="shared" si="31"/>
        <v>55.381532671999999</v>
      </c>
      <c r="AE56" s="10">
        <f t="shared" si="11"/>
        <v>47.63</v>
      </c>
    </row>
    <row r="57" spans="1:36" s="10" customFormat="1" ht="12.75" customHeight="1" x14ac:dyDescent="0.15">
      <c r="A57" s="8">
        <v>1</v>
      </c>
      <c r="B57" s="9" t="s">
        <v>91</v>
      </c>
      <c r="C57" s="9" t="s">
        <v>67</v>
      </c>
      <c r="D57" s="9" t="s">
        <v>68</v>
      </c>
      <c r="E57" s="9" t="s">
        <v>18</v>
      </c>
      <c r="F57" s="9" t="s">
        <v>88</v>
      </c>
      <c r="G57" s="9" t="s">
        <v>70</v>
      </c>
      <c r="H57" s="9" t="s">
        <v>21</v>
      </c>
      <c r="I57" s="8">
        <v>145.71299999999999</v>
      </c>
      <c r="J57" s="8">
        <v>0.88600000000000001</v>
      </c>
      <c r="K57" s="8">
        <v>47.63</v>
      </c>
      <c r="L57" s="8">
        <v>34.286999999999999</v>
      </c>
      <c r="M57" s="8">
        <v>3.17533333333333</v>
      </c>
      <c r="N57" s="8">
        <v>3.9391187656898099</v>
      </c>
      <c r="O57" s="9" t="s">
        <v>68</v>
      </c>
      <c r="P57" s="9" t="s">
        <v>67</v>
      </c>
      <c r="Q57" s="8">
        <v>118.17356297069399</v>
      </c>
      <c r="R57" s="8">
        <v>0.59842104063129997</v>
      </c>
      <c r="S57" s="8"/>
      <c r="T57" s="8">
        <f t="shared" si="21"/>
        <v>0.73203635404658751</v>
      </c>
      <c r="U57" s="8">
        <f t="shared" si="22"/>
        <v>0.49911799842740512</v>
      </c>
      <c r="V57" s="8">
        <f t="shared" si="23"/>
        <v>1.5876666666666668</v>
      </c>
      <c r="W57" s="8">
        <f t="shared" si="24"/>
        <v>2.3197030207132543</v>
      </c>
      <c r="X57" s="8">
        <f t="shared" si="25"/>
        <v>2.3727917904149063</v>
      </c>
      <c r="Y57" s="8">
        <f t="shared" si="26"/>
        <v>3.1753333333333336</v>
      </c>
      <c r="Z57" s="8">
        <f t="shared" si="27"/>
        <v>3.9073696873799211</v>
      </c>
      <c r="AA57" s="8">
        <f t="shared" si="28"/>
        <v>3.9391187656898135</v>
      </c>
      <c r="AB57" s="8">
        <f t="shared" si="29"/>
        <v>71.183753712447185</v>
      </c>
      <c r="AC57" s="8">
        <f t="shared" si="30"/>
        <v>118.17356297069441</v>
      </c>
      <c r="AD57" s="10">
        <f t="shared" si="31"/>
        <v>55.381532671999999</v>
      </c>
      <c r="AE57" s="10">
        <f t="shared" si="11"/>
        <v>47.63</v>
      </c>
    </row>
    <row r="58" spans="1:36" s="10" customFormat="1" ht="12.75" customHeight="1" x14ac:dyDescent="0.15">
      <c r="A58" s="8">
        <v>1</v>
      </c>
      <c r="B58" s="9" t="s">
        <v>92</v>
      </c>
      <c r="C58" s="9" t="s">
        <v>67</v>
      </c>
      <c r="D58" s="9" t="s">
        <v>68</v>
      </c>
      <c r="E58" s="9" t="s">
        <v>18</v>
      </c>
      <c r="F58" s="9" t="s">
        <v>88</v>
      </c>
      <c r="G58" s="9" t="s">
        <v>70</v>
      </c>
      <c r="H58" s="9" t="s">
        <v>21</v>
      </c>
      <c r="I58" s="8">
        <v>110.22499999999999</v>
      </c>
      <c r="J58" s="8">
        <v>0.68100000000000005</v>
      </c>
      <c r="K58" s="8">
        <v>47.63</v>
      </c>
      <c r="L58" s="8">
        <v>69.775000000000006</v>
      </c>
      <c r="M58" s="8">
        <v>3.17533333333333</v>
      </c>
      <c r="N58" s="8">
        <v>3.47010383888894</v>
      </c>
      <c r="O58" s="9" t="s">
        <v>68</v>
      </c>
      <c r="P58" s="9" t="s">
        <v>67</v>
      </c>
      <c r="Q58" s="8">
        <v>104.103115166668</v>
      </c>
      <c r="R58" s="8">
        <v>1.2178034855790401</v>
      </c>
      <c r="S58" s="8"/>
      <c r="T58" s="8">
        <f t="shared" si="21"/>
        <v>0.23542691710486824</v>
      </c>
      <c r="U58" s="8">
        <f t="shared" si="22"/>
        <v>0.63901108496058001</v>
      </c>
      <c r="V58" s="8">
        <f t="shared" si="23"/>
        <v>1.5876666666666668</v>
      </c>
      <c r="W58" s="8">
        <f t="shared" si="24"/>
        <v>1.823093583771535</v>
      </c>
      <c r="X58" s="8">
        <f t="shared" si="25"/>
        <v>1.931839895511902</v>
      </c>
      <c r="Y58" s="8">
        <f t="shared" si="26"/>
        <v>3.1753333333333336</v>
      </c>
      <c r="Z58" s="8">
        <f t="shared" si="27"/>
        <v>3.410760250438202</v>
      </c>
      <c r="AA58" s="8">
        <f t="shared" si="28"/>
        <v>3.4701038388889409</v>
      </c>
      <c r="AB58" s="8">
        <f t="shared" si="29"/>
        <v>57.95519686535706</v>
      </c>
      <c r="AC58" s="8">
        <f t="shared" si="30"/>
        <v>104.10311516666823</v>
      </c>
      <c r="AD58" s="10">
        <f t="shared" si="31"/>
        <v>55.381532671999999</v>
      </c>
      <c r="AE58" s="10">
        <f t="shared" si="11"/>
        <v>47.63</v>
      </c>
    </row>
    <row r="59" spans="1:36" s="10" customFormat="1" ht="12.75" customHeight="1" x14ac:dyDescent="0.15">
      <c r="A59" s="8">
        <v>1</v>
      </c>
      <c r="B59" s="9" t="s">
        <v>93</v>
      </c>
      <c r="C59" s="9" t="s">
        <v>67</v>
      </c>
      <c r="D59" s="9" t="s">
        <v>68</v>
      </c>
      <c r="E59" s="9" t="s">
        <v>18</v>
      </c>
      <c r="F59" s="9" t="s">
        <v>88</v>
      </c>
      <c r="G59" s="9" t="s">
        <v>70</v>
      </c>
      <c r="H59" s="9" t="s">
        <v>21</v>
      </c>
      <c r="I59" s="8">
        <v>125.538</v>
      </c>
      <c r="J59" s="8">
        <v>1.157</v>
      </c>
      <c r="K59" s="8">
        <v>47.63</v>
      </c>
      <c r="L59" s="8">
        <v>54.462000000000003</v>
      </c>
      <c r="M59" s="8">
        <v>3.17533333333333</v>
      </c>
      <c r="N59" s="8">
        <v>3.9613382432438602</v>
      </c>
      <c r="O59" s="9" t="s">
        <v>68</v>
      </c>
      <c r="P59" s="9" t="s">
        <v>67</v>
      </c>
      <c r="Q59" s="8">
        <v>118.84014729731599</v>
      </c>
      <c r="R59" s="8">
        <v>0.95054121722115004</v>
      </c>
      <c r="S59" s="8"/>
      <c r="T59" s="8">
        <f t="shared" si="21"/>
        <v>0.67249788467487703</v>
      </c>
      <c r="U59" s="8">
        <f t="shared" si="22"/>
        <v>0.94148584434807925</v>
      </c>
      <c r="V59" s="8">
        <f t="shared" si="23"/>
        <v>1.5876666666666668</v>
      </c>
      <c r="W59" s="8">
        <f t="shared" si="24"/>
        <v>2.2601645513415436</v>
      </c>
      <c r="X59" s="8">
        <f t="shared" si="25"/>
        <v>2.4484156906556405</v>
      </c>
      <c r="Y59" s="8">
        <f t="shared" si="26"/>
        <v>3.1753333333333336</v>
      </c>
      <c r="Z59" s="8">
        <f t="shared" si="27"/>
        <v>3.8478312180082108</v>
      </c>
      <c r="AA59" s="8">
        <f t="shared" si="28"/>
        <v>3.961338243243862</v>
      </c>
      <c r="AB59" s="8">
        <f t="shared" si="29"/>
        <v>73.452470719669208</v>
      </c>
      <c r="AC59" s="8">
        <f t="shared" si="30"/>
        <v>118.84014729731587</v>
      </c>
      <c r="AD59" s="10">
        <f t="shared" si="31"/>
        <v>55.381532671999999</v>
      </c>
      <c r="AE59" s="10">
        <f t="shared" si="11"/>
        <v>47.63</v>
      </c>
    </row>
    <row r="60" spans="1:36" s="10" customFormat="1" ht="12.75" customHeight="1" x14ac:dyDescent="0.15">
      <c r="A60" s="8">
        <v>1</v>
      </c>
      <c r="B60" s="9" t="s">
        <v>94</v>
      </c>
      <c r="C60" s="9" t="s">
        <v>67</v>
      </c>
      <c r="D60" s="9" t="s">
        <v>68</v>
      </c>
      <c r="E60" s="9" t="s">
        <v>18</v>
      </c>
      <c r="F60" s="9" t="s">
        <v>95</v>
      </c>
      <c r="G60" s="9" t="s">
        <v>70</v>
      </c>
      <c r="H60" s="9" t="s">
        <v>21</v>
      </c>
      <c r="I60" s="8">
        <v>-160.017</v>
      </c>
      <c r="J60" s="8">
        <v>0.79700000000000004</v>
      </c>
      <c r="K60" s="8">
        <v>56.29</v>
      </c>
      <c r="L60" s="8">
        <v>19.983000000000001</v>
      </c>
      <c r="M60" s="8">
        <v>3.7526666666666699</v>
      </c>
      <c r="N60" s="8">
        <v>4.5099146166100903</v>
      </c>
      <c r="O60" s="9" t="s">
        <v>68</v>
      </c>
      <c r="P60" s="9" t="s">
        <v>67</v>
      </c>
      <c r="Q60" s="8">
        <v>135.29743849830299</v>
      </c>
      <c r="R60" s="8">
        <v>0.34876914442603002</v>
      </c>
      <c r="S60" s="8"/>
      <c r="T60" s="8">
        <f t="shared" si="21"/>
        <v>0.74901586489637395</v>
      </c>
      <c r="U60" s="8">
        <f t="shared" si="22"/>
        <v>0.27236782874182658</v>
      </c>
      <c r="V60" s="8">
        <f t="shared" si="23"/>
        <v>1.8763333333333334</v>
      </c>
      <c r="W60" s="8">
        <f t="shared" si="24"/>
        <v>2.6253491982297072</v>
      </c>
      <c r="X60" s="8">
        <f t="shared" si="25"/>
        <v>2.639439835794501</v>
      </c>
      <c r="Y60" s="8">
        <f t="shared" si="26"/>
        <v>3.7526666666666668</v>
      </c>
      <c r="Z60" s="8">
        <f t="shared" si="27"/>
        <v>4.5016825315630404</v>
      </c>
      <c r="AA60" s="8">
        <f t="shared" si="28"/>
        <v>4.509914616610093</v>
      </c>
      <c r="AB60" s="8">
        <f t="shared" si="29"/>
        <v>79.183195073835037</v>
      </c>
      <c r="AC60" s="8">
        <f t="shared" si="30"/>
        <v>135.2974384983028</v>
      </c>
      <c r="AD60" s="10">
        <f t="shared" si="31"/>
        <v>70.423015316000004</v>
      </c>
      <c r="AE60" s="10">
        <f t="shared" si="11"/>
        <v>56.29</v>
      </c>
    </row>
    <row r="61" spans="1:36" s="10" customFormat="1" ht="12.75" customHeight="1" x14ac:dyDescent="0.15">
      <c r="A61" s="8">
        <v>1</v>
      </c>
      <c r="B61" s="9" t="s">
        <v>96</v>
      </c>
      <c r="C61" s="9" t="s">
        <v>67</v>
      </c>
      <c r="D61" s="9" t="s">
        <v>68</v>
      </c>
      <c r="E61" s="9" t="s">
        <v>18</v>
      </c>
      <c r="F61" s="9" t="s">
        <v>95</v>
      </c>
      <c r="G61" s="9" t="s">
        <v>70</v>
      </c>
      <c r="H61" s="9" t="s">
        <v>21</v>
      </c>
      <c r="I61" s="8">
        <v>-165.964</v>
      </c>
      <c r="J61" s="8">
        <v>0.69299999999999995</v>
      </c>
      <c r="K61" s="8">
        <v>56.29</v>
      </c>
      <c r="L61" s="8">
        <v>14.036</v>
      </c>
      <c r="M61" s="8">
        <v>3.7526666666666699</v>
      </c>
      <c r="N61" s="8">
        <v>4.4281669754718997</v>
      </c>
      <c r="O61" s="9" t="s">
        <v>68</v>
      </c>
      <c r="P61" s="9" t="s">
        <v>67</v>
      </c>
      <c r="Q61" s="8">
        <v>132.845009264157</v>
      </c>
      <c r="R61" s="8">
        <v>0.24497441380991999</v>
      </c>
      <c r="S61" s="8"/>
      <c r="T61" s="8">
        <f t="shared" si="21"/>
        <v>0.67230946680788795</v>
      </c>
      <c r="U61" s="8">
        <f t="shared" si="22"/>
        <v>0.16807433129568991</v>
      </c>
      <c r="V61" s="8">
        <f t="shared" si="23"/>
        <v>1.8763333333333334</v>
      </c>
      <c r="W61" s="8">
        <f t="shared" si="24"/>
        <v>2.5486428001412214</v>
      </c>
      <c r="X61" s="8">
        <f t="shared" si="25"/>
        <v>2.5541787532496976</v>
      </c>
      <c r="Y61" s="8">
        <f t="shared" si="26"/>
        <v>3.7526666666666668</v>
      </c>
      <c r="Z61" s="8">
        <f t="shared" si="27"/>
        <v>4.424976133474555</v>
      </c>
      <c r="AA61" s="8">
        <f t="shared" si="28"/>
        <v>4.4281669754718962</v>
      </c>
      <c r="AB61" s="8">
        <f t="shared" si="29"/>
        <v>76.62536259749092</v>
      </c>
      <c r="AC61" s="8">
        <f t="shared" si="30"/>
        <v>132.84500926415689</v>
      </c>
      <c r="AD61" s="10">
        <f t="shared" si="31"/>
        <v>70.423015316000004</v>
      </c>
      <c r="AE61" s="10">
        <f t="shared" si="11"/>
        <v>56.29</v>
      </c>
    </row>
    <row r="62" spans="1:36" s="10" customFormat="1" ht="12.75" customHeight="1" x14ac:dyDescent="0.15">
      <c r="A62" s="8">
        <v>1</v>
      </c>
      <c r="B62" s="9" t="s">
        <v>97</v>
      </c>
      <c r="C62" s="9" t="s">
        <v>67</v>
      </c>
      <c r="D62" s="9" t="s">
        <v>68</v>
      </c>
      <c r="E62" s="9" t="s">
        <v>18</v>
      </c>
      <c r="F62" s="9" t="s">
        <v>95</v>
      </c>
      <c r="G62" s="9" t="s">
        <v>70</v>
      </c>
      <c r="H62" s="9" t="s">
        <v>21</v>
      </c>
      <c r="I62" s="8">
        <v>-172.23500000000001</v>
      </c>
      <c r="J62" s="8">
        <v>0.77200000000000002</v>
      </c>
      <c r="K62" s="8">
        <v>56.29</v>
      </c>
      <c r="L62" s="8">
        <v>7.7649999999999899</v>
      </c>
      <c r="M62" s="8">
        <v>3.7526666666666699</v>
      </c>
      <c r="N62" s="8">
        <v>4.5187918330608401</v>
      </c>
      <c r="O62" s="9" t="s">
        <v>68</v>
      </c>
      <c r="P62" s="9" t="s">
        <v>67</v>
      </c>
      <c r="Q62" s="8">
        <v>135.56375499182499</v>
      </c>
      <c r="R62" s="8">
        <v>0.13552481641736</v>
      </c>
      <c r="S62" s="8"/>
      <c r="T62" s="8">
        <f t="shared" si="21"/>
        <v>0.7649211919647696</v>
      </c>
      <c r="U62" s="8">
        <f t="shared" si="22"/>
        <v>0.10430517764327953</v>
      </c>
      <c r="V62" s="8">
        <f t="shared" si="23"/>
        <v>1.8763333333333334</v>
      </c>
      <c r="W62" s="8">
        <f t="shared" si="24"/>
        <v>2.6412545252981028</v>
      </c>
      <c r="X62" s="8">
        <f t="shared" si="25"/>
        <v>2.6433132688901826</v>
      </c>
      <c r="Y62" s="8">
        <f t="shared" si="26"/>
        <v>3.7526666666666668</v>
      </c>
      <c r="Z62" s="8">
        <f t="shared" si="27"/>
        <v>4.5175878586314369</v>
      </c>
      <c r="AA62" s="8">
        <f t="shared" si="28"/>
        <v>4.5187918330608419</v>
      </c>
      <c r="AB62" s="8">
        <f t="shared" si="29"/>
        <v>79.299398066705479</v>
      </c>
      <c r="AC62" s="8">
        <f t="shared" si="30"/>
        <v>135.56375499182525</v>
      </c>
      <c r="AD62" s="10">
        <f t="shared" si="31"/>
        <v>70.423015316000004</v>
      </c>
      <c r="AE62" s="10">
        <f t="shared" si="11"/>
        <v>56.29</v>
      </c>
    </row>
    <row r="63" spans="1:36" s="10" customFormat="1" ht="12.75" customHeight="1" x14ac:dyDescent="0.15">
      <c r="A63" s="8">
        <v>1</v>
      </c>
      <c r="B63" s="9" t="s">
        <v>98</v>
      </c>
      <c r="C63" s="9" t="s">
        <v>67</v>
      </c>
      <c r="D63" s="9" t="s">
        <v>68</v>
      </c>
      <c r="E63" s="9" t="s">
        <v>18</v>
      </c>
      <c r="F63" s="9" t="s">
        <v>95</v>
      </c>
      <c r="G63" s="9" t="s">
        <v>70</v>
      </c>
      <c r="H63" s="9" t="s">
        <v>21</v>
      </c>
      <c r="I63" s="8">
        <v>167.471</v>
      </c>
      <c r="J63" s="8">
        <v>0.33</v>
      </c>
      <c r="K63" s="8">
        <v>56.29</v>
      </c>
      <c r="L63" s="8">
        <v>12.529</v>
      </c>
      <c r="M63" s="8">
        <v>3.7526666666666699</v>
      </c>
      <c r="N63" s="8">
        <v>4.0754369546213098</v>
      </c>
      <c r="O63" s="9" t="s">
        <v>68</v>
      </c>
      <c r="P63" s="9" t="s">
        <v>67</v>
      </c>
      <c r="Q63" s="8">
        <v>122.263108638639</v>
      </c>
      <c r="R63" s="8">
        <v>0.21867230198237</v>
      </c>
      <c r="S63" s="8"/>
      <c r="T63" s="8">
        <f t="shared" si="21"/>
        <v>0.32214148960498479</v>
      </c>
      <c r="U63" s="8">
        <f t="shared" si="22"/>
        <v>7.1588132222327835E-2</v>
      </c>
      <c r="V63" s="8">
        <f t="shared" si="23"/>
        <v>1.8763333333333334</v>
      </c>
      <c r="W63" s="8">
        <f t="shared" si="24"/>
        <v>2.1984748229383184</v>
      </c>
      <c r="X63" s="8">
        <f t="shared" si="25"/>
        <v>2.1996400632305169</v>
      </c>
      <c r="Y63" s="8">
        <f t="shared" si="26"/>
        <v>3.7526666666666668</v>
      </c>
      <c r="Z63" s="8">
        <f t="shared" si="27"/>
        <v>4.0748081562716516</v>
      </c>
      <c r="AA63" s="8">
        <f t="shared" si="28"/>
        <v>4.0754369546213152</v>
      </c>
      <c r="AB63" s="8">
        <f t="shared" si="29"/>
        <v>65.989201896915503</v>
      </c>
      <c r="AC63" s="8">
        <f t="shared" si="30"/>
        <v>122.26310863863945</v>
      </c>
      <c r="AD63" s="10">
        <f t="shared" si="31"/>
        <v>70.423015316000004</v>
      </c>
      <c r="AE63" s="10">
        <f t="shared" si="11"/>
        <v>56.29</v>
      </c>
      <c r="AF63" s="10">
        <f>AVERAGE(AB39:AB63)</f>
        <v>54.291731203951116</v>
      </c>
      <c r="AG63" s="10">
        <f t="shared" ref="AG63:AI63" si="33">AVERAGE(AC39:AC63)</f>
        <v>90.115265263194928</v>
      </c>
      <c r="AH63" s="10">
        <f t="shared" si="33"/>
        <v>35.827605234800011</v>
      </c>
      <c r="AI63" s="10">
        <f t="shared" si="33"/>
        <v>36.372</v>
      </c>
      <c r="AJ63" s="7">
        <f>AVERAGE(AF63:AG63)</f>
        <v>72.203498233573015</v>
      </c>
    </row>
    <row r="64" spans="1:36" ht="12.75" customHeight="1" x14ac:dyDescent="0.15">
      <c r="A64" s="2">
        <v>1</v>
      </c>
      <c r="B64" s="1" t="s">
        <v>99</v>
      </c>
      <c r="C64" s="1" t="s">
        <v>100</v>
      </c>
      <c r="D64" s="1" t="s">
        <v>68</v>
      </c>
      <c r="E64" s="1" t="s">
        <v>18</v>
      </c>
      <c r="F64" s="1" t="s">
        <v>38</v>
      </c>
      <c r="G64" s="1" t="s">
        <v>101</v>
      </c>
      <c r="H64" s="1" t="s">
        <v>21</v>
      </c>
      <c r="I64" s="2">
        <v>-129.80600000000001</v>
      </c>
      <c r="J64" s="2">
        <v>0.30599999999999999</v>
      </c>
      <c r="K64" s="2">
        <v>21.65</v>
      </c>
      <c r="L64" s="2">
        <v>50.194000000000003</v>
      </c>
      <c r="M64" s="2">
        <v>1.44333333333333</v>
      </c>
      <c r="N64" s="2">
        <v>1.65600116992577</v>
      </c>
      <c r="O64" s="1" t="s">
        <v>68</v>
      </c>
      <c r="P64" s="1" t="s">
        <v>100</v>
      </c>
      <c r="Q64" s="2">
        <v>49.680035097773199</v>
      </c>
      <c r="R64" s="2">
        <v>0.87605056474603005</v>
      </c>
      <c r="S64" s="2"/>
      <c r="T64" s="5">
        <f t="shared" si="21"/>
        <v>0.19589818603386505</v>
      </c>
      <c r="U64" s="5">
        <f t="shared" si="22"/>
        <v>0.23507424509852456</v>
      </c>
      <c r="V64" s="5">
        <f t="shared" si="23"/>
        <v>0.72166666666666657</v>
      </c>
      <c r="W64" s="5">
        <f t="shared" si="24"/>
        <v>0.91756485270053156</v>
      </c>
      <c r="X64" s="5">
        <f t="shared" si="25"/>
        <v>0.9471985851024004</v>
      </c>
      <c r="Y64" s="5">
        <f t="shared" si="26"/>
        <v>1.4433333333333331</v>
      </c>
      <c r="Z64" s="5">
        <f t="shared" si="27"/>
        <v>1.6392315193671982</v>
      </c>
      <c r="AA64" s="5">
        <f t="shared" si="28"/>
        <v>1.6560011699257746</v>
      </c>
      <c r="AB64" s="5">
        <f t="shared" si="29"/>
        <v>28.415957553072012</v>
      </c>
      <c r="AC64" s="5">
        <f t="shared" si="30"/>
        <v>49.680035097773242</v>
      </c>
      <c r="AD64" s="7">
        <f t="shared" si="31"/>
        <v>10.257084740000003</v>
      </c>
      <c r="AE64" s="13">
        <f t="shared" si="11"/>
        <v>21.65</v>
      </c>
    </row>
    <row r="65" spans="1:31" ht="12.75" customHeight="1" x14ac:dyDescent="0.15">
      <c r="A65" s="2">
        <v>1</v>
      </c>
      <c r="B65" s="1" t="s">
        <v>102</v>
      </c>
      <c r="C65" s="1" t="s">
        <v>100</v>
      </c>
      <c r="D65" s="1" t="s">
        <v>68</v>
      </c>
      <c r="E65" s="1" t="s">
        <v>18</v>
      </c>
      <c r="F65" s="1" t="s">
        <v>79</v>
      </c>
      <c r="G65" s="1" t="s">
        <v>101</v>
      </c>
      <c r="H65" s="1" t="s">
        <v>21</v>
      </c>
      <c r="I65" s="2">
        <v>-170.91</v>
      </c>
      <c r="J65" s="2">
        <v>0.96499999999999997</v>
      </c>
      <c r="K65" s="2">
        <v>30.31</v>
      </c>
      <c r="L65" s="2">
        <v>9.09</v>
      </c>
      <c r="M65" s="2">
        <v>2.0206666666666702</v>
      </c>
      <c r="N65" s="2">
        <v>2.9774533262856799</v>
      </c>
      <c r="O65" s="1" t="s">
        <v>68</v>
      </c>
      <c r="P65" s="1" t="s">
        <v>100</v>
      </c>
      <c r="Q65" s="2">
        <v>89.323599788570405</v>
      </c>
      <c r="R65" s="2">
        <v>0.15865042900628001</v>
      </c>
      <c r="S65" s="2"/>
      <c r="T65" s="5">
        <f t="shared" si="21"/>
        <v>0.95288094665916057</v>
      </c>
      <c r="U65" s="5">
        <f t="shared" si="22"/>
        <v>0.15245622812447487</v>
      </c>
      <c r="V65" s="5">
        <f t="shared" si="23"/>
        <v>1.0103333333333333</v>
      </c>
      <c r="W65" s="5">
        <f t="shared" si="24"/>
        <v>1.9632142799924939</v>
      </c>
      <c r="X65" s="5">
        <f t="shared" si="25"/>
        <v>1.9691249860433917</v>
      </c>
      <c r="Y65" s="5">
        <f t="shared" si="26"/>
        <v>2.0206666666666666</v>
      </c>
      <c r="Z65" s="5">
        <f t="shared" si="27"/>
        <v>2.9735476133258274</v>
      </c>
      <c r="AA65" s="5">
        <f t="shared" si="28"/>
        <v>2.9774533262856808</v>
      </c>
      <c r="AB65" s="5">
        <f t="shared" si="29"/>
        <v>59.073749581301755</v>
      </c>
      <c r="AC65" s="5">
        <f t="shared" si="30"/>
        <v>89.323599788570419</v>
      </c>
      <c r="AD65" s="7">
        <f t="shared" si="31"/>
        <v>25.298567384000002</v>
      </c>
      <c r="AE65" s="13">
        <f t="shared" si="11"/>
        <v>30.31</v>
      </c>
    </row>
    <row r="66" spans="1:31" ht="12.75" customHeight="1" x14ac:dyDescent="0.15">
      <c r="A66" s="2">
        <v>1</v>
      </c>
      <c r="B66" s="1" t="s">
        <v>103</v>
      </c>
      <c r="C66" s="1" t="s">
        <v>100</v>
      </c>
      <c r="D66" s="1" t="s">
        <v>68</v>
      </c>
      <c r="E66" s="1" t="s">
        <v>18</v>
      </c>
      <c r="F66" s="1" t="s">
        <v>79</v>
      </c>
      <c r="G66" s="1" t="s">
        <v>101</v>
      </c>
      <c r="H66" s="1" t="s">
        <v>21</v>
      </c>
      <c r="I66" s="2">
        <v>-129.28899999999999</v>
      </c>
      <c r="J66" s="2">
        <v>0.54600000000000004</v>
      </c>
      <c r="K66" s="2">
        <v>30.31</v>
      </c>
      <c r="L66" s="2">
        <v>50.710999999999999</v>
      </c>
      <c r="M66" s="2">
        <v>2.0206666666666702</v>
      </c>
      <c r="N66" s="2">
        <v>2.4038468950722001</v>
      </c>
      <c r="O66" s="1" t="s">
        <v>68</v>
      </c>
      <c r="P66" s="1" t="s">
        <v>100</v>
      </c>
      <c r="Q66" s="2">
        <v>72.115406852165904</v>
      </c>
      <c r="R66" s="2">
        <v>0.88507391697883997</v>
      </c>
      <c r="S66" s="2"/>
      <c r="T66" s="5">
        <f t="shared" si="21"/>
        <v>0.34574483268817019</v>
      </c>
      <c r="U66" s="5">
        <f t="shared" si="22"/>
        <v>0.42258314054092266</v>
      </c>
      <c r="V66" s="5">
        <f t="shared" si="23"/>
        <v>1.0103333333333333</v>
      </c>
      <c r="W66" s="5">
        <f t="shared" si="24"/>
        <v>1.3560781660215036</v>
      </c>
      <c r="X66" s="5">
        <f t="shared" si="25"/>
        <v>1.4203958965829471</v>
      </c>
      <c r="Y66" s="5">
        <f t="shared" si="26"/>
        <v>2.0206666666666666</v>
      </c>
      <c r="Z66" s="5">
        <f t="shared" si="27"/>
        <v>2.3664114993548369</v>
      </c>
      <c r="AA66" s="5">
        <f t="shared" si="28"/>
        <v>2.4038468950721956</v>
      </c>
      <c r="AB66" s="5">
        <f t="shared" si="29"/>
        <v>42.611876897488415</v>
      </c>
      <c r="AC66" s="5">
        <f t="shared" si="30"/>
        <v>72.115406852165876</v>
      </c>
      <c r="AD66" s="7">
        <f t="shared" si="31"/>
        <v>25.298567384000002</v>
      </c>
      <c r="AE66" s="13">
        <f t="shared" si="11"/>
        <v>30.31</v>
      </c>
    </row>
    <row r="67" spans="1:31" ht="12.75" customHeight="1" x14ac:dyDescent="0.15">
      <c r="A67" s="2">
        <v>1</v>
      </c>
      <c r="B67" s="1" t="s">
        <v>104</v>
      </c>
      <c r="C67" s="1" t="s">
        <v>100</v>
      </c>
      <c r="D67" s="1" t="s">
        <v>68</v>
      </c>
      <c r="E67" s="1" t="s">
        <v>18</v>
      </c>
      <c r="F67" s="1" t="s">
        <v>19</v>
      </c>
      <c r="G67" s="1" t="s">
        <v>101</v>
      </c>
      <c r="H67" s="1" t="s">
        <v>21</v>
      </c>
      <c r="I67" s="2">
        <v>-176.42400000000001</v>
      </c>
      <c r="J67" s="2">
        <v>0.628</v>
      </c>
      <c r="K67" s="2">
        <v>38.97</v>
      </c>
      <c r="L67" s="2">
        <v>3.5759999999999899</v>
      </c>
      <c r="M67" s="2">
        <v>2.5979999999999999</v>
      </c>
      <c r="N67" s="2">
        <v>3.2250151286534101</v>
      </c>
      <c r="O67" s="1" t="s">
        <v>68</v>
      </c>
      <c r="P67" s="1" t="s">
        <v>100</v>
      </c>
      <c r="Q67" s="2">
        <v>96.750453859602203</v>
      </c>
      <c r="R67" s="2">
        <v>6.2412974051317002E-2</v>
      </c>
      <c r="S67" s="2"/>
      <c r="T67" s="5">
        <f t="shared" si="21"/>
        <v>0.62677724789132971</v>
      </c>
      <c r="U67" s="5">
        <f t="shared" si="22"/>
        <v>3.9169905868799933E-2</v>
      </c>
      <c r="V67" s="5">
        <f t="shared" si="23"/>
        <v>1.2989999999999999</v>
      </c>
      <c r="W67" s="5">
        <f t="shared" si="24"/>
        <v>1.9257772478913298</v>
      </c>
      <c r="X67" s="5">
        <f t="shared" si="25"/>
        <v>1.9261755605400237</v>
      </c>
      <c r="Y67" s="5">
        <f t="shared" si="26"/>
        <v>2.5979999999999999</v>
      </c>
      <c r="Z67" s="5">
        <f t="shared" si="27"/>
        <v>3.2247772478913297</v>
      </c>
      <c r="AA67" s="5">
        <f t="shared" si="28"/>
        <v>3.225015128653407</v>
      </c>
      <c r="AB67" s="5">
        <f t="shared" si="29"/>
        <v>57.785266816200711</v>
      </c>
      <c r="AC67" s="5">
        <f t="shared" si="30"/>
        <v>96.750453859602203</v>
      </c>
      <c r="AD67" s="7">
        <f t="shared" si="31"/>
        <v>40.340050028</v>
      </c>
      <c r="AE67" s="13">
        <f t="shared" ref="AE67:AE130" si="34">K67</f>
        <v>38.97</v>
      </c>
    </row>
    <row r="68" spans="1:31" ht="12.75" customHeight="1" x14ac:dyDescent="0.15">
      <c r="A68" s="2">
        <v>1</v>
      </c>
      <c r="B68" s="1" t="s">
        <v>105</v>
      </c>
      <c r="C68" s="1" t="s">
        <v>100</v>
      </c>
      <c r="D68" s="1" t="s">
        <v>68</v>
      </c>
      <c r="E68" s="1" t="s">
        <v>18</v>
      </c>
      <c r="F68" s="1" t="s">
        <v>88</v>
      </c>
      <c r="G68" s="1" t="s">
        <v>101</v>
      </c>
      <c r="H68" s="1" t="s">
        <v>21</v>
      </c>
      <c r="I68" s="2">
        <v>-126.384</v>
      </c>
      <c r="J68" s="2">
        <v>0.92300000000000004</v>
      </c>
      <c r="K68" s="2">
        <v>47.63</v>
      </c>
      <c r="L68" s="2">
        <v>53.616</v>
      </c>
      <c r="M68" s="2">
        <v>3.17533333333333</v>
      </c>
      <c r="N68" s="2">
        <v>3.7962845044498801</v>
      </c>
      <c r="O68" s="1" t="s">
        <v>68</v>
      </c>
      <c r="P68" s="1" t="s">
        <v>100</v>
      </c>
      <c r="Q68" s="2">
        <v>113.88853513349601</v>
      </c>
      <c r="R68" s="2">
        <v>0.93577573174927997</v>
      </c>
      <c r="S68" s="2"/>
      <c r="T68" s="5">
        <f t="shared" si="21"/>
        <v>0.54751814942501453</v>
      </c>
      <c r="U68" s="5">
        <f t="shared" si="22"/>
        <v>0.7430698998413322</v>
      </c>
      <c r="V68" s="5">
        <f t="shared" si="23"/>
        <v>1.5876666666666668</v>
      </c>
      <c r="W68" s="5">
        <f t="shared" si="24"/>
        <v>2.1351848160916811</v>
      </c>
      <c r="X68" s="5">
        <f t="shared" si="25"/>
        <v>2.2607890381277671</v>
      </c>
      <c r="Y68" s="5">
        <f t="shared" si="26"/>
        <v>3.1753333333333336</v>
      </c>
      <c r="Z68" s="5">
        <f t="shared" si="27"/>
        <v>3.7228514827583483</v>
      </c>
      <c r="AA68" s="5">
        <f t="shared" si="28"/>
        <v>3.7962845044498761</v>
      </c>
      <c r="AB68" s="5">
        <f t="shared" si="29"/>
        <v>67.82367114383301</v>
      </c>
      <c r="AC68" s="5">
        <f t="shared" si="30"/>
        <v>113.88853513349628</v>
      </c>
      <c r="AD68" s="7">
        <f t="shared" si="31"/>
        <v>55.381532671999999</v>
      </c>
      <c r="AE68" s="13">
        <f t="shared" si="34"/>
        <v>47.63</v>
      </c>
    </row>
    <row r="69" spans="1:31" ht="12.75" customHeight="1" x14ac:dyDescent="0.15">
      <c r="A69" s="2">
        <v>1</v>
      </c>
      <c r="B69" s="1" t="s">
        <v>106</v>
      </c>
      <c r="C69" s="1" t="s">
        <v>100</v>
      </c>
      <c r="D69" s="1" t="s">
        <v>68</v>
      </c>
      <c r="E69" s="1" t="s">
        <v>18</v>
      </c>
      <c r="F69" s="1" t="s">
        <v>88</v>
      </c>
      <c r="G69" s="1" t="s">
        <v>101</v>
      </c>
      <c r="H69" s="1" t="s">
        <v>21</v>
      </c>
      <c r="I69" s="2">
        <v>148.24100000000001</v>
      </c>
      <c r="J69" s="2">
        <v>0.95499999999999996</v>
      </c>
      <c r="K69" s="2">
        <v>47.63</v>
      </c>
      <c r="L69" s="2">
        <v>31.759</v>
      </c>
      <c r="M69" s="2">
        <v>3.17533333333333</v>
      </c>
      <c r="N69" s="2">
        <v>4.0188997595352198</v>
      </c>
      <c r="O69" s="1" t="s">
        <v>68</v>
      </c>
      <c r="P69" s="1" t="s">
        <v>100</v>
      </c>
      <c r="Q69" s="2">
        <v>120.566992786057</v>
      </c>
      <c r="R69" s="2">
        <v>0.55429911714087998</v>
      </c>
      <c r="S69" s="2"/>
      <c r="T69" s="5">
        <f t="shared" si="21"/>
        <v>0.81200742694957773</v>
      </c>
      <c r="U69" s="5">
        <f t="shared" si="22"/>
        <v>0.50266185311671108</v>
      </c>
      <c r="V69" s="5">
        <f t="shared" si="23"/>
        <v>1.5876666666666668</v>
      </c>
      <c r="W69" s="5">
        <f t="shared" si="24"/>
        <v>2.3996740936162446</v>
      </c>
      <c r="X69" s="5">
        <f t="shared" si="25"/>
        <v>2.4517554311455436</v>
      </c>
      <c r="Y69" s="5">
        <f t="shared" si="26"/>
        <v>3.1753333333333336</v>
      </c>
      <c r="Z69" s="5">
        <f t="shared" si="27"/>
        <v>3.9873407602829114</v>
      </c>
      <c r="AA69" s="5">
        <f t="shared" si="28"/>
        <v>4.0188997595352181</v>
      </c>
      <c r="AB69" s="5">
        <f t="shared" si="29"/>
        <v>73.55266293436631</v>
      </c>
      <c r="AC69" s="5">
        <f t="shared" si="30"/>
        <v>120.56699278605655</v>
      </c>
      <c r="AD69" s="7">
        <f t="shared" si="31"/>
        <v>55.381532671999999</v>
      </c>
      <c r="AE69" s="13">
        <f t="shared" si="34"/>
        <v>47.63</v>
      </c>
    </row>
    <row r="70" spans="1:31" ht="12.75" customHeight="1" x14ac:dyDescent="0.15">
      <c r="A70" s="2">
        <v>1</v>
      </c>
      <c r="B70" s="1" t="s">
        <v>107</v>
      </c>
      <c r="C70" s="1" t="s">
        <v>100</v>
      </c>
      <c r="D70" s="1" t="s">
        <v>68</v>
      </c>
      <c r="E70" s="1" t="s">
        <v>18</v>
      </c>
      <c r="F70" s="1" t="s">
        <v>88</v>
      </c>
      <c r="G70" s="1" t="s">
        <v>101</v>
      </c>
      <c r="H70" s="1" t="s">
        <v>21</v>
      </c>
      <c r="I70" s="2">
        <v>-166.75899999999999</v>
      </c>
      <c r="J70" s="2">
        <v>0.69799999999999995</v>
      </c>
      <c r="K70" s="2">
        <v>47.63</v>
      </c>
      <c r="L70" s="2">
        <v>13.241</v>
      </c>
      <c r="M70" s="2">
        <v>3.17533333333333</v>
      </c>
      <c r="N70" s="2">
        <v>3.8580911276451402</v>
      </c>
      <c r="O70" s="1" t="s">
        <v>68</v>
      </c>
      <c r="P70" s="1" t="s">
        <v>100</v>
      </c>
      <c r="Q70" s="2">
        <v>115.74273382935399</v>
      </c>
      <c r="R70" s="2">
        <v>0.23109904625656999</v>
      </c>
      <c r="S70" s="2"/>
      <c r="T70" s="5">
        <f t="shared" si="21"/>
        <v>0.67944384391712198</v>
      </c>
      <c r="U70" s="5">
        <f t="shared" si="22"/>
        <v>0.15987514804723571</v>
      </c>
      <c r="V70" s="5">
        <f t="shared" si="23"/>
        <v>1.5876666666666668</v>
      </c>
      <c r="W70" s="5">
        <f t="shared" si="24"/>
        <v>2.2671105105837888</v>
      </c>
      <c r="X70" s="5">
        <f t="shared" si="25"/>
        <v>2.272740664959954</v>
      </c>
      <c r="Y70" s="5">
        <f t="shared" si="26"/>
        <v>3.1753333333333336</v>
      </c>
      <c r="Z70" s="5">
        <f t="shared" si="27"/>
        <v>3.8547771772504555</v>
      </c>
      <c r="AA70" s="5">
        <f t="shared" si="28"/>
        <v>3.8580911276451357</v>
      </c>
      <c r="AB70" s="5">
        <f t="shared" si="29"/>
        <v>68.182219948798618</v>
      </c>
      <c r="AC70" s="5">
        <f t="shared" si="30"/>
        <v>115.74273382935407</v>
      </c>
      <c r="AD70" s="7">
        <f t="shared" si="31"/>
        <v>55.381532671999999</v>
      </c>
      <c r="AE70" s="13">
        <f t="shared" si="34"/>
        <v>47.63</v>
      </c>
    </row>
    <row r="71" spans="1:31" ht="12.75" customHeight="1" x14ac:dyDescent="0.15">
      <c r="A71" s="2">
        <v>1</v>
      </c>
      <c r="B71" s="1" t="s">
        <v>108</v>
      </c>
      <c r="C71" s="1" t="s">
        <v>100</v>
      </c>
      <c r="D71" s="1" t="s">
        <v>68</v>
      </c>
      <c r="E71" s="1" t="s">
        <v>18</v>
      </c>
      <c r="F71" s="1" t="s">
        <v>95</v>
      </c>
      <c r="G71" s="1" t="s">
        <v>101</v>
      </c>
      <c r="H71" s="1" t="s">
        <v>21</v>
      </c>
      <c r="I71" s="2">
        <v>146.31</v>
      </c>
      <c r="J71" s="2">
        <v>0.99</v>
      </c>
      <c r="K71" s="2">
        <v>56.29</v>
      </c>
      <c r="L71" s="2">
        <v>33.69</v>
      </c>
      <c r="M71" s="2">
        <v>3.7526666666666699</v>
      </c>
      <c r="N71" s="2">
        <v>4.6092275523787798</v>
      </c>
      <c r="O71" s="1" t="s">
        <v>68</v>
      </c>
      <c r="P71" s="1" t="s">
        <v>100</v>
      </c>
      <c r="Q71" s="2">
        <v>138.27682657136299</v>
      </c>
      <c r="R71" s="2">
        <v>0.58800142499689001</v>
      </c>
      <c r="S71" s="2"/>
      <c r="T71" s="5">
        <f t="shared" si="21"/>
        <v>0.8237304385987626</v>
      </c>
      <c r="U71" s="5">
        <f t="shared" si="22"/>
        <v>0.54915222345529124</v>
      </c>
      <c r="V71" s="5">
        <f t="shared" si="23"/>
        <v>1.8763333333333334</v>
      </c>
      <c r="W71" s="5">
        <f t="shared" si="24"/>
        <v>2.7000637719320961</v>
      </c>
      <c r="X71" s="5">
        <f t="shared" si="25"/>
        <v>2.7553425444082391</v>
      </c>
      <c r="Y71" s="5">
        <f t="shared" si="26"/>
        <v>3.7526666666666668</v>
      </c>
      <c r="Z71" s="5">
        <f t="shared" si="27"/>
        <v>4.5763971052654293</v>
      </c>
      <c r="AA71" s="5">
        <f t="shared" si="28"/>
        <v>4.6092275523787816</v>
      </c>
      <c r="AB71" s="5">
        <f t="shared" si="29"/>
        <v>82.660276332247179</v>
      </c>
      <c r="AC71" s="5">
        <f t="shared" si="30"/>
        <v>138.27682657136344</v>
      </c>
      <c r="AD71" s="7">
        <f t="shared" si="31"/>
        <v>70.423015316000004</v>
      </c>
      <c r="AE71" s="13">
        <f t="shared" si="34"/>
        <v>56.29</v>
      </c>
    </row>
    <row r="72" spans="1:31" ht="12.75" customHeight="1" x14ac:dyDescent="0.15">
      <c r="A72" s="2">
        <v>1</v>
      </c>
      <c r="B72" s="1" t="s">
        <v>109</v>
      </c>
      <c r="C72" s="1" t="s">
        <v>100</v>
      </c>
      <c r="D72" s="1" t="s">
        <v>68</v>
      </c>
      <c r="E72" s="1" t="s">
        <v>18</v>
      </c>
      <c r="F72" s="1" t="s">
        <v>95</v>
      </c>
      <c r="G72" s="1" t="s">
        <v>101</v>
      </c>
      <c r="H72" s="1" t="s">
        <v>21</v>
      </c>
      <c r="I72" s="2">
        <v>176.566</v>
      </c>
      <c r="J72" s="2">
        <v>1.9790000000000001</v>
      </c>
      <c r="K72" s="2">
        <v>56.29</v>
      </c>
      <c r="L72" s="2">
        <v>3.4340000000000002</v>
      </c>
      <c r="M72" s="2">
        <v>3.7526666666666699</v>
      </c>
      <c r="N72" s="2">
        <v>5.7293397097733196</v>
      </c>
      <c r="O72" s="1" t="s">
        <v>68</v>
      </c>
      <c r="P72" s="1" t="s">
        <v>100</v>
      </c>
      <c r="Q72" s="2">
        <v>171.8801912932</v>
      </c>
      <c r="R72" s="2">
        <v>5.9934606513484999E-2</v>
      </c>
      <c r="S72" s="2"/>
      <c r="T72" s="5">
        <f t="shared" si="21"/>
        <v>1.9754466244725046</v>
      </c>
      <c r="U72" s="5">
        <f t="shared" si="22"/>
        <v>0.11853958773417084</v>
      </c>
      <c r="V72" s="5">
        <f t="shared" si="23"/>
        <v>1.8763333333333334</v>
      </c>
      <c r="W72" s="5">
        <f t="shared" si="24"/>
        <v>3.8517799578058378</v>
      </c>
      <c r="X72" s="5">
        <f t="shared" si="25"/>
        <v>3.853603570324136</v>
      </c>
      <c r="Y72" s="5">
        <f t="shared" si="26"/>
        <v>3.7526666666666668</v>
      </c>
      <c r="Z72" s="5">
        <f t="shared" si="27"/>
        <v>5.7281132911391719</v>
      </c>
      <c r="AA72" s="5">
        <f t="shared" si="28"/>
        <v>5.7293397097733187</v>
      </c>
      <c r="AB72" s="5">
        <f t="shared" si="29"/>
        <v>115.60810710972407</v>
      </c>
      <c r="AC72" s="5">
        <f t="shared" si="30"/>
        <v>171.88019129319957</v>
      </c>
      <c r="AD72" s="7">
        <f t="shared" si="31"/>
        <v>70.423015316000004</v>
      </c>
      <c r="AE72" s="13">
        <f t="shared" si="34"/>
        <v>56.29</v>
      </c>
    </row>
    <row r="73" spans="1:31" ht="12.75" customHeight="1" x14ac:dyDescent="0.15">
      <c r="A73" s="2">
        <v>1</v>
      </c>
      <c r="B73" s="1" t="s">
        <v>110</v>
      </c>
      <c r="C73" s="1" t="s">
        <v>100</v>
      </c>
      <c r="D73" s="1" t="s">
        <v>68</v>
      </c>
      <c r="E73" s="1" t="s">
        <v>18</v>
      </c>
      <c r="F73" s="1" t="s">
        <v>95</v>
      </c>
      <c r="G73" s="1" t="s">
        <v>101</v>
      </c>
      <c r="H73" s="1" t="s">
        <v>21</v>
      </c>
      <c r="I73" s="2">
        <v>161.99600000000001</v>
      </c>
      <c r="J73" s="2">
        <v>1.6459999999999999</v>
      </c>
      <c r="K73" s="2">
        <v>56.29</v>
      </c>
      <c r="L73" s="2">
        <v>18.004000000000001</v>
      </c>
      <c r="M73" s="2">
        <v>3.7526666666666699</v>
      </c>
      <c r="N73" s="2">
        <v>5.3423495084635197</v>
      </c>
      <c r="O73" s="1" t="s">
        <v>68</v>
      </c>
      <c r="P73" s="1" t="s">
        <v>100</v>
      </c>
      <c r="Q73" s="2">
        <v>160.270485253906</v>
      </c>
      <c r="R73" s="2">
        <v>0.31422907852906001</v>
      </c>
      <c r="S73" s="2"/>
      <c r="T73" s="5">
        <f t="shared" si="21"/>
        <v>1.5654035120984189</v>
      </c>
      <c r="U73" s="5">
        <f t="shared" si="22"/>
        <v>0.50875125976250424</v>
      </c>
      <c r="V73" s="5">
        <f t="shared" si="23"/>
        <v>1.8763333333333334</v>
      </c>
      <c r="W73" s="5">
        <f t="shared" si="24"/>
        <v>3.4417368454317523</v>
      </c>
      <c r="X73" s="5">
        <f t="shared" si="25"/>
        <v>3.4791350013347349</v>
      </c>
      <c r="Y73" s="5">
        <f t="shared" si="26"/>
        <v>3.7526666666666668</v>
      </c>
      <c r="Z73" s="5">
        <f t="shared" si="27"/>
        <v>5.3180701787650859</v>
      </c>
      <c r="AA73" s="5">
        <f t="shared" si="28"/>
        <v>5.3423495084635233</v>
      </c>
      <c r="AB73" s="5">
        <f t="shared" si="29"/>
        <v>104.37405004004205</v>
      </c>
      <c r="AC73" s="5">
        <f t="shared" si="30"/>
        <v>160.27048525390569</v>
      </c>
      <c r="AD73" s="7">
        <f t="shared" si="31"/>
        <v>70.423015316000004</v>
      </c>
      <c r="AE73" s="13">
        <f t="shared" si="34"/>
        <v>56.29</v>
      </c>
    </row>
    <row r="74" spans="1:31" ht="12.75" customHeight="1" x14ac:dyDescent="0.15">
      <c r="A74" s="2">
        <v>1</v>
      </c>
      <c r="B74" s="1" t="s">
        <v>111</v>
      </c>
      <c r="C74" s="1" t="s">
        <v>100</v>
      </c>
      <c r="D74" s="1" t="s">
        <v>68</v>
      </c>
      <c r="E74" s="1" t="s">
        <v>18</v>
      </c>
      <c r="F74" s="1" t="s">
        <v>95</v>
      </c>
      <c r="G74" s="1" t="s">
        <v>101</v>
      </c>
      <c r="H74" s="1" t="s">
        <v>21</v>
      </c>
      <c r="I74" s="2">
        <v>169.38</v>
      </c>
      <c r="J74" s="2">
        <v>0.628</v>
      </c>
      <c r="K74" s="2">
        <v>56.29</v>
      </c>
      <c r="L74" s="2">
        <v>10.62</v>
      </c>
      <c r="M74" s="2">
        <v>3.7526666666666699</v>
      </c>
      <c r="N74" s="2">
        <v>4.3714420792204196</v>
      </c>
      <c r="O74" s="1" t="s">
        <v>68</v>
      </c>
      <c r="P74" s="1" t="s">
        <v>100</v>
      </c>
      <c r="Q74" s="2">
        <v>131.143262376613</v>
      </c>
      <c r="R74" s="2">
        <v>0.1853539665618</v>
      </c>
      <c r="S74" s="2"/>
      <c r="T74" s="5">
        <f t="shared" si="21"/>
        <v>0.61724303706713413</v>
      </c>
      <c r="U74" s="5">
        <f t="shared" si="22"/>
        <v>0.11573691369714531</v>
      </c>
      <c r="V74" s="5">
        <f t="shared" si="23"/>
        <v>1.8763333333333334</v>
      </c>
      <c r="W74" s="5">
        <f t="shared" si="24"/>
        <v>2.4935763704004676</v>
      </c>
      <c r="X74" s="5">
        <f t="shared" si="25"/>
        <v>2.4962608333689231</v>
      </c>
      <c r="Y74" s="5">
        <f t="shared" si="26"/>
        <v>3.7526666666666668</v>
      </c>
      <c r="Z74" s="5">
        <f t="shared" si="27"/>
        <v>4.3699097037338008</v>
      </c>
      <c r="AA74" s="5">
        <f t="shared" si="28"/>
        <v>4.3714420792204232</v>
      </c>
      <c r="AB74" s="5">
        <f t="shared" si="29"/>
        <v>74.887825001067696</v>
      </c>
      <c r="AC74" s="5">
        <f t="shared" si="30"/>
        <v>131.14326237661268</v>
      </c>
      <c r="AD74" s="7">
        <f t="shared" si="31"/>
        <v>70.423015316000004</v>
      </c>
      <c r="AE74" s="13">
        <f t="shared" si="34"/>
        <v>56.29</v>
      </c>
    </row>
    <row r="75" spans="1:31" ht="12.75" customHeight="1" x14ac:dyDescent="0.15">
      <c r="A75" s="2">
        <v>1</v>
      </c>
      <c r="B75" s="1" t="s">
        <v>112</v>
      </c>
      <c r="C75" s="1" t="s">
        <v>100</v>
      </c>
      <c r="D75" s="1" t="s">
        <v>68</v>
      </c>
      <c r="E75" s="1" t="s">
        <v>18</v>
      </c>
      <c r="F75" s="1" t="s">
        <v>95</v>
      </c>
      <c r="G75" s="1" t="s">
        <v>101</v>
      </c>
      <c r="H75" s="1" t="s">
        <v>21</v>
      </c>
      <c r="I75" s="2">
        <v>178.66800000000001</v>
      </c>
      <c r="J75" s="2">
        <v>1.7</v>
      </c>
      <c r="K75" s="2">
        <v>56.29</v>
      </c>
      <c r="L75" s="2">
        <v>1.3319999999999901</v>
      </c>
      <c r="M75" s="2">
        <v>3.7526666666666699</v>
      </c>
      <c r="N75" s="2">
        <v>5.4523505072060399</v>
      </c>
      <c r="O75" s="1" t="s">
        <v>68</v>
      </c>
      <c r="P75" s="1" t="s">
        <v>100</v>
      </c>
      <c r="Q75" s="2">
        <v>163.57051521618101</v>
      </c>
      <c r="R75" s="2">
        <v>2.3247785636563999E-2</v>
      </c>
      <c r="S75" s="2"/>
      <c r="T75" s="5">
        <f t="shared" si="21"/>
        <v>1.6995406300833436</v>
      </c>
      <c r="U75" s="5">
        <f t="shared" si="22"/>
        <v>3.9517675740244104E-2</v>
      </c>
      <c r="V75" s="5">
        <f t="shared" si="23"/>
        <v>1.8763333333333334</v>
      </c>
      <c r="W75" s="5">
        <f t="shared" si="24"/>
        <v>3.5758739634166767</v>
      </c>
      <c r="X75" s="5">
        <f t="shared" si="25"/>
        <v>3.5760923154942748</v>
      </c>
      <c r="Y75" s="5">
        <f t="shared" si="26"/>
        <v>3.7526666666666668</v>
      </c>
      <c r="Z75" s="5">
        <f t="shared" si="27"/>
        <v>5.4522072967500108</v>
      </c>
      <c r="AA75" s="5">
        <f t="shared" si="28"/>
        <v>5.4523505072060408</v>
      </c>
      <c r="AB75" s="5">
        <f t="shared" si="29"/>
        <v>107.28276946482825</v>
      </c>
      <c r="AC75" s="5">
        <f t="shared" si="30"/>
        <v>163.57051521618124</v>
      </c>
      <c r="AD75" s="7">
        <f t="shared" si="31"/>
        <v>70.423015316000004</v>
      </c>
      <c r="AE75" s="13">
        <f t="shared" si="34"/>
        <v>56.29</v>
      </c>
    </row>
    <row r="76" spans="1:31" ht="12.75" customHeight="1" x14ac:dyDescent="0.15">
      <c r="A76" s="2">
        <v>1</v>
      </c>
      <c r="B76" s="1" t="s">
        <v>113</v>
      </c>
      <c r="C76" s="1" t="s">
        <v>100</v>
      </c>
      <c r="D76" s="1" t="s">
        <v>68</v>
      </c>
      <c r="E76" s="1" t="s">
        <v>18</v>
      </c>
      <c r="F76" s="1" t="s">
        <v>23</v>
      </c>
      <c r="G76" s="1" t="s">
        <v>101</v>
      </c>
      <c r="H76" s="1" t="s">
        <v>21</v>
      </c>
      <c r="I76" s="2">
        <v>151.18899999999999</v>
      </c>
      <c r="J76" s="2">
        <v>0.82</v>
      </c>
      <c r="K76" s="2">
        <v>64.95</v>
      </c>
      <c r="L76" s="2">
        <v>28.811</v>
      </c>
      <c r="M76" s="2">
        <v>4.33</v>
      </c>
      <c r="N76" s="2">
        <v>5.06393839725503</v>
      </c>
      <c r="O76" s="1" t="s">
        <v>68</v>
      </c>
      <c r="P76" s="1" t="s">
        <v>100</v>
      </c>
      <c r="Q76" s="2">
        <v>151.91815191765099</v>
      </c>
      <c r="R76" s="2">
        <v>0.50284681079209004</v>
      </c>
      <c r="S76" s="2"/>
      <c r="T76" s="5">
        <f t="shared" si="21"/>
        <v>0.71849562253970012</v>
      </c>
      <c r="U76" s="5">
        <f t="shared" si="22"/>
        <v>0.395175961302416</v>
      </c>
      <c r="V76" s="5">
        <f t="shared" si="23"/>
        <v>2.165</v>
      </c>
      <c r="W76" s="5">
        <f t="shared" si="24"/>
        <v>2.8834956225397002</v>
      </c>
      <c r="X76" s="5">
        <f t="shared" si="25"/>
        <v>2.9104485986866186</v>
      </c>
      <c r="Y76" s="5">
        <f t="shared" si="26"/>
        <v>4.33</v>
      </c>
      <c r="Z76" s="5">
        <f t="shared" si="27"/>
        <v>5.0484956225397006</v>
      </c>
      <c r="AA76" s="5">
        <f t="shared" si="28"/>
        <v>5.0639383972550265</v>
      </c>
      <c r="AB76" s="5">
        <f t="shared" si="29"/>
        <v>87.313457960598555</v>
      </c>
      <c r="AC76" s="5">
        <f t="shared" si="30"/>
        <v>151.91815191765079</v>
      </c>
      <c r="AD76" s="7">
        <f t="shared" si="31"/>
        <v>85.464497959999989</v>
      </c>
      <c r="AE76" s="13">
        <f t="shared" si="34"/>
        <v>64.95</v>
      </c>
    </row>
    <row r="77" spans="1:31" ht="12.75" customHeight="1" x14ac:dyDescent="0.15">
      <c r="A77" s="2">
        <v>1</v>
      </c>
      <c r="B77" s="1" t="s">
        <v>114</v>
      </c>
      <c r="C77" s="1" t="s">
        <v>100</v>
      </c>
      <c r="D77" s="1" t="s">
        <v>68</v>
      </c>
      <c r="E77" s="1" t="s">
        <v>18</v>
      </c>
      <c r="F77" s="1" t="s">
        <v>23</v>
      </c>
      <c r="G77" s="1" t="s">
        <v>101</v>
      </c>
      <c r="H77" s="1" t="s">
        <v>21</v>
      </c>
      <c r="I77" s="2">
        <v>126.87</v>
      </c>
      <c r="J77" s="2">
        <v>0.54300000000000004</v>
      </c>
      <c r="K77" s="2">
        <v>64.95</v>
      </c>
      <c r="L77" s="2">
        <v>53.13</v>
      </c>
      <c r="M77" s="2">
        <v>4.33</v>
      </c>
      <c r="N77" s="2">
        <v>4.6760222112736898</v>
      </c>
      <c r="O77" s="1" t="s">
        <v>68</v>
      </c>
      <c r="P77" s="1" t="s">
        <v>100</v>
      </c>
      <c r="Q77" s="2">
        <v>140.28066633821101</v>
      </c>
      <c r="R77" s="2">
        <v>0.92729343158458999</v>
      </c>
      <c r="S77" s="2"/>
      <c r="T77" s="5">
        <f t="shared" si="21"/>
        <v>0.32580077601903579</v>
      </c>
      <c r="U77" s="5">
        <f t="shared" si="22"/>
        <v>0.43439941798464021</v>
      </c>
      <c r="V77" s="5">
        <f t="shared" si="23"/>
        <v>2.165</v>
      </c>
      <c r="W77" s="5">
        <f t="shared" si="24"/>
        <v>2.4908007760190358</v>
      </c>
      <c r="X77" s="5">
        <f t="shared" si="25"/>
        <v>2.5283969941768296</v>
      </c>
      <c r="Y77" s="5">
        <f t="shared" si="26"/>
        <v>4.33</v>
      </c>
      <c r="Z77" s="5">
        <f t="shared" si="27"/>
        <v>4.6558007760190359</v>
      </c>
      <c r="AA77" s="5">
        <f t="shared" si="28"/>
        <v>4.6760222112736862</v>
      </c>
      <c r="AB77" s="5">
        <f t="shared" si="29"/>
        <v>75.851909825304887</v>
      </c>
      <c r="AC77" s="5">
        <f t="shared" si="30"/>
        <v>140.28066633821058</v>
      </c>
      <c r="AD77" s="7">
        <f t="shared" si="31"/>
        <v>85.464497959999989</v>
      </c>
      <c r="AE77" s="13">
        <f t="shared" si="34"/>
        <v>64.95</v>
      </c>
    </row>
    <row r="78" spans="1:31" ht="12.75" customHeight="1" x14ac:dyDescent="0.15">
      <c r="A78" s="2">
        <v>1</v>
      </c>
      <c r="B78" s="1" t="s">
        <v>115</v>
      </c>
      <c r="C78" s="1" t="s">
        <v>100</v>
      </c>
      <c r="D78" s="1" t="s">
        <v>68</v>
      </c>
      <c r="E78" s="1" t="s">
        <v>18</v>
      </c>
      <c r="F78" s="1" t="s">
        <v>23</v>
      </c>
      <c r="G78" s="1" t="s">
        <v>101</v>
      </c>
      <c r="H78" s="1" t="s">
        <v>21</v>
      </c>
      <c r="I78" s="2">
        <v>-161.565</v>
      </c>
      <c r="J78" s="2">
        <v>0.78700000000000003</v>
      </c>
      <c r="K78" s="2">
        <v>64.95</v>
      </c>
      <c r="L78" s="2">
        <v>18.434999999999999</v>
      </c>
      <c r="M78" s="2">
        <v>4.33</v>
      </c>
      <c r="N78" s="2">
        <v>5.0827101233624896</v>
      </c>
      <c r="O78" s="1" t="s">
        <v>68</v>
      </c>
      <c r="P78" s="1" t="s">
        <v>100</v>
      </c>
      <c r="Q78" s="2">
        <v>152.481303700875</v>
      </c>
      <c r="R78" s="2">
        <v>0.32175144760515001</v>
      </c>
      <c r="S78" s="2"/>
      <c r="T78" s="5">
        <f t="shared" ref="T78:T141" si="35">J78*COS(L78*PI()/180)</f>
        <v>0.7466135332715359</v>
      </c>
      <c r="U78" s="5">
        <f t="shared" ref="U78:U141" si="36">J78*SIN(L78*PI()/180)</f>
        <v>0.24887191873691417</v>
      </c>
      <c r="V78" s="5">
        <f t="shared" ref="V78:V141" si="37">K78/30</f>
        <v>2.165</v>
      </c>
      <c r="W78" s="5">
        <f t="shared" ref="W78:W141" si="38">V78+T78</f>
        <v>2.9116135332715358</v>
      </c>
      <c r="X78" s="5">
        <f t="shared" ref="X78:X141" si="39">SQRT(W78^2 + U78^2)</f>
        <v>2.9222304151222831</v>
      </c>
      <c r="Y78" s="5">
        <f t="shared" ref="Y78:Y141" si="40">K78/(30/2)</f>
        <v>4.33</v>
      </c>
      <c r="Z78" s="5">
        <f t="shared" ref="Z78:Z141" si="41">Y78+T78</f>
        <v>5.0766135332715363</v>
      </c>
      <c r="AA78" s="5">
        <f t="shared" ref="AA78:AA141" si="42">SQRT(Z78^2 + U78^2)</f>
        <v>5.082710123362487</v>
      </c>
      <c r="AB78" s="5">
        <f t="shared" ref="AB78:AB141" si="43">X78*30</f>
        <v>87.666912453668488</v>
      </c>
      <c r="AC78" s="5">
        <f t="shared" ref="AC78:AC141" si="44">AA78*30</f>
        <v>152.48130370087461</v>
      </c>
      <c r="AD78" s="7">
        <f t="shared" ref="AD78:AD141" si="45">-27.34662187 + 7.520741322 * F78</f>
        <v>85.464497959999989</v>
      </c>
      <c r="AE78" s="13">
        <f t="shared" si="34"/>
        <v>64.95</v>
      </c>
    </row>
    <row r="79" spans="1:31" ht="12.75" customHeight="1" x14ac:dyDescent="0.15">
      <c r="A79" s="2">
        <v>1</v>
      </c>
      <c r="B79" s="1" t="s">
        <v>116</v>
      </c>
      <c r="C79" s="1" t="s">
        <v>100</v>
      </c>
      <c r="D79" s="1" t="s">
        <v>68</v>
      </c>
      <c r="E79" s="1" t="s">
        <v>18</v>
      </c>
      <c r="F79" s="1" t="s">
        <v>23</v>
      </c>
      <c r="G79" s="1" t="s">
        <v>101</v>
      </c>
      <c r="H79" s="1" t="s">
        <v>21</v>
      </c>
      <c r="I79" s="2">
        <v>180</v>
      </c>
      <c r="J79" s="2">
        <v>0.503</v>
      </c>
      <c r="K79" s="2">
        <v>64.95</v>
      </c>
      <c r="L79" s="2">
        <v>0</v>
      </c>
      <c r="M79" s="2">
        <v>4.33</v>
      </c>
      <c r="N79" s="2">
        <v>4.8330000000000002</v>
      </c>
      <c r="O79" s="1" t="s">
        <v>68</v>
      </c>
      <c r="P79" s="1" t="s">
        <v>100</v>
      </c>
      <c r="Q79" s="2">
        <v>144.99</v>
      </c>
      <c r="R79" s="2">
        <v>0</v>
      </c>
      <c r="S79" s="2"/>
      <c r="T79" s="5">
        <f t="shared" si="35"/>
        <v>0.503</v>
      </c>
      <c r="U79" s="5">
        <f t="shared" si="36"/>
        <v>0</v>
      </c>
      <c r="V79" s="5">
        <f t="shared" si="37"/>
        <v>2.165</v>
      </c>
      <c r="W79" s="5">
        <f t="shared" si="38"/>
        <v>2.6680000000000001</v>
      </c>
      <c r="X79" s="5">
        <f t="shared" si="39"/>
        <v>2.6680000000000001</v>
      </c>
      <c r="Y79" s="5">
        <f t="shared" si="40"/>
        <v>4.33</v>
      </c>
      <c r="Z79" s="5">
        <f t="shared" si="41"/>
        <v>4.8330000000000002</v>
      </c>
      <c r="AA79" s="5">
        <f t="shared" si="42"/>
        <v>4.8330000000000002</v>
      </c>
      <c r="AB79" s="5">
        <f t="shared" si="43"/>
        <v>80.040000000000006</v>
      </c>
      <c r="AC79" s="5">
        <f t="shared" si="44"/>
        <v>144.99</v>
      </c>
      <c r="AD79" s="7">
        <f t="shared" si="45"/>
        <v>85.464497959999989</v>
      </c>
      <c r="AE79" s="13">
        <f t="shared" si="34"/>
        <v>64.95</v>
      </c>
    </row>
    <row r="80" spans="1:31" ht="12.75" customHeight="1" x14ac:dyDescent="0.15">
      <c r="A80" s="2">
        <v>1</v>
      </c>
      <c r="B80" s="1" t="s">
        <v>117</v>
      </c>
      <c r="C80" s="1" t="s">
        <v>100</v>
      </c>
      <c r="D80" s="1" t="s">
        <v>68</v>
      </c>
      <c r="E80" s="1" t="s">
        <v>18</v>
      </c>
      <c r="F80" s="1" t="s">
        <v>23</v>
      </c>
      <c r="G80" s="1" t="s">
        <v>101</v>
      </c>
      <c r="H80" s="1" t="s">
        <v>21</v>
      </c>
      <c r="I80" s="2">
        <v>-161.565</v>
      </c>
      <c r="J80" s="2">
        <v>0.34100000000000003</v>
      </c>
      <c r="K80" s="2">
        <v>64.95</v>
      </c>
      <c r="L80" s="2">
        <v>18.434999999999999</v>
      </c>
      <c r="M80" s="2">
        <v>4.33</v>
      </c>
      <c r="N80" s="2">
        <v>4.6547501400211004</v>
      </c>
      <c r="O80" s="1" t="s">
        <v>68</v>
      </c>
      <c r="P80" s="1" t="s">
        <v>100</v>
      </c>
      <c r="Q80" s="2">
        <v>139.642504200633</v>
      </c>
      <c r="R80" s="2">
        <v>0.32175144760515001</v>
      </c>
      <c r="S80" s="2"/>
      <c r="T80" s="5">
        <f t="shared" si="35"/>
        <v>0.32350090831714579</v>
      </c>
      <c r="U80" s="5">
        <f t="shared" si="36"/>
        <v>0.10783395716554986</v>
      </c>
      <c r="V80" s="5">
        <f t="shared" si="37"/>
        <v>2.165</v>
      </c>
      <c r="W80" s="5">
        <f t="shared" si="38"/>
        <v>2.4885009083171457</v>
      </c>
      <c r="X80" s="5">
        <f t="shared" si="39"/>
        <v>2.4908361915254966</v>
      </c>
      <c r="Y80" s="5">
        <f t="shared" si="40"/>
        <v>4.33</v>
      </c>
      <c r="Z80" s="5">
        <f t="shared" si="41"/>
        <v>4.6535009083171461</v>
      </c>
      <c r="AA80" s="5">
        <f t="shared" si="42"/>
        <v>4.654750140021104</v>
      </c>
      <c r="AB80" s="5">
        <f t="shared" si="43"/>
        <v>74.7250857457649</v>
      </c>
      <c r="AC80" s="5">
        <f t="shared" si="44"/>
        <v>139.64250420063311</v>
      </c>
      <c r="AD80" s="7">
        <f t="shared" si="45"/>
        <v>85.464497959999989</v>
      </c>
      <c r="AE80" s="13">
        <f t="shared" si="34"/>
        <v>64.95</v>
      </c>
    </row>
    <row r="81" spans="1:36" ht="12.75" customHeight="1" x14ac:dyDescent="0.15">
      <c r="A81" s="2">
        <v>1</v>
      </c>
      <c r="B81" s="1" t="s">
        <v>118</v>
      </c>
      <c r="C81" s="1" t="s">
        <v>100</v>
      </c>
      <c r="D81" s="1" t="s">
        <v>68</v>
      </c>
      <c r="E81" s="1" t="s">
        <v>18</v>
      </c>
      <c r="F81" s="1" t="s">
        <v>23</v>
      </c>
      <c r="G81" s="1" t="s">
        <v>101</v>
      </c>
      <c r="H81" s="1" t="s">
        <v>21</v>
      </c>
      <c r="I81" s="2">
        <v>151.69900000000001</v>
      </c>
      <c r="J81" s="2">
        <v>0.53</v>
      </c>
      <c r="K81" s="2">
        <v>64.95</v>
      </c>
      <c r="L81" s="2">
        <v>28.300999999999998</v>
      </c>
      <c r="M81" s="2">
        <v>4.33</v>
      </c>
      <c r="N81" s="2">
        <v>4.8032256847538202</v>
      </c>
      <c r="O81" s="1" t="s">
        <v>68</v>
      </c>
      <c r="P81" s="1" t="s">
        <v>100</v>
      </c>
      <c r="Q81" s="2">
        <v>144.09677054261499</v>
      </c>
      <c r="R81" s="2">
        <v>0.49394563160692001</v>
      </c>
      <c r="S81" s="2"/>
      <c r="T81" s="5">
        <f t="shared" si="35"/>
        <v>0.46664861185667861</v>
      </c>
      <c r="U81" s="5">
        <f t="shared" si="36"/>
        <v>0.25127489538796932</v>
      </c>
      <c r="V81" s="5">
        <f t="shared" si="37"/>
        <v>2.165</v>
      </c>
      <c r="W81" s="5">
        <f t="shared" si="38"/>
        <v>2.6316486118566784</v>
      </c>
      <c r="X81" s="5">
        <f t="shared" si="39"/>
        <v>2.6436175005736775</v>
      </c>
      <c r="Y81" s="5">
        <f t="shared" si="40"/>
        <v>4.33</v>
      </c>
      <c r="Z81" s="5">
        <f t="shared" si="41"/>
        <v>4.7966486118566785</v>
      </c>
      <c r="AA81" s="5">
        <f t="shared" si="42"/>
        <v>4.8032256847538237</v>
      </c>
      <c r="AB81" s="5">
        <f t="shared" si="43"/>
        <v>79.308525017210329</v>
      </c>
      <c r="AC81" s="5">
        <f t="shared" si="44"/>
        <v>144.09677054261471</v>
      </c>
      <c r="AD81" s="7">
        <f t="shared" si="45"/>
        <v>85.464497959999989</v>
      </c>
      <c r="AE81" s="13">
        <f t="shared" si="34"/>
        <v>64.95</v>
      </c>
    </row>
    <row r="82" spans="1:36" ht="12.75" customHeight="1" x14ac:dyDescent="0.15">
      <c r="A82" s="2">
        <v>1</v>
      </c>
      <c r="B82" s="1" t="s">
        <v>119</v>
      </c>
      <c r="C82" s="1" t="s">
        <v>100</v>
      </c>
      <c r="D82" s="1" t="s">
        <v>68</v>
      </c>
      <c r="E82" s="1" t="s">
        <v>18</v>
      </c>
      <c r="F82" s="1" t="s">
        <v>42</v>
      </c>
      <c r="G82" s="1" t="s">
        <v>101</v>
      </c>
      <c r="H82" s="1" t="s">
        <v>21</v>
      </c>
      <c r="I82" s="2">
        <v>-172.875</v>
      </c>
      <c r="J82" s="2">
        <v>0.89400000000000002</v>
      </c>
      <c r="K82" s="2">
        <v>73.61</v>
      </c>
      <c r="L82" s="2">
        <v>7.125</v>
      </c>
      <c r="M82" s="2">
        <v>4.9073333333333302</v>
      </c>
      <c r="N82" s="2">
        <v>5.7954906984629702</v>
      </c>
      <c r="O82" s="1" t="s">
        <v>68</v>
      </c>
      <c r="P82" s="1" t="s">
        <v>100</v>
      </c>
      <c r="Q82" s="2">
        <v>173.86472095388899</v>
      </c>
      <c r="R82" s="2">
        <v>0.1243547092046</v>
      </c>
      <c r="S82" s="2"/>
      <c r="T82" s="5">
        <f t="shared" si="35"/>
        <v>0.88709645342273458</v>
      </c>
      <c r="U82" s="5">
        <f t="shared" si="36"/>
        <v>0.11088679959673388</v>
      </c>
      <c r="V82" s="5">
        <f t="shared" si="37"/>
        <v>2.4536666666666664</v>
      </c>
      <c r="W82" s="5">
        <f t="shared" si="38"/>
        <v>3.340763120089401</v>
      </c>
      <c r="X82" s="5">
        <f t="shared" si="39"/>
        <v>3.342602893984608</v>
      </c>
      <c r="Y82" s="5">
        <f t="shared" si="40"/>
        <v>4.9073333333333329</v>
      </c>
      <c r="Z82" s="5">
        <f t="shared" si="41"/>
        <v>5.7944297867560675</v>
      </c>
      <c r="AA82" s="5">
        <f t="shared" si="42"/>
        <v>5.7954906984629675</v>
      </c>
      <c r="AB82" s="5">
        <f t="shared" si="43"/>
        <v>100.27808681953825</v>
      </c>
      <c r="AC82" s="5">
        <f t="shared" si="44"/>
        <v>173.86472095388902</v>
      </c>
      <c r="AD82" s="7">
        <f t="shared" si="45"/>
        <v>100.505980604</v>
      </c>
      <c r="AE82" s="13">
        <f t="shared" si="34"/>
        <v>73.61</v>
      </c>
      <c r="AF82">
        <f>AVERAGE(AB64:AB82)</f>
        <v>77.233811086581866</v>
      </c>
      <c r="AG82">
        <f t="shared" ref="AG82:AI82" si="46">AVERAGE(AC64:AC82)</f>
        <v>130.02542924800812</v>
      </c>
      <c r="AH82">
        <f t="shared" si="46"/>
        <v>64.881416447157903</v>
      </c>
      <c r="AI82">
        <f t="shared" si="46"/>
        <v>53.099473684210544</v>
      </c>
      <c r="AJ82" s="7">
        <f>AVERAGE(AF82:AG82)</f>
        <v>103.629620167295</v>
      </c>
    </row>
    <row r="83" spans="1:36" s="10" customFormat="1" ht="12.75" customHeight="1" x14ac:dyDescent="0.15">
      <c r="A83" s="8">
        <v>1</v>
      </c>
      <c r="B83" s="9" t="s">
        <v>120</v>
      </c>
      <c r="C83" s="9" t="s">
        <v>121</v>
      </c>
      <c r="D83" s="9" t="s">
        <v>122</v>
      </c>
      <c r="E83" s="9" t="s">
        <v>18</v>
      </c>
      <c r="F83" s="9" t="s">
        <v>79</v>
      </c>
      <c r="G83" s="9" t="s">
        <v>123</v>
      </c>
      <c r="H83" s="9" t="s">
        <v>21</v>
      </c>
      <c r="I83" s="8">
        <v>-159.44399999999999</v>
      </c>
      <c r="J83" s="8">
        <v>0.32700000000000001</v>
      </c>
      <c r="K83" s="8">
        <v>30.31</v>
      </c>
      <c r="L83" s="8">
        <v>20.556000000000001</v>
      </c>
      <c r="M83" s="8">
        <v>2.0206666666666702</v>
      </c>
      <c r="N83" s="8">
        <v>2.3296774741188502</v>
      </c>
      <c r="O83" s="9" t="s">
        <v>122</v>
      </c>
      <c r="P83" s="9" t="s">
        <v>121</v>
      </c>
      <c r="Q83" s="8">
        <v>69.890324223565401</v>
      </c>
      <c r="R83" s="8">
        <v>0.35876988103995</v>
      </c>
      <c r="S83" s="8"/>
      <c r="T83" s="8">
        <f t="shared" si="35"/>
        <v>0.30617973168236245</v>
      </c>
      <c r="U83" s="8">
        <f t="shared" si="36"/>
        <v>0.11481712375302106</v>
      </c>
      <c r="V83" s="8">
        <f t="shared" si="37"/>
        <v>1.0103333333333333</v>
      </c>
      <c r="W83" s="8">
        <f t="shared" si="38"/>
        <v>1.3165130650156958</v>
      </c>
      <c r="X83" s="8">
        <f t="shared" si="39"/>
        <v>1.3215103564724486</v>
      </c>
      <c r="Y83" s="8">
        <f t="shared" si="40"/>
        <v>2.0206666666666666</v>
      </c>
      <c r="Z83" s="8">
        <f t="shared" si="41"/>
        <v>2.3268463983490291</v>
      </c>
      <c r="AA83" s="8">
        <f t="shared" si="42"/>
        <v>2.3296774741188457</v>
      </c>
      <c r="AB83" s="8">
        <f t="shared" si="43"/>
        <v>39.64531069417346</v>
      </c>
      <c r="AC83" s="8">
        <f t="shared" si="44"/>
        <v>69.890324223565372</v>
      </c>
      <c r="AD83" s="10">
        <f t="shared" si="45"/>
        <v>25.298567384000002</v>
      </c>
      <c r="AE83" s="10">
        <f t="shared" si="34"/>
        <v>30.31</v>
      </c>
    </row>
    <row r="84" spans="1:36" s="10" customFormat="1" ht="12.75" customHeight="1" x14ac:dyDescent="0.15">
      <c r="A84" s="8">
        <v>1</v>
      </c>
      <c r="B84" s="9" t="s">
        <v>124</v>
      </c>
      <c r="C84" s="9" t="s">
        <v>121</v>
      </c>
      <c r="D84" s="9" t="s">
        <v>122</v>
      </c>
      <c r="E84" s="9" t="s">
        <v>18</v>
      </c>
      <c r="F84" s="9" t="s">
        <v>19</v>
      </c>
      <c r="G84" s="9" t="s">
        <v>123</v>
      </c>
      <c r="H84" s="9" t="s">
        <v>21</v>
      </c>
      <c r="I84" s="8">
        <v>170.53800000000001</v>
      </c>
      <c r="J84" s="8">
        <v>1.167</v>
      </c>
      <c r="K84" s="8">
        <v>38.97</v>
      </c>
      <c r="L84" s="8">
        <v>9.4619999999999909</v>
      </c>
      <c r="M84" s="8">
        <v>2.5979999999999999</v>
      </c>
      <c r="N84" s="8">
        <v>3.75402810411016</v>
      </c>
      <c r="O84" s="9" t="s">
        <v>122</v>
      </c>
      <c r="P84" s="9" t="s">
        <v>121</v>
      </c>
      <c r="Q84" s="8">
        <v>112.62084312330499</v>
      </c>
      <c r="R84" s="8">
        <v>0.16514305382370001</v>
      </c>
      <c r="S84" s="8"/>
      <c r="T84" s="8">
        <f t="shared" si="35"/>
        <v>1.1511227880001758</v>
      </c>
      <c r="U84" s="8">
        <f t="shared" si="36"/>
        <v>0.19184714474472306</v>
      </c>
      <c r="V84" s="8">
        <f t="shared" si="37"/>
        <v>1.2989999999999999</v>
      </c>
      <c r="W84" s="8">
        <f t="shared" si="38"/>
        <v>2.4501227880001757</v>
      </c>
      <c r="X84" s="8">
        <f t="shared" si="39"/>
        <v>2.4576222254904141</v>
      </c>
      <c r="Y84" s="8">
        <f t="shared" si="40"/>
        <v>2.5979999999999999</v>
      </c>
      <c r="Z84" s="8">
        <f t="shared" si="41"/>
        <v>3.7491227880001756</v>
      </c>
      <c r="AA84" s="8">
        <f t="shared" si="42"/>
        <v>3.7540281041101586</v>
      </c>
      <c r="AB84" s="8">
        <f t="shared" si="43"/>
        <v>73.728666764712429</v>
      </c>
      <c r="AC84" s="8">
        <f t="shared" si="44"/>
        <v>112.62084312330475</v>
      </c>
      <c r="AD84" s="10">
        <f t="shared" si="45"/>
        <v>40.340050028</v>
      </c>
      <c r="AE84" s="10">
        <f t="shared" si="34"/>
        <v>38.97</v>
      </c>
    </row>
    <row r="85" spans="1:36" s="10" customFormat="1" ht="12.75" customHeight="1" x14ac:dyDescent="0.15">
      <c r="A85" s="8">
        <v>1</v>
      </c>
      <c r="B85" s="9" t="s">
        <v>125</v>
      </c>
      <c r="C85" s="9" t="s">
        <v>121</v>
      </c>
      <c r="D85" s="9" t="s">
        <v>122</v>
      </c>
      <c r="E85" s="9" t="s">
        <v>18</v>
      </c>
      <c r="F85" s="9" t="s">
        <v>95</v>
      </c>
      <c r="G85" s="9" t="s">
        <v>123</v>
      </c>
      <c r="H85" s="9" t="s">
        <v>21</v>
      </c>
      <c r="I85" s="8">
        <v>176.82</v>
      </c>
      <c r="J85" s="8">
        <v>0.70699999999999996</v>
      </c>
      <c r="K85" s="8">
        <v>56.29</v>
      </c>
      <c r="L85" s="8">
        <v>3.1800000000000099</v>
      </c>
      <c r="M85" s="8">
        <v>3.7526666666666699</v>
      </c>
      <c r="N85" s="8">
        <v>4.4587505113457402</v>
      </c>
      <c r="O85" s="9" t="s">
        <v>122</v>
      </c>
      <c r="P85" s="9" t="s">
        <v>121</v>
      </c>
      <c r="Q85" s="8">
        <v>133.762515340372</v>
      </c>
      <c r="R85" s="8">
        <v>5.5501470213420001E-2</v>
      </c>
      <c r="S85" s="8"/>
      <c r="T85" s="8">
        <f t="shared" si="35"/>
        <v>0.70591135343508438</v>
      </c>
      <c r="U85" s="8">
        <f t="shared" si="36"/>
        <v>3.9219396877660205E-2</v>
      </c>
      <c r="V85" s="8">
        <f t="shared" si="37"/>
        <v>1.8763333333333334</v>
      </c>
      <c r="W85" s="8">
        <f t="shared" si="38"/>
        <v>2.5822446867684179</v>
      </c>
      <c r="X85" s="8">
        <f t="shared" si="39"/>
        <v>2.5825425037035057</v>
      </c>
      <c r="Y85" s="8">
        <f t="shared" si="40"/>
        <v>3.7526666666666668</v>
      </c>
      <c r="Z85" s="8">
        <f t="shared" si="41"/>
        <v>4.4585780201017515</v>
      </c>
      <c r="AA85" s="8">
        <f t="shared" si="42"/>
        <v>4.4587505113457402</v>
      </c>
      <c r="AB85" s="8">
        <f t="shared" si="43"/>
        <v>77.476275111105167</v>
      </c>
      <c r="AC85" s="8">
        <f t="shared" si="44"/>
        <v>133.7625153403722</v>
      </c>
      <c r="AD85" s="10">
        <f t="shared" si="45"/>
        <v>70.423015316000004</v>
      </c>
      <c r="AE85" s="10">
        <f t="shared" si="34"/>
        <v>56.29</v>
      </c>
    </row>
    <row r="86" spans="1:36" s="10" customFormat="1" ht="12.75" customHeight="1" x14ac:dyDescent="0.15">
      <c r="A86" s="8">
        <v>1</v>
      </c>
      <c r="B86" s="9" t="s">
        <v>126</v>
      </c>
      <c r="C86" s="9" t="s">
        <v>121</v>
      </c>
      <c r="D86" s="9" t="s">
        <v>122</v>
      </c>
      <c r="E86" s="9" t="s">
        <v>18</v>
      </c>
      <c r="F86" s="9" t="s">
        <v>95</v>
      </c>
      <c r="G86" s="9" t="s">
        <v>123</v>
      </c>
      <c r="H86" s="9" t="s">
        <v>21</v>
      </c>
      <c r="I86" s="8">
        <v>173.66</v>
      </c>
      <c r="J86" s="8">
        <v>0.71</v>
      </c>
      <c r="K86" s="8">
        <v>56.29</v>
      </c>
      <c r="L86" s="8">
        <v>6.34</v>
      </c>
      <c r="M86" s="8">
        <v>3.7526666666666699</v>
      </c>
      <c r="N86" s="8">
        <v>4.4590137333255697</v>
      </c>
      <c r="O86" s="9" t="s">
        <v>122</v>
      </c>
      <c r="P86" s="9" t="s">
        <v>121</v>
      </c>
      <c r="Q86" s="8">
        <v>133.77041199976699</v>
      </c>
      <c r="R86" s="8">
        <v>0.11065387457644001</v>
      </c>
      <c r="S86" s="8"/>
      <c r="T86" s="8">
        <f t="shared" si="35"/>
        <v>0.7056577140089213</v>
      </c>
      <c r="U86" s="8">
        <f t="shared" si="36"/>
        <v>7.8404021961270193E-2</v>
      </c>
      <c r="V86" s="8">
        <f t="shared" si="37"/>
        <v>1.8763333333333334</v>
      </c>
      <c r="W86" s="8">
        <f t="shared" si="38"/>
        <v>2.5819910473422549</v>
      </c>
      <c r="X86" s="8">
        <f t="shared" si="39"/>
        <v>2.5831811704205454</v>
      </c>
      <c r="Y86" s="8">
        <f t="shared" si="40"/>
        <v>3.7526666666666668</v>
      </c>
      <c r="Z86" s="8">
        <f t="shared" si="41"/>
        <v>4.4583243806755881</v>
      </c>
      <c r="AA86" s="8">
        <f t="shared" si="42"/>
        <v>4.4590137333255733</v>
      </c>
      <c r="AB86" s="8">
        <f t="shared" si="43"/>
        <v>77.495435112616363</v>
      </c>
      <c r="AC86" s="8">
        <f t="shared" si="44"/>
        <v>133.77041199976719</v>
      </c>
      <c r="AD86" s="10">
        <f t="shared" si="45"/>
        <v>70.423015316000004</v>
      </c>
      <c r="AE86" s="10">
        <f t="shared" si="34"/>
        <v>56.29</v>
      </c>
    </row>
    <row r="87" spans="1:36" s="10" customFormat="1" ht="12.75" customHeight="1" x14ac:dyDescent="0.15">
      <c r="A87" s="8">
        <v>1</v>
      </c>
      <c r="B87" s="9" t="s">
        <v>127</v>
      </c>
      <c r="C87" s="9" t="s">
        <v>121</v>
      </c>
      <c r="D87" s="9" t="s">
        <v>122</v>
      </c>
      <c r="E87" s="9" t="s">
        <v>18</v>
      </c>
      <c r="F87" s="9" t="s">
        <v>42</v>
      </c>
      <c r="G87" s="9" t="s">
        <v>123</v>
      </c>
      <c r="H87" s="9" t="s">
        <v>21</v>
      </c>
      <c r="I87" s="8">
        <v>147.995</v>
      </c>
      <c r="J87" s="8">
        <v>1.48</v>
      </c>
      <c r="K87" s="8">
        <v>73.61</v>
      </c>
      <c r="L87" s="8">
        <v>32.005000000000003</v>
      </c>
      <c r="M87" s="8">
        <v>4.9073333333333302</v>
      </c>
      <c r="N87" s="8">
        <v>6.2120967919169301</v>
      </c>
      <c r="O87" s="9" t="s">
        <v>122</v>
      </c>
      <c r="P87" s="9" t="s">
        <v>121</v>
      </c>
      <c r="Q87" s="8">
        <v>186.36290375750801</v>
      </c>
      <c r="R87" s="8">
        <v>0.55859262710079005</v>
      </c>
      <c r="S87" s="8"/>
      <c r="T87" s="8">
        <f t="shared" si="35"/>
        <v>1.2550427361466017</v>
      </c>
      <c r="U87" s="8">
        <f t="shared" si="36"/>
        <v>0.78439003719173517</v>
      </c>
      <c r="V87" s="8">
        <f t="shared" si="37"/>
        <v>2.4536666666666664</v>
      </c>
      <c r="W87" s="8">
        <f t="shared" si="38"/>
        <v>3.7087094028132679</v>
      </c>
      <c r="X87" s="8">
        <f t="shared" si="39"/>
        <v>3.7907510027646496</v>
      </c>
      <c r="Y87" s="8">
        <f t="shared" si="40"/>
        <v>4.9073333333333329</v>
      </c>
      <c r="Z87" s="8">
        <f t="shared" si="41"/>
        <v>6.1623760694799348</v>
      </c>
      <c r="AA87" s="8">
        <f t="shared" si="42"/>
        <v>6.212096791916931</v>
      </c>
      <c r="AB87" s="8">
        <f t="shared" si="43"/>
        <v>113.72253008293949</v>
      </c>
      <c r="AC87" s="8">
        <f t="shared" si="44"/>
        <v>186.36290375750792</v>
      </c>
      <c r="AD87" s="10">
        <f t="shared" si="45"/>
        <v>100.505980604</v>
      </c>
      <c r="AE87" s="10">
        <f t="shared" si="34"/>
        <v>73.61</v>
      </c>
    </row>
    <row r="88" spans="1:36" s="10" customFormat="1" ht="12.75" customHeight="1" x14ac:dyDescent="0.15">
      <c r="A88" s="8">
        <v>1</v>
      </c>
      <c r="B88" s="9" t="s">
        <v>128</v>
      </c>
      <c r="C88" s="9" t="s">
        <v>121</v>
      </c>
      <c r="D88" s="9" t="s">
        <v>122</v>
      </c>
      <c r="E88" s="9" t="s">
        <v>18</v>
      </c>
      <c r="F88" s="9" t="s">
        <v>42</v>
      </c>
      <c r="G88" s="9" t="s">
        <v>123</v>
      </c>
      <c r="H88" s="9" t="s">
        <v>21</v>
      </c>
      <c r="I88" s="8">
        <v>-127.875</v>
      </c>
      <c r="J88" s="8">
        <v>0.89400000000000002</v>
      </c>
      <c r="K88" s="8">
        <v>73.61</v>
      </c>
      <c r="L88" s="8">
        <v>52.125</v>
      </c>
      <c r="M88" s="8">
        <v>4.9073333333333302</v>
      </c>
      <c r="N88" s="8">
        <v>5.5016420197230103</v>
      </c>
      <c r="O88" s="9" t="s">
        <v>122</v>
      </c>
      <c r="P88" s="9" t="s">
        <v>121</v>
      </c>
      <c r="Q88" s="8">
        <v>165.04926059169</v>
      </c>
      <c r="R88" s="8">
        <v>0.90975287260203996</v>
      </c>
      <c r="S88" s="8"/>
      <c r="T88" s="8">
        <f t="shared" si="35"/>
        <v>0.5488631098428276</v>
      </c>
      <c r="U88" s="8">
        <f t="shared" si="36"/>
        <v>0.70568072572067608</v>
      </c>
      <c r="V88" s="8">
        <f t="shared" si="37"/>
        <v>2.4536666666666664</v>
      </c>
      <c r="W88" s="8">
        <f t="shared" si="38"/>
        <v>3.002529776509494</v>
      </c>
      <c r="X88" s="8">
        <f t="shared" si="39"/>
        <v>3.084342773668292</v>
      </c>
      <c r="Y88" s="8">
        <f t="shared" si="40"/>
        <v>4.9073333333333329</v>
      </c>
      <c r="Z88" s="8">
        <f t="shared" si="41"/>
        <v>5.4561964431761609</v>
      </c>
      <c r="AA88" s="8">
        <f t="shared" si="42"/>
        <v>5.5016420197230067</v>
      </c>
      <c r="AB88" s="8">
        <f t="shared" si="43"/>
        <v>92.530283210048765</v>
      </c>
      <c r="AC88" s="8">
        <f t="shared" si="44"/>
        <v>165.0492605916902</v>
      </c>
      <c r="AD88" s="10">
        <f t="shared" si="45"/>
        <v>100.505980604</v>
      </c>
      <c r="AE88" s="10">
        <f t="shared" si="34"/>
        <v>73.61</v>
      </c>
    </row>
    <row r="89" spans="1:36" s="10" customFormat="1" ht="12.75" customHeight="1" x14ac:dyDescent="0.15">
      <c r="A89" s="8">
        <v>1</v>
      </c>
      <c r="B89" s="9" t="s">
        <v>129</v>
      </c>
      <c r="C89" s="9" t="s">
        <v>121</v>
      </c>
      <c r="D89" s="9" t="s">
        <v>122</v>
      </c>
      <c r="E89" s="9" t="s">
        <v>18</v>
      </c>
      <c r="F89" s="9" t="s">
        <v>42</v>
      </c>
      <c r="G89" s="9" t="s">
        <v>123</v>
      </c>
      <c r="H89" s="9" t="s">
        <v>21</v>
      </c>
      <c r="I89" s="8">
        <v>166.50399999999999</v>
      </c>
      <c r="J89" s="8">
        <v>1.032</v>
      </c>
      <c r="K89" s="8">
        <v>73.61</v>
      </c>
      <c r="L89" s="8">
        <v>13.496</v>
      </c>
      <c r="M89" s="8">
        <v>4.9073333333333302</v>
      </c>
      <c r="N89" s="8">
        <v>5.9157406731688296</v>
      </c>
      <c r="O89" s="9" t="s">
        <v>122</v>
      </c>
      <c r="P89" s="9" t="s">
        <v>121</v>
      </c>
      <c r="Q89" s="8">
        <v>177.47222019506501</v>
      </c>
      <c r="R89" s="8">
        <v>0.23554963584915001</v>
      </c>
      <c r="S89" s="8"/>
      <c r="T89" s="8">
        <f t="shared" si="35"/>
        <v>1.0035025744877943</v>
      </c>
      <c r="U89" s="8">
        <f t="shared" si="36"/>
        <v>0.24084555839036909</v>
      </c>
      <c r="V89" s="8">
        <f t="shared" si="37"/>
        <v>2.4536666666666664</v>
      </c>
      <c r="W89" s="8">
        <f t="shared" si="38"/>
        <v>3.4571692411544608</v>
      </c>
      <c r="X89" s="8">
        <f t="shared" si="39"/>
        <v>3.4655484046512579</v>
      </c>
      <c r="Y89" s="8">
        <f t="shared" si="40"/>
        <v>4.9073333333333329</v>
      </c>
      <c r="Z89" s="8">
        <f t="shared" si="41"/>
        <v>5.9108359078211272</v>
      </c>
      <c r="AA89" s="8">
        <f t="shared" si="42"/>
        <v>5.9157406731688287</v>
      </c>
      <c r="AB89" s="8">
        <f t="shared" si="43"/>
        <v>103.96645213953774</v>
      </c>
      <c r="AC89" s="8">
        <f t="shared" si="44"/>
        <v>177.47222019506486</v>
      </c>
      <c r="AD89" s="10">
        <f t="shared" si="45"/>
        <v>100.505980604</v>
      </c>
      <c r="AE89" s="10">
        <f t="shared" si="34"/>
        <v>73.61</v>
      </c>
    </row>
    <row r="90" spans="1:36" s="10" customFormat="1" ht="12.75" customHeight="1" x14ac:dyDescent="0.15">
      <c r="A90" s="8">
        <v>1</v>
      </c>
      <c r="B90" s="9" t="s">
        <v>130</v>
      </c>
      <c r="C90" s="9" t="s">
        <v>121</v>
      </c>
      <c r="D90" s="9" t="s">
        <v>122</v>
      </c>
      <c r="E90" s="9" t="s">
        <v>18</v>
      </c>
      <c r="F90" s="9" t="s">
        <v>42</v>
      </c>
      <c r="G90" s="9" t="s">
        <v>123</v>
      </c>
      <c r="H90" s="9" t="s">
        <v>21</v>
      </c>
      <c r="I90" s="8">
        <v>137.12100000000001</v>
      </c>
      <c r="J90" s="8">
        <v>0.749</v>
      </c>
      <c r="K90" s="8">
        <v>73.61</v>
      </c>
      <c r="L90" s="8">
        <v>42.878999999999998</v>
      </c>
      <c r="M90" s="8">
        <v>4.9073333333333302</v>
      </c>
      <c r="N90" s="8">
        <v>5.4799465140342498</v>
      </c>
      <c r="O90" s="9" t="s">
        <v>122</v>
      </c>
      <c r="P90" s="9" t="s">
        <v>121</v>
      </c>
      <c r="Q90" s="8">
        <v>164.398395421028</v>
      </c>
      <c r="R90" s="8">
        <v>0.74837972996265001</v>
      </c>
      <c r="S90" s="8"/>
      <c r="T90" s="8">
        <f t="shared" si="35"/>
        <v>0.54886146775897204</v>
      </c>
      <c r="U90" s="8">
        <f t="shared" si="36"/>
        <v>0.50965879685282278</v>
      </c>
      <c r="V90" s="8">
        <f t="shared" si="37"/>
        <v>2.4536666666666664</v>
      </c>
      <c r="W90" s="8">
        <f t="shared" si="38"/>
        <v>3.0025281344256385</v>
      </c>
      <c r="X90" s="8">
        <f t="shared" si="39"/>
        <v>3.0454765287598216</v>
      </c>
      <c r="Y90" s="8">
        <f t="shared" si="40"/>
        <v>4.9073333333333329</v>
      </c>
      <c r="Z90" s="8">
        <f t="shared" si="41"/>
        <v>5.4561948010923054</v>
      </c>
      <c r="AA90" s="8">
        <f t="shared" si="42"/>
        <v>5.4799465140342534</v>
      </c>
      <c r="AB90" s="8">
        <f t="shared" si="43"/>
        <v>91.364295862794648</v>
      </c>
      <c r="AC90" s="8">
        <f t="shared" si="44"/>
        <v>164.3983954210276</v>
      </c>
      <c r="AD90" s="10">
        <f t="shared" si="45"/>
        <v>100.505980604</v>
      </c>
      <c r="AE90" s="10">
        <f t="shared" si="34"/>
        <v>73.61</v>
      </c>
    </row>
    <row r="91" spans="1:36" s="10" customFormat="1" ht="12.75" customHeight="1" x14ac:dyDescent="0.15">
      <c r="A91" s="8">
        <v>1</v>
      </c>
      <c r="B91" s="9" t="s">
        <v>131</v>
      </c>
      <c r="C91" s="9" t="s">
        <v>121</v>
      </c>
      <c r="D91" s="9" t="s">
        <v>122</v>
      </c>
      <c r="E91" s="9" t="s">
        <v>18</v>
      </c>
      <c r="F91" s="9" t="s">
        <v>25</v>
      </c>
      <c r="G91" s="9" t="s">
        <v>123</v>
      </c>
      <c r="H91" s="9" t="s">
        <v>21</v>
      </c>
      <c r="I91" s="8">
        <v>157.834</v>
      </c>
      <c r="J91" s="8">
        <v>1.1359999999999999</v>
      </c>
      <c r="K91" s="8">
        <v>82.27</v>
      </c>
      <c r="L91" s="8">
        <v>22.166</v>
      </c>
      <c r="M91" s="8">
        <v>5.4846666666666701</v>
      </c>
      <c r="N91" s="8">
        <v>6.5507465499004303</v>
      </c>
      <c r="O91" s="9" t="s">
        <v>122</v>
      </c>
      <c r="P91" s="9" t="s">
        <v>121</v>
      </c>
      <c r="Q91" s="8">
        <v>196.52239649701301</v>
      </c>
      <c r="R91" s="8">
        <v>0.38686968199706001</v>
      </c>
      <c r="S91" s="8"/>
      <c r="T91" s="8">
        <f t="shared" si="35"/>
        <v>1.0520435076505354</v>
      </c>
      <c r="U91" s="8">
        <f t="shared" si="36"/>
        <v>0.4286029141412333</v>
      </c>
      <c r="V91" s="8">
        <f t="shared" si="37"/>
        <v>2.7423333333333333</v>
      </c>
      <c r="W91" s="8">
        <f t="shared" si="38"/>
        <v>3.794376840983869</v>
      </c>
      <c r="X91" s="8">
        <f t="shared" si="39"/>
        <v>3.8185070471854679</v>
      </c>
      <c r="Y91" s="8">
        <f t="shared" si="40"/>
        <v>5.4846666666666666</v>
      </c>
      <c r="Z91" s="8">
        <f t="shared" si="41"/>
        <v>6.5367101743172018</v>
      </c>
      <c r="AA91" s="8">
        <f t="shared" si="42"/>
        <v>6.5507465499004294</v>
      </c>
      <c r="AB91" s="8">
        <f t="shared" si="43"/>
        <v>114.55521141556403</v>
      </c>
      <c r="AC91" s="8">
        <f t="shared" si="44"/>
        <v>196.52239649701289</v>
      </c>
      <c r="AD91" s="10">
        <f t="shared" si="45"/>
        <v>115.54746324799999</v>
      </c>
      <c r="AE91" s="10">
        <f t="shared" si="34"/>
        <v>82.27</v>
      </c>
    </row>
    <row r="92" spans="1:36" s="10" customFormat="1" ht="12.75" customHeight="1" x14ac:dyDescent="0.15">
      <c r="A92" s="8">
        <v>1</v>
      </c>
      <c r="B92" s="9" t="s">
        <v>132</v>
      </c>
      <c r="C92" s="9" t="s">
        <v>121</v>
      </c>
      <c r="D92" s="9" t="s">
        <v>122</v>
      </c>
      <c r="E92" s="9" t="s">
        <v>18</v>
      </c>
      <c r="F92" s="9" t="s">
        <v>25</v>
      </c>
      <c r="G92" s="9" t="s">
        <v>123</v>
      </c>
      <c r="H92" s="9" t="s">
        <v>21</v>
      </c>
      <c r="I92" s="8">
        <v>-136.16900000000001</v>
      </c>
      <c r="J92" s="8">
        <v>1.3779999999999999</v>
      </c>
      <c r="K92" s="8">
        <v>82.27</v>
      </c>
      <c r="L92" s="8">
        <v>43.831000000000003</v>
      </c>
      <c r="M92" s="8">
        <v>5.4846666666666701</v>
      </c>
      <c r="N92" s="8">
        <v>6.54864345758602</v>
      </c>
      <c r="O92" s="9" t="s">
        <v>122</v>
      </c>
      <c r="P92" s="9" t="s">
        <v>121</v>
      </c>
      <c r="Q92" s="8">
        <v>196.45930372758099</v>
      </c>
      <c r="R92" s="8">
        <v>0.76499526444163002</v>
      </c>
      <c r="S92" s="8"/>
      <c r="T92" s="8">
        <f t="shared" si="35"/>
        <v>0.99406940775553831</v>
      </c>
      <c r="U92" s="8">
        <f t="shared" si="36"/>
        <v>0.9543112765573678</v>
      </c>
      <c r="V92" s="8">
        <f t="shared" si="37"/>
        <v>2.7423333333333333</v>
      </c>
      <c r="W92" s="8">
        <f t="shared" si="38"/>
        <v>3.7364027410888716</v>
      </c>
      <c r="X92" s="8">
        <f t="shared" si="39"/>
        <v>3.8563474242060956</v>
      </c>
      <c r="Y92" s="8">
        <f t="shared" si="40"/>
        <v>5.4846666666666666</v>
      </c>
      <c r="Z92" s="8">
        <f t="shared" si="41"/>
        <v>6.4787360744222049</v>
      </c>
      <c r="AA92" s="8">
        <f t="shared" si="42"/>
        <v>6.5486434575860208</v>
      </c>
      <c r="AB92" s="8">
        <f t="shared" si="43"/>
        <v>115.69042272618287</v>
      </c>
      <c r="AC92" s="8">
        <f t="shared" si="44"/>
        <v>196.45930372758062</v>
      </c>
      <c r="AD92" s="10">
        <f t="shared" si="45"/>
        <v>115.54746324799999</v>
      </c>
      <c r="AE92" s="10">
        <f t="shared" si="34"/>
        <v>82.27</v>
      </c>
    </row>
    <row r="93" spans="1:36" s="10" customFormat="1" ht="12.75" customHeight="1" x14ac:dyDescent="0.15">
      <c r="A93" s="8">
        <v>1</v>
      </c>
      <c r="B93" s="9" t="s">
        <v>133</v>
      </c>
      <c r="C93" s="9" t="s">
        <v>121</v>
      </c>
      <c r="D93" s="9" t="s">
        <v>122</v>
      </c>
      <c r="E93" s="9" t="s">
        <v>18</v>
      </c>
      <c r="F93" s="9" t="s">
        <v>32</v>
      </c>
      <c r="G93" s="9" t="s">
        <v>123</v>
      </c>
      <c r="H93" s="9" t="s">
        <v>21</v>
      </c>
      <c r="I93" s="8">
        <v>154.53700000000001</v>
      </c>
      <c r="J93" s="8">
        <v>0.92100000000000004</v>
      </c>
      <c r="K93" s="8">
        <v>90.93</v>
      </c>
      <c r="L93" s="8">
        <v>25.463000000000001</v>
      </c>
      <c r="M93" s="8">
        <v>6.0620000000000003</v>
      </c>
      <c r="N93" s="8">
        <v>6.9048996117799897</v>
      </c>
      <c r="O93" s="9" t="s">
        <v>122</v>
      </c>
      <c r="P93" s="9" t="s">
        <v>121</v>
      </c>
      <c r="Q93" s="8">
        <v>207.14698835339999</v>
      </c>
      <c r="R93" s="8">
        <v>0.44441318743531999</v>
      </c>
      <c r="S93" s="8"/>
      <c r="T93" s="8">
        <f t="shared" si="35"/>
        <v>0.83153692253047484</v>
      </c>
      <c r="U93" s="8">
        <f t="shared" si="36"/>
        <v>0.39596381964587007</v>
      </c>
      <c r="V93" s="8">
        <f t="shared" si="37"/>
        <v>3.0310000000000001</v>
      </c>
      <c r="W93" s="8">
        <f t="shared" si="38"/>
        <v>3.8625369225304751</v>
      </c>
      <c r="X93" s="8">
        <f t="shared" si="39"/>
        <v>3.8827797805669766</v>
      </c>
      <c r="Y93" s="8">
        <f t="shared" si="40"/>
        <v>6.0620000000000003</v>
      </c>
      <c r="Z93" s="8">
        <f t="shared" si="41"/>
        <v>6.8935369225304752</v>
      </c>
      <c r="AA93" s="8">
        <f t="shared" si="42"/>
        <v>6.9048996117799923</v>
      </c>
      <c r="AB93" s="8">
        <f t="shared" si="43"/>
        <v>116.4833934170093</v>
      </c>
      <c r="AC93" s="8">
        <f t="shared" si="44"/>
        <v>207.14698835339976</v>
      </c>
      <c r="AD93" s="10">
        <f t="shared" si="45"/>
        <v>130.588945892</v>
      </c>
      <c r="AE93" s="10">
        <f t="shared" si="34"/>
        <v>90.93</v>
      </c>
    </row>
    <row r="94" spans="1:36" ht="12.75" customHeight="1" x14ac:dyDescent="0.15">
      <c r="A94" s="2">
        <v>1</v>
      </c>
      <c r="B94" s="1" t="s">
        <v>134</v>
      </c>
      <c r="C94" s="1" t="s">
        <v>135</v>
      </c>
      <c r="D94" s="1" t="s">
        <v>136</v>
      </c>
      <c r="E94" s="1" t="s">
        <v>18</v>
      </c>
      <c r="F94" s="1" t="s">
        <v>88</v>
      </c>
      <c r="G94" s="1" t="s">
        <v>137</v>
      </c>
      <c r="H94" s="1" t="s">
        <v>21</v>
      </c>
      <c r="I94" s="2">
        <v>146.63399999999999</v>
      </c>
      <c r="J94" s="2">
        <v>1.9219999999999999</v>
      </c>
      <c r="K94" s="2">
        <v>47.63</v>
      </c>
      <c r="L94" s="2">
        <v>33.366</v>
      </c>
      <c r="M94" s="2">
        <v>3.17533333333333</v>
      </c>
      <c r="N94" s="2">
        <v>4.8960135464428003</v>
      </c>
      <c r="O94" s="1" t="s">
        <v>136</v>
      </c>
      <c r="P94" s="1" t="s">
        <v>135</v>
      </c>
      <c r="Q94" s="2">
        <v>146.88040639328401</v>
      </c>
      <c r="R94" s="2">
        <v>0.58234655822043002</v>
      </c>
      <c r="S94" s="2"/>
      <c r="T94" s="5">
        <f t="shared" si="35"/>
        <v>1.6052051547092621</v>
      </c>
      <c r="U94" s="5">
        <f t="shared" si="36"/>
        <v>1.0570716207025965</v>
      </c>
      <c r="V94" s="5">
        <f t="shared" si="37"/>
        <v>1.5876666666666668</v>
      </c>
      <c r="W94" s="5">
        <f t="shared" si="38"/>
        <v>3.1928718213759288</v>
      </c>
      <c r="X94" s="5">
        <f t="shared" si="39"/>
        <v>3.3633065395576502</v>
      </c>
      <c r="Y94" s="5">
        <f t="shared" si="40"/>
        <v>3.1753333333333336</v>
      </c>
      <c r="Z94" s="5">
        <f t="shared" si="41"/>
        <v>4.7805384880425956</v>
      </c>
      <c r="AA94" s="5">
        <f t="shared" si="42"/>
        <v>4.8960135464427994</v>
      </c>
      <c r="AB94" s="5">
        <f t="shared" si="43"/>
        <v>100.89919618672951</v>
      </c>
      <c r="AC94" s="5">
        <f t="shared" si="44"/>
        <v>146.88040639328398</v>
      </c>
      <c r="AD94" s="7">
        <f t="shared" si="45"/>
        <v>55.381532671999999</v>
      </c>
      <c r="AE94" s="13">
        <f t="shared" si="34"/>
        <v>47.63</v>
      </c>
    </row>
    <row r="95" spans="1:36" ht="12.75" customHeight="1" x14ac:dyDescent="0.15">
      <c r="A95" s="2">
        <v>1</v>
      </c>
      <c r="B95" s="1" t="s">
        <v>138</v>
      </c>
      <c r="C95" s="1" t="s">
        <v>135</v>
      </c>
      <c r="D95" s="1" t="s">
        <v>136</v>
      </c>
      <c r="E95" s="1" t="s">
        <v>18</v>
      </c>
      <c r="F95" s="1" t="s">
        <v>88</v>
      </c>
      <c r="G95" s="1" t="s">
        <v>137</v>
      </c>
      <c r="H95" s="1" t="s">
        <v>21</v>
      </c>
      <c r="I95" s="2">
        <v>-171.87</v>
      </c>
      <c r="J95" s="2">
        <v>1.3859999999999999</v>
      </c>
      <c r="K95" s="2">
        <v>47.63</v>
      </c>
      <c r="L95" s="2">
        <v>8.1300000000000008</v>
      </c>
      <c r="M95" s="2">
        <v>3.17533333333333</v>
      </c>
      <c r="N95" s="2">
        <v>4.5516259955623299</v>
      </c>
      <c r="O95" s="1" t="s">
        <v>136</v>
      </c>
      <c r="P95" s="1" t="s">
        <v>135</v>
      </c>
      <c r="Q95" s="2">
        <v>136.54877986687001</v>
      </c>
      <c r="R95" s="2">
        <v>0.14189526818713999</v>
      </c>
      <c r="S95" s="2"/>
      <c r="T95" s="5">
        <f t="shared" si="35"/>
        <v>1.3720703483677881</v>
      </c>
      <c r="U95" s="5">
        <f t="shared" si="36"/>
        <v>0.19600754865539402</v>
      </c>
      <c r="V95" s="5">
        <f t="shared" si="37"/>
        <v>1.5876666666666668</v>
      </c>
      <c r="W95" s="5">
        <f t="shared" si="38"/>
        <v>2.9597370150344551</v>
      </c>
      <c r="X95" s="5">
        <f t="shared" si="39"/>
        <v>2.9662201801779591</v>
      </c>
      <c r="Y95" s="5">
        <f t="shared" si="40"/>
        <v>3.1753333333333336</v>
      </c>
      <c r="Z95" s="5">
        <f t="shared" si="41"/>
        <v>4.5474036817011214</v>
      </c>
      <c r="AA95" s="5">
        <f t="shared" si="42"/>
        <v>4.5516259955623344</v>
      </c>
      <c r="AB95" s="5">
        <f t="shared" si="43"/>
        <v>88.986605405338778</v>
      </c>
      <c r="AC95" s="5">
        <f t="shared" si="44"/>
        <v>136.54877986687003</v>
      </c>
      <c r="AD95" s="7">
        <f t="shared" si="45"/>
        <v>55.381532671999999</v>
      </c>
      <c r="AE95" s="13">
        <f t="shared" si="34"/>
        <v>47.63</v>
      </c>
    </row>
    <row r="96" spans="1:36" ht="12.75" customHeight="1" x14ac:dyDescent="0.15">
      <c r="A96" s="2">
        <v>1</v>
      </c>
      <c r="B96" s="1" t="s">
        <v>139</v>
      </c>
      <c r="C96" s="1" t="s">
        <v>135</v>
      </c>
      <c r="D96" s="1" t="s">
        <v>136</v>
      </c>
      <c r="E96" s="1" t="s">
        <v>18</v>
      </c>
      <c r="F96" s="1" t="s">
        <v>88</v>
      </c>
      <c r="G96" s="1" t="s">
        <v>137</v>
      </c>
      <c r="H96" s="1" t="s">
        <v>21</v>
      </c>
      <c r="I96" s="2">
        <v>-167.005</v>
      </c>
      <c r="J96" s="2">
        <v>0.51700000000000002</v>
      </c>
      <c r="K96" s="2">
        <v>47.63</v>
      </c>
      <c r="L96" s="2">
        <v>12.994999999999999</v>
      </c>
      <c r="M96" s="2">
        <v>3.17533333333333</v>
      </c>
      <c r="N96" s="2">
        <v>3.6809291294429101</v>
      </c>
      <c r="O96" s="1" t="s">
        <v>136</v>
      </c>
      <c r="P96" s="1" t="s">
        <v>135</v>
      </c>
      <c r="Q96" s="2">
        <v>110.42787388328701</v>
      </c>
      <c r="R96" s="2">
        <v>0.22680553629666</v>
      </c>
      <c r="S96" s="2"/>
      <c r="T96" s="5">
        <f t="shared" si="35"/>
        <v>0.50375947063881099</v>
      </c>
      <c r="U96" s="5">
        <f t="shared" si="36"/>
        <v>0.11625573423149925</v>
      </c>
      <c r="V96" s="5">
        <f t="shared" si="37"/>
        <v>1.5876666666666668</v>
      </c>
      <c r="W96" s="5">
        <f t="shared" si="38"/>
        <v>2.0914261373054779</v>
      </c>
      <c r="X96" s="5">
        <f t="shared" si="39"/>
        <v>2.0946547886337301</v>
      </c>
      <c r="Y96" s="5">
        <f t="shared" si="40"/>
        <v>3.1753333333333336</v>
      </c>
      <c r="Z96" s="5">
        <f t="shared" si="41"/>
        <v>3.6790928039721447</v>
      </c>
      <c r="AA96" s="5">
        <f t="shared" si="42"/>
        <v>3.6809291294429074</v>
      </c>
      <c r="AB96" s="5">
        <f t="shared" si="43"/>
        <v>62.839643659011905</v>
      </c>
      <c r="AC96" s="5">
        <f t="shared" si="44"/>
        <v>110.42787388328722</v>
      </c>
      <c r="AD96" s="7">
        <f t="shared" si="45"/>
        <v>55.381532671999999</v>
      </c>
      <c r="AE96" s="13">
        <f t="shared" si="34"/>
        <v>47.63</v>
      </c>
    </row>
    <row r="97" spans="1:31" ht="12.75" customHeight="1" x14ac:dyDescent="0.15">
      <c r="A97" s="2">
        <v>1</v>
      </c>
      <c r="B97" s="1" t="s">
        <v>140</v>
      </c>
      <c r="C97" s="1" t="s">
        <v>135</v>
      </c>
      <c r="D97" s="1" t="s">
        <v>136</v>
      </c>
      <c r="E97" s="1" t="s">
        <v>18</v>
      </c>
      <c r="F97" s="1" t="s">
        <v>95</v>
      </c>
      <c r="G97" s="1" t="s">
        <v>137</v>
      </c>
      <c r="H97" s="1" t="s">
        <v>21</v>
      </c>
      <c r="I97" s="2">
        <v>-160.017</v>
      </c>
      <c r="J97" s="2">
        <v>0.46700000000000003</v>
      </c>
      <c r="K97" s="2">
        <v>56.29</v>
      </c>
      <c r="L97" s="2">
        <v>19.983000000000001</v>
      </c>
      <c r="M97" s="2">
        <v>3.7526666666666699</v>
      </c>
      <c r="N97" s="2">
        <v>4.1945876455186903</v>
      </c>
      <c r="O97" s="1" t="s">
        <v>136</v>
      </c>
      <c r="P97" s="1" t="s">
        <v>135</v>
      </c>
      <c r="Q97" s="2">
        <v>125.837629365561</v>
      </c>
      <c r="R97" s="2">
        <v>0.34876914442603002</v>
      </c>
      <c r="S97" s="2"/>
      <c r="T97" s="5">
        <f t="shared" si="35"/>
        <v>0.43888382547880378</v>
      </c>
      <c r="U97" s="5">
        <f t="shared" si="36"/>
        <v>0.15959319450744419</v>
      </c>
      <c r="V97" s="5">
        <f t="shared" si="37"/>
        <v>1.8763333333333334</v>
      </c>
      <c r="W97" s="5">
        <f t="shared" si="38"/>
        <v>2.3152171588121373</v>
      </c>
      <c r="X97" s="5">
        <f t="shared" si="39"/>
        <v>2.3207112013758273</v>
      </c>
      <c r="Y97" s="5">
        <f t="shared" si="40"/>
        <v>3.7526666666666668</v>
      </c>
      <c r="Z97" s="5">
        <f t="shared" si="41"/>
        <v>4.1915504921454705</v>
      </c>
      <c r="AA97" s="5">
        <f t="shared" si="42"/>
        <v>4.1945876455186895</v>
      </c>
      <c r="AB97" s="5">
        <f t="shared" si="43"/>
        <v>69.621336041274816</v>
      </c>
      <c r="AC97" s="5">
        <f t="shared" si="44"/>
        <v>125.83762936556069</v>
      </c>
      <c r="AD97" s="7">
        <f t="shared" si="45"/>
        <v>70.423015316000004</v>
      </c>
      <c r="AE97" s="13">
        <f t="shared" si="34"/>
        <v>56.29</v>
      </c>
    </row>
    <row r="98" spans="1:31" ht="12.75" customHeight="1" x14ac:dyDescent="0.15">
      <c r="A98" s="2">
        <v>1</v>
      </c>
      <c r="B98" s="1" t="s">
        <v>141</v>
      </c>
      <c r="C98" s="1" t="s">
        <v>135</v>
      </c>
      <c r="D98" s="1" t="s">
        <v>136</v>
      </c>
      <c r="E98" s="1" t="s">
        <v>18</v>
      </c>
      <c r="F98" s="1" t="s">
        <v>95</v>
      </c>
      <c r="G98" s="1" t="s">
        <v>137</v>
      </c>
      <c r="H98" s="1" t="s">
        <v>21</v>
      </c>
      <c r="I98" s="2">
        <v>161.565</v>
      </c>
      <c r="J98" s="2">
        <v>0.74399999999999999</v>
      </c>
      <c r="K98" s="2">
        <v>56.29</v>
      </c>
      <c r="L98" s="2">
        <v>18.434999999999999</v>
      </c>
      <c r="M98" s="2">
        <v>3.7526666666666699</v>
      </c>
      <c r="N98" s="2">
        <v>4.4646902145977396</v>
      </c>
      <c r="O98" s="1" t="s">
        <v>136</v>
      </c>
      <c r="P98" s="1" t="s">
        <v>135</v>
      </c>
      <c r="Q98" s="2">
        <v>133.94070643793199</v>
      </c>
      <c r="R98" s="2">
        <v>0.32175144760515001</v>
      </c>
      <c r="S98" s="2"/>
      <c r="T98" s="5">
        <f t="shared" si="35"/>
        <v>0.70582016360104538</v>
      </c>
      <c r="U98" s="5">
        <f t="shared" si="36"/>
        <v>0.23527408836119967</v>
      </c>
      <c r="V98" s="5">
        <f t="shared" si="37"/>
        <v>1.8763333333333334</v>
      </c>
      <c r="W98" s="5">
        <f t="shared" si="38"/>
        <v>2.5821534969343789</v>
      </c>
      <c r="X98" s="5">
        <f t="shared" si="39"/>
        <v>2.592849895073881</v>
      </c>
      <c r="Y98" s="5">
        <f t="shared" si="40"/>
        <v>3.7526666666666668</v>
      </c>
      <c r="Z98" s="5">
        <f t="shared" si="41"/>
        <v>4.4584868302677121</v>
      </c>
      <c r="AA98" s="5">
        <f t="shared" si="42"/>
        <v>4.4646902145977414</v>
      </c>
      <c r="AB98" s="5">
        <f t="shared" si="43"/>
        <v>77.785496852216426</v>
      </c>
      <c r="AC98" s="5">
        <f t="shared" si="44"/>
        <v>133.94070643793225</v>
      </c>
      <c r="AD98" s="7">
        <f t="shared" si="45"/>
        <v>70.423015316000004</v>
      </c>
      <c r="AE98" s="13">
        <f t="shared" si="34"/>
        <v>56.29</v>
      </c>
    </row>
    <row r="99" spans="1:31" ht="12.75" customHeight="1" x14ac:dyDescent="0.15">
      <c r="A99" s="2">
        <v>1</v>
      </c>
      <c r="B99" s="1" t="s">
        <v>142</v>
      </c>
      <c r="C99" s="1" t="s">
        <v>135</v>
      </c>
      <c r="D99" s="1" t="s">
        <v>136</v>
      </c>
      <c r="E99" s="1" t="s">
        <v>18</v>
      </c>
      <c r="F99" s="1" t="s">
        <v>95</v>
      </c>
      <c r="G99" s="1" t="s">
        <v>137</v>
      </c>
      <c r="H99" s="1" t="s">
        <v>21</v>
      </c>
      <c r="I99" s="2">
        <v>180</v>
      </c>
      <c r="J99" s="2">
        <v>0.99299999999999999</v>
      </c>
      <c r="K99" s="2">
        <v>56.29</v>
      </c>
      <c r="L99" s="2">
        <v>0</v>
      </c>
      <c r="M99" s="2">
        <v>3.7526666666666699</v>
      </c>
      <c r="N99" s="2">
        <v>4.7456666666666703</v>
      </c>
      <c r="O99" s="1" t="s">
        <v>136</v>
      </c>
      <c r="P99" s="1" t="s">
        <v>135</v>
      </c>
      <c r="Q99" s="2">
        <v>142.37</v>
      </c>
      <c r="R99" s="2">
        <v>0</v>
      </c>
      <c r="S99" s="2"/>
      <c r="T99" s="5">
        <f t="shared" si="35"/>
        <v>0.99299999999999999</v>
      </c>
      <c r="U99" s="5">
        <f t="shared" si="36"/>
        <v>0</v>
      </c>
      <c r="V99" s="5">
        <f t="shared" si="37"/>
        <v>1.8763333333333334</v>
      </c>
      <c r="W99" s="5">
        <f t="shared" si="38"/>
        <v>2.8693333333333335</v>
      </c>
      <c r="X99" s="5">
        <f t="shared" si="39"/>
        <v>2.8693333333333335</v>
      </c>
      <c r="Y99" s="5">
        <f t="shared" si="40"/>
        <v>3.7526666666666668</v>
      </c>
      <c r="Z99" s="5">
        <f t="shared" si="41"/>
        <v>4.7456666666666667</v>
      </c>
      <c r="AA99" s="5">
        <f t="shared" si="42"/>
        <v>4.7456666666666667</v>
      </c>
      <c r="AB99" s="5">
        <f t="shared" si="43"/>
        <v>86.080000000000013</v>
      </c>
      <c r="AC99" s="5">
        <f t="shared" si="44"/>
        <v>142.37</v>
      </c>
      <c r="AD99" s="7">
        <f t="shared" si="45"/>
        <v>70.423015316000004</v>
      </c>
      <c r="AE99" s="13">
        <f t="shared" si="34"/>
        <v>56.29</v>
      </c>
    </row>
    <row r="100" spans="1:31" ht="12.75" customHeight="1" x14ac:dyDescent="0.15">
      <c r="A100" s="2">
        <v>1</v>
      </c>
      <c r="B100" s="1" t="s">
        <v>143</v>
      </c>
      <c r="C100" s="1" t="s">
        <v>135</v>
      </c>
      <c r="D100" s="1" t="s">
        <v>136</v>
      </c>
      <c r="E100" s="1" t="s">
        <v>18</v>
      </c>
      <c r="F100" s="1" t="s">
        <v>23</v>
      </c>
      <c r="G100" s="1" t="s">
        <v>137</v>
      </c>
      <c r="H100" s="1" t="s">
        <v>21</v>
      </c>
      <c r="I100" s="2">
        <v>167.471</v>
      </c>
      <c r="J100" s="2">
        <v>1.421</v>
      </c>
      <c r="K100" s="2">
        <v>64.95</v>
      </c>
      <c r="L100" s="2">
        <v>12.529</v>
      </c>
      <c r="M100" s="2">
        <v>4.33</v>
      </c>
      <c r="N100" s="2">
        <v>5.7254653380474698</v>
      </c>
      <c r="O100" s="1" t="s">
        <v>136</v>
      </c>
      <c r="P100" s="1" t="s">
        <v>135</v>
      </c>
      <c r="Q100" s="2">
        <v>171.76396014142401</v>
      </c>
      <c r="R100" s="2">
        <v>0.21867230198237</v>
      </c>
      <c r="S100" s="2"/>
      <c r="T100" s="5">
        <f t="shared" si="35"/>
        <v>1.3871607779657071</v>
      </c>
      <c r="U100" s="5">
        <f t="shared" si="36"/>
        <v>0.30826283602402382</v>
      </c>
      <c r="V100" s="5">
        <f t="shared" si="37"/>
        <v>2.165</v>
      </c>
      <c r="W100" s="5">
        <f t="shared" si="38"/>
        <v>3.5521607779657072</v>
      </c>
      <c r="X100" s="5">
        <f t="shared" si="39"/>
        <v>3.5655114876538416</v>
      </c>
      <c r="Y100" s="5">
        <f t="shared" si="40"/>
        <v>4.33</v>
      </c>
      <c r="Z100" s="5">
        <f t="shared" si="41"/>
        <v>5.7171607779657077</v>
      </c>
      <c r="AA100" s="5">
        <f t="shared" si="42"/>
        <v>5.7254653380474698</v>
      </c>
      <c r="AB100" s="5">
        <f t="shared" si="43"/>
        <v>106.96534462961525</v>
      </c>
      <c r="AC100" s="5">
        <f t="shared" si="44"/>
        <v>171.76396014142409</v>
      </c>
      <c r="AD100" s="7">
        <f t="shared" si="45"/>
        <v>85.464497959999989</v>
      </c>
      <c r="AE100" s="13">
        <f t="shared" si="34"/>
        <v>64.95</v>
      </c>
    </row>
    <row r="101" spans="1:31" ht="12.75" customHeight="1" x14ac:dyDescent="0.15">
      <c r="A101" s="2">
        <v>1</v>
      </c>
      <c r="B101" s="1" t="s">
        <v>144</v>
      </c>
      <c r="C101" s="1" t="s">
        <v>135</v>
      </c>
      <c r="D101" s="1" t="s">
        <v>136</v>
      </c>
      <c r="E101" s="1" t="s">
        <v>18</v>
      </c>
      <c r="F101" s="1" t="s">
        <v>23</v>
      </c>
      <c r="G101" s="1" t="s">
        <v>137</v>
      </c>
      <c r="H101" s="1" t="s">
        <v>21</v>
      </c>
      <c r="I101" s="2">
        <v>155.77199999999999</v>
      </c>
      <c r="J101" s="2">
        <v>0.85899999999999999</v>
      </c>
      <c r="K101" s="2">
        <v>64.95</v>
      </c>
      <c r="L101" s="2">
        <v>24.228000000000002</v>
      </c>
      <c r="M101" s="2">
        <v>4.33</v>
      </c>
      <c r="N101" s="2">
        <v>5.1254752747782097</v>
      </c>
      <c r="O101" s="1" t="s">
        <v>136</v>
      </c>
      <c r="P101" s="1" t="s">
        <v>135</v>
      </c>
      <c r="Q101" s="2">
        <v>153.76425824334601</v>
      </c>
      <c r="R101" s="2">
        <v>0.42285837117318997</v>
      </c>
      <c r="S101" s="2"/>
      <c r="T101" s="5">
        <f t="shared" si="35"/>
        <v>0.78333900604650997</v>
      </c>
      <c r="U101" s="5">
        <f t="shared" si="36"/>
        <v>0.35250673980232755</v>
      </c>
      <c r="V101" s="5">
        <f t="shared" si="37"/>
        <v>2.165</v>
      </c>
      <c r="W101" s="5">
        <f t="shared" si="38"/>
        <v>2.9483390060465098</v>
      </c>
      <c r="X101" s="5">
        <f t="shared" si="39"/>
        <v>2.9693372823209874</v>
      </c>
      <c r="Y101" s="5">
        <f t="shared" si="40"/>
        <v>4.33</v>
      </c>
      <c r="Z101" s="5">
        <f t="shared" si="41"/>
        <v>5.1133390060465098</v>
      </c>
      <c r="AA101" s="5">
        <f t="shared" si="42"/>
        <v>5.1254752747782106</v>
      </c>
      <c r="AB101" s="5">
        <f t="shared" si="43"/>
        <v>89.080118469629625</v>
      </c>
      <c r="AC101" s="5">
        <f t="shared" si="44"/>
        <v>153.76425824334632</v>
      </c>
      <c r="AD101" s="7">
        <f t="shared" si="45"/>
        <v>85.464497959999989</v>
      </c>
      <c r="AE101" s="13">
        <f t="shared" si="34"/>
        <v>64.95</v>
      </c>
    </row>
    <row r="102" spans="1:31" ht="12.75" customHeight="1" x14ac:dyDescent="0.15">
      <c r="A102" s="2">
        <v>1</v>
      </c>
      <c r="B102" s="1" t="s">
        <v>145</v>
      </c>
      <c r="C102" s="1" t="s">
        <v>135</v>
      </c>
      <c r="D102" s="1" t="s">
        <v>136</v>
      </c>
      <c r="E102" s="1" t="s">
        <v>18</v>
      </c>
      <c r="F102" s="1" t="s">
        <v>42</v>
      </c>
      <c r="G102" s="1" t="s">
        <v>137</v>
      </c>
      <c r="H102" s="1" t="s">
        <v>21</v>
      </c>
      <c r="I102" s="2">
        <v>165.256</v>
      </c>
      <c r="J102" s="2">
        <v>0.77</v>
      </c>
      <c r="K102" s="2">
        <v>73.61</v>
      </c>
      <c r="L102" s="2">
        <v>14.744</v>
      </c>
      <c r="M102" s="2">
        <v>4.9073333333333302</v>
      </c>
      <c r="N102" s="2">
        <v>5.6553754714432998</v>
      </c>
      <c r="O102" s="1" t="s">
        <v>136</v>
      </c>
      <c r="P102" s="1" t="s">
        <v>135</v>
      </c>
      <c r="Q102" s="2">
        <v>169.66126414329901</v>
      </c>
      <c r="R102" s="2">
        <v>0.25733134491404003</v>
      </c>
      <c r="S102" s="2"/>
      <c r="T102" s="5">
        <f t="shared" si="35"/>
        <v>0.74464589850815843</v>
      </c>
      <c r="U102" s="5">
        <f t="shared" si="36"/>
        <v>0.19596552205675732</v>
      </c>
      <c r="V102" s="5">
        <f t="shared" si="37"/>
        <v>2.4536666666666664</v>
      </c>
      <c r="W102" s="5">
        <f t="shared" si="38"/>
        <v>3.1983125651748248</v>
      </c>
      <c r="X102" s="5">
        <f t="shared" si="39"/>
        <v>3.2043104953156685</v>
      </c>
      <c r="Y102" s="5">
        <f t="shared" si="40"/>
        <v>4.9073333333333329</v>
      </c>
      <c r="Z102" s="5">
        <f t="shared" si="41"/>
        <v>5.6519792318414916</v>
      </c>
      <c r="AA102" s="5">
        <f t="shared" si="42"/>
        <v>5.6553754714432989</v>
      </c>
      <c r="AB102" s="5">
        <f t="shared" si="43"/>
        <v>96.129314859470057</v>
      </c>
      <c r="AC102" s="5">
        <f t="shared" si="44"/>
        <v>169.66126414329898</v>
      </c>
      <c r="AD102" s="7">
        <f t="shared" si="45"/>
        <v>100.505980604</v>
      </c>
      <c r="AE102" s="13">
        <f t="shared" si="34"/>
        <v>73.61</v>
      </c>
    </row>
    <row r="103" spans="1:31" ht="12.75" customHeight="1" x14ac:dyDescent="0.15">
      <c r="A103" s="2">
        <v>1</v>
      </c>
      <c r="B103" s="1" t="s">
        <v>146</v>
      </c>
      <c r="C103" s="1" t="s">
        <v>135</v>
      </c>
      <c r="D103" s="1" t="s">
        <v>136</v>
      </c>
      <c r="E103" s="1" t="s">
        <v>18</v>
      </c>
      <c r="F103" s="1" t="s">
        <v>42</v>
      </c>
      <c r="G103" s="1" t="s">
        <v>137</v>
      </c>
      <c r="H103" s="1" t="s">
        <v>21</v>
      </c>
      <c r="I103" s="2">
        <v>-170.07400000000001</v>
      </c>
      <c r="J103" s="2">
        <v>1.5920000000000001</v>
      </c>
      <c r="K103" s="2">
        <v>73.61</v>
      </c>
      <c r="L103" s="2">
        <v>9.9259999999999895</v>
      </c>
      <c r="M103" s="2">
        <v>4.9073333333333302</v>
      </c>
      <c r="N103" s="2">
        <v>6.4813152312238502</v>
      </c>
      <c r="O103" s="1" t="s">
        <v>136</v>
      </c>
      <c r="P103" s="1" t="s">
        <v>135</v>
      </c>
      <c r="Q103" s="2">
        <v>194.439456936715</v>
      </c>
      <c r="R103" s="2">
        <v>0.17324138155296001</v>
      </c>
      <c r="S103" s="2"/>
      <c r="T103" s="5">
        <f t="shared" si="35"/>
        <v>1.5681696796002365</v>
      </c>
      <c r="U103" s="5">
        <f t="shared" si="36"/>
        <v>0.27442276870276672</v>
      </c>
      <c r="V103" s="5">
        <f t="shared" si="37"/>
        <v>2.4536666666666664</v>
      </c>
      <c r="W103" s="5">
        <f t="shared" si="38"/>
        <v>4.0218363462669027</v>
      </c>
      <c r="X103" s="5">
        <f t="shared" si="39"/>
        <v>4.0311878462974162</v>
      </c>
      <c r="Y103" s="5">
        <f t="shared" si="40"/>
        <v>4.9073333333333329</v>
      </c>
      <c r="Z103" s="5">
        <f t="shared" si="41"/>
        <v>6.4755030129335696</v>
      </c>
      <c r="AA103" s="5">
        <f t="shared" si="42"/>
        <v>6.4813152312238476</v>
      </c>
      <c r="AB103" s="5">
        <f t="shared" si="43"/>
        <v>120.93563538892249</v>
      </c>
      <c r="AC103" s="5">
        <f t="shared" si="44"/>
        <v>194.43945693671543</v>
      </c>
      <c r="AD103" s="7">
        <f t="shared" si="45"/>
        <v>100.505980604</v>
      </c>
      <c r="AE103" s="13">
        <f t="shared" si="34"/>
        <v>73.61</v>
      </c>
    </row>
    <row r="104" spans="1:31" ht="12.75" customHeight="1" x14ac:dyDescent="0.15">
      <c r="A104" s="2">
        <v>1</v>
      </c>
      <c r="B104" s="1" t="s">
        <v>147</v>
      </c>
      <c r="C104" s="1" t="s">
        <v>135</v>
      </c>
      <c r="D104" s="1" t="s">
        <v>136</v>
      </c>
      <c r="E104" s="1" t="s">
        <v>18</v>
      </c>
      <c r="F104" s="1" t="s">
        <v>42</v>
      </c>
      <c r="G104" s="1" t="s">
        <v>137</v>
      </c>
      <c r="H104" s="1" t="s">
        <v>21</v>
      </c>
      <c r="I104" s="2">
        <v>176.05500000000001</v>
      </c>
      <c r="J104" s="2">
        <v>1.1599999999999999</v>
      </c>
      <c r="K104" s="2">
        <v>73.61</v>
      </c>
      <c r="L104" s="2">
        <v>3.9449999999999901</v>
      </c>
      <c r="M104" s="2">
        <v>4.9073333333333302</v>
      </c>
      <c r="N104" s="2">
        <v>6.0651098573090101</v>
      </c>
      <c r="O104" s="1" t="s">
        <v>136</v>
      </c>
      <c r="P104" s="1" t="s">
        <v>135</v>
      </c>
      <c r="Q104" s="2">
        <v>181.95329571926999</v>
      </c>
      <c r="R104" s="2">
        <v>6.8853238991176E-2</v>
      </c>
      <c r="S104" s="2"/>
      <c r="T104" s="5">
        <f t="shared" si="35"/>
        <v>1.1572514403731635</v>
      </c>
      <c r="U104" s="5">
        <f t="shared" si="36"/>
        <v>7.9806664848483255E-2</v>
      </c>
      <c r="V104" s="5">
        <f t="shared" si="37"/>
        <v>2.4536666666666664</v>
      </c>
      <c r="W104" s="5">
        <f t="shared" si="38"/>
        <v>3.6109181070398302</v>
      </c>
      <c r="X104" s="5">
        <f t="shared" si="39"/>
        <v>3.6117999224074344</v>
      </c>
      <c r="Y104" s="5">
        <f t="shared" si="40"/>
        <v>4.9073333333333329</v>
      </c>
      <c r="Z104" s="5">
        <f t="shared" si="41"/>
        <v>6.0645847737064962</v>
      </c>
      <c r="AA104" s="5">
        <f t="shared" si="42"/>
        <v>6.0651098573090092</v>
      </c>
      <c r="AB104" s="5">
        <f t="shared" si="43"/>
        <v>108.35399767222303</v>
      </c>
      <c r="AC104" s="5">
        <f t="shared" si="44"/>
        <v>181.95329571927027</v>
      </c>
      <c r="AD104" s="7">
        <f t="shared" si="45"/>
        <v>100.505980604</v>
      </c>
      <c r="AE104" s="13">
        <f t="shared" si="34"/>
        <v>73.61</v>
      </c>
    </row>
    <row r="105" spans="1:31" ht="12.75" customHeight="1" x14ac:dyDescent="0.15">
      <c r="A105" s="2">
        <v>1</v>
      </c>
      <c r="B105" s="1" t="s">
        <v>148</v>
      </c>
      <c r="C105" s="1" t="s">
        <v>135</v>
      </c>
      <c r="D105" s="1" t="s">
        <v>136</v>
      </c>
      <c r="E105" s="1" t="s">
        <v>18</v>
      </c>
      <c r="F105" s="1" t="s">
        <v>42</v>
      </c>
      <c r="G105" s="1" t="s">
        <v>137</v>
      </c>
      <c r="H105" s="1" t="s">
        <v>21</v>
      </c>
      <c r="I105" s="2">
        <v>-176.82</v>
      </c>
      <c r="J105" s="2">
        <v>1.415</v>
      </c>
      <c r="K105" s="2">
        <v>73.61</v>
      </c>
      <c r="L105" s="2">
        <v>3.1800000000000099</v>
      </c>
      <c r="M105" s="2">
        <v>4.9073333333333302</v>
      </c>
      <c r="N105" s="2">
        <v>6.3206419182499598</v>
      </c>
      <c r="O105" s="1" t="s">
        <v>136</v>
      </c>
      <c r="P105" s="1" t="s">
        <v>135</v>
      </c>
      <c r="Q105" s="2">
        <v>189.61925754749899</v>
      </c>
      <c r="R105" s="2">
        <v>5.5501470213420001E-2</v>
      </c>
      <c r="S105" s="2"/>
      <c r="T105" s="5">
        <f t="shared" si="35"/>
        <v>1.412821167058903</v>
      </c>
      <c r="U105" s="5">
        <f t="shared" si="36"/>
        <v>7.8494266735345403E-2</v>
      </c>
      <c r="V105" s="5">
        <f t="shared" si="37"/>
        <v>2.4536666666666664</v>
      </c>
      <c r="W105" s="5">
        <f t="shared" si="38"/>
        <v>3.8664878337255697</v>
      </c>
      <c r="X105" s="5">
        <f t="shared" si="39"/>
        <v>3.8672845147801276</v>
      </c>
      <c r="Y105" s="5">
        <f t="shared" si="40"/>
        <v>4.9073333333333329</v>
      </c>
      <c r="Z105" s="5">
        <f t="shared" si="41"/>
        <v>6.3201545003922357</v>
      </c>
      <c r="AA105" s="5">
        <f t="shared" si="42"/>
        <v>6.3206419182499616</v>
      </c>
      <c r="AB105" s="5">
        <f t="shared" si="43"/>
        <v>116.01853544340383</v>
      </c>
      <c r="AC105" s="5">
        <f t="shared" si="44"/>
        <v>189.61925754749885</v>
      </c>
      <c r="AD105" s="7">
        <f t="shared" si="45"/>
        <v>100.505980604</v>
      </c>
      <c r="AE105" s="13">
        <f t="shared" si="34"/>
        <v>73.61</v>
      </c>
    </row>
    <row r="106" spans="1:31" ht="12.75" customHeight="1" x14ac:dyDescent="0.15">
      <c r="A106" s="2">
        <v>1</v>
      </c>
      <c r="B106" s="1" t="s">
        <v>149</v>
      </c>
      <c r="C106" s="1" t="s">
        <v>135</v>
      </c>
      <c r="D106" s="1" t="s">
        <v>136</v>
      </c>
      <c r="E106" s="1" t="s">
        <v>18</v>
      </c>
      <c r="F106" s="1" t="s">
        <v>42</v>
      </c>
      <c r="G106" s="1" t="s">
        <v>137</v>
      </c>
      <c r="H106" s="1" t="s">
        <v>21</v>
      </c>
      <c r="I106" s="2">
        <v>157.166</v>
      </c>
      <c r="J106" s="2">
        <v>0.82099999999999995</v>
      </c>
      <c r="K106" s="2">
        <v>73.61</v>
      </c>
      <c r="L106" s="2">
        <v>22.834</v>
      </c>
      <c r="M106" s="2">
        <v>4.9073333333333302</v>
      </c>
      <c r="N106" s="2">
        <v>5.6729475752215297</v>
      </c>
      <c r="O106" s="1" t="s">
        <v>136</v>
      </c>
      <c r="P106" s="1" t="s">
        <v>135</v>
      </c>
      <c r="Q106" s="2">
        <v>170.18842725664601</v>
      </c>
      <c r="R106" s="2">
        <v>0.39852848140038999</v>
      </c>
      <c r="S106" s="2"/>
      <c r="T106" s="5">
        <f t="shared" si="35"/>
        <v>0.75666072002113138</v>
      </c>
      <c r="U106" s="5">
        <f t="shared" si="36"/>
        <v>0.31859936405633804</v>
      </c>
      <c r="V106" s="5">
        <f t="shared" si="37"/>
        <v>2.4536666666666664</v>
      </c>
      <c r="W106" s="5">
        <f t="shared" si="38"/>
        <v>3.2103273866877977</v>
      </c>
      <c r="X106" s="5">
        <f t="shared" si="39"/>
        <v>3.2260978727395746</v>
      </c>
      <c r="Y106" s="5">
        <f t="shared" si="40"/>
        <v>4.9073333333333329</v>
      </c>
      <c r="Z106" s="5">
        <f t="shared" si="41"/>
        <v>5.6639940533544646</v>
      </c>
      <c r="AA106" s="5">
        <f t="shared" si="42"/>
        <v>5.6729475752215306</v>
      </c>
      <c r="AB106" s="5">
        <f t="shared" si="43"/>
        <v>96.782936182187242</v>
      </c>
      <c r="AC106" s="5">
        <f t="shared" si="44"/>
        <v>170.18842725664592</v>
      </c>
      <c r="AD106" s="7">
        <f t="shared" si="45"/>
        <v>100.505980604</v>
      </c>
      <c r="AE106" s="13">
        <f t="shared" si="34"/>
        <v>73.61</v>
      </c>
    </row>
    <row r="107" spans="1:31" ht="12.75" customHeight="1" x14ac:dyDescent="0.15">
      <c r="A107" s="2">
        <v>1</v>
      </c>
      <c r="B107" s="1" t="s">
        <v>150</v>
      </c>
      <c r="C107" s="1" t="s">
        <v>135</v>
      </c>
      <c r="D107" s="1" t="s">
        <v>136</v>
      </c>
      <c r="E107" s="1" t="s">
        <v>18</v>
      </c>
      <c r="F107" s="1" t="s">
        <v>42</v>
      </c>
      <c r="G107" s="1" t="s">
        <v>137</v>
      </c>
      <c r="H107" s="1" t="s">
        <v>21</v>
      </c>
      <c r="I107" s="2">
        <v>164.476</v>
      </c>
      <c r="J107" s="2">
        <v>0.73299999999999998</v>
      </c>
      <c r="K107" s="2">
        <v>73.61</v>
      </c>
      <c r="L107" s="2">
        <v>15.523999999999999</v>
      </c>
      <c r="M107" s="2">
        <v>4.9073333333333302</v>
      </c>
      <c r="N107" s="2">
        <v>5.6170193329269598</v>
      </c>
      <c r="O107" s="1" t="s">
        <v>136</v>
      </c>
      <c r="P107" s="1" t="s">
        <v>135</v>
      </c>
      <c r="Q107" s="2">
        <v>168.510579987809</v>
      </c>
      <c r="R107" s="2">
        <v>0.2709449130796</v>
      </c>
      <c r="S107" s="2"/>
      <c r="T107" s="5">
        <f t="shared" si="35"/>
        <v>0.70625900781457573</v>
      </c>
      <c r="U107" s="5">
        <f t="shared" si="36"/>
        <v>0.19618158394908281</v>
      </c>
      <c r="V107" s="5">
        <f t="shared" si="37"/>
        <v>2.4536666666666664</v>
      </c>
      <c r="W107" s="5">
        <f t="shared" si="38"/>
        <v>3.1599256744812423</v>
      </c>
      <c r="X107" s="5">
        <f t="shared" si="39"/>
        <v>3.1660097097334532</v>
      </c>
      <c r="Y107" s="5">
        <f t="shared" si="40"/>
        <v>4.9073333333333329</v>
      </c>
      <c r="Z107" s="5">
        <f t="shared" si="41"/>
        <v>5.6135923411479087</v>
      </c>
      <c r="AA107" s="5">
        <f t="shared" si="42"/>
        <v>5.6170193329269598</v>
      </c>
      <c r="AB107" s="5">
        <f t="shared" si="43"/>
        <v>94.980291292003599</v>
      </c>
      <c r="AC107" s="5">
        <f t="shared" si="44"/>
        <v>168.5105799878088</v>
      </c>
      <c r="AD107" s="7">
        <f t="shared" si="45"/>
        <v>100.505980604</v>
      </c>
      <c r="AE107" s="13">
        <f t="shared" si="34"/>
        <v>73.61</v>
      </c>
    </row>
    <row r="108" spans="1:31" ht="13" x14ac:dyDescent="0.15">
      <c r="A108" s="2">
        <v>1</v>
      </c>
      <c r="B108" s="1" t="s">
        <v>151</v>
      </c>
      <c r="C108" s="1" t="s">
        <v>135</v>
      </c>
      <c r="D108" s="1" t="s">
        <v>136</v>
      </c>
      <c r="E108" s="1" t="s">
        <v>18</v>
      </c>
      <c r="F108" s="1" t="s">
        <v>25</v>
      </c>
      <c r="G108" s="1" t="s">
        <v>137</v>
      </c>
      <c r="H108" s="1" t="s">
        <v>21</v>
      </c>
      <c r="I108" s="2">
        <v>-147.72399999999999</v>
      </c>
      <c r="J108" s="2">
        <v>0.88800000000000001</v>
      </c>
      <c r="K108" s="2">
        <v>82.27</v>
      </c>
      <c r="L108" s="2">
        <v>32.276000000000003</v>
      </c>
      <c r="M108" s="2">
        <v>5.4846666666666701</v>
      </c>
      <c r="N108" s="2">
        <v>6.2534623533668698</v>
      </c>
      <c r="O108" s="1" t="s">
        <v>136</v>
      </c>
      <c r="P108" s="1" t="s">
        <v>135</v>
      </c>
      <c r="Q108" s="2">
        <v>187.60387060100601</v>
      </c>
      <c r="R108" s="2">
        <v>0.56332246937369002</v>
      </c>
      <c r="S108" s="2"/>
      <c r="T108" s="5">
        <f t="shared" si="35"/>
        <v>0.75079120218782169</v>
      </c>
      <c r="U108" s="5">
        <f t="shared" si="36"/>
        <v>0.47419043718464576</v>
      </c>
      <c r="V108" s="5">
        <f t="shared" si="37"/>
        <v>2.7423333333333333</v>
      </c>
      <c r="W108" s="5">
        <f t="shared" si="38"/>
        <v>3.4931245355211549</v>
      </c>
      <c r="X108" s="5">
        <f t="shared" si="39"/>
        <v>3.5251632006727363</v>
      </c>
      <c r="Y108" s="5">
        <f t="shared" si="40"/>
        <v>5.4846666666666666</v>
      </c>
      <c r="Z108" s="5">
        <f t="shared" si="41"/>
        <v>6.2354578688544882</v>
      </c>
      <c r="AA108" s="5">
        <f t="shared" si="42"/>
        <v>6.2534623533668707</v>
      </c>
      <c r="AB108" s="5">
        <f t="shared" si="43"/>
        <v>105.75489602018209</v>
      </c>
      <c r="AC108" s="5">
        <f t="shared" si="44"/>
        <v>187.60387060100612</v>
      </c>
      <c r="AD108" s="7">
        <f t="shared" si="45"/>
        <v>115.54746324799999</v>
      </c>
      <c r="AE108" s="13">
        <f t="shared" si="34"/>
        <v>82.27</v>
      </c>
    </row>
    <row r="109" spans="1:31" ht="13" x14ac:dyDescent="0.15">
      <c r="A109" s="2">
        <v>1</v>
      </c>
      <c r="B109" s="1" t="s">
        <v>152</v>
      </c>
      <c r="C109" s="1" t="s">
        <v>135</v>
      </c>
      <c r="D109" s="1" t="s">
        <v>136</v>
      </c>
      <c r="E109" s="1" t="s">
        <v>18</v>
      </c>
      <c r="F109" s="1" t="s">
        <v>25</v>
      </c>
      <c r="G109" s="1" t="s">
        <v>137</v>
      </c>
      <c r="H109" s="1" t="s">
        <v>21</v>
      </c>
      <c r="I109" s="2">
        <v>-141.072</v>
      </c>
      <c r="J109" s="2">
        <v>1.294</v>
      </c>
      <c r="K109" s="2">
        <v>82.27</v>
      </c>
      <c r="L109" s="2">
        <v>38.927999999999997</v>
      </c>
      <c r="M109" s="2">
        <v>5.4846666666666701</v>
      </c>
      <c r="N109" s="2">
        <v>6.5420392368886704</v>
      </c>
      <c r="O109" s="1" t="s">
        <v>136</v>
      </c>
      <c r="P109" s="1" t="s">
        <v>135</v>
      </c>
      <c r="Q109" s="2">
        <v>196.26117710666</v>
      </c>
      <c r="R109" s="2">
        <v>0.67942177121634995</v>
      </c>
      <c r="S109" s="2"/>
      <c r="T109" s="5">
        <f t="shared" si="35"/>
        <v>1.0066494104059636</v>
      </c>
      <c r="U109" s="5">
        <f t="shared" si="36"/>
        <v>0.81307623537361251</v>
      </c>
      <c r="V109" s="5">
        <f t="shared" si="37"/>
        <v>2.7423333333333333</v>
      </c>
      <c r="W109" s="5">
        <f t="shared" si="38"/>
        <v>3.7489827437392966</v>
      </c>
      <c r="X109" s="5">
        <f t="shared" si="39"/>
        <v>3.8361392802379255</v>
      </c>
      <c r="Y109" s="5">
        <f t="shared" si="40"/>
        <v>5.4846666666666666</v>
      </c>
      <c r="Z109" s="5">
        <f t="shared" si="41"/>
        <v>6.4913160770726304</v>
      </c>
      <c r="AA109" s="5">
        <f t="shared" si="42"/>
        <v>6.5420392368886722</v>
      </c>
      <c r="AB109" s="5">
        <f t="shared" si="43"/>
        <v>115.08417840713777</v>
      </c>
      <c r="AC109" s="5">
        <f t="shared" si="44"/>
        <v>196.26117710666017</v>
      </c>
      <c r="AD109" s="7">
        <f t="shared" si="45"/>
        <v>115.54746324799999</v>
      </c>
      <c r="AE109" s="13">
        <f t="shared" si="34"/>
        <v>82.27</v>
      </c>
    </row>
    <row r="110" spans="1:31" ht="13" x14ac:dyDescent="0.15">
      <c r="A110" s="2">
        <v>1</v>
      </c>
      <c r="B110" s="1" t="s">
        <v>152</v>
      </c>
      <c r="C110" s="1" t="s">
        <v>135</v>
      </c>
      <c r="D110" s="1" t="s">
        <v>136</v>
      </c>
      <c r="E110" s="1" t="s">
        <v>18</v>
      </c>
      <c r="F110" s="1" t="s">
        <v>25</v>
      </c>
      <c r="G110" s="1" t="s">
        <v>137</v>
      </c>
      <c r="H110" s="1" t="s">
        <v>21</v>
      </c>
      <c r="I110" s="2">
        <v>-114.146</v>
      </c>
      <c r="J110" s="2">
        <v>1.246</v>
      </c>
      <c r="K110" s="2">
        <v>82.27</v>
      </c>
      <c r="L110" s="2">
        <v>65.853999999999999</v>
      </c>
      <c r="M110" s="2">
        <v>5.4846666666666701</v>
      </c>
      <c r="N110" s="2">
        <v>6.1012354545402996</v>
      </c>
      <c r="O110" s="1" t="s">
        <v>136</v>
      </c>
      <c r="P110" s="1" t="s">
        <v>135</v>
      </c>
      <c r="Q110" s="2">
        <v>183.03706363620901</v>
      </c>
      <c r="R110" s="2">
        <v>1.14936912560835</v>
      </c>
      <c r="S110" s="2"/>
      <c r="T110" s="5">
        <f t="shared" si="35"/>
        <v>0.50969274589417612</v>
      </c>
      <c r="U110" s="5">
        <f t="shared" si="36"/>
        <v>1.1369825437458811</v>
      </c>
      <c r="V110" s="5">
        <f t="shared" si="37"/>
        <v>2.7423333333333333</v>
      </c>
      <c r="W110" s="5">
        <f t="shared" si="38"/>
        <v>3.2520260792275093</v>
      </c>
      <c r="X110" s="5">
        <f t="shared" si="39"/>
        <v>3.4450548507619878</v>
      </c>
      <c r="Y110" s="5">
        <f t="shared" si="40"/>
        <v>5.4846666666666666</v>
      </c>
      <c r="Z110" s="5">
        <f t="shared" si="41"/>
        <v>5.9943594125608426</v>
      </c>
      <c r="AA110" s="5">
        <f t="shared" si="42"/>
        <v>6.1012354545403031</v>
      </c>
      <c r="AB110" s="5">
        <f t="shared" si="43"/>
        <v>103.35164552285963</v>
      </c>
      <c r="AC110" s="5">
        <f t="shared" si="44"/>
        <v>183.0370636362091</v>
      </c>
      <c r="AD110" s="7">
        <f t="shared" si="45"/>
        <v>115.54746324799999</v>
      </c>
      <c r="AE110" s="13">
        <f t="shared" si="34"/>
        <v>82.27</v>
      </c>
    </row>
    <row r="111" spans="1:31" ht="13" x14ac:dyDescent="0.15">
      <c r="A111" s="2">
        <v>1</v>
      </c>
      <c r="B111" s="1" t="s">
        <v>153</v>
      </c>
      <c r="C111" s="1" t="s">
        <v>135</v>
      </c>
      <c r="D111" s="1" t="s">
        <v>136</v>
      </c>
      <c r="E111" s="1" t="s">
        <v>18</v>
      </c>
      <c r="F111" s="1" t="s">
        <v>25</v>
      </c>
      <c r="G111" s="1" t="s">
        <v>137</v>
      </c>
      <c r="H111" s="1" t="s">
        <v>21</v>
      </c>
      <c r="I111" s="2">
        <v>150.751</v>
      </c>
      <c r="J111" s="2">
        <v>1.1240000000000001</v>
      </c>
      <c r="K111" s="2">
        <v>82.27</v>
      </c>
      <c r="L111" s="2">
        <v>29.248999999999999</v>
      </c>
      <c r="M111" s="2">
        <v>5.4846666666666701</v>
      </c>
      <c r="N111" s="2">
        <v>6.4886451486733003</v>
      </c>
      <c r="O111" s="1" t="s">
        <v>136</v>
      </c>
      <c r="P111" s="1" t="s">
        <v>135</v>
      </c>
      <c r="Q111" s="2">
        <v>194.65935446019901</v>
      </c>
      <c r="R111" s="2">
        <v>0.51049135291582004</v>
      </c>
      <c r="S111" s="2"/>
      <c r="T111" s="5">
        <f t="shared" si="35"/>
        <v>0.98069509732804883</v>
      </c>
      <c r="U111" s="5">
        <f t="shared" si="36"/>
        <v>0.54919315916781863</v>
      </c>
      <c r="V111" s="5">
        <f t="shared" si="37"/>
        <v>2.7423333333333333</v>
      </c>
      <c r="W111" s="5">
        <f t="shared" si="38"/>
        <v>3.7230284306613823</v>
      </c>
      <c r="X111" s="5">
        <f t="shared" si="39"/>
        <v>3.7633168643617672</v>
      </c>
      <c r="Y111" s="5">
        <f t="shared" si="40"/>
        <v>5.4846666666666666</v>
      </c>
      <c r="Z111" s="5">
        <f t="shared" si="41"/>
        <v>6.4653617639947152</v>
      </c>
      <c r="AA111" s="5">
        <f t="shared" si="42"/>
        <v>6.488645148673303</v>
      </c>
      <c r="AB111" s="5">
        <f t="shared" si="43"/>
        <v>112.89950593085301</v>
      </c>
      <c r="AC111" s="5">
        <f t="shared" si="44"/>
        <v>194.6593544601991</v>
      </c>
      <c r="AD111" s="7">
        <f t="shared" si="45"/>
        <v>115.54746324799999</v>
      </c>
      <c r="AE111" s="13">
        <f t="shared" si="34"/>
        <v>82.27</v>
      </c>
    </row>
    <row r="112" spans="1:31" ht="13" x14ac:dyDescent="0.15">
      <c r="A112" s="2">
        <v>1</v>
      </c>
      <c r="B112" s="1" t="s">
        <v>153</v>
      </c>
      <c r="C112" s="1" t="s">
        <v>135</v>
      </c>
      <c r="D112" s="1" t="s">
        <v>136</v>
      </c>
      <c r="E112" s="1" t="s">
        <v>18</v>
      </c>
      <c r="F112" s="1" t="s">
        <v>25</v>
      </c>
      <c r="G112" s="1" t="s">
        <v>137</v>
      </c>
      <c r="H112" s="1" t="s">
        <v>21</v>
      </c>
      <c r="I112" s="2">
        <v>168.69</v>
      </c>
      <c r="J112" s="2">
        <v>0.6</v>
      </c>
      <c r="K112" s="2">
        <v>82.27</v>
      </c>
      <c r="L112" s="2">
        <v>11.31</v>
      </c>
      <c r="M112" s="2">
        <v>5.4846666666666701</v>
      </c>
      <c r="N112" s="2">
        <v>6.07415481349822</v>
      </c>
      <c r="O112" s="1" t="s">
        <v>136</v>
      </c>
      <c r="P112" s="1" t="s">
        <v>135</v>
      </c>
      <c r="Q112" s="2">
        <v>182.22464440494701</v>
      </c>
      <c r="R112" s="2">
        <v>0.19739673840055999</v>
      </c>
      <c r="S112" s="2"/>
      <c r="T112" s="5">
        <f t="shared" si="35"/>
        <v>0.58834826673446106</v>
      </c>
      <c r="U112" s="5">
        <f t="shared" si="36"/>
        <v>0.11767037448124076</v>
      </c>
      <c r="V112" s="5">
        <f t="shared" si="37"/>
        <v>2.7423333333333333</v>
      </c>
      <c r="W112" s="5">
        <f t="shared" si="38"/>
        <v>3.3306816000677943</v>
      </c>
      <c r="X112" s="5">
        <f t="shared" si="39"/>
        <v>3.3327595529921923</v>
      </c>
      <c r="Y112" s="5">
        <f t="shared" si="40"/>
        <v>5.4846666666666666</v>
      </c>
      <c r="Z112" s="5">
        <f t="shared" si="41"/>
        <v>6.0730149334011276</v>
      </c>
      <c r="AA112" s="5">
        <f t="shared" si="42"/>
        <v>6.0741548134982253</v>
      </c>
      <c r="AB112" s="5">
        <f t="shared" si="43"/>
        <v>99.982786589765766</v>
      </c>
      <c r="AC112" s="5">
        <f t="shared" si="44"/>
        <v>182.22464440494676</v>
      </c>
      <c r="AD112" s="7">
        <f t="shared" si="45"/>
        <v>115.54746324799999</v>
      </c>
      <c r="AE112" s="13">
        <f t="shared" si="34"/>
        <v>82.27</v>
      </c>
    </row>
    <row r="113" spans="1:31" ht="13" x14ac:dyDescent="0.15">
      <c r="A113" s="2">
        <v>1</v>
      </c>
      <c r="B113" s="1" t="s">
        <v>154</v>
      </c>
      <c r="C113" s="1" t="s">
        <v>135</v>
      </c>
      <c r="D113" s="1" t="s">
        <v>136</v>
      </c>
      <c r="E113" s="1" t="s">
        <v>18</v>
      </c>
      <c r="F113" s="1" t="s">
        <v>25</v>
      </c>
      <c r="G113" s="1" t="s">
        <v>137</v>
      </c>
      <c r="H113" s="1" t="s">
        <v>21</v>
      </c>
      <c r="I113" s="2">
        <v>-163.85599999999999</v>
      </c>
      <c r="J113" s="2">
        <v>1.55</v>
      </c>
      <c r="K113" s="2">
        <v>82.27</v>
      </c>
      <c r="L113" s="2">
        <v>16.143999999999998</v>
      </c>
      <c r="M113" s="2">
        <v>5.4846666666666701</v>
      </c>
      <c r="N113" s="2">
        <v>6.9868489524959001</v>
      </c>
      <c r="O113" s="1" t="s">
        <v>136</v>
      </c>
      <c r="P113" s="1" t="s">
        <v>135</v>
      </c>
      <c r="Q113" s="2">
        <v>209.60546857487699</v>
      </c>
      <c r="R113" s="2">
        <v>0.28176595444196001</v>
      </c>
      <c r="S113" s="2"/>
      <c r="T113" s="5">
        <f t="shared" si="35"/>
        <v>1.4888771581878535</v>
      </c>
      <c r="U113" s="5">
        <f t="shared" si="36"/>
        <v>0.43098121516657945</v>
      </c>
      <c r="V113" s="5">
        <f t="shared" si="37"/>
        <v>2.7423333333333333</v>
      </c>
      <c r="W113" s="5">
        <f t="shared" si="38"/>
        <v>4.2312104915211872</v>
      </c>
      <c r="X113" s="5">
        <f t="shared" si="39"/>
        <v>4.2531032236927224</v>
      </c>
      <c r="Y113" s="5">
        <f t="shared" si="40"/>
        <v>5.4846666666666666</v>
      </c>
      <c r="Z113" s="5">
        <f t="shared" si="41"/>
        <v>6.9735438248545201</v>
      </c>
      <c r="AA113" s="5">
        <f t="shared" si="42"/>
        <v>6.986848952495901</v>
      </c>
      <c r="AB113" s="5">
        <f t="shared" si="43"/>
        <v>127.59309671078168</v>
      </c>
      <c r="AC113" s="5">
        <f t="shared" si="44"/>
        <v>209.60546857487702</v>
      </c>
      <c r="AD113" s="7">
        <f t="shared" si="45"/>
        <v>115.54746324799999</v>
      </c>
      <c r="AE113" s="13">
        <f t="shared" si="34"/>
        <v>82.27</v>
      </c>
    </row>
    <row r="114" spans="1:31" ht="13" x14ac:dyDescent="0.15">
      <c r="A114" s="2">
        <v>1</v>
      </c>
      <c r="B114" s="1" t="s">
        <v>154</v>
      </c>
      <c r="C114" s="1" t="s">
        <v>135</v>
      </c>
      <c r="D114" s="1" t="s">
        <v>136</v>
      </c>
      <c r="E114" s="1" t="s">
        <v>18</v>
      </c>
      <c r="F114" s="1" t="s">
        <v>25</v>
      </c>
      <c r="G114" s="1" t="s">
        <v>137</v>
      </c>
      <c r="H114" s="1" t="s">
        <v>21</v>
      </c>
      <c r="I114" s="2">
        <v>180</v>
      </c>
      <c r="J114" s="2">
        <v>0.52</v>
      </c>
      <c r="K114" s="2">
        <v>82.27</v>
      </c>
      <c r="L114" s="2">
        <v>0</v>
      </c>
      <c r="M114" s="2">
        <v>5.4846666666666701</v>
      </c>
      <c r="N114" s="2">
        <v>6.0046666666666697</v>
      </c>
      <c r="O114" s="1" t="s">
        <v>136</v>
      </c>
      <c r="P114" s="1" t="s">
        <v>135</v>
      </c>
      <c r="Q114" s="2">
        <v>180.14</v>
      </c>
      <c r="R114" s="2">
        <v>0</v>
      </c>
      <c r="S114" s="2"/>
      <c r="T114" s="5">
        <f t="shared" si="35"/>
        <v>0.52</v>
      </c>
      <c r="U114" s="5">
        <f t="shared" si="36"/>
        <v>0</v>
      </c>
      <c r="V114" s="5">
        <f t="shared" si="37"/>
        <v>2.7423333333333333</v>
      </c>
      <c r="W114" s="5">
        <f t="shared" si="38"/>
        <v>3.2623333333333333</v>
      </c>
      <c r="X114" s="5">
        <f t="shared" si="39"/>
        <v>3.2623333333333333</v>
      </c>
      <c r="Y114" s="5">
        <f t="shared" si="40"/>
        <v>5.4846666666666666</v>
      </c>
      <c r="Z114" s="5">
        <f t="shared" si="41"/>
        <v>6.004666666666667</v>
      </c>
      <c r="AA114" s="5">
        <f t="shared" si="42"/>
        <v>6.004666666666667</v>
      </c>
      <c r="AB114" s="5">
        <f t="shared" si="43"/>
        <v>97.87</v>
      </c>
      <c r="AC114" s="5">
        <f t="shared" si="44"/>
        <v>180.14000000000001</v>
      </c>
      <c r="AD114" s="7">
        <f t="shared" si="45"/>
        <v>115.54746324799999</v>
      </c>
      <c r="AE114" s="13">
        <f t="shared" si="34"/>
        <v>82.27</v>
      </c>
    </row>
    <row r="115" spans="1:31" ht="13" x14ac:dyDescent="0.15">
      <c r="A115" s="2">
        <v>1</v>
      </c>
      <c r="B115" s="1" t="s">
        <v>155</v>
      </c>
      <c r="C115" s="1" t="s">
        <v>135</v>
      </c>
      <c r="D115" s="1" t="s">
        <v>136</v>
      </c>
      <c r="E115" s="1" t="s">
        <v>18</v>
      </c>
      <c r="F115" s="1" t="s">
        <v>25</v>
      </c>
      <c r="G115" s="1" t="s">
        <v>137</v>
      </c>
      <c r="H115" s="1" t="s">
        <v>21</v>
      </c>
      <c r="I115" s="2">
        <v>-158.19900000000001</v>
      </c>
      <c r="J115" s="2">
        <v>1.2629999999999999</v>
      </c>
      <c r="K115" s="2">
        <v>82.27</v>
      </c>
      <c r="L115" s="2">
        <v>21.800999999999998</v>
      </c>
      <c r="M115" s="2">
        <v>5.4846666666666701</v>
      </c>
      <c r="N115" s="2">
        <v>6.6738399085226598</v>
      </c>
      <c r="O115" s="1" t="s">
        <v>136</v>
      </c>
      <c r="P115" s="1" t="s">
        <v>135</v>
      </c>
      <c r="Q115" s="2">
        <v>200.21519725568001</v>
      </c>
      <c r="R115" s="2">
        <v>0.38049923022727999</v>
      </c>
      <c r="S115" s="2"/>
      <c r="T115" s="5">
        <f t="shared" si="35"/>
        <v>1.1726694129219633</v>
      </c>
      <c r="U115" s="5">
        <f t="shared" si="36"/>
        <v>0.4690580433136799</v>
      </c>
      <c r="V115" s="5">
        <f t="shared" si="37"/>
        <v>2.7423333333333333</v>
      </c>
      <c r="W115" s="5">
        <f t="shared" si="38"/>
        <v>3.9150027462552965</v>
      </c>
      <c r="X115" s="5">
        <f t="shared" si="39"/>
        <v>3.9430016423004153</v>
      </c>
      <c r="Y115" s="5">
        <f t="shared" si="40"/>
        <v>5.4846666666666666</v>
      </c>
      <c r="Z115" s="5">
        <f t="shared" si="41"/>
        <v>6.6573360795886298</v>
      </c>
      <c r="AA115" s="5">
        <f t="shared" si="42"/>
        <v>6.6738399085226616</v>
      </c>
      <c r="AB115" s="5">
        <f t="shared" si="43"/>
        <v>118.29004926901246</v>
      </c>
      <c r="AC115" s="5">
        <f t="shared" si="44"/>
        <v>200.21519725567984</v>
      </c>
      <c r="AD115" s="7">
        <f t="shared" si="45"/>
        <v>115.54746324799999</v>
      </c>
      <c r="AE115" s="13">
        <f t="shared" si="34"/>
        <v>82.27</v>
      </c>
    </row>
    <row r="116" spans="1:31" s="10" customFormat="1" ht="13" x14ac:dyDescent="0.15">
      <c r="A116" s="8">
        <v>1</v>
      </c>
      <c r="B116" s="9" t="s">
        <v>156</v>
      </c>
      <c r="C116" s="9" t="s">
        <v>16</v>
      </c>
      <c r="D116" s="9" t="s">
        <v>17</v>
      </c>
      <c r="E116" s="9" t="s">
        <v>18</v>
      </c>
      <c r="F116" s="9" t="s">
        <v>79</v>
      </c>
      <c r="G116" s="9" t="s">
        <v>20</v>
      </c>
      <c r="H116" s="9" t="s">
        <v>157</v>
      </c>
      <c r="I116" s="8">
        <v>-167.471</v>
      </c>
      <c r="J116" s="8">
        <v>0.35499999999999998</v>
      </c>
      <c r="K116" s="8">
        <v>30.31</v>
      </c>
      <c r="L116" s="8">
        <v>12.529</v>
      </c>
      <c r="M116" s="8">
        <v>2.0206666666666702</v>
      </c>
      <c r="N116" s="8">
        <v>2.36846517324157</v>
      </c>
      <c r="O116" s="9" t="s">
        <v>17</v>
      </c>
      <c r="P116" s="9" t="s">
        <v>16</v>
      </c>
      <c r="Q116" s="8">
        <v>71.053955197247205</v>
      </c>
      <c r="R116" s="8">
        <v>0.21867230198237</v>
      </c>
      <c r="S116" s="8"/>
      <c r="T116" s="8">
        <f t="shared" si="35"/>
        <v>0.34654614790839267</v>
      </c>
      <c r="U116" s="8">
        <f t="shared" si="36"/>
        <v>7.7011475572504179E-2</v>
      </c>
      <c r="V116" s="8">
        <f t="shared" si="37"/>
        <v>1.0103333333333333</v>
      </c>
      <c r="W116" s="8">
        <f t="shared" si="38"/>
        <v>1.356879481241726</v>
      </c>
      <c r="X116" s="8">
        <f t="shared" si="39"/>
        <v>1.3590631677683969</v>
      </c>
      <c r="Y116" s="8">
        <f t="shared" si="40"/>
        <v>2.0206666666666666</v>
      </c>
      <c r="Z116" s="8">
        <f t="shared" si="41"/>
        <v>2.3672128145750593</v>
      </c>
      <c r="AA116" s="8">
        <f t="shared" si="42"/>
        <v>2.3684651732415718</v>
      </c>
      <c r="AB116" s="8">
        <f t="shared" si="43"/>
        <v>40.771895033051905</v>
      </c>
      <c r="AC116" s="8">
        <f t="shared" si="44"/>
        <v>71.053955197247149</v>
      </c>
      <c r="AD116" s="10">
        <f t="shared" si="45"/>
        <v>25.298567384000002</v>
      </c>
      <c r="AE116" s="10">
        <f t="shared" si="34"/>
        <v>30.31</v>
      </c>
    </row>
    <row r="117" spans="1:31" s="10" customFormat="1" ht="13" x14ac:dyDescent="0.15">
      <c r="A117" s="8">
        <v>1</v>
      </c>
      <c r="B117" s="9" t="s">
        <v>158</v>
      </c>
      <c r="C117" s="9" t="s">
        <v>16</v>
      </c>
      <c r="D117" s="9" t="s">
        <v>17</v>
      </c>
      <c r="E117" s="9" t="s">
        <v>18</v>
      </c>
      <c r="F117" s="9" t="s">
        <v>79</v>
      </c>
      <c r="G117" s="9" t="s">
        <v>20</v>
      </c>
      <c r="H117" s="9" t="s">
        <v>159</v>
      </c>
      <c r="I117" s="8">
        <v>152.30099999999999</v>
      </c>
      <c r="J117" s="8">
        <v>1.738</v>
      </c>
      <c r="K117" s="8">
        <v>30.31</v>
      </c>
      <c r="L117" s="8">
        <v>27.699000000000002</v>
      </c>
      <c r="M117" s="8">
        <v>2.0206666666666702</v>
      </c>
      <c r="N117" s="8">
        <v>3.6500213101654699</v>
      </c>
      <c r="O117" s="9" t="s">
        <v>17</v>
      </c>
      <c r="P117" s="9" t="s">
        <v>16</v>
      </c>
      <c r="Q117" s="8">
        <v>109.500639304964</v>
      </c>
      <c r="R117" s="8">
        <v>0.48343874950991</v>
      </c>
      <c r="S117" s="8"/>
      <c r="T117" s="8">
        <f t="shared" si="35"/>
        <v>1.5388282217628582</v>
      </c>
      <c r="U117" s="8">
        <f t="shared" si="36"/>
        <v>0.80786861797334342</v>
      </c>
      <c r="V117" s="8">
        <f t="shared" si="37"/>
        <v>1.0103333333333333</v>
      </c>
      <c r="W117" s="8">
        <f t="shared" si="38"/>
        <v>2.5491615550961915</v>
      </c>
      <c r="X117" s="8">
        <f t="shared" si="39"/>
        <v>2.6741122522973102</v>
      </c>
      <c r="Y117" s="8">
        <f t="shared" si="40"/>
        <v>2.0206666666666666</v>
      </c>
      <c r="Z117" s="8">
        <f t="shared" si="41"/>
        <v>3.5594948884295246</v>
      </c>
      <c r="AA117" s="8">
        <f t="shared" si="42"/>
        <v>3.6500213101654726</v>
      </c>
      <c r="AB117" s="8">
        <f t="shared" si="43"/>
        <v>80.223367568919301</v>
      </c>
      <c r="AC117" s="8">
        <f t="shared" si="44"/>
        <v>109.50063930496418</v>
      </c>
      <c r="AD117" s="10">
        <f t="shared" si="45"/>
        <v>25.298567384000002</v>
      </c>
      <c r="AE117" s="10">
        <f t="shared" si="34"/>
        <v>30.31</v>
      </c>
    </row>
    <row r="118" spans="1:31" s="10" customFormat="1" ht="13" x14ac:dyDescent="0.15">
      <c r="A118" s="8">
        <v>1</v>
      </c>
      <c r="B118" s="9" t="s">
        <v>160</v>
      </c>
      <c r="C118" s="9" t="s">
        <v>16</v>
      </c>
      <c r="D118" s="9" t="s">
        <v>17</v>
      </c>
      <c r="E118" s="9" t="s">
        <v>18</v>
      </c>
      <c r="F118" s="9" t="s">
        <v>19</v>
      </c>
      <c r="G118" s="9" t="s">
        <v>20</v>
      </c>
      <c r="H118" s="9" t="s">
        <v>157</v>
      </c>
      <c r="I118" s="8">
        <v>-176.18600000000001</v>
      </c>
      <c r="J118" s="8">
        <v>1.1559999999999999</v>
      </c>
      <c r="K118" s="8">
        <v>38.97</v>
      </c>
      <c r="L118" s="8">
        <v>3.8139999999999898</v>
      </c>
      <c r="M118" s="8">
        <v>2.5979999999999999</v>
      </c>
      <c r="N118" s="8">
        <v>3.75222772552369</v>
      </c>
      <c r="O118" s="9" t="s">
        <v>17</v>
      </c>
      <c r="P118" s="9" t="s">
        <v>16</v>
      </c>
      <c r="Q118" s="8">
        <v>112.566831765711</v>
      </c>
      <c r="R118" s="8">
        <v>6.6566857671064003E-2</v>
      </c>
      <c r="S118" s="8"/>
      <c r="T118" s="8">
        <f t="shared" si="35"/>
        <v>1.1534397429154566</v>
      </c>
      <c r="U118" s="8">
        <f t="shared" si="36"/>
        <v>7.689446965240937E-2</v>
      </c>
      <c r="V118" s="8">
        <f t="shared" si="37"/>
        <v>1.2989999999999999</v>
      </c>
      <c r="W118" s="8">
        <f t="shared" si="38"/>
        <v>2.4524397429154563</v>
      </c>
      <c r="X118" s="8">
        <f t="shared" si="39"/>
        <v>2.4536449319521263</v>
      </c>
      <c r="Y118" s="8">
        <f t="shared" si="40"/>
        <v>2.5979999999999999</v>
      </c>
      <c r="Z118" s="8">
        <f t="shared" si="41"/>
        <v>3.7514397429154567</v>
      </c>
      <c r="AA118" s="8">
        <f t="shared" si="42"/>
        <v>3.752227725523694</v>
      </c>
      <c r="AB118" s="8">
        <f t="shared" si="43"/>
        <v>73.609347958563788</v>
      </c>
      <c r="AC118" s="8">
        <f t="shared" si="44"/>
        <v>112.56683176571082</v>
      </c>
      <c r="AD118" s="10">
        <f t="shared" si="45"/>
        <v>40.340050028</v>
      </c>
      <c r="AE118" s="10">
        <f t="shared" si="34"/>
        <v>38.97</v>
      </c>
    </row>
    <row r="119" spans="1:31" s="10" customFormat="1" ht="13" x14ac:dyDescent="0.15">
      <c r="A119" s="8">
        <v>1</v>
      </c>
      <c r="B119" s="9" t="s">
        <v>161</v>
      </c>
      <c r="C119" s="9" t="s">
        <v>16</v>
      </c>
      <c r="D119" s="9" t="s">
        <v>17</v>
      </c>
      <c r="E119" s="9" t="s">
        <v>18</v>
      </c>
      <c r="F119" s="9" t="s">
        <v>88</v>
      </c>
      <c r="G119" s="9" t="s">
        <v>20</v>
      </c>
      <c r="H119" s="9" t="s">
        <v>157</v>
      </c>
      <c r="I119" s="8">
        <v>169.21600000000001</v>
      </c>
      <c r="J119" s="8">
        <v>0.82199999999999995</v>
      </c>
      <c r="K119" s="8">
        <v>47.63</v>
      </c>
      <c r="L119" s="8">
        <v>10.784000000000001</v>
      </c>
      <c r="M119" s="8">
        <v>3.17533333333333</v>
      </c>
      <c r="N119" s="8">
        <v>3.9857849656509199</v>
      </c>
      <c r="O119" s="9" t="s">
        <v>17</v>
      </c>
      <c r="P119" s="9" t="s">
        <v>16</v>
      </c>
      <c r="Q119" s="8">
        <v>119.57354896952801</v>
      </c>
      <c r="R119" s="8">
        <v>0.18821630653506999</v>
      </c>
      <c r="S119" s="8"/>
      <c r="T119" s="8">
        <f t="shared" si="35"/>
        <v>0.80748310119112887</v>
      </c>
      <c r="U119" s="8">
        <f t="shared" si="36"/>
        <v>0.15380195476897293</v>
      </c>
      <c r="V119" s="8">
        <f t="shared" si="37"/>
        <v>1.5876666666666668</v>
      </c>
      <c r="W119" s="8">
        <f t="shared" si="38"/>
        <v>2.3951497678577955</v>
      </c>
      <c r="X119" s="8">
        <f t="shared" si="39"/>
        <v>2.4000828010216666</v>
      </c>
      <c r="Y119" s="8">
        <f t="shared" si="40"/>
        <v>3.1753333333333336</v>
      </c>
      <c r="Z119" s="8">
        <f t="shared" si="41"/>
        <v>3.9828164345244623</v>
      </c>
      <c r="AA119" s="8">
        <f t="shared" si="42"/>
        <v>3.9857849656509203</v>
      </c>
      <c r="AB119" s="8">
        <f t="shared" si="43"/>
        <v>72.002484030649995</v>
      </c>
      <c r="AC119" s="8">
        <f t="shared" si="44"/>
        <v>119.57354896952761</v>
      </c>
      <c r="AD119" s="10">
        <f t="shared" si="45"/>
        <v>55.381532671999999</v>
      </c>
      <c r="AE119" s="10">
        <f t="shared" si="34"/>
        <v>47.63</v>
      </c>
    </row>
    <row r="120" spans="1:31" s="10" customFormat="1" ht="13" x14ac:dyDescent="0.15">
      <c r="A120" s="8">
        <v>1</v>
      </c>
      <c r="B120" s="9" t="s">
        <v>162</v>
      </c>
      <c r="C120" s="9" t="s">
        <v>16</v>
      </c>
      <c r="D120" s="9" t="s">
        <v>17</v>
      </c>
      <c r="E120" s="9" t="s">
        <v>18</v>
      </c>
      <c r="F120" s="9" t="s">
        <v>88</v>
      </c>
      <c r="G120" s="9" t="s">
        <v>20</v>
      </c>
      <c r="H120" s="9" t="s">
        <v>157</v>
      </c>
      <c r="I120" s="8">
        <v>106.557</v>
      </c>
      <c r="J120" s="8">
        <v>1.5029999999999999</v>
      </c>
      <c r="K120" s="8">
        <v>47.63</v>
      </c>
      <c r="L120" s="8">
        <v>73.442999999999998</v>
      </c>
      <c r="M120" s="8">
        <v>3.17533333333333</v>
      </c>
      <c r="N120" s="8">
        <v>3.8809528994126499</v>
      </c>
      <c r="O120" s="9" t="s">
        <v>17</v>
      </c>
      <c r="P120" s="9" t="s">
        <v>16</v>
      </c>
      <c r="Q120" s="8">
        <v>116.428586982379</v>
      </c>
      <c r="R120" s="8">
        <v>1.2818221625421999</v>
      </c>
      <c r="S120" s="8"/>
      <c r="T120" s="8">
        <f t="shared" si="35"/>
        <v>0.42830851821567179</v>
      </c>
      <c r="U120" s="8">
        <f t="shared" si="36"/>
        <v>1.4406806770495311</v>
      </c>
      <c r="V120" s="8">
        <f t="shared" si="37"/>
        <v>1.5876666666666668</v>
      </c>
      <c r="W120" s="8">
        <f t="shared" si="38"/>
        <v>2.0159751848823384</v>
      </c>
      <c r="X120" s="8">
        <f t="shared" si="39"/>
        <v>2.4778451846887597</v>
      </c>
      <c r="Y120" s="8">
        <f t="shared" si="40"/>
        <v>3.1753333333333336</v>
      </c>
      <c r="Z120" s="8">
        <f t="shared" si="41"/>
        <v>3.6036418515490052</v>
      </c>
      <c r="AA120" s="8">
        <f t="shared" si="42"/>
        <v>3.8809528994126476</v>
      </c>
      <c r="AB120" s="8">
        <f t="shared" si="43"/>
        <v>74.335355540662789</v>
      </c>
      <c r="AC120" s="8">
        <f t="shared" si="44"/>
        <v>116.42858698237943</v>
      </c>
      <c r="AD120" s="10">
        <f t="shared" si="45"/>
        <v>55.381532671999999</v>
      </c>
      <c r="AE120" s="10">
        <f t="shared" si="34"/>
        <v>47.63</v>
      </c>
    </row>
    <row r="121" spans="1:31" s="10" customFormat="1" ht="13" x14ac:dyDescent="0.15">
      <c r="A121" s="8">
        <v>1</v>
      </c>
      <c r="B121" s="9" t="s">
        <v>163</v>
      </c>
      <c r="C121" s="9" t="s">
        <v>16</v>
      </c>
      <c r="D121" s="9" t="s">
        <v>17</v>
      </c>
      <c r="E121" s="9" t="s">
        <v>18</v>
      </c>
      <c r="F121" s="9" t="s">
        <v>88</v>
      </c>
      <c r="G121" s="9" t="s">
        <v>20</v>
      </c>
      <c r="H121" s="9" t="s">
        <v>157</v>
      </c>
      <c r="I121" s="8">
        <v>-174.80600000000001</v>
      </c>
      <c r="J121" s="8">
        <v>1.6870000000000001</v>
      </c>
      <c r="K121" s="8">
        <v>47.63</v>
      </c>
      <c r="L121" s="8">
        <v>5.1939999999999902</v>
      </c>
      <c r="M121" s="8">
        <v>3.17533333333333</v>
      </c>
      <c r="N121" s="8">
        <v>4.8578075575288997</v>
      </c>
      <c r="O121" s="9" t="s">
        <v>17</v>
      </c>
      <c r="P121" s="9" t="s">
        <v>16</v>
      </c>
      <c r="Q121" s="8">
        <v>145.73422672586699</v>
      </c>
      <c r="R121" s="8">
        <v>9.0652401348585002E-2</v>
      </c>
      <c r="S121" s="8"/>
      <c r="T121" s="8">
        <f t="shared" si="35"/>
        <v>1.6800729826066159</v>
      </c>
      <c r="U121" s="8">
        <f t="shared" si="36"/>
        <v>0.15272122680004249</v>
      </c>
      <c r="V121" s="8">
        <f t="shared" si="37"/>
        <v>1.5876666666666668</v>
      </c>
      <c r="W121" s="8">
        <f t="shared" si="38"/>
        <v>3.2677396492732829</v>
      </c>
      <c r="X121" s="8">
        <f t="shared" si="39"/>
        <v>3.2713064956601037</v>
      </c>
      <c r="Y121" s="8">
        <f t="shared" si="40"/>
        <v>3.1753333333333336</v>
      </c>
      <c r="Z121" s="8">
        <f t="shared" si="41"/>
        <v>4.8554063159399492</v>
      </c>
      <c r="AA121" s="8">
        <f t="shared" si="42"/>
        <v>4.8578075575288961</v>
      </c>
      <c r="AB121" s="8">
        <f t="shared" si="43"/>
        <v>98.139194869803106</v>
      </c>
      <c r="AC121" s="8">
        <f t="shared" si="44"/>
        <v>145.73422672586688</v>
      </c>
      <c r="AD121" s="10">
        <f t="shared" si="45"/>
        <v>55.381532671999999</v>
      </c>
      <c r="AE121" s="10">
        <f t="shared" si="34"/>
        <v>47.63</v>
      </c>
    </row>
    <row r="122" spans="1:31" s="10" customFormat="1" ht="13" x14ac:dyDescent="0.15">
      <c r="A122" s="8">
        <v>1</v>
      </c>
      <c r="B122" s="9" t="s">
        <v>164</v>
      </c>
      <c r="C122" s="9" t="s">
        <v>16</v>
      </c>
      <c r="D122" s="9" t="s">
        <v>17</v>
      </c>
      <c r="E122" s="9" t="s">
        <v>18</v>
      </c>
      <c r="F122" s="9" t="s">
        <v>88</v>
      </c>
      <c r="G122" s="9" t="s">
        <v>20</v>
      </c>
      <c r="H122" s="9" t="s">
        <v>157</v>
      </c>
      <c r="I122" s="8">
        <v>-176.18600000000001</v>
      </c>
      <c r="J122" s="8">
        <v>1.1559999999999999</v>
      </c>
      <c r="K122" s="8">
        <v>47.63</v>
      </c>
      <c r="L122" s="8">
        <v>3.8139999999999898</v>
      </c>
      <c r="M122" s="8">
        <v>3.17533333333333</v>
      </c>
      <c r="N122" s="8">
        <v>4.3294559825825196</v>
      </c>
      <c r="O122" s="9" t="s">
        <v>17</v>
      </c>
      <c r="P122" s="9" t="s">
        <v>16</v>
      </c>
      <c r="Q122" s="8">
        <v>129.883679477475</v>
      </c>
      <c r="R122" s="8">
        <v>6.6566857671064003E-2</v>
      </c>
      <c r="S122" s="8"/>
      <c r="T122" s="8">
        <f t="shared" si="35"/>
        <v>1.1534397429154566</v>
      </c>
      <c r="U122" s="8">
        <f t="shared" si="36"/>
        <v>7.689446965240937E-2</v>
      </c>
      <c r="V122" s="8">
        <f t="shared" si="37"/>
        <v>1.5876666666666668</v>
      </c>
      <c r="W122" s="8">
        <f t="shared" si="38"/>
        <v>2.7411064095821231</v>
      </c>
      <c r="X122" s="8">
        <f t="shared" si="39"/>
        <v>2.742184732674902</v>
      </c>
      <c r="Y122" s="8">
        <f t="shared" si="40"/>
        <v>3.1753333333333336</v>
      </c>
      <c r="Z122" s="8">
        <f t="shared" si="41"/>
        <v>4.3287730762487904</v>
      </c>
      <c r="AA122" s="8">
        <f t="shared" si="42"/>
        <v>4.3294559825825161</v>
      </c>
      <c r="AB122" s="8">
        <f t="shared" si="43"/>
        <v>82.265541980247065</v>
      </c>
      <c r="AC122" s="8">
        <f t="shared" si="44"/>
        <v>129.88367947747548</v>
      </c>
      <c r="AD122" s="10">
        <f t="shared" si="45"/>
        <v>55.381532671999999</v>
      </c>
      <c r="AE122" s="10">
        <f t="shared" si="34"/>
        <v>47.63</v>
      </c>
    </row>
    <row r="123" spans="1:31" s="10" customFormat="1" ht="13" x14ac:dyDescent="0.15">
      <c r="A123" s="8">
        <v>1</v>
      </c>
      <c r="B123" s="9" t="s">
        <v>165</v>
      </c>
      <c r="C123" s="9" t="s">
        <v>16</v>
      </c>
      <c r="D123" s="9" t="s">
        <v>17</v>
      </c>
      <c r="E123" s="9" t="s">
        <v>18</v>
      </c>
      <c r="F123" s="9" t="s">
        <v>95</v>
      </c>
      <c r="G123" s="9" t="s">
        <v>20</v>
      </c>
      <c r="H123" s="9" t="s">
        <v>159</v>
      </c>
      <c r="I123" s="8">
        <v>176.63399999999999</v>
      </c>
      <c r="J123" s="8">
        <v>0.64300000000000002</v>
      </c>
      <c r="K123" s="8">
        <v>56.29</v>
      </c>
      <c r="L123" s="8">
        <v>3.3660000000000099</v>
      </c>
      <c r="M123" s="8">
        <v>3.7526666666666699</v>
      </c>
      <c r="N123" s="8">
        <v>4.3947195552895302</v>
      </c>
      <c r="O123" s="9" t="s">
        <v>17</v>
      </c>
      <c r="P123" s="9" t="s">
        <v>16</v>
      </c>
      <c r="Q123" s="8">
        <v>131.841586658686</v>
      </c>
      <c r="R123" s="8">
        <v>5.8747782622128999E-2</v>
      </c>
      <c r="S123" s="8"/>
      <c r="T123" s="8">
        <f t="shared" si="35"/>
        <v>0.64189072551072068</v>
      </c>
      <c r="U123" s="8">
        <f t="shared" si="36"/>
        <v>3.7753099254505894E-2</v>
      </c>
      <c r="V123" s="8">
        <f t="shared" si="37"/>
        <v>1.8763333333333334</v>
      </c>
      <c r="W123" s="8">
        <f t="shared" si="38"/>
        <v>2.5182240588440541</v>
      </c>
      <c r="X123" s="8">
        <f t="shared" si="39"/>
        <v>2.5185070393080782</v>
      </c>
      <c r="Y123" s="8">
        <f t="shared" si="40"/>
        <v>3.7526666666666668</v>
      </c>
      <c r="Z123" s="8">
        <f t="shared" si="41"/>
        <v>4.3945573921773873</v>
      </c>
      <c r="AA123" s="8">
        <f t="shared" si="42"/>
        <v>4.3947195552895337</v>
      </c>
      <c r="AB123" s="8">
        <f t="shared" si="43"/>
        <v>75.555211179242349</v>
      </c>
      <c r="AC123" s="8">
        <f t="shared" si="44"/>
        <v>131.84158665868603</v>
      </c>
      <c r="AD123" s="10">
        <f t="shared" si="45"/>
        <v>70.423015316000004</v>
      </c>
      <c r="AE123" s="10">
        <f t="shared" si="34"/>
        <v>56.29</v>
      </c>
    </row>
    <row r="124" spans="1:31" s="10" customFormat="1" ht="13" x14ac:dyDescent="0.15">
      <c r="A124" s="8">
        <v>1</v>
      </c>
      <c r="B124" s="9" t="s">
        <v>166</v>
      </c>
      <c r="C124" s="9" t="s">
        <v>16</v>
      </c>
      <c r="D124" s="9" t="s">
        <v>17</v>
      </c>
      <c r="E124" s="9" t="s">
        <v>18</v>
      </c>
      <c r="F124" s="9" t="s">
        <v>42</v>
      </c>
      <c r="G124" s="9" t="s">
        <v>20</v>
      </c>
      <c r="H124" s="9" t="s">
        <v>159</v>
      </c>
      <c r="I124" s="8">
        <v>172.648</v>
      </c>
      <c r="J124" s="8">
        <v>1.177</v>
      </c>
      <c r="K124" s="8">
        <v>73.61</v>
      </c>
      <c r="L124" s="8">
        <v>7.3520000000000003</v>
      </c>
      <c r="M124" s="8">
        <v>4.9073333333333302</v>
      </c>
      <c r="N124" s="8">
        <v>6.0765237548600899</v>
      </c>
      <c r="O124" s="9" t="s">
        <v>17</v>
      </c>
      <c r="P124" s="9" t="s">
        <v>16</v>
      </c>
      <c r="Q124" s="8">
        <v>182.29571264580301</v>
      </c>
      <c r="R124" s="8">
        <v>0.12831660660662</v>
      </c>
      <c r="S124" s="8"/>
      <c r="T124" s="8">
        <f t="shared" si="35"/>
        <v>1.1673235462845983</v>
      </c>
      <c r="U124" s="8">
        <f t="shared" si="36"/>
        <v>0.15061453545242412</v>
      </c>
      <c r="V124" s="8">
        <f t="shared" si="37"/>
        <v>2.4536666666666664</v>
      </c>
      <c r="W124" s="8">
        <f t="shared" si="38"/>
        <v>3.6209902129512646</v>
      </c>
      <c r="X124" s="8">
        <f t="shared" si="39"/>
        <v>3.6241212535700837</v>
      </c>
      <c r="Y124" s="8">
        <f t="shared" si="40"/>
        <v>4.9073333333333329</v>
      </c>
      <c r="Z124" s="8">
        <f t="shared" si="41"/>
        <v>6.0746568796179314</v>
      </c>
      <c r="AA124" s="8">
        <f t="shared" si="42"/>
        <v>6.0765237548600943</v>
      </c>
      <c r="AB124" s="8">
        <f t="shared" si="43"/>
        <v>108.72363760710252</v>
      </c>
      <c r="AC124" s="8">
        <f t="shared" si="44"/>
        <v>182.29571264580284</v>
      </c>
      <c r="AD124" s="10">
        <f t="shared" si="45"/>
        <v>100.505980604</v>
      </c>
      <c r="AE124" s="10">
        <f t="shared" si="34"/>
        <v>73.61</v>
      </c>
    </row>
    <row r="125" spans="1:31" s="10" customFormat="1" ht="13" x14ac:dyDescent="0.15">
      <c r="A125" s="8">
        <v>1</v>
      </c>
      <c r="B125" s="9" t="s">
        <v>167</v>
      </c>
      <c r="C125" s="9" t="s">
        <v>16</v>
      </c>
      <c r="D125" s="9" t="s">
        <v>17</v>
      </c>
      <c r="E125" s="9" t="s">
        <v>18</v>
      </c>
      <c r="F125" s="9" t="s">
        <v>25</v>
      </c>
      <c r="G125" s="9" t="s">
        <v>20</v>
      </c>
      <c r="H125" s="9" t="s">
        <v>159</v>
      </c>
      <c r="I125" s="8">
        <v>161.565</v>
      </c>
      <c r="J125" s="8">
        <v>1.3380000000000001</v>
      </c>
      <c r="K125" s="8">
        <v>82.27</v>
      </c>
      <c r="L125" s="8">
        <v>18.434999999999999</v>
      </c>
      <c r="M125" s="8">
        <v>5.4846666666666701</v>
      </c>
      <c r="N125" s="8">
        <v>6.7672448386654001</v>
      </c>
      <c r="O125" s="9" t="s">
        <v>17</v>
      </c>
      <c r="P125" s="9" t="s">
        <v>16</v>
      </c>
      <c r="Q125" s="8">
        <v>203.01734515996199</v>
      </c>
      <c r="R125" s="8">
        <v>0.32175144760515001</v>
      </c>
      <c r="S125" s="8"/>
      <c r="T125" s="8">
        <f t="shared" si="35"/>
        <v>1.2693378748631703</v>
      </c>
      <c r="U125" s="8">
        <f t="shared" si="36"/>
        <v>0.42311388471409295</v>
      </c>
      <c r="V125" s="8">
        <f t="shared" si="37"/>
        <v>2.7423333333333333</v>
      </c>
      <c r="W125" s="8">
        <f t="shared" si="38"/>
        <v>4.0116712081965034</v>
      </c>
      <c r="X125" s="8">
        <f t="shared" si="39"/>
        <v>4.0339225627310507</v>
      </c>
      <c r="Y125" s="8">
        <f t="shared" si="40"/>
        <v>5.4846666666666666</v>
      </c>
      <c r="Z125" s="8">
        <f t="shared" si="41"/>
        <v>6.7540045415298371</v>
      </c>
      <c r="AA125" s="8">
        <f t="shared" si="42"/>
        <v>6.7672448386654018</v>
      </c>
      <c r="AB125" s="8">
        <f t="shared" si="43"/>
        <v>121.01767688193152</v>
      </c>
      <c r="AC125" s="8">
        <f t="shared" si="44"/>
        <v>203.01734515996205</v>
      </c>
      <c r="AD125" s="10">
        <f t="shared" si="45"/>
        <v>115.54746324799999</v>
      </c>
      <c r="AE125" s="10">
        <f t="shared" si="34"/>
        <v>82.27</v>
      </c>
    </row>
    <row r="126" spans="1:31" s="10" customFormat="1" ht="13" x14ac:dyDescent="0.15">
      <c r="A126" s="8">
        <v>1</v>
      </c>
      <c r="B126" s="9" t="s">
        <v>168</v>
      </c>
      <c r="C126" s="9" t="s">
        <v>16</v>
      </c>
      <c r="D126" s="9" t="s">
        <v>17</v>
      </c>
      <c r="E126" s="9" t="s">
        <v>18</v>
      </c>
      <c r="F126" s="9" t="s">
        <v>32</v>
      </c>
      <c r="G126" s="9" t="s">
        <v>20</v>
      </c>
      <c r="H126" s="9" t="s">
        <v>159</v>
      </c>
      <c r="I126" s="8">
        <v>-164.876</v>
      </c>
      <c r="J126" s="8">
        <v>1.4830000000000001</v>
      </c>
      <c r="K126" s="8">
        <v>90.93</v>
      </c>
      <c r="L126" s="8">
        <v>15.124000000000001</v>
      </c>
      <c r="M126" s="8">
        <v>6.0620000000000003</v>
      </c>
      <c r="N126" s="8">
        <v>7.5036166710308896</v>
      </c>
      <c r="O126" s="9" t="s">
        <v>17</v>
      </c>
      <c r="P126" s="9" t="s">
        <v>16</v>
      </c>
      <c r="Q126" s="8">
        <v>225.10850013092701</v>
      </c>
      <c r="R126" s="8">
        <v>0.26396359607162001</v>
      </c>
      <c r="S126" s="8"/>
      <c r="T126" s="8">
        <f t="shared" si="35"/>
        <v>1.4316339612151641</v>
      </c>
      <c r="U126" s="8">
        <f t="shared" si="36"/>
        <v>0.38692790167598212</v>
      </c>
      <c r="V126" s="8">
        <f t="shared" si="37"/>
        <v>3.0310000000000001</v>
      </c>
      <c r="W126" s="8">
        <f t="shared" si="38"/>
        <v>4.4626339612151646</v>
      </c>
      <c r="X126" s="8">
        <f t="shared" si="39"/>
        <v>4.4793766388735756</v>
      </c>
      <c r="Y126" s="8">
        <f t="shared" si="40"/>
        <v>6.0620000000000003</v>
      </c>
      <c r="Z126" s="8">
        <f t="shared" si="41"/>
        <v>7.4936339612151643</v>
      </c>
      <c r="AA126" s="8">
        <f t="shared" si="42"/>
        <v>7.5036166710308878</v>
      </c>
      <c r="AB126" s="8">
        <f t="shared" si="43"/>
        <v>134.38129916620727</v>
      </c>
      <c r="AC126" s="8">
        <f t="shared" si="44"/>
        <v>225.10850013092664</v>
      </c>
      <c r="AD126" s="10">
        <f t="shared" si="45"/>
        <v>130.588945892</v>
      </c>
      <c r="AE126" s="10">
        <f t="shared" si="34"/>
        <v>90.93</v>
      </c>
    </row>
    <row r="127" spans="1:31" s="10" customFormat="1" ht="13" x14ac:dyDescent="0.15">
      <c r="A127" s="8">
        <v>1</v>
      </c>
      <c r="B127" s="9" t="s">
        <v>169</v>
      </c>
      <c r="C127" s="9" t="s">
        <v>16</v>
      </c>
      <c r="D127" s="9" t="s">
        <v>17</v>
      </c>
      <c r="E127" s="9" t="s">
        <v>18</v>
      </c>
      <c r="F127" s="9" t="s">
        <v>55</v>
      </c>
      <c r="G127" s="9" t="s">
        <v>20</v>
      </c>
      <c r="H127" s="9" t="s">
        <v>159</v>
      </c>
      <c r="I127" s="8">
        <v>137.726</v>
      </c>
      <c r="J127" s="8">
        <v>0.57199999999999995</v>
      </c>
      <c r="K127" s="8">
        <v>99.59</v>
      </c>
      <c r="L127" s="8">
        <v>42.274000000000001</v>
      </c>
      <c r="M127" s="8">
        <v>6.6393333333333304</v>
      </c>
      <c r="N127" s="8">
        <v>7.0730504196684496</v>
      </c>
      <c r="O127" s="9" t="s">
        <v>17</v>
      </c>
      <c r="P127" s="9" t="s">
        <v>16</v>
      </c>
      <c r="Q127" s="8">
        <v>212.191512590054</v>
      </c>
      <c r="R127" s="8">
        <v>0.73782048798807998</v>
      </c>
      <c r="S127" s="8"/>
      <c r="T127" s="8">
        <f t="shared" si="35"/>
        <v>0.4232436335019279</v>
      </c>
      <c r="U127" s="8">
        <f t="shared" si="36"/>
        <v>0.3847711354819715</v>
      </c>
      <c r="V127" s="8">
        <f t="shared" si="37"/>
        <v>3.319666666666667</v>
      </c>
      <c r="W127" s="8">
        <f t="shared" si="38"/>
        <v>3.7429103001685951</v>
      </c>
      <c r="X127" s="8">
        <f t="shared" si="39"/>
        <v>3.7626355579312021</v>
      </c>
      <c r="Y127" s="8">
        <f t="shared" si="40"/>
        <v>6.639333333333334</v>
      </c>
      <c r="Z127" s="8">
        <f t="shared" si="41"/>
        <v>7.0625769668352616</v>
      </c>
      <c r="AA127" s="8">
        <f t="shared" si="42"/>
        <v>7.0730504196684505</v>
      </c>
      <c r="AB127" s="8">
        <f t="shared" si="43"/>
        <v>112.87906673793606</v>
      </c>
      <c r="AC127" s="8">
        <f t="shared" si="44"/>
        <v>212.19151259005352</v>
      </c>
      <c r="AD127" s="10">
        <f t="shared" si="45"/>
        <v>145.63042853599998</v>
      </c>
      <c r="AE127" s="10">
        <f t="shared" si="34"/>
        <v>99.59</v>
      </c>
    </row>
    <row r="128" spans="1:31" s="10" customFormat="1" ht="13" x14ac:dyDescent="0.15">
      <c r="A128" s="8">
        <v>1</v>
      </c>
      <c r="B128" s="9" t="s">
        <v>170</v>
      </c>
      <c r="C128" s="9" t="s">
        <v>16</v>
      </c>
      <c r="D128" s="9" t="s">
        <v>17</v>
      </c>
      <c r="E128" s="9" t="s">
        <v>18</v>
      </c>
      <c r="F128" s="9" t="s">
        <v>55</v>
      </c>
      <c r="G128" s="9" t="s">
        <v>20</v>
      </c>
      <c r="H128" s="9" t="s">
        <v>159</v>
      </c>
      <c r="I128" s="8">
        <v>-144.583</v>
      </c>
      <c r="J128" s="8">
        <v>2.1240000000000001</v>
      </c>
      <c r="K128" s="8">
        <v>99.59</v>
      </c>
      <c r="L128" s="8">
        <v>35.417000000000002</v>
      </c>
      <c r="M128" s="8">
        <v>6.6393333333333304</v>
      </c>
      <c r="N128" s="8">
        <v>8.4603219548084603</v>
      </c>
      <c r="O128" s="9" t="s">
        <v>17</v>
      </c>
      <c r="P128" s="9" t="s">
        <v>16</v>
      </c>
      <c r="Q128" s="8">
        <v>253.809658644254</v>
      </c>
      <c r="R128" s="8">
        <v>0.61814326117883001</v>
      </c>
      <c r="S128" s="8"/>
      <c r="T128" s="8">
        <f t="shared" si="35"/>
        <v>1.7309662969100503</v>
      </c>
      <c r="U128" s="8">
        <f t="shared" si="36"/>
        <v>1.2309068522684843</v>
      </c>
      <c r="V128" s="8">
        <f t="shared" si="37"/>
        <v>3.319666666666667</v>
      </c>
      <c r="W128" s="8">
        <f t="shared" si="38"/>
        <v>5.0506329635767173</v>
      </c>
      <c r="X128" s="8">
        <f t="shared" si="39"/>
        <v>5.1984637164963692</v>
      </c>
      <c r="Y128" s="8">
        <f t="shared" si="40"/>
        <v>6.639333333333334</v>
      </c>
      <c r="Z128" s="8">
        <f t="shared" si="41"/>
        <v>8.3702996302433839</v>
      </c>
      <c r="AA128" s="8">
        <f t="shared" si="42"/>
        <v>8.4603219548084603</v>
      </c>
      <c r="AB128" s="8">
        <f t="shared" si="43"/>
        <v>155.95391149489109</v>
      </c>
      <c r="AC128" s="8">
        <f t="shared" si="44"/>
        <v>253.8096586442538</v>
      </c>
      <c r="AD128" s="10">
        <f t="shared" si="45"/>
        <v>145.63042853599998</v>
      </c>
      <c r="AE128" s="10">
        <f t="shared" si="34"/>
        <v>99.59</v>
      </c>
    </row>
    <row r="129" spans="1:31" s="10" customFormat="1" ht="13" x14ac:dyDescent="0.15">
      <c r="A129" s="8">
        <v>1</v>
      </c>
      <c r="B129" s="9" t="s">
        <v>171</v>
      </c>
      <c r="C129" s="9" t="s">
        <v>16</v>
      </c>
      <c r="D129" s="9" t="s">
        <v>17</v>
      </c>
      <c r="E129" s="9" t="s">
        <v>18</v>
      </c>
      <c r="F129" s="9" t="s">
        <v>55</v>
      </c>
      <c r="G129" s="9" t="s">
        <v>20</v>
      </c>
      <c r="H129" s="9" t="s">
        <v>159</v>
      </c>
      <c r="I129" s="8">
        <v>-140.35599999999999</v>
      </c>
      <c r="J129" s="8">
        <v>1.712</v>
      </c>
      <c r="K129" s="8">
        <v>99.59</v>
      </c>
      <c r="L129" s="8">
        <v>39.643999999999998</v>
      </c>
      <c r="M129" s="8">
        <v>6.6393333333333304</v>
      </c>
      <c r="N129" s="8">
        <v>8.0322285259361603</v>
      </c>
      <c r="O129" s="9" t="s">
        <v>17</v>
      </c>
      <c r="P129" s="9" t="s">
        <v>16</v>
      </c>
      <c r="Q129" s="8">
        <v>240.96685577808501</v>
      </c>
      <c r="R129" s="8">
        <v>0.69191832866062997</v>
      </c>
      <c r="S129" s="8"/>
      <c r="T129" s="8">
        <f t="shared" si="35"/>
        <v>1.3182802476467081</v>
      </c>
      <c r="U129" s="8">
        <f t="shared" si="36"/>
        <v>1.0922825589857843</v>
      </c>
      <c r="V129" s="8">
        <f t="shared" si="37"/>
        <v>3.319666666666667</v>
      </c>
      <c r="W129" s="8">
        <f t="shared" si="38"/>
        <v>4.6379469143133747</v>
      </c>
      <c r="X129" s="8">
        <f t="shared" si="39"/>
        <v>4.7648329213786171</v>
      </c>
      <c r="Y129" s="8">
        <f t="shared" si="40"/>
        <v>6.639333333333334</v>
      </c>
      <c r="Z129" s="8">
        <f t="shared" si="41"/>
        <v>7.9576135809800421</v>
      </c>
      <c r="AA129" s="8">
        <f t="shared" si="42"/>
        <v>8.0322285259361585</v>
      </c>
      <c r="AB129" s="8">
        <f t="shared" si="43"/>
        <v>142.94498764135852</v>
      </c>
      <c r="AC129" s="8">
        <f t="shared" si="44"/>
        <v>240.96685577808475</v>
      </c>
      <c r="AD129" s="10">
        <f t="shared" si="45"/>
        <v>145.63042853599998</v>
      </c>
      <c r="AE129" s="10">
        <f t="shared" si="34"/>
        <v>99.59</v>
      </c>
    </row>
    <row r="130" spans="1:31" s="10" customFormat="1" ht="13" x14ac:dyDescent="0.15">
      <c r="A130" s="8">
        <v>1</v>
      </c>
      <c r="B130" s="9" t="s">
        <v>172</v>
      </c>
      <c r="C130" s="9" t="s">
        <v>16</v>
      </c>
      <c r="D130" s="9" t="s">
        <v>17</v>
      </c>
      <c r="E130" s="9" t="s">
        <v>18</v>
      </c>
      <c r="F130" s="9" t="s">
        <v>55</v>
      </c>
      <c r="G130" s="9" t="s">
        <v>20</v>
      </c>
      <c r="H130" s="9" t="s">
        <v>159</v>
      </c>
      <c r="I130" s="8">
        <v>-174.28899999999999</v>
      </c>
      <c r="J130" s="8">
        <v>1.1399999999999999</v>
      </c>
      <c r="K130" s="8">
        <v>99.59</v>
      </c>
      <c r="L130" s="8">
        <v>5.7110000000000101</v>
      </c>
      <c r="M130" s="8">
        <v>6.6393333333333304</v>
      </c>
      <c r="N130" s="8">
        <v>7.7745026199862703</v>
      </c>
      <c r="O130" s="9" t="s">
        <v>17</v>
      </c>
      <c r="P130" s="9" t="s">
        <v>16</v>
      </c>
      <c r="Q130" s="8">
        <v>233.23507859958801</v>
      </c>
      <c r="R130" s="8">
        <v>9.9675753581396007E-2</v>
      </c>
      <c r="S130" s="8"/>
      <c r="T130" s="8">
        <f t="shared" si="35"/>
        <v>1.134341591304016</v>
      </c>
      <c r="U130" s="8">
        <f t="shared" si="36"/>
        <v>0.11344229474879526</v>
      </c>
      <c r="V130" s="8">
        <f t="shared" si="37"/>
        <v>3.319666666666667</v>
      </c>
      <c r="W130" s="8">
        <f t="shared" si="38"/>
        <v>4.454008257970683</v>
      </c>
      <c r="X130" s="8">
        <f t="shared" si="39"/>
        <v>4.4554526948794901</v>
      </c>
      <c r="Y130" s="8">
        <f t="shared" si="40"/>
        <v>6.639333333333334</v>
      </c>
      <c r="Z130" s="8">
        <f t="shared" si="41"/>
        <v>7.7736749246373495</v>
      </c>
      <c r="AA130" s="8">
        <f t="shared" si="42"/>
        <v>7.7745026199862703</v>
      </c>
      <c r="AB130" s="8">
        <f t="shared" si="43"/>
        <v>133.66358084638472</v>
      </c>
      <c r="AC130" s="8">
        <f t="shared" si="44"/>
        <v>233.23507859958812</v>
      </c>
      <c r="AD130" s="10">
        <f t="shared" si="45"/>
        <v>145.63042853599998</v>
      </c>
      <c r="AE130" s="10">
        <f t="shared" si="34"/>
        <v>99.59</v>
      </c>
    </row>
    <row r="131" spans="1:31" s="10" customFormat="1" ht="13" x14ac:dyDescent="0.15">
      <c r="A131" s="8">
        <v>1</v>
      </c>
      <c r="B131" s="9" t="s">
        <v>173</v>
      </c>
      <c r="C131" s="9" t="s">
        <v>16</v>
      </c>
      <c r="D131" s="9" t="s">
        <v>17</v>
      </c>
      <c r="E131" s="9" t="s">
        <v>18</v>
      </c>
      <c r="F131" s="9" t="s">
        <v>55</v>
      </c>
      <c r="G131" s="9" t="s">
        <v>20</v>
      </c>
      <c r="H131" s="9" t="s">
        <v>159</v>
      </c>
      <c r="I131" s="8">
        <v>-128.66</v>
      </c>
      <c r="J131" s="8">
        <v>1.2210000000000001</v>
      </c>
      <c r="K131" s="8">
        <v>99.59</v>
      </c>
      <c r="L131" s="8">
        <v>51.34</v>
      </c>
      <c r="M131" s="8">
        <v>6.6393333333333304</v>
      </c>
      <c r="N131" s="8">
        <v>7.4632411665137104</v>
      </c>
      <c r="O131" s="9" t="s">
        <v>17</v>
      </c>
      <c r="P131" s="9" t="s">
        <v>16</v>
      </c>
      <c r="Q131" s="8">
        <v>223.897234995411</v>
      </c>
      <c r="R131" s="8">
        <v>0.89605203797388999</v>
      </c>
      <c r="S131" s="8"/>
      <c r="T131" s="8">
        <f t="shared" si="35"/>
        <v>0.76275584384229034</v>
      </c>
      <c r="U131" s="8">
        <f t="shared" si="36"/>
        <v>0.95343826369851348</v>
      </c>
      <c r="V131" s="8">
        <f t="shared" si="37"/>
        <v>3.319666666666667</v>
      </c>
      <c r="W131" s="8">
        <f t="shared" si="38"/>
        <v>4.0824225105089571</v>
      </c>
      <c r="X131" s="8">
        <f t="shared" si="39"/>
        <v>4.1922807726814639</v>
      </c>
      <c r="Y131" s="8">
        <f t="shared" si="40"/>
        <v>6.639333333333334</v>
      </c>
      <c r="Z131" s="8">
        <f t="shared" si="41"/>
        <v>7.4020891771756245</v>
      </c>
      <c r="AA131" s="8">
        <f t="shared" si="42"/>
        <v>7.4632411665137122</v>
      </c>
      <c r="AB131" s="8">
        <f t="shared" si="43"/>
        <v>125.76842318044392</v>
      </c>
      <c r="AC131" s="8">
        <f t="shared" si="44"/>
        <v>223.89723499541137</v>
      </c>
      <c r="AD131" s="10">
        <f t="shared" si="45"/>
        <v>145.63042853599998</v>
      </c>
      <c r="AE131" s="10">
        <f t="shared" ref="AE131:AE194" si="47">K131</f>
        <v>99.59</v>
      </c>
    </row>
    <row r="132" spans="1:31" s="10" customFormat="1" ht="13" x14ac:dyDescent="0.15">
      <c r="A132" s="8">
        <v>1</v>
      </c>
      <c r="B132" s="9" t="s">
        <v>174</v>
      </c>
      <c r="C132" s="9" t="s">
        <v>16</v>
      </c>
      <c r="D132" s="9" t="s">
        <v>17</v>
      </c>
      <c r="E132" s="9" t="s">
        <v>18</v>
      </c>
      <c r="F132" s="9" t="s">
        <v>55</v>
      </c>
      <c r="G132" s="9" t="s">
        <v>20</v>
      </c>
      <c r="H132" s="9" t="s">
        <v>159</v>
      </c>
      <c r="I132" s="8">
        <v>-135</v>
      </c>
      <c r="J132" s="8">
        <v>0.51700000000000002</v>
      </c>
      <c r="K132" s="8">
        <v>99.59</v>
      </c>
      <c r="L132" s="8">
        <v>45</v>
      </c>
      <c r="M132" s="8">
        <v>6.6393333333333304</v>
      </c>
      <c r="N132" s="8">
        <v>7.0144404005477101</v>
      </c>
      <c r="O132" s="9" t="s">
        <v>17</v>
      </c>
      <c r="P132" s="9" t="s">
        <v>16</v>
      </c>
      <c r="Q132" s="8">
        <v>210.43321201643101</v>
      </c>
      <c r="R132" s="8">
        <v>0.78539816339745006</v>
      </c>
      <c r="S132" s="8"/>
      <c r="T132" s="8">
        <f t="shared" si="35"/>
        <v>0.36557420587344508</v>
      </c>
      <c r="U132" s="8">
        <f t="shared" si="36"/>
        <v>0.36557420587344502</v>
      </c>
      <c r="V132" s="8">
        <f t="shared" si="37"/>
        <v>3.319666666666667</v>
      </c>
      <c r="W132" s="8">
        <f t="shared" si="38"/>
        <v>3.685240872540112</v>
      </c>
      <c r="X132" s="8">
        <f t="shared" si="39"/>
        <v>3.7033288793516852</v>
      </c>
      <c r="Y132" s="8">
        <f t="shared" si="40"/>
        <v>6.639333333333334</v>
      </c>
      <c r="Z132" s="8">
        <f t="shared" si="41"/>
        <v>7.004907539206779</v>
      </c>
      <c r="AA132" s="8">
        <f t="shared" si="42"/>
        <v>7.0144404005477146</v>
      </c>
      <c r="AB132" s="8">
        <f t="shared" si="43"/>
        <v>111.09986638055055</v>
      </c>
      <c r="AC132" s="8">
        <f t="shared" si="44"/>
        <v>210.43321201643144</v>
      </c>
      <c r="AD132" s="10">
        <f t="shared" si="45"/>
        <v>145.63042853599998</v>
      </c>
      <c r="AE132" s="10">
        <f t="shared" si="47"/>
        <v>99.59</v>
      </c>
    </row>
    <row r="133" spans="1:31" s="10" customFormat="1" ht="13" x14ac:dyDescent="0.15">
      <c r="A133" s="8">
        <v>1</v>
      </c>
      <c r="B133" s="9" t="s">
        <v>175</v>
      </c>
      <c r="C133" s="9" t="s">
        <v>16</v>
      </c>
      <c r="D133" s="9" t="s">
        <v>17</v>
      </c>
      <c r="E133" s="9" t="s">
        <v>18</v>
      </c>
      <c r="F133" s="9" t="s">
        <v>55</v>
      </c>
      <c r="G133" s="9" t="s">
        <v>20</v>
      </c>
      <c r="H133" s="9" t="s">
        <v>159</v>
      </c>
      <c r="I133" s="8">
        <v>164.476</v>
      </c>
      <c r="J133" s="8">
        <v>0.69699999999999995</v>
      </c>
      <c r="K133" s="8">
        <v>99.59</v>
      </c>
      <c r="L133" s="8">
        <v>15.523999999999999</v>
      </c>
      <c r="M133" s="8">
        <v>6.6393333333333304</v>
      </c>
      <c r="N133" s="8">
        <v>7.3132852682620602</v>
      </c>
      <c r="O133" s="9" t="s">
        <v>17</v>
      </c>
      <c r="P133" s="9" t="s">
        <v>16</v>
      </c>
      <c r="Q133" s="8">
        <v>219.398558047862</v>
      </c>
      <c r="R133" s="8">
        <v>0.2709449130796</v>
      </c>
      <c r="S133" s="8"/>
      <c r="T133" s="8">
        <f t="shared" si="35"/>
        <v>0.67157234440212721</v>
      </c>
      <c r="U133" s="8">
        <f t="shared" si="36"/>
        <v>0.18654647204980995</v>
      </c>
      <c r="V133" s="8">
        <f t="shared" si="37"/>
        <v>3.319666666666667</v>
      </c>
      <c r="W133" s="8">
        <f t="shared" si="38"/>
        <v>3.9912390110687941</v>
      </c>
      <c r="X133" s="8">
        <f t="shared" si="39"/>
        <v>3.9955961294544817</v>
      </c>
      <c r="Y133" s="8">
        <f t="shared" si="40"/>
        <v>6.639333333333334</v>
      </c>
      <c r="Z133" s="8">
        <f t="shared" si="41"/>
        <v>7.3109056777354615</v>
      </c>
      <c r="AA133" s="8">
        <f t="shared" si="42"/>
        <v>7.3132852682620575</v>
      </c>
      <c r="AB133" s="8">
        <f t="shared" si="43"/>
        <v>119.86788388363445</v>
      </c>
      <c r="AC133" s="8">
        <f t="shared" si="44"/>
        <v>219.39855804786171</v>
      </c>
      <c r="AD133" s="10">
        <f t="shared" si="45"/>
        <v>145.63042853599998</v>
      </c>
      <c r="AE133" s="10">
        <f t="shared" si="47"/>
        <v>99.59</v>
      </c>
    </row>
    <row r="134" spans="1:31" s="10" customFormat="1" ht="13" x14ac:dyDescent="0.15">
      <c r="A134" s="8">
        <v>1</v>
      </c>
      <c r="B134" s="9" t="s">
        <v>176</v>
      </c>
      <c r="C134" s="9" t="s">
        <v>16</v>
      </c>
      <c r="D134" s="9" t="s">
        <v>17</v>
      </c>
      <c r="E134" s="9" t="s">
        <v>18</v>
      </c>
      <c r="F134" s="9" t="s">
        <v>55</v>
      </c>
      <c r="G134" s="9" t="s">
        <v>20</v>
      </c>
      <c r="H134" s="9" t="s">
        <v>159</v>
      </c>
      <c r="I134" s="8">
        <v>110.136</v>
      </c>
      <c r="J134" s="8">
        <v>1.2230000000000001</v>
      </c>
      <c r="K134" s="8">
        <v>99.59</v>
      </c>
      <c r="L134" s="8">
        <v>69.864000000000004</v>
      </c>
      <c r="M134" s="8">
        <v>6.6393333333333304</v>
      </c>
      <c r="N134" s="8">
        <v>7.1531129747242703</v>
      </c>
      <c r="O134" s="9" t="s">
        <v>17</v>
      </c>
      <c r="P134" s="9" t="s">
        <v>16</v>
      </c>
      <c r="Q134" s="8">
        <v>214.593389241728</v>
      </c>
      <c r="R134" s="8">
        <v>1.2193568286133201</v>
      </c>
      <c r="S134" s="8"/>
      <c r="T134" s="8">
        <f t="shared" si="35"/>
        <v>0.42101735500985693</v>
      </c>
      <c r="U134" s="8">
        <f t="shared" si="36"/>
        <v>1.148247963978384</v>
      </c>
      <c r="V134" s="8">
        <f t="shared" si="37"/>
        <v>3.319666666666667</v>
      </c>
      <c r="W134" s="8">
        <f t="shared" si="38"/>
        <v>3.740684021676524</v>
      </c>
      <c r="X134" s="8">
        <f t="shared" si="39"/>
        <v>3.9129516144218495</v>
      </c>
      <c r="Y134" s="8">
        <f t="shared" si="40"/>
        <v>6.639333333333334</v>
      </c>
      <c r="Z134" s="8">
        <f t="shared" si="41"/>
        <v>7.060350688343191</v>
      </c>
      <c r="AA134" s="8">
        <f t="shared" si="42"/>
        <v>7.1531129747242685</v>
      </c>
      <c r="AB134" s="8">
        <f t="shared" si="43"/>
        <v>117.38854843265548</v>
      </c>
      <c r="AC134" s="8">
        <f t="shared" si="44"/>
        <v>214.59338924172806</v>
      </c>
      <c r="AD134" s="10">
        <f t="shared" si="45"/>
        <v>145.63042853599998</v>
      </c>
      <c r="AE134" s="10">
        <f t="shared" si="47"/>
        <v>99.59</v>
      </c>
    </row>
    <row r="135" spans="1:31" s="10" customFormat="1" ht="13" x14ac:dyDescent="0.15">
      <c r="A135" s="8">
        <v>1</v>
      </c>
      <c r="B135" s="9" t="s">
        <v>177</v>
      </c>
      <c r="C135" s="9" t="s">
        <v>16</v>
      </c>
      <c r="D135" s="9" t="s">
        <v>17</v>
      </c>
      <c r="E135" s="9" t="s">
        <v>18</v>
      </c>
      <c r="F135" s="9" t="s">
        <v>55</v>
      </c>
      <c r="G135" s="9" t="s">
        <v>20</v>
      </c>
      <c r="H135" s="9" t="s">
        <v>159</v>
      </c>
      <c r="I135" s="8">
        <v>-125.83799999999999</v>
      </c>
      <c r="J135" s="8">
        <v>0.83599999999999997</v>
      </c>
      <c r="K135" s="8">
        <v>99.59</v>
      </c>
      <c r="L135" s="8">
        <v>54.161999999999999</v>
      </c>
      <c r="M135" s="8">
        <v>6.6393333333333304</v>
      </c>
      <c r="N135" s="8">
        <v>7.1609502136183103</v>
      </c>
      <c r="O135" s="9" t="s">
        <v>17</v>
      </c>
      <c r="P135" s="9" t="s">
        <v>16</v>
      </c>
      <c r="Q135" s="8">
        <v>214.828506408549</v>
      </c>
      <c r="R135" s="8">
        <v>0.94530522946517004</v>
      </c>
      <c r="S135" s="8"/>
      <c r="T135" s="8">
        <f t="shared" si="35"/>
        <v>0.48947420806373459</v>
      </c>
      <c r="U135" s="8">
        <f t="shared" si="36"/>
        <v>0.6777248701651577</v>
      </c>
      <c r="V135" s="8">
        <f t="shared" si="37"/>
        <v>3.319666666666667</v>
      </c>
      <c r="W135" s="8">
        <f t="shared" si="38"/>
        <v>3.8091408747304016</v>
      </c>
      <c r="X135" s="8">
        <f t="shared" si="39"/>
        <v>3.8689617732903834</v>
      </c>
      <c r="Y135" s="8">
        <f t="shared" si="40"/>
        <v>6.639333333333334</v>
      </c>
      <c r="Z135" s="8">
        <f t="shared" si="41"/>
        <v>7.1288075413970686</v>
      </c>
      <c r="AA135" s="8">
        <f t="shared" si="42"/>
        <v>7.1609502136183085</v>
      </c>
      <c r="AB135" s="8">
        <f t="shared" si="43"/>
        <v>116.06885319871151</v>
      </c>
      <c r="AC135" s="8">
        <f t="shared" si="44"/>
        <v>214.82850640854926</v>
      </c>
      <c r="AD135" s="10">
        <f t="shared" si="45"/>
        <v>145.63042853599998</v>
      </c>
      <c r="AE135" s="10">
        <f t="shared" si="47"/>
        <v>99.59</v>
      </c>
    </row>
    <row r="136" spans="1:31" s="10" customFormat="1" ht="13" x14ac:dyDescent="0.15">
      <c r="A136" s="8">
        <v>1</v>
      </c>
      <c r="B136" s="9" t="s">
        <v>178</v>
      </c>
      <c r="C136" s="9" t="s">
        <v>16</v>
      </c>
      <c r="D136" s="9" t="s">
        <v>17</v>
      </c>
      <c r="E136" s="9" t="s">
        <v>18</v>
      </c>
      <c r="F136" s="9" t="s">
        <v>55</v>
      </c>
      <c r="G136" s="9" t="s">
        <v>20</v>
      </c>
      <c r="H136" s="9" t="s">
        <v>159</v>
      </c>
      <c r="I136" s="8">
        <v>178.452</v>
      </c>
      <c r="J136" s="8">
        <v>1.423</v>
      </c>
      <c r="K136" s="8">
        <v>99.59</v>
      </c>
      <c r="L136" s="8">
        <v>1.548</v>
      </c>
      <c r="M136" s="8">
        <v>6.6393333333333304</v>
      </c>
      <c r="N136" s="8">
        <v>8.0619056519199006</v>
      </c>
      <c r="O136" s="9" t="s">
        <v>17</v>
      </c>
      <c r="P136" s="9" t="s">
        <v>16</v>
      </c>
      <c r="Q136" s="8">
        <v>241.85716955759699</v>
      </c>
      <c r="R136" s="8">
        <v>2.7017696820872E-2</v>
      </c>
      <c r="S136" s="8"/>
      <c r="T136" s="8">
        <f t="shared" si="35"/>
        <v>1.4224806679395661</v>
      </c>
      <c r="U136" s="8">
        <f t="shared" si="36"/>
        <v>3.844150541024409E-2</v>
      </c>
      <c r="V136" s="8">
        <f t="shared" si="37"/>
        <v>3.319666666666667</v>
      </c>
      <c r="W136" s="8">
        <f t="shared" si="38"/>
        <v>4.7421473346062335</v>
      </c>
      <c r="X136" s="8">
        <f t="shared" si="39"/>
        <v>4.742303142192748</v>
      </c>
      <c r="Y136" s="8">
        <f t="shared" si="40"/>
        <v>6.639333333333334</v>
      </c>
      <c r="Z136" s="8">
        <f t="shared" si="41"/>
        <v>8.0618140012729</v>
      </c>
      <c r="AA136" s="8">
        <f t="shared" si="42"/>
        <v>8.0619056519198971</v>
      </c>
      <c r="AB136" s="8">
        <f t="shared" si="43"/>
        <v>142.26909426578243</v>
      </c>
      <c r="AC136" s="8">
        <f t="shared" si="44"/>
        <v>241.8571695575969</v>
      </c>
      <c r="AD136" s="10">
        <f t="shared" si="45"/>
        <v>145.63042853599998</v>
      </c>
      <c r="AE136" s="10">
        <f t="shared" si="47"/>
        <v>99.59</v>
      </c>
    </row>
    <row r="137" spans="1:31" s="10" customFormat="1" ht="13" x14ac:dyDescent="0.15">
      <c r="A137" s="8">
        <v>1</v>
      </c>
      <c r="B137" s="9" t="s">
        <v>179</v>
      </c>
      <c r="C137" s="9" t="s">
        <v>16</v>
      </c>
      <c r="D137" s="9" t="s">
        <v>17</v>
      </c>
      <c r="E137" s="9" t="s">
        <v>18</v>
      </c>
      <c r="F137" s="9" t="s">
        <v>55</v>
      </c>
      <c r="G137" s="9" t="s">
        <v>20</v>
      </c>
      <c r="H137" s="9" t="s">
        <v>159</v>
      </c>
      <c r="I137" s="8">
        <v>-161.565</v>
      </c>
      <c r="J137" s="8">
        <v>0.73</v>
      </c>
      <c r="K137" s="8">
        <v>99.59</v>
      </c>
      <c r="L137" s="8">
        <v>18.434999999999999</v>
      </c>
      <c r="M137" s="8">
        <v>6.6393333333333304</v>
      </c>
      <c r="N137" s="8">
        <v>7.3355051872841104</v>
      </c>
      <c r="O137" s="9" t="s">
        <v>17</v>
      </c>
      <c r="P137" s="9" t="s">
        <v>16</v>
      </c>
      <c r="Q137" s="8">
        <v>220.06515561852299</v>
      </c>
      <c r="R137" s="8">
        <v>0.32175144760515001</v>
      </c>
      <c r="S137" s="8"/>
      <c r="T137" s="8">
        <f t="shared" si="35"/>
        <v>0.69253860138274603</v>
      </c>
      <c r="U137" s="8">
        <f t="shared" si="36"/>
        <v>0.23084688777375773</v>
      </c>
      <c r="V137" s="8">
        <f t="shared" si="37"/>
        <v>3.319666666666667</v>
      </c>
      <c r="W137" s="8">
        <f t="shared" si="38"/>
        <v>4.0122052680494127</v>
      </c>
      <c r="X137" s="8">
        <f t="shared" si="39"/>
        <v>4.0188408028383371</v>
      </c>
      <c r="Y137" s="8">
        <f t="shared" si="40"/>
        <v>6.639333333333334</v>
      </c>
      <c r="Z137" s="8">
        <f t="shared" si="41"/>
        <v>7.3318719347160801</v>
      </c>
      <c r="AA137" s="8">
        <f t="shared" si="42"/>
        <v>7.3355051872841139</v>
      </c>
      <c r="AB137" s="8">
        <f t="shared" si="43"/>
        <v>120.56522408515011</v>
      </c>
      <c r="AC137" s="8">
        <f t="shared" si="44"/>
        <v>220.06515561852342</v>
      </c>
      <c r="AD137" s="10">
        <f t="shared" si="45"/>
        <v>145.63042853599998</v>
      </c>
      <c r="AE137" s="10">
        <f t="shared" si="47"/>
        <v>99.59</v>
      </c>
    </row>
    <row r="138" spans="1:31" s="10" customFormat="1" ht="13" x14ac:dyDescent="0.15">
      <c r="A138" s="8">
        <v>1</v>
      </c>
      <c r="B138" s="9" t="s">
        <v>180</v>
      </c>
      <c r="C138" s="9" t="s">
        <v>16</v>
      </c>
      <c r="D138" s="9" t="s">
        <v>17</v>
      </c>
      <c r="E138" s="9" t="s">
        <v>18</v>
      </c>
      <c r="F138" s="9" t="s">
        <v>181</v>
      </c>
      <c r="G138" s="9" t="s">
        <v>20</v>
      </c>
      <c r="H138" s="9" t="s">
        <v>159</v>
      </c>
      <c r="I138" s="8">
        <v>-120.46599999999999</v>
      </c>
      <c r="J138" s="8">
        <v>0.73699999999999999</v>
      </c>
      <c r="K138" s="8">
        <v>116.91</v>
      </c>
      <c r="L138" s="8">
        <v>59.533999999999999</v>
      </c>
      <c r="M138" s="8">
        <v>7.7939999999999996</v>
      </c>
      <c r="N138" s="8">
        <v>8.1923446804162499</v>
      </c>
      <c r="O138" s="9" t="s">
        <v>17</v>
      </c>
      <c r="P138" s="9" t="s">
        <v>16</v>
      </c>
      <c r="Q138" s="8">
        <v>245.770340412487</v>
      </c>
      <c r="R138" s="8">
        <v>1.0390643168822999</v>
      </c>
      <c r="S138" s="8"/>
      <c r="T138" s="8">
        <f t="shared" si="35"/>
        <v>0.37367887880064221</v>
      </c>
      <c r="U138" s="8">
        <f t="shared" si="36"/>
        <v>0.63524254858935181</v>
      </c>
      <c r="V138" s="8">
        <f t="shared" si="37"/>
        <v>3.8969999999999998</v>
      </c>
      <c r="W138" s="8">
        <f t="shared" si="38"/>
        <v>4.2706788788006422</v>
      </c>
      <c r="X138" s="8">
        <f t="shared" si="39"/>
        <v>4.3176650149556766</v>
      </c>
      <c r="Y138" s="8">
        <f t="shared" si="40"/>
        <v>7.7939999999999996</v>
      </c>
      <c r="Z138" s="8">
        <f t="shared" si="41"/>
        <v>8.1676788788006416</v>
      </c>
      <c r="AA138" s="8">
        <f t="shared" si="42"/>
        <v>8.1923446804162481</v>
      </c>
      <c r="AB138" s="8">
        <f t="shared" si="43"/>
        <v>129.52995044867029</v>
      </c>
      <c r="AC138" s="8">
        <f t="shared" si="44"/>
        <v>245.77034041248743</v>
      </c>
      <c r="AD138" s="10">
        <f t="shared" si="45"/>
        <v>175.71339382400001</v>
      </c>
      <c r="AE138" s="10">
        <f t="shared" si="47"/>
        <v>116.91</v>
      </c>
    </row>
    <row r="139" spans="1:31" ht="13" x14ac:dyDescent="0.15">
      <c r="A139" s="2">
        <v>1</v>
      </c>
      <c r="B139" s="1" t="s">
        <v>182</v>
      </c>
      <c r="C139" s="1" t="s">
        <v>67</v>
      </c>
      <c r="D139" s="1" t="s">
        <v>68</v>
      </c>
      <c r="E139" s="1" t="s">
        <v>18</v>
      </c>
      <c r="F139" s="1" t="s">
        <v>69</v>
      </c>
      <c r="G139" s="1" t="s">
        <v>70</v>
      </c>
      <c r="H139" s="1" t="s">
        <v>159</v>
      </c>
      <c r="I139" s="2">
        <v>-162.89699999999999</v>
      </c>
      <c r="J139" s="2">
        <v>0.56100000000000005</v>
      </c>
      <c r="K139" s="2">
        <v>12.99</v>
      </c>
      <c r="L139" s="2">
        <v>17.103000000000002</v>
      </c>
      <c r="M139" s="2">
        <v>0.86599999999999999</v>
      </c>
      <c r="N139" s="2">
        <v>1.4118640988670901</v>
      </c>
      <c r="O139" s="1" t="s">
        <v>68</v>
      </c>
      <c r="P139" s="1" t="s">
        <v>67</v>
      </c>
      <c r="Q139" s="2">
        <v>42.355922966012699</v>
      </c>
      <c r="R139" s="2">
        <v>0.29850366196859002</v>
      </c>
      <c r="S139" s="2"/>
      <c r="T139" s="5">
        <f t="shared" si="35"/>
        <v>0.5361912434583016</v>
      </c>
      <c r="U139" s="5">
        <f t="shared" si="36"/>
        <v>0.16498469758932327</v>
      </c>
      <c r="V139" s="5">
        <f t="shared" si="37"/>
        <v>0.433</v>
      </c>
      <c r="W139" s="5">
        <f t="shared" si="38"/>
        <v>0.96919124345830165</v>
      </c>
      <c r="X139" s="5">
        <f t="shared" si="39"/>
        <v>0.98313357019017988</v>
      </c>
      <c r="Y139" s="5">
        <f t="shared" si="40"/>
        <v>0.86599999999999999</v>
      </c>
      <c r="Z139" s="5">
        <f t="shared" si="41"/>
        <v>1.4021912434583017</v>
      </c>
      <c r="AA139" s="5">
        <f t="shared" si="42"/>
        <v>1.4118640988670894</v>
      </c>
      <c r="AB139" s="5">
        <f t="shared" si="43"/>
        <v>29.494007105705396</v>
      </c>
      <c r="AC139" s="5">
        <f t="shared" si="44"/>
        <v>42.355922966012685</v>
      </c>
      <c r="AD139" s="7">
        <f t="shared" si="45"/>
        <v>-4.7843979039999986</v>
      </c>
      <c r="AE139" s="13">
        <f t="shared" si="47"/>
        <v>12.99</v>
      </c>
    </row>
    <row r="140" spans="1:31" ht="13" x14ac:dyDescent="0.15">
      <c r="A140" s="2">
        <v>1</v>
      </c>
      <c r="B140" s="1" t="s">
        <v>183</v>
      </c>
      <c r="C140" s="1" t="s">
        <v>67</v>
      </c>
      <c r="D140" s="1" t="s">
        <v>68</v>
      </c>
      <c r="E140" s="1" t="s">
        <v>18</v>
      </c>
      <c r="F140" s="1" t="s">
        <v>38</v>
      </c>
      <c r="G140" s="1" t="s">
        <v>70</v>
      </c>
      <c r="H140" s="1" t="s">
        <v>159</v>
      </c>
      <c r="I140" s="2">
        <v>-138.81399999999999</v>
      </c>
      <c r="J140" s="2">
        <v>0.41399999999999998</v>
      </c>
      <c r="K140" s="2">
        <v>21.65</v>
      </c>
      <c r="L140" s="2">
        <v>41.186</v>
      </c>
      <c r="M140" s="2">
        <v>1.44333333333333</v>
      </c>
      <c r="N140" s="2">
        <v>1.7759491658155699</v>
      </c>
      <c r="O140" s="1" t="s">
        <v>68</v>
      </c>
      <c r="P140" s="1" t="s">
        <v>67</v>
      </c>
      <c r="Q140" s="2">
        <v>53.278474974467002</v>
      </c>
      <c r="R140" s="2">
        <v>0.71883130572637999</v>
      </c>
      <c r="S140" s="2"/>
      <c r="T140" s="5">
        <f t="shared" si="35"/>
        <v>0.31156639553691645</v>
      </c>
      <c r="U140" s="5">
        <f t="shared" si="36"/>
        <v>0.2726213145961513</v>
      </c>
      <c r="V140" s="5">
        <f t="shared" si="37"/>
        <v>0.72166666666666657</v>
      </c>
      <c r="W140" s="5">
        <f t="shared" si="38"/>
        <v>1.033233062203583</v>
      </c>
      <c r="X140" s="5">
        <f t="shared" si="39"/>
        <v>1.0685939088366201</v>
      </c>
      <c r="Y140" s="5">
        <f t="shared" si="40"/>
        <v>1.4433333333333331</v>
      </c>
      <c r="Z140" s="5">
        <f t="shared" si="41"/>
        <v>1.7548997288702495</v>
      </c>
      <c r="AA140" s="5">
        <f t="shared" si="42"/>
        <v>1.7759491658155673</v>
      </c>
      <c r="AB140" s="5">
        <f t="shared" si="43"/>
        <v>32.057817265098606</v>
      </c>
      <c r="AC140" s="5">
        <f t="shared" si="44"/>
        <v>53.278474974467017</v>
      </c>
      <c r="AD140" s="7">
        <f t="shared" si="45"/>
        <v>10.257084740000003</v>
      </c>
      <c r="AE140" s="13">
        <f t="shared" si="47"/>
        <v>21.65</v>
      </c>
    </row>
    <row r="141" spans="1:31" ht="13" x14ac:dyDescent="0.15">
      <c r="A141" s="2">
        <v>1</v>
      </c>
      <c r="B141" s="1" t="s">
        <v>184</v>
      </c>
      <c r="C141" s="1" t="s">
        <v>67</v>
      </c>
      <c r="D141" s="1" t="s">
        <v>68</v>
      </c>
      <c r="E141" s="1" t="s">
        <v>18</v>
      </c>
      <c r="F141" s="1" t="s">
        <v>38</v>
      </c>
      <c r="G141" s="1" t="s">
        <v>70</v>
      </c>
      <c r="H141" s="1" t="s">
        <v>159</v>
      </c>
      <c r="I141" s="2">
        <v>-172.56899999999999</v>
      </c>
      <c r="J141" s="2">
        <v>0.89300000000000002</v>
      </c>
      <c r="K141" s="2">
        <v>21.65</v>
      </c>
      <c r="L141" s="2">
        <v>7.4310000000000098</v>
      </c>
      <c r="M141" s="2">
        <v>1.44333333333333</v>
      </c>
      <c r="N141" s="2">
        <v>2.3316953948482402</v>
      </c>
      <c r="O141" s="1" t="s">
        <v>68</v>
      </c>
      <c r="P141" s="1" t="s">
        <v>67</v>
      </c>
      <c r="Q141" s="2">
        <v>69.950861845447207</v>
      </c>
      <c r="R141" s="2">
        <v>0.12969541671570001</v>
      </c>
      <c r="S141" s="2"/>
      <c r="T141" s="5">
        <f t="shared" si="35"/>
        <v>0.88549998957691944</v>
      </c>
      <c r="U141" s="5">
        <f t="shared" si="36"/>
        <v>0.11549358622571004</v>
      </c>
      <c r="V141" s="5">
        <f t="shared" si="37"/>
        <v>0.72166666666666657</v>
      </c>
      <c r="W141" s="5">
        <f t="shared" si="38"/>
        <v>1.607166656243586</v>
      </c>
      <c r="X141" s="5">
        <f t="shared" si="39"/>
        <v>1.6113110901996748</v>
      </c>
      <c r="Y141" s="5">
        <f t="shared" si="40"/>
        <v>1.4433333333333331</v>
      </c>
      <c r="Z141" s="5">
        <f t="shared" si="41"/>
        <v>2.3288333229102527</v>
      </c>
      <c r="AA141" s="5">
        <f t="shared" si="42"/>
        <v>2.3316953948482388</v>
      </c>
      <c r="AB141" s="5">
        <f t="shared" si="43"/>
        <v>48.339332705990245</v>
      </c>
      <c r="AC141" s="5">
        <f t="shared" si="44"/>
        <v>69.950861845447164</v>
      </c>
      <c r="AD141" s="7">
        <f t="shared" si="45"/>
        <v>10.257084740000003</v>
      </c>
      <c r="AE141" s="13">
        <f t="shared" si="47"/>
        <v>21.65</v>
      </c>
    </row>
    <row r="142" spans="1:31" ht="13" x14ac:dyDescent="0.15">
      <c r="A142" s="2">
        <v>1</v>
      </c>
      <c r="B142" s="1" t="s">
        <v>185</v>
      </c>
      <c r="C142" s="1" t="s">
        <v>67</v>
      </c>
      <c r="D142" s="1" t="s">
        <v>68</v>
      </c>
      <c r="E142" s="1" t="s">
        <v>18</v>
      </c>
      <c r="F142" s="1" t="s">
        <v>38</v>
      </c>
      <c r="G142" s="1" t="s">
        <v>70</v>
      </c>
      <c r="H142" s="1" t="s">
        <v>159</v>
      </c>
      <c r="I142" s="2">
        <v>180</v>
      </c>
      <c r="J142" s="2">
        <v>1.1399999999999999</v>
      </c>
      <c r="K142" s="2">
        <v>21.65</v>
      </c>
      <c r="L142" s="2">
        <v>0</v>
      </c>
      <c r="M142" s="2">
        <v>1.44333333333333</v>
      </c>
      <c r="N142" s="2">
        <v>2.5833333333333299</v>
      </c>
      <c r="O142" s="1" t="s">
        <v>68</v>
      </c>
      <c r="P142" s="1" t="s">
        <v>67</v>
      </c>
      <c r="Q142" s="2">
        <v>77.5</v>
      </c>
      <c r="R142" s="2">
        <v>0</v>
      </c>
      <c r="S142" s="2"/>
      <c r="T142" s="5">
        <f t="shared" ref="T142:T205" si="48">J142*COS(L142*PI()/180)</f>
        <v>1.1399999999999999</v>
      </c>
      <c r="U142" s="5">
        <f t="shared" ref="U142:U205" si="49">J142*SIN(L142*PI()/180)</f>
        <v>0</v>
      </c>
      <c r="V142" s="5">
        <f t="shared" ref="V142:V205" si="50">K142/30</f>
        <v>0.72166666666666657</v>
      </c>
      <c r="W142" s="5">
        <f t="shared" ref="W142:W205" si="51">V142+T142</f>
        <v>1.8616666666666664</v>
      </c>
      <c r="X142" s="5">
        <f t="shared" ref="X142:X205" si="52">SQRT(W142^2 + U142^2)</f>
        <v>1.8616666666666664</v>
      </c>
      <c r="Y142" s="5">
        <f t="shared" ref="Y142:Y205" si="53">K142/(30/2)</f>
        <v>1.4433333333333331</v>
      </c>
      <c r="Z142" s="5">
        <f t="shared" ref="Z142:Z205" si="54">Y142+T142</f>
        <v>2.583333333333333</v>
      </c>
      <c r="AA142" s="5">
        <f t="shared" ref="AA142:AA205" si="55">SQRT(Z142^2 + U142^2)</f>
        <v>2.583333333333333</v>
      </c>
      <c r="AB142" s="5">
        <f t="shared" ref="AB142:AB205" si="56">X142*30</f>
        <v>55.849999999999994</v>
      </c>
      <c r="AC142" s="5">
        <f t="shared" ref="AC142:AC205" si="57">AA142*30</f>
        <v>77.499999999999986</v>
      </c>
      <c r="AD142" s="7">
        <f t="shared" ref="AD142:AD205" si="58">-27.34662187 + 7.520741322 * F142</f>
        <v>10.257084740000003</v>
      </c>
      <c r="AE142" s="13">
        <f t="shared" si="47"/>
        <v>21.65</v>
      </c>
    </row>
    <row r="143" spans="1:31" ht="13" x14ac:dyDescent="0.15">
      <c r="A143" s="2">
        <v>1</v>
      </c>
      <c r="B143" s="1" t="s">
        <v>186</v>
      </c>
      <c r="C143" s="1" t="s">
        <v>67</v>
      </c>
      <c r="D143" s="1" t="s">
        <v>68</v>
      </c>
      <c r="E143" s="1" t="s">
        <v>18</v>
      </c>
      <c r="F143" s="1" t="s">
        <v>38</v>
      </c>
      <c r="G143" s="1" t="s">
        <v>70</v>
      </c>
      <c r="H143" s="1" t="s">
        <v>159</v>
      </c>
      <c r="I143" s="2">
        <v>180</v>
      </c>
      <c r="J143" s="2">
        <v>0.77900000000000003</v>
      </c>
      <c r="K143" s="2">
        <v>21.65</v>
      </c>
      <c r="L143" s="2">
        <v>0</v>
      </c>
      <c r="M143" s="2">
        <v>1.44333333333333</v>
      </c>
      <c r="N143" s="2">
        <v>2.2223333333333302</v>
      </c>
      <c r="O143" s="1" t="s">
        <v>68</v>
      </c>
      <c r="P143" s="1" t="s">
        <v>67</v>
      </c>
      <c r="Q143" s="2">
        <v>66.67</v>
      </c>
      <c r="R143" s="2">
        <v>0</v>
      </c>
      <c r="S143" s="2"/>
      <c r="T143" s="5">
        <f t="shared" si="48"/>
        <v>0.77900000000000003</v>
      </c>
      <c r="U143" s="5">
        <f t="shared" si="49"/>
        <v>0</v>
      </c>
      <c r="V143" s="5">
        <f t="shared" si="50"/>
        <v>0.72166666666666657</v>
      </c>
      <c r="W143" s="5">
        <f t="shared" si="51"/>
        <v>1.5006666666666666</v>
      </c>
      <c r="X143" s="5">
        <f t="shared" si="52"/>
        <v>1.5006666666666666</v>
      </c>
      <c r="Y143" s="5">
        <f t="shared" si="53"/>
        <v>1.4433333333333331</v>
      </c>
      <c r="Z143" s="5">
        <f t="shared" si="54"/>
        <v>2.2223333333333333</v>
      </c>
      <c r="AA143" s="5">
        <f t="shared" si="55"/>
        <v>2.2223333333333333</v>
      </c>
      <c r="AB143" s="5">
        <f t="shared" si="56"/>
        <v>45.019999999999996</v>
      </c>
      <c r="AC143" s="5">
        <f t="shared" si="57"/>
        <v>66.67</v>
      </c>
      <c r="AD143" s="7">
        <f t="shared" si="58"/>
        <v>10.257084740000003</v>
      </c>
      <c r="AE143" s="13">
        <f t="shared" si="47"/>
        <v>21.65</v>
      </c>
    </row>
    <row r="144" spans="1:31" ht="13" x14ac:dyDescent="0.15">
      <c r="A144" s="2">
        <v>1</v>
      </c>
      <c r="B144" s="1" t="s">
        <v>187</v>
      </c>
      <c r="C144" s="1" t="s">
        <v>67</v>
      </c>
      <c r="D144" s="1" t="s">
        <v>68</v>
      </c>
      <c r="E144" s="1" t="s">
        <v>18</v>
      </c>
      <c r="F144" s="1" t="s">
        <v>79</v>
      </c>
      <c r="G144" s="1" t="s">
        <v>70</v>
      </c>
      <c r="H144" s="1" t="s">
        <v>159</v>
      </c>
      <c r="I144" s="2">
        <v>-173.88399999999999</v>
      </c>
      <c r="J144" s="2">
        <v>1.1100000000000001</v>
      </c>
      <c r="K144" s="2">
        <v>30.31</v>
      </c>
      <c r="L144" s="2">
        <v>6.1160000000000103</v>
      </c>
      <c r="M144" s="2">
        <v>2.0206666666666702</v>
      </c>
      <c r="N144" s="2">
        <v>3.1265861869334399</v>
      </c>
      <c r="O144" s="1" t="s">
        <v>68</v>
      </c>
      <c r="P144" s="1" t="s">
        <v>67</v>
      </c>
      <c r="Q144" s="2">
        <v>93.797585608003303</v>
      </c>
      <c r="R144" s="2">
        <v>0.10674433705197001</v>
      </c>
      <c r="S144" s="2"/>
      <c r="T144" s="5">
        <f t="shared" si="48"/>
        <v>1.1036821362286127</v>
      </c>
      <c r="U144" s="5">
        <f t="shared" si="49"/>
        <v>0.11826132998510645</v>
      </c>
      <c r="V144" s="5">
        <f t="shared" si="50"/>
        <v>1.0103333333333333</v>
      </c>
      <c r="W144" s="5">
        <f t="shared" si="51"/>
        <v>2.114015469561946</v>
      </c>
      <c r="X144" s="5">
        <f t="shared" si="52"/>
        <v>2.1173207474818407</v>
      </c>
      <c r="Y144" s="5">
        <f t="shared" si="53"/>
        <v>2.0206666666666666</v>
      </c>
      <c r="Z144" s="5">
        <f t="shared" si="54"/>
        <v>3.1243488028952795</v>
      </c>
      <c r="AA144" s="5">
        <f t="shared" si="55"/>
        <v>3.1265861869334435</v>
      </c>
      <c r="AB144" s="5">
        <f t="shared" si="56"/>
        <v>63.519622424455221</v>
      </c>
      <c r="AC144" s="5">
        <f t="shared" si="57"/>
        <v>93.797585608003303</v>
      </c>
      <c r="AD144" s="7">
        <f t="shared" si="58"/>
        <v>25.298567384000002</v>
      </c>
      <c r="AE144" s="13">
        <f t="shared" si="47"/>
        <v>30.31</v>
      </c>
    </row>
    <row r="145" spans="1:31" ht="13" x14ac:dyDescent="0.15">
      <c r="A145" s="2">
        <v>1</v>
      </c>
      <c r="B145" s="1" t="s">
        <v>188</v>
      </c>
      <c r="C145" s="1" t="s">
        <v>67</v>
      </c>
      <c r="D145" s="1" t="s">
        <v>68</v>
      </c>
      <c r="E145" s="1" t="s">
        <v>18</v>
      </c>
      <c r="F145" s="1" t="s">
        <v>79</v>
      </c>
      <c r="G145" s="1" t="s">
        <v>70</v>
      </c>
      <c r="H145" s="1" t="s">
        <v>159</v>
      </c>
      <c r="I145" s="2">
        <v>129.09399999999999</v>
      </c>
      <c r="J145" s="2">
        <v>0.79800000000000004</v>
      </c>
      <c r="K145" s="2">
        <v>30.31</v>
      </c>
      <c r="L145" s="2">
        <v>50.905999999999999</v>
      </c>
      <c r="M145" s="2">
        <v>2.0206666666666702</v>
      </c>
      <c r="N145" s="2">
        <v>2.5987602945919202</v>
      </c>
      <c r="O145" s="1" t="s">
        <v>68</v>
      </c>
      <c r="P145" s="1" t="s">
        <v>67</v>
      </c>
      <c r="Q145" s="2">
        <v>77.962808837757606</v>
      </c>
      <c r="R145" s="2">
        <v>0.88847730902023003</v>
      </c>
      <c r="S145" s="2"/>
      <c r="T145" s="5">
        <f t="shared" si="48"/>
        <v>0.50321444019375938</v>
      </c>
      <c r="U145" s="5">
        <f t="shared" si="49"/>
        <v>0.6193377327278563</v>
      </c>
      <c r="V145" s="5">
        <f t="shared" si="50"/>
        <v>1.0103333333333333</v>
      </c>
      <c r="W145" s="5">
        <f t="shared" si="51"/>
        <v>1.5135477735270926</v>
      </c>
      <c r="X145" s="5">
        <f t="shared" si="52"/>
        <v>1.6353611496942504</v>
      </c>
      <c r="Y145" s="5">
        <f t="shared" si="53"/>
        <v>2.0206666666666666</v>
      </c>
      <c r="Z145" s="5">
        <f t="shared" si="54"/>
        <v>2.5238811068604261</v>
      </c>
      <c r="AA145" s="5">
        <f t="shared" si="55"/>
        <v>2.5987602945919215</v>
      </c>
      <c r="AB145" s="5">
        <f t="shared" si="56"/>
        <v>49.06083449082751</v>
      </c>
      <c r="AC145" s="5">
        <f t="shared" si="57"/>
        <v>77.962808837757649</v>
      </c>
      <c r="AD145" s="7">
        <f t="shared" si="58"/>
        <v>25.298567384000002</v>
      </c>
      <c r="AE145" s="13">
        <f t="shared" si="47"/>
        <v>30.31</v>
      </c>
    </row>
    <row r="146" spans="1:31" ht="13" x14ac:dyDescent="0.15">
      <c r="A146" s="2">
        <v>1</v>
      </c>
      <c r="B146" s="1" t="s">
        <v>189</v>
      </c>
      <c r="C146" s="1" t="s">
        <v>67</v>
      </c>
      <c r="D146" s="1" t="s">
        <v>68</v>
      </c>
      <c r="E146" s="1" t="s">
        <v>18</v>
      </c>
      <c r="F146" s="1" t="s">
        <v>79</v>
      </c>
      <c r="G146" s="1" t="s">
        <v>70</v>
      </c>
      <c r="H146" s="1" t="s">
        <v>159</v>
      </c>
      <c r="I146" s="2">
        <v>169.69499999999999</v>
      </c>
      <c r="J146" s="2">
        <v>0.41599999999999998</v>
      </c>
      <c r="K146" s="2">
        <v>30.31</v>
      </c>
      <c r="L146" s="2">
        <v>10.305</v>
      </c>
      <c r="M146" s="2">
        <v>2.0206666666666702</v>
      </c>
      <c r="N146" s="2">
        <v>2.4310956002287698</v>
      </c>
      <c r="O146" s="1" t="s">
        <v>68</v>
      </c>
      <c r="P146" s="1" t="s">
        <v>67</v>
      </c>
      <c r="Q146" s="2">
        <v>72.932868006863202</v>
      </c>
      <c r="R146" s="2">
        <v>0.17985617941802001</v>
      </c>
      <c r="S146" s="2"/>
      <c r="T146" s="5">
        <f t="shared" si="48"/>
        <v>0.40928968319216086</v>
      </c>
      <c r="U146" s="5">
        <f t="shared" si="49"/>
        <v>7.4417439034547436E-2</v>
      </c>
      <c r="V146" s="5">
        <f t="shared" si="50"/>
        <v>1.0103333333333333</v>
      </c>
      <c r="W146" s="5">
        <f t="shared" si="51"/>
        <v>1.4196230165254942</v>
      </c>
      <c r="X146" s="5">
        <f t="shared" si="52"/>
        <v>1.4215721804683026</v>
      </c>
      <c r="Y146" s="5">
        <f t="shared" si="53"/>
        <v>2.0206666666666666</v>
      </c>
      <c r="Z146" s="5">
        <f t="shared" si="54"/>
        <v>2.4299563498588275</v>
      </c>
      <c r="AA146" s="5">
        <f t="shared" si="55"/>
        <v>2.4310956002287729</v>
      </c>
      <c r="AB146" s="5">
        <f t="shared" si="56"/>
        <v>42.647165414049077</v>
      </c>
      <c r="AC146" s="5">
        <f t="shared" si="57"/>
        <v>72.932868006863188</v>
      </c>
      <c r="AD146" s="7">
        <f t="shared" si="58"/>
        <v>25.298567384000002</v>
      </c>
      <c r="AE146" s="13">
        <f t="shared" si="47"/>
        <v>30.31</v>
      </c>
    </row>
    <row r="147" spans="1:31" ht="13" x14ac:dyDescent="0.15">
      <c r="A147" s="2">
        <v>1</v>
      </c>
      <c r="B147" s="1" t="s">
        <v>190</v>
      </c>
      <c r="C147" s="1" t="s">
        <v>67</v>
      </c>
      <c r="D147" s="1" t="s">
        <v>68</v>
      </c>
      <c r="E147" s="1" t="s">
        <v>18</v>
      </c>
      <c r="F147" s="1" t="s">
        <v>79</v>
      </c>
      <c r="G147" s="1" t="s">
        <v>70</v>
      </c>
      <c r="H147" s="1" t="s">
        <v>159</v>
      </c>
      <c r="I147" s="2">
        <v>-163.61000000000001</v>
      </c>
      <c r="J147" s="2">
        <v>0.69599999999999995</v>
      </c>
      <c r="K147" s="2">
        <v>30.31</v>
      </c>
      <c r="L147" s="2">
        <v>16.39</v>
      </c>
      <c r="M147" s="2">
        <v>2.0206666666666702</v>
      </c>
      <c r="N147" s="2">
        <v>2.6955474385481102</v>
      </c>
      <c r="O147" s="1" t="s">
        <v>68</v>
      </c>
      <c r="P147" s="1" t="s">
        <v>67</v>
      </c>
      <c r="Q147" s="2">
        <v>80.866423156443403</v>
      </c>
      <c r="R147" s="2">
        <v>0.28605946440187002</v>
      </c>
      <c r="S147" s="2"/>
      <c r="T147" s="5">
        <f t="shared" si="48"/>
        <v>0.66771681351505552</v>
      </c>
      <c r="U147" s="5">
        <f t="shared" si="49"/>
        <v>0.19639311838580426</v>
      </c>
      <c r="V147" s="5">
        <f t="shared" si="50"/>
        <v>1.0103333333333333</v>
      </c>
      <c r="W147" s="5">
        <f t="shared" si="51"/>
        <v>1.6780501468483888</v>
      </c>
      <c r="X147" s="5">
        <f t="shared" si="52"/>
        <v>1.6895036408031798</v>
      </c>
      <c r="Y147" s="5">
        <f t="shared" si="53"/>
        <v>2.0206666666666666</v>
      </c>
      <c r="Z147" s="5">
        <f t="shared" si="54"/>
        <v>2.6883834801817219</v>
      </c>
      <c r="AA147" s="5">
        <f t="shared" si="55"/>
        <v>2.695547438548112</v>
      </c>
      <c r="AB147" s="5">
        <f t="shared" si="56"/>
        <v>50.685109224095392</v>
      </c>
      <c r="AC147" s="5">
        <f t="shared" si="57"/>
        <v>80.866423156443361</v>
      </c>
      <c r="AD147" s="7">
        <f t="shared" si="58"/>
        <v>25.298567384000002</v>
      </c>
      <c r="AE147" s="13">
        <f t="shared" si="47"/>
        <v>30.31</v>
      </c>
    </row>
    <row r="148" spans="1:31" ht="13" x14ac:dyDescent="0.15">
      <c r="A148" s="2">
        <v>1</v>
      </c>
      <c r="B148" s="1" t="s">
        <v>191</v>
      </c>
      <c r="C148" s="1" t="s">
        <v>67</v>
      </c>
      <c r="D148" s="1" t="s">
        <v>68</v>
      </c>
      <c r="E148" s="1" t="s">
        <v>18</v>
      </c>
      <c r="F148" s="1" t="s">
        <v>79</v>
      </c>
      <c r="G148" s="1" t="s">
        <v>70</v>
      </c>
      <c r="H148" s="1" t="s">
        <v>159</v>
      </c>
      <c r="I148" s="2">
        <v>-111.801</v>
      </c>
      <c r="J148" s="2">
        <v>1.276</v>
      </c>
      <c r="K148" s="2">
        <v>30.31</v>
      </c>
      <c r="L148" s="2">
        <v>68.198999999999998</v>
      </c>
      <c r="M148" s="2">
        <v>2.0206666666666702</v>
      </c>
      <c r="N148" s="2">
        <v>2.7615939619405698</v>
      </c>
      <c r="O148" s="1" t="s">
        <v>68</v>
      </c>
      <c r="P148" s="1" t="s">
        <v>67</v>
      </c>
      <c r="Q148" s="2">
        <v>82.847818858217195</v>
      </c>
      <c r="R148" s="2">
        <v>1.1902970965676101</v>
      </c>
      <c r="S148" s="2"/>
      <c r="T148" s="5">
        <f t="shared" si="48"/>
        <v>0.47388603584184952</v>
      </c>
      <c r="U148" s="5">
        <f t="shared" si="49"/>
        <v>1.1847396444088876</v>
      </c>
      <c r="V148" s="5">
        <f t="shared" si="50"/>
        <v>1.0103333333333333</v>
      </c>
      <c r="W148" s="5">
        <f t="shared" si="51"/>
        <v>1.4842193691751828</v>
      </c>
      <c r="X148" s="5">
        <f t="shared" si="52"/>
        <v>1.8990827156469188</v>
      </c>
      <c r="Y148" s="5">
        <f t="shared" si="53"/>
        <v>2.0206666666666666</v>
      </c>
      <c r="Z148" s="5">
        <f t="shared" si="54"/>
        <v>2.4945527025085159</v>
      </c>
      <c r="AA148" s="5">
        <f t="shared" si="55"/>
        <v>2.7615939619405743</v>
      </c>
      <c r="AB148" s="5">
        <f t="shared" si="56"/>
        <v>56.972481469407562</v>
      </c>
      <c r="AC148" s="5">
        <f t="shared" si="57"/>
        <v>82.847818858217224</v>
      </c>
      <c r="AD148" s="7">
        <f t="shared" si="58"/>
        <v>25.298567384000002</v>
      </c>
      <c r="AE148" s="13">
        <f t="shared" si="47"/>
        <v>30.31</v>
      </c>
    </row>
    <row r="149" spans="1:31" ht="13" x14ac:dyDescent="0.15">
      <c r="A149" s="2">
        <v>1</v>
      </c>
      <c r="B149" s="1" t="s">
        <v>192</v>
      </c>
      <c r="C149" s="1" t="s">
        <v>67</v>
      </c>
      <c r="D149" s="1" t="s">
        <v>68</v>
      </c>
      <c r="E149" s="1" t="s">
        <v>18</v>
      </c>
      <c r="F149" s="1" t="s">
        <v>19</v>
      </c>
      <c r="G149" s="1" t="s">
        <v>70</v>
      </c>
      <c r="H149" s="1" t="s">
        <v>159</v>
      </c>
      <c r="I149" s="2">
        <v>173.99100000000001</v>
      </c>
      <c r="J149" s="2">
        <v>0.71799999999999997</v>
      </c>
      <c r="K149" s="2">
        <v>38.97</v>
      </c>
      <c r="L149" s="2">
        <v>6.0089999999999897</v>
      </c>
      <c r="M149" s="2">
        <v>2.5979999999999999</v>
      </c>
      <c r="N149" s="2">
        <v>3.3129076926433001</v>
      </c>
      <c r="O149" s="1" t="s">
        <v>68</v>
      </c>
      <c r="P149" s="1" t="s">
        <v>67</v>
      </c>
      <c r="Q149" s="2">
        <v>99.387230779299102</v>
      </c>
      <c r="R149" s="2">
        <v>0.10487683475234</v>
      </c>
      <c r="S149" s="2"/>
      <c r="T149" s="5">
        <f t="shared" si="48"/>
        <v>0.71405492301292639</v>
      </c>
      <c r="U149" s="5">
        <f t="shared" si="49"/>
        <v>7.5163601038027411E-2</v>
      </c>
      <c r="V149" s="5">
        <f t="shared" si="50"/>
        <v>1.2989999999999999</v>
      </c>
      <c r="W149" s="5">
        <f t="shared" si="51"/>
        <v>2.0130549230129264</v>
      </c>
      <c r="X149" s="5">
        <f t="shared" si="52"/>
        <v>2.0144576664669782</v>
      </c>
      <c r="Y149" s="5">
        <f t="shared" si="53"/>
        <v>2.5979999999999999</v>
      </c>
      <c r="Z149" s="5">
        <f t="shared" si="54"/>
        <v>3.3120549230129264</v>
      </c>
      <c r="AA149" s="5">
        <f t="shared" si="55"/>
        <v>3.3129076926433019</v>
      </c>
      <c r="AB149" s="5">
        <f t="shared" si="56"/>
        <v>60.433729994009347</v>
      </c>
      <c r="AC149" s="5">
        <f t="shared" si="57"/>
        <v>99.38723077929906</v>
      </c>
      <c r="AD149" s="7">
        <f t="shared" si="58"/>
        <v>40.340050028</v>
      </c>
      <c r="AE149" s="13">
        <f t="shared" si="47"/>
        <v>38.97</v>
      </c>
    </row>
    <row r="150" spans="1:31" ht="13" x14ac:dyDescent="0.15">
      <c r="A150" s="2">
        <v>1</v>
      </c>
      <c r="B150" s="1" t="s">
        <v>193</v>
      </c>
      <c r="C150" s="1" t="s">
        <v>67</v>
      </c>
      <c r="D150" s="1" t="s">
        <v>68</v>
      </c>
      <c r="E150" s="1" t="s">
        <v>18</v>
      </c>
      <c r="F150" s="1" t="s">
        <v>19</v>
      </c>
      <c r="G150" s="1" t="s">
        <v>70</v>
      </c>
      <c r="H150" s="1" t="s">
        <v>159</v>
      </c>
      <c r="I150" s="2">
        <v>-168.69</v>
      </c>
      <c r="J150" s="2">
        <v>0.78100000000000003</v>
      </c>
      <c r="K150" s="2">
        <v>38.97</v>
      </c>
      <c r="L150" s="2">
        <v>11.31</v>
      </c>
      <c r="M150" s="2">
        <v>2.5979999999999999</v>
      </c>
      <c r="N150" s="2">
        <v>3.3673186615061899</v>
      </c>
      <c r="O150" s="1" t="s">
        <v>68</v>
      </c>
      <c r="P150" s="1" t="s">
        <v>67</v>
      </c>
      <c r="Q150" s="2">
        <v>101.019559845186</v>
      </c>
      <c r="R150" s="2">
        <v>0.19739673840055999</v>
      </c>
      <c r="S150" s="2"/>
      <c r="T150" s="5">
        <f t="shared" si="48"/>
        <v>0.76583332719935682</v>
      </c>
      <c r="U150" s="5">
        <f t="shared" si="49"/>
        <v>0.15316760411641506</v>
      </c>
      <c r="V150" s="5">
        <f t="shared" si="50"/>
        <v>1.2989999999999999</v>
      </c>
      <c r="W150" s="5">
        <f t="shared" si="51"/>
        <v>2.0648333271993566</v>
      </c>
      <c r="X150" s="5">
        <f t="shared" si="52"/>
        <v>2.0705064559338928</v>
      </c>
      <c r="Y150" s="5">
        <f t="shared" si="53"/>
        <v>2.5979999999999999</v>
      </c>
      <c r="Z150" s="5">
        <f t="shared" si="54"/>
        <v>3.3638333271993566</v>
      </c>
      <c r="AA150" s="5">
        <f t="shared" si="55"/>
        <v>3.3673186615061925</v>
      </c>
      <c r="AB150" s="5">
        <f t="shared" si="56"/>
        <v>62.115193678016787</v>
      </c>
      <c r="AC150" s="5">
        <f t="shared" si="57"/>
        <v>101.01955984518578</v>
      </c>
      <c r="AD150" s="7">
        <f t="shared" si="58"/>
        <v>40.340050028</v>
      </c>
      <c r="AE150" s="13">
        <f t="shared" si="47"/>
        <v>38.97</v>
      </c>
    </row>
    <row r="151" spans="1:31" ht="13" x14ac:dyDescent="0.15">
      <c r="A151" s="2">
        <v>1</v>
      </c>
      <c r="B151" s="1" t="s">
        <v>194</v>
      </c>
      <c r="C151" s="1" t="s">
        <v>67</v>
      </c>
      <c r="D151" s="1" t="s">
        <v>68</v>
      </c>
      <c r="E151" s="1" t="s">
        <v>18</v>
      </c>
      <c r="F151" s="1" t="s">
        <v>19</v>
      </c>
      <c r="G151" s="1" t="s">
        <v>70</v>
      </c>
      <c r="H151" s="1" t="s">
        <v>159</v>
      </c>
      <c r="I151" s="2">
        <v>176.18600000000001</v>
      </c>
      <c r="J151" s="2">
        <v>0.58499999999999996</v>
      </c>
      <c r="K151" s="2">
        <v>38.97</v>
      </c>
      <c r="L151" s="2">
        <v>3.8139999999999898</v>
      </c>
      <c r="M151" s="2">
        <v>2.5979999999999999</v>
      </c>
      <c r="N151" s="2">
        <v>3.18194231516159</v>
      </c>
      <c r="O151" s="1" t="s">
        <v>68</v>
      </c>
      <c r="P151" s="1" t="s">
        <v>67</v>
      </c>
      <c r="Q151" s="2">
        <v>95.458269454847795</v>
      </c>
      <c r="R151" s="2">
        <v>6.6566857671064003E-2</v>
      </c>
      <c r="S151" s="2"/>
      <c r="T151" s="5">
        <f t="shared" si="48"/>
        <v>0.58370436817088411</v>
      </c>
      <c r="U151" s="5">
        <f t="shared" si="49"/>
        <v>3.8912858777387094E-2</v>
      </c>
      <c r="V151" s="5">
        <f t="shared" si="50"/>
        <v>1.2989999999999999</v>
      </c>
      <c r="W151" s="5">
        <f t="shared" si="51"/>
        <v>1.8827043681708839</v>
      </c>
      <c r="X151" s="5">
        <f t="shared" si="52"/>
        <v>1.8831064623403415</v>
      </c>
      <c r="Y151" s="5">
        <f t="shared" si="53"/>
        <v>2.5979999999999999</v>
      </c>
      <c r="Z151" s="5">
        <f t="shared" si="54"/>
        <v>3.1817043681708839</v>
      </c>
      <c r="AA151" s="5">
        <f t="shared" si="55"/>
        <v>3.1819423151615918</v>
      </c>
      <c r="AB151" s="5">
        <f t="shared" si="56"/>
        <v>56.493193870210249</v>
      </c>
      <c r="AC151" s="5">
        <f t="shared" si="57"/>
        <v>95.458269454847752</v>
      </c>
      <c r="AD151" s="7">
        <f t="shared" si="58"/>
        <v>40.340050028</v>
      </c>
      <c r="AE151" s="13">
        <f t="shared" si="47"/>
        <v>38.97</v>
      </c>
    </row>
    <row r="152" spans="1:31" ht="13" x14ac:dyDescent="0.15">
      <c r="A152" s="2">
        <v>1</v>
      </c>
      <c r="B152" s="1" t="s">
        <v>195</v>
      </c>
      <c r="C152" s="1" t="s">
        <v>67</v>
      </c>
      <c r="D152" s="1" t="s">
        <v>68</v>
      </c>
      <c r="E152" s="1" t="s">
        <v>18</v>
      </c>
      <c r="F152" s="1" t="s">
        <v>19</v>
      </c>
      <c r="G152" s="1" t="s">
        <v>70</v>
      </c>
      <c r="H152" s="1" t="s">
        <v>159</v>
      </c>
      <c r="I152" s="2">
        <v>-164.745</v>
      </c>
      <c r="J152" s="2">
        <v>0.46400000000000002</v>
      </c>
      <c r="K152" s="2">
        <v>38.97</v>
      </c>
      <c r="L152" s="2">
        <v>15.255000000000001</v>
      </c>
      <c r="M152" s="2">
        <v>2.5979999999999999</v>
      </c>
      <c r="N152" s="2">
        <v>3.0480965963153301</v>
      </c>
      <c r="O152" s="1" t="s">
        <v>68</v>
      </c>
      <c r="P152" s="1" t="s">
        <v>67</v>
      </c>
      <c r="Q152" s="2">
        <v>91.4428978894599</v>
      </c>
      <c r="R152" s="2">
        <v>0.26624997739173001</v>
      </c>
      <c r="S152" s="2"/>
      <c r="T152" s="5">
        <f t="shared" si="48"/>
        <v>0.44765066598712633</v>
      </c>
      <c r="U152" s="5">
        <f t="shared" si="49"/>
        <v>0.12208554886341914</v>
      </c>
      <c r="V152" s="5">
        <f t="shared" si="50"/>
        <v>1.2989999999999999</v>
      </c>
      <c r="W152" s="5">
        <f t="shared" si="51"/>
        <v>1.7466506659871261</v>
      </c>
      <c r="X152" s="5">
        <f t="shared" si="52"/>
        <v>1.7509121709082249</v>
      </c>
      <c r="Y152" s="5">
        <f t="shared" si="53"/>
        <v>2.5979999999999999</v>
      </c>
      <c r="Z152" s="5">
        <f t="shared" si="54"/>
        <v>3.0456506659871261</v>
      </c>
      <c r="AA152" s="5">
        <f t="shared" si="55"/>
        <v>3.048096596315331</v>
      </c>
      <c r="AB152" s="5">
        <f t="shared" si="56"/>
        <v>52.527365127246746</v>
      </c>
      <c r="AC152" s="5">
        <f t="shared" si="57"/>
        <v>91.442897889459928</v>
      </c>
      <c r="AD152" s="7">
        <f t="shared" si="58"/>
        <v>40.340050028</v>
      </c>
      <c r="AE152" s="13">
        <f t="shared" si="47"/>
        <v>38.97</v>
      </c>
    </row>
    <row r="153" spans="1:31" ht="13" x14ac:dyDescent="0.15">
      <c r="A153" s="2">
        <v>1</v>
      </c>
      <c r="B153" s="1" t="s">
        <v>196</v>
      </c>
      <c r="C153" s="1" t="s">
        <v>67</v>
      </c>
      <c r="D153" s="1" t="s">
        <v>68</v>
      </c>
      <c r="E153" s="1" t="s">
        <v>18</v>
      </c>
      <c r="F153" s="1" t="s">
        <v>88</v>
      </c>
      <c r="G153" s="1" t="s">
        <v>70</v>
      </c>
      <c r="H153" s="1" t="s">
        <v>159</v>
      </c>
      <c r="I153" s="2">
        <v>-155.69499999999999</v>
      </c>
      <c r="J153" s="2">
        <v>1.3069999999999999</v>
      </c>
      <c r="K153" s="2">
        <v>47.63</v>
      </c>
      <c r="L153" s="2">
        <v>24.305</v>
      </c>
      <c r="M153" s="2">
        <v>3.17533333333333</v>
      </c>
      <c r="N153" s="2">
        <v>4.3995036916816801</v>
      </c>
      <c r="O153" s="1" t="s">
        <v>68</v>
      </c>
      <c r="P153" s="1" t="s">
        <v>67</v>
      </c>
      <c r="Q153" s="2">
        <v>131.98511075044999</v>
      </c>
      <c r="R153" s="2">
        <v>0.42420227469721999</v>
      </c>
      <c r="S153" s="2"/>
      <c r="T153" s="5">
        <f t="shared" si="48"/>
        <v>1.1911571418239011</v>
      </c>
      <c r="U153" s="5">
        <f t="shared" si="49"/>
        <v>0.53795321681528652</v>
      </c>
      <c r="V153" s="5">
        <f t="shared" si="50"/>
        <v>1.5876666666666668</v>
      </c>
      <c r="W153" s="5">
        <f t="shared" si="51"/>
        <v>2.7788238084905679</v>
      </c>
      <c r="X153" s="5">
        <f t="shared" si="52"/>
        <v>2.8304161217241433</v>
      </c>
      <c r="Y153" s="5">
        <f t="shared" si="53"/>
        <v>3.1753333333333336</v>
      </c>
      <c r="Z153" s="5">
        <f t="shared" si="54"/>
        <v>4.3664904751572351</v>
      </c>
      <c r="AA153" s="5">
        <f t="shared" si="55"/>
        <v>4.3995036916816845</v>
      </c>
      <c r="AB153" s="5">
        <f t="shared" si="56"/>
        <v>84.912483651724301</v>
      </c>
      <c r="AC153" s="5">
        <f t="shared" si="57"/>
        <v>131.98511075045053</v>
      </c>
      <c r="AD153" s="7">
        <f t="shared" si="58"/>
        <v>55.381532671999999</v>
      </c>
      <c r="AE153" s="13">
        <f t="shared" si="47"/>
        <v>47.63</v>
      </c>
    </row>
    <row r="154" spans="1:31" ht="13" x14ac:dyDescent="0.15">
      <c r="A154" s="2">
        <v>1</v>
      </c>
      <c r="B154" s="1" t="s">
        <v>197</v>
      </c>
      <c r="C154" s="1" t="s">
        <v>67</v>
      </c>
      <c r="D154" s="1" t="s">
        <v>68</v>
      </c>
      <c r="E154" s="1" t="s">
        <v>18</v>
      </c>
      <c r="F154" s="1" t="s">
        <v>88</v>
      </c>
      <c r="G154" s="1" t="s">
        <v>70</v>
      </c>
      <c r="H154" s="1" t="s">
        <v>159</v>
      </c>
      <c r="I154" s="2">
        <v>-149.036</v>
      </c>
      <c r="J154" s="2">
        <v>0.92700000000000005</v>
      </c>
      <c r="K154" s="2">
        <v>47.63</v>
      </c>
      <c r="L154" s="2">
        <v>30.963999999999999</v>
      </c>
      <c r="M154" s="2">
        <v>3.17533333333333</v>
      </c>
      <c r="N154" s="2">
        <v>3.9987719452709398</v>
      </c>
      <c r="O154" s="1" t="s">
        <v>68</v>
      </c>
      <c r="P154" s="1" t="s">
        <v>67</v>
      </c>
      <c r="Q154" s="2">
        <v>119.963158358128</v>
      </c>
      <c r="R154" s="2">
        <v>0.54042374958752004</v>
      </c>
      <c r="S154" s="2"/>
      <c r="T154" s="5">
        <f t="shared" si="48"/>
        <v>0.79489391546947641</v>
      </c>
      <c r="U154" s="5">
        <f t="shared" si="49"/>
        <v>0.47694094304180362</v>
      </c>
      <c r="V154" s="5">
        <f t="shared" si="50"/>
        <v>1.5876666666666668</v>
      </c>
      <c r="W154" s="5">
        <f t="shared" si="51"/>
        <v>2.3825605821361431</v>
      </c>
      <c r="X154" s="5">
        <f t="shared" si="52"/>
        <v>2.4298287163293057</v>
      </c>
      <c r="Y154" s="5">
        <f t="shared" si="53"/>
        <v>3.1753333333333336</v>
      </c>
      <c r="Z154" s="5">
        <f t="shared" si="54"/>
        <v>3.9702272488028099</v>
      </c>
      <c r="AA154" s="5">
        <f t="shared" si="55"/>
        <v>3.9987719452709398</v>
      </c>
      <c r="AB154" s="5">
        <f t="shared" si="56"/>
        <v>72.894861489879176</v>
      </c>
      <c r="AC154" s="5">
        <f t="shared" si="57"/>
        <v>119.9631583581282</v>
      </c>
      <c r="AD154" s="7">
        <f t="shared" si="58"/>
        <v>55.381532671999999</v>
      </c>
      <c r="AE154" s="13">
        <f t="shared" si="47"/>
        <v>47.63</v>
      </c>
    </row>
    <row r="155" spans="1:31" ht="13" x14ac:dyDescent="0.15">
      <c r="A155" s="2">
        <v>1</v>
      </c>
      <c r="B155" s="1" t="s">
        <v>198</v>
      </c>
      <c r="C155" s="1" t="s">
        <v>67</v>
      </c>
      <c r="D155" s="1" t="s">
        <v>68</v>
      </c>
      <c r="E155" s="1" t="s">
        <v>18</v>
      </c>
      <c r="F155" s="1" t="s">
        <v>88</v>
      </c>
      <c r="G155" s="1" t="s">
        <v>70</v>
      </c>
      <c r="H155" s="1" t="s">
        <v>159</v>
      </c>
      <c r="I155" s="2">
        <v>104.036</v>
      </c>
      <c r="J155" s="2">
        <v>0.96399999999999997</v>
      </c>
      <c r="K155" s="2">
        <v>47.63</v>
      </c>
      <c r="L155" s="2">
        <v>75.963999999999999</v>
      </c>
      <c r="M155" s="2">
        <v>3.17533333333333</v>
      </c>
      <c r="N155" s="2">
        <v>3.5350850038792201</v>
      </c>
      <c r="O155" s="1" t="s">
        <v>68</v>
      </c>
      <c r="P155" s="1" t="s">
        <v>67</v>
      </c>
      <c r="Q155" s="2">
        <v>106.05255011637701</v>
      </c>
      <c r="R155" s="2">
        <v>1.32582191298497</v>
      </c>
      <c r="S155" s="2"/>
      <c r="T155" s="5">
        <f t="shared" si="48"/>
        <v>0.23380036849790065</v>
      </c>
      <c r="U155" s="5">
        <f t="shared" si="49"/>
        <v>0.93521836364040978</v>
      </c>
      <c r="V155" s="5">
        <f t="shared" si="50"/>
        <v>1.5876666666666668</v>
      </c>
      <c r="W155" s="5">
        <f t="shared" si="51"/>
        <v>1.8214670351645674</v>
      </c>
      <c r="X155" s="5">
        <f t="shared" si="52"/>
        <v>2.0475291323645299</v>
      </c>
      <c r="Y155" s="5">
        <f t="shared" si="53"/>
        <v>3.1753333333333336</v>
      </c>
      <c r="Z155" s="5">
        <f t="shared" si="54"/>
        <v>3.4091337018312342</v>
      </c>
      <c r="AA155" s="5">
        <f t="shared" si="55"/>
        <v>3.535085003879225</v>
      </c>
      <c r="AB155" s="5">
        <f t="shared" si="56"/>
        <v>61.425873970935896</v>
      </c>
      <c r="AC155" s="5">
        <f t="shared" si="57"/>
        <v>106.05255011637675</v>
      </c>
      <c r="AD155" s="7">
        <f t="shared" si="58"/>
        <v>55.381532671999999</v>
      </c>
      <c r="AE155" s="13">
        <f t="shared" si="47"/>
        <v>47.63</v>
      </c>
    </row>
    <row r="156" spans="1:31" ht="13" x14ac:dyDescent="0.15">
      <c r="A156" s="2">
        <v>1</v>
      </c>
      <c r="B156" s="1" t="s">
        <v>199</v>
      </c>
      <c r="C156" s="1" t="s">
        <v>67</v>
      </c>
      <c r="D156" s="1" t="s">
        <v>68</v>
      </c>
      <c r="E156" s="1" t="s">
        <v>18</v>
      </c>
      <c r="F156" s="1" t="s">
        <v>88</v>
      </c>
      <c r="G156" s="1" t="s">
        <v>70</v>
      </c>
      <c r="H156" s="1" t="s">
        <v>159</v>
      </c>
      <c r="I156" s="2">
        <v>142.125</v>
      </c>
      <c r="J156" s="2">
        <v>0.42899999999999999</v>
      </c>
      <c r="K156" s="2">
        <v>47.63</v>
      </c>
      <c r="L156" s="2">
        <v>37.875</v>
      </c>
      <c r="M156" s="2">
        <v>3.17533333333333</v>
      </c>
      <c r="N156" s="2">
        <v>3.5238220582490101</v>
      </c>
      <c r="O156" s="1" t="s">
        <v>68</v>
      </c>
      <c r="P156" s="1" t="s">
        <v>67</v>
      </c>
      <c r="Q156" s="2">
        <v>105.71466174747</v>
      </c>
      <c r="R156" s="2">
        <v>0.66104345419285004</v>
      </c>
      <c r="S156" s="2"/>
      <c r="T156" s="5">
        <f t="shared" si="48"/>
        <v>0.33863202610086141</v>
      </c>
      <c r="U156" s="5">
        <f t="shared" si="49"/>
        <v>0.2633806198239072</v>
      </c>
      <c r="V156" s="5">
        <f t="shared" si="50"/>
        <v>1.5876666666666668</v>
      </c>
      <c r="W156" s="5">
        <f t="shared" si="51"/>
        <v>1.9262986927675283</v>
      </c>
      <c r="X156" s="5">
        <f t="shared" si="52"/>
        <v>1.9442211820306643</v>
      </c>
      <c r="Y156" s="5">
        <f t="shared" si="53"/>
        <v>3.1753333333333336</v>
      </c>
      <c r="Z156" s="5">
        <f t="shared" si="54"/>
        <v>3.5139653594341951</v>
      </c>
      <c r="AA156" s="5">
        <f t="shared" si="55"/>
        <v>3.5238220582490141</v>
      </c>
      <c r="AB156" s="5">
        <f t="shared" si="56"/>
        <v>58.326635460919931</v>
      </c>
      <c r="AC156" s="5">
        <f t="shared" si="57"/>
        <v>105.71466174747042</v>
      </c>
      <c r="AD156" s="7">
        <f t="shared" si="58"/>
        <v>55.381532671999999</v>
      </c>
      <c r="AE156" s="13">
        <f t="shared" si="47"/>
        <v>47.63</v>
      </c>
    </row>
    <row r="157" spans="1:31" ht="13" x14ac:dyDescent="0.15">
      <c r="A157" s="2">
        <v>1</v>
      </c>
      <c r="B157" s="1" t="s">
        <v>200</v>
      </c>
      <c r="C157" s="1" t="s">
        <v>67</v>
      </c>
      <c r="D157" s="1" t="s">
        <v>68</v>
      </c>
      <c r="E157" s="1" t="s">
        <v>18</v>
      </c>
      <c r="F157" s="1" t="s">
        <v>88</v>
      </c>
      <c r="G157" s="1" t="s">
        <v>70</v>
      </c>
      <c r="H157" s="1" t="s">
        <v>159</v>
      </c>
      <c r="I157" s="2">
        <v>158.19900000000001</v>
      </c>
      <c r="J157" s="2">
        <v>0.432</v>
      </c>
      <c r="K157" s="2">
        <v>47.63</v>
      </c>
      <c r="L157" s="2">
        <v>21.800999999999998</v>
      </c>
      <c r="M157" s="2">
        <v>3.17533333333333</v>
      </c>
      <c r="N157" s="2">
        <v>3.5800332008850502</v>
      </c>
      <c r="O157" s="1" t="s">
        <v>68</v>
      </c>
      <c r="P157" s="1" t="s">
        <v>67</v>
      </c>
      <c r="Q157" s="2">
        <v>107.40099602655199</v>
      </c>
      <c r="R157" s="2">
        <v>0.38049923022727999</v>
      </c>
      <c r="S157" s="2"/>
      <c r="T157" s="5">
        <f t="shared" si="48"/>
        <v>0.40110307710394943</v>
      </c>
      <c r="U157" s="5">
        <f t="shared" si="49"/>
        <v>0.16043790555147247</v>
      </c>
      <c r="V157" s="5">
        <f t="shared" si="50"/>
        <v>1.5876666666666668</v>
      </c>
      <c r="W157" s="5">
        <f t="shared" si="51"/>
        <v>1.9887697437706162</v>
      </c>
      <c r="X157" s="5">
        <f t="shared" si="52"/>
        <v>1.9952306671849211</v>
      </c>
      <c r="Y157" s="5">
        <f t="shared" si="53"/>
        <v>3.1753333333333336</v>
      </c>
      <c r="Z157" s="5">
        <f t="shared" si="54"/>
        <v>3.576436410437283</v>
      </c>
      <c r="AA157" s="5">
        <f t="shared" si="55"/>
        <v>3.5800332008850506</v>
      </c>
      <c r="AB157" s="5">
        <f t="shared" si="56"/>
        <v>59.856920015547637</v>
      </c>
      <c r="AC157" s="5">
        <f t="shared" si="57"/>
        <v>107.40099602655152</v>
      </c>
      <c r="AD157" s="7">
        <f t="shared" si="58"/>
        <v>55.381532671999999</v>
      </c>
      <c r="AE157" s="13">
        <f t="shared" si="47"/>
        <v>47.63</v>
      </c>
    </row>
    <row r="158" spans="1:31" ht="13" x14ac:dyDescent="0.15">
      <c r="A158" s="2">
        <v>1</v>
      </c>
      <c r="B158" s="1" t="s">
        <v>201</v>
      </c>
      <c r="C158" s="1" t="s">
        <v>67</v>
      </c>
      <c r="D158" s="1" t="s">
        <v>68</v>
      </c>
      <c r="E158" s="1" t="s">
        <v>18</v>
      </c>
      <c r="F158" s="1" t="s">
        <v>95</v>
      </c>
      <c r="G158" s="1" t="s">
        <v>70</v>
      </c>
      <c r="H158" s="1" t="s">
        <v>159</v>
      </c>
      <c r="I158" s="2">
        <v>-158.749</v>
      </c>
      <c r="J158" s="2">
        <v>0.73099999999999998</v>
      </c>
      <c r="K158" s="2">
        <v>56.29</v>
      </c>
      <c r="L158" s="2">
        <v>21.251000000000001</v>
      </c>
      <c r="M158" s="2">
        <v>3.7526666666666699</v>
      </c>
      <c r="N158" s="2">
        <v>4.4418689913337897</v>
      </c>
      <c r="O158" s="1" t="s">
        <v>68</v>
      </c>
      <c r="P158" s="1" t="s">
        <v>67</v>
      </c>
      <c r="Q158" s="2">
        <v>133.256069740014</v>
      </c>
      <c r="R158" s="2">
        <v>0.37089991934131999</v>
      </c>
      <c r="S158" s="2"/>
      <c r="T158" s="5">
        <f t="shared" si="48"/>
        <v>0.68129312822813637</v>
      </c>
      <c r="U158" s="5">
        <f t="shared" si="49"/>
        <v>0.2649540968339989</v>
      </c>
      <c r="V158" s="5">
        <f t="shared" si="50"/>
        <v>1.8763333333333334</v>
      </c>
      <c r="W158" s="5">
        <f t="shared" si="51"/>
        <v>2.5576264615614699</v>
      </c>
      <c r="X158" s="5">
        <f t="shared" si="52"/>
        <v>2.5713136312609874</v>
      </c>
      <c r="Y158" s="5">
        <f t="shared" si="53"/>
        <v>3.7526666666666668</v>
      </c>
      <c r="Z158" s="5">
        <f t="shared" si="54"/>
        <v>4.4339597948948031</v>
      </c>
      <c r="AA158" s="5">
        <f t="shared" si="55"/>
        <v>4.4418689913337923</v>
      </c>
      <c r="AB158" s="5">
        <f t="shared" si="56"/>
        <v>77.139408937829629</v>
      </c>
      <c r="AC158" s="5">
        <f t="shared" si="57"/>
        <v>133.25606974001377</v>
      </c>
      <c r="AD158" s="7">
        <f t="shared" si="58"/>
        <v>70.423015316000004</v>
      </c>
      <c r="AE158" s="13">
        <f t="shared" si="47"/>
        <v>56.29</v>
      </c>
    </row>
    <row r="159" spans="1:31" s="10" customFormat="1" ht="13" x14ac:dyDescent="0.15">
      <c r="A159" s="8">
        <v>1</v>
      </c>
      <c r="B159" s="9" t="s">
        <v>202</v>
      </c>
      <c r="C159" s="9" t="s">
        <v>100</v>
      </c>
      <c r="D159" s="9" t="s">
        <v>68</v>
      </c>
      <c r="E159" s="9" t="s">
        <v>18</v>
      </c>
      <c r="F159" s="9" t="s">
        <v>69</v>
      </c>
      <c r="G159" s="9" t="s">
        <v>101</v>
      </c>
      <c r="H159" s="9" t="s">
        <v>159</v>
      </c>
      <c r="I159" s="8">
        <v>118.61</v>
      </c>
      <c r="J159" s="8">
        <v>0.48799999999999999</v>
      </c>
      <c r="K159" s="8">
        <v>12.99</v>
      </c>
      <c r="L159" s="8">
        <v>61.39</v>
      </c>
      <c r="M159" s="8">
        <v>0.86599999999999999</v>
      </c>
      <c r="N159" s="8">
        <v>1.18018114268489</v>
      </c>
      <c r="O159" s="9" t="s">
        <v>68</v>
      </c>
      <c r="P159" s="9" t="s">
        <v>100</v>
      </c>
      <c r="Q159" s="8">
        <v>35.4054342805467</v>
      </c>
      <c r="R159" s="8">
        <v>1.07145762779932</v>
      </c>
      <c r="S159" s="8"/>
      <c r="T159" s="8">
        <f t="shared" si="48"/>
        <v>0.23367640274192492</v>
      </c>
      <c r="U159" s="8">
        <f t="shared" si="49"/>
        <v>0.42841491430807321</v>
      </c>
      <c r="V159" s="8">
        <f t="shared" si="50"/>
        <v>0.433</v>
      </c>
      <c r="W159" s="8">
        <f t="shared" si="51"/>
        <v>0.66667640274192497</v>
      </c>
      <c r="X159" s="8">
        <f t="shared" si="52"/>
        <v>0.79246246900058748</v>
      </c>
      <c r="Y159" s="8">
        <f t="shared" si="53"/>
        <v>0.86599999999999999</v>
      </c>
      <c r="Z159" s="8">
        <f t="shared" si="54"/>
        <v>1.0996764027419248</v>
      </c>
      <c r="AA159" s="8">
        <f t="shared" si="55"/>
        <v>1.1801811426848905</v>
      </c>
      <c r="AB159" s="8">
        <f t="shared" si="56"/>
        <v>23.773874070017623</v>
      </c>
      <c r="AC159" s="8">
        <f t="shared" si="57"/>
        <v>35.405434280546714</v>
      </c>
      <c r="AD159" s="10">
        <f t="shared" si="58"/>
        <v>-4.7843979039999986</v>
      </c>
      <c r="AE159" s="10">
        <f t="shared" si="47"/>
        <v>12.99</v>
      </c>
    </row>
    <row r="160" spans="1:31" s="10" customFormat="1" ht="13" x14ac:dyDescent="0.15">
      <c r="A160" s="8">
        <v>1</v>
      </c>
      <c r="B160" s="9" t="s">
        <v>203</v>
      </c>
      <c r="C160" s="9" t="s">
        <v>100</v>
      </c>
      <c r="D160" s="9" t="s">
        <v>68</v>
      </c>
      <c r="E160" s="9" t="s">
        <v>18</v>
      </c>
      <c r="F160" s="9" t="s">
        <v>69</v>
      </c>
      <c r="G160" s="9" t="s">
        <v>101</v>
      </c>
      <c r="H160" s="9" t="s">
        <v>159</v>
      </c>
      <c r="I160" s="8">
        <v>153.435</v>
      </c>
      <c r="J160" s="8">
        <v>1.2330000000000001</v>
      </c>
      <c r="K160" s="8">
        <v>12.99</v>
      </c>
      <c r="L160" s="8">
        <v>26.565000000000001</v>
      </c>
      <c r="M160" s="8">
        <v>0.86599999999999999</v>
      </c>
      <c r="N160" s="8">
        <v>2.0445892515027899</v>
      </c>
      <c r="O160" s="9" t="s">
        <v>68</v>
      </c>
      <c r="P160" s="9" t="s">
        <v>100</v>
      </c>
      <c r="Q160" s="8">
        <v>61.3376775450838</v>
      </c>
      <c r="R160" s="8">
        <v>0.46364671579229</v>
      </c>
      <c r="S160" s="8"/>
      <c r="T160" s="8">
        <f t="shared" si="48"/>
        <v>1.1028292190304596</v>
      </c>
      <c r="U160" s="8">
        <f t="shared" si="49"/>
        <v>0.55141337819522196</v>
      </c>
      <c r="V160" s="8">
        <f t="shared" si="50"/>
        <v>0.433</v>
      </c>
      <c r="W160" s="8">
        <f t="shared" si="51"/>
        <v>1.5358292190304597</v>
      </c>
      <c r="X160" s="8">
        <f t="shared" si="52"/>
        <v>1.6318174235129304</v>
      </c>
      <c r="Y160" s="8">
        <f t="shared" si="53"/>
        <v>0.86599999999999999</v>
      </c>
      <c r="Z160" s="8">
        <f t="shared" si="54"/>
        <v>1.9688292190304595</v>
      </c>
      <c r="AA160" s="8">
        <f t="shared" si="55"/>
        <v>2.0445892515027944</v>
      </c>
      <c r="AB160" s="8">
        <f t="shared" si="56"/>
        <v>48.954522705387909</v>
      </c>
      <c r="AC160" s="8">
        <f t="shared" si="57"/>
        <v>61.337677545083828</v>
      </c>
      <c r="AD160" s="10">
        <f t="shared" si="58"/>
        <v>-4.7843979039999986</v>
      </c>
      <c r="AE160" s="10">
        <f t="shared" si="47"/>
        <v>12.99</v>
      </c>
    </row>
    <row r="161" spans="1:31" s="10" customFormat="1" ht="13" x14ac:dyDescent="0.15">
      <c r="A161" s="8">
        <v>1</v>
      </c>
      <c r="B161" s="9" t="s">
        <v>204</v>
      </c>
      <c r="C161" s="9" t="s">
        <v>100</v>
      </c>
      <c r="D161" s="9" t="s">
        <v>68</v>
      </c>
      <c r="E161" s="9" t="s">
        <v>18</v>
      </c>
      <c r="F161" s="9" t="s">
        <v>38</v>
      </c>
      <c r="G161" s="9" t="s">
        <v>101</v>
      </c>
      <c r="H161" s="9" t="s">
        <v>159</v>
      </c>
      <c r="I161" s="8">
        <v>158.749</v>
      </c>
      <c r="J161" s="8">
        <v>0.74</v>
      </c>
      <c r="K161" s="8">
        <v>21.65</v>
      </c>
      <c r="L161" s="8">
        <v>21.251000000000001</v>
      </c>
      <c r="M161" s="8">
        <v>1.44333333333333</v>
      </c>
      <c r="N161" s="8">
        <v>2.1498117765734701</v>
      </c>
      <c r="O161" s="9" t="s">
        <v>68</v>
      </c>
      <c r="P161" s="9" t="s">
        <v>100</v>
      </c>
      <c r="Q161" s="8">
        <v>64.494353297204</v>
      </c>
      <c r="R161" s="8">
        <v>0.37089991934131999</v>
      </c>
      <c r="S161" s="8"/>
      <c r="T161" s="8">
        <f t="shared" si="48"/>
        <v>0.68968114211877007</v>
      </c>
      <c r="U161" s="8">
        <f t="shared" si="49"/>
        <v>0.26821618557750915</v>
      </c>
      <c r="V161" s="8">
        <f t="shared" si="50"/>
        <v>0.72166666666666657</v>
      </c>
      <c r="W161" s="8">
        <f t="shared" si="51"/>
        <v>1.4113478087854365</v>
      </c>
      <c r="X161" s="8">
        <f t="shared" si="52"/>
        <v>1.4366080048395951</v>
      </c>
      <c r="Y161" s="8">
        <f t="shared" si="53"/>
        <v>1.4433333333333331</v>
      </c>
      <c r="Z161" s="8">
        <f t="shared" si="54"/>
        <v>2.1330144754521032</v>
      </c>
      <c r="AA161" s="8">
        <f t="shared" si="55"/>
        <v>2.1498117765734652</v>
      </c>
      <c r="AB161" s="8">
        <f t="shared" si="56"/>
        <v>43.098240145187852</v>
      </c>
      <c r="AC161" s="8">
        <f t="shared" si="57"/>
        <v>64.494353297203958</v>
      </c>
      <c r="AD161" s="10">
        <f t="shared" si="58"/>
        <v>10.257084740000003</v>
      </c>
      <c r="AE161" s="10">
        <f t="shared" si="47"/>
        <v>21.65</v>
      </c>
    </row>
    <row r="162" spans="1:31" s="10" customFormat="1" ht="13" x14ac:dyDescent="0.15">
      <c r="A162" s="8">
        <v>1</v>
      </c>
      <c r="B162" s="9" t="s">
        <v>205</v>
      </c>
      <c r="C162" s="9" t="s">
        <v>100</v>
      </c>
      <c r="D162" s="9" t="s">
        <v>68</v>
      </c>
      <c r="E162" s="9" t="s">
        <v>18</v>
      </c>
      <c r="F162" s="9" t="s">
        <v>79</v>
      </c>
      <c r="G162" s="9" t="s">
        <v>101</v>
      </c>
      <c r="H162" s="9" t="s">
        <v>159</v>
      </c>
      <c r="I162" s="8">
        <v>101.31</v>
      </c>
      <c r="J162" s="8">
        <v>1.202</v>
      </c>
      <c r="K162" s="8">
        <v>30.31</v>
      </c>
      <c r="L162" s="8">
        <v>78.69</v>
      </c>
      <c r="M162" s="8">
        <v>2.0206666666666702</v>
      </c>
      <c r="N162" s="8">
        <v>2.54569702477349</v>
      </c>
      <c r="O162" s="9" t="s">
        <v>68</v>
      </c>
      <c r="P162" s="9" t="s">
        <v>100</v>
      </c>
      <c r="Q162" s="8">
        <v>76.370910743204803</v>
      </c>
      <c r="R162" s="8">
        <v>1.37339958839434</v>
      </c>
      <c r="S162" s="8"/>
      <c r="T162" s="8">
        <f t="shared" si="48"/>
        <v>0.23573298354408562</v>
      </c>
      <c r="U162" s="8">
        <f t="shared" si="49"/>
        <v>1.1786576943580369</v>
      </c>
      <c r="V162" s="8">
        <f t="shared" si="50"/>
        <v>1.0103333333333333</v>
      </c>
      <c r="W162" s="8">
        <f t="shared" si="51"/>
        <v>1.2460663168774189</v>
      </c>
      <c r="X162" s="8">
        <f t="shared" si="52"/>
        <v>1.7152012204187179</v>
      </c>
      <c r="Y162" s="8">
        <f t="shared" si="53"/>
        <v>2.0206666666666666</v>
      </c>
      <c r="Z162" s="8">
        <f t="shared" si="54"/>
        <v>2.2563996502107524</v>
      </c>
      <c r="AA162" s="8">
        <f t="shared" si="55"/>
        <v>2.5456970247734918</v>
      </c>
      <c r="AB162" s="8">
        <f t="shared" si="56"/>
        <v>51.45603661256154</v>
      </c>
      <c r="AC162" s="8">
        <f t="shared" si="57"/>
        <v>76.37091074320476</v>
      </c>
      <c r="AD162" s="10">
        <f t="shared" si="58"/>
        <v>25.298567384000002</v>
      </c>
      <c r="AE162" s="10">
        <f t="shared" si="47"/>
        <v>30.31</v>
      </c>
    </row>
    <row r="163" spans="1:31" s="10" customFormat="1" ht="13" x14ac:dyDescent="0.15">
      <c r="A163" s="8">
        <v>1</v>
      </c>
      <c r="B163" s="9" t="s">
        <v>206</v>
      </c>
      <c r="C163" s="9" t="s">
        <v>100</v>
      </c>
      <c r="D163" s="9" t="s">
        <v>68</v>
      </c>
      <c r="E163" s="9" t="s">
        <v>18</v>
      </c>
      <c r="F163" s="9" t="s">
        <v>79</v>
      </c>
      <c r="G163" s="9" t="s">
        <v>101</v>
      </c>
      <c r="H163" s="9" t="s">
        <v>159</v>
      </c>
      <c r="I163" s="8">
        <v>-165.964</v>
      </c>
      <c r="J163" s="8">
        <v>0.65700000000000003</v>
      </c>
      <c r="K163" s="8">
        <v>30.31</v>
      </c>
      <c r="L163" s="8">
        <v>14.036</v>
      </c>
      <c r="M163" s="8">
        <v>2.0206666666666702</v>
      </c>
      <c r="N163" s="8">
        <v>2.66282278687537</v>
      </c>
      <c r="O163" s="9" t="s">
        <v>68</v>
      </c>
      <c r="P163" s="9" t="s">
        <v>100</v>
      </c>
      <c r="Q163" s="8">
        <v>79.884683606261007</v>
      </c>
      <c r="R163" s="8">
        <v>0.24497441380991999</v>
      </c>
      <c r="S163" s="8"/>
      <c r="T163" s="8">
        <f t="shared" si="48"/>
        <v>0.63738429970098476</v>
      </c>
      <c r="U163" s="8">
        <f t="shared" si="49"/>
        <v>0.15934319720240736</v>
      </c>
      <c r="V163" s="8">
        <f t="shared" si="50"/>
        <v>1.0103333333333333</v>
      </c>
      <c r="W163" s="8">
        <f t="shared" si="51"/>
        <v>1.647717633034318</v>
      </c>
      <c r="X163" s="8">
        <f t="shared" si="52"/>
        <v>1.6554043773975289</v>
      </c>
      <c r="Y163" s="8">
        <f t="shared" si="53"/>
        <v>2.0206666666666666</v>
      </c>
      <c r="Z163" s="8">
        <f t="shared" si="54"/>
        <v>2.6580509663676515</v>
      </c>
      <c r="AA163" s="8">
        <f t="shared" si="55"/>
        <v>2.662822786875366</v>
      </c>
      <c r="AB163" s="8">
        <f t="shared" si="56"/>
        <v>49.66213132192587</v>
      </c>
      <c r="AC163" s="8">
        <f t="shared" si="57"/>
        <v>79.884683606260978</v>
      </c>
      <c r="AD163" s="10">
        <f t="shared" si="58"/>
        <v>25.298567384000002</v>
      </c>
      <c r="AE163" s="10">
        <f t="shared" si="47"/>
        <v>30.31</v>
      </c>
    </row>
    <row r="164" spans="1:31" s="10" customFormat="1" ht="13" x14ac:dyDescent="0.15">
      <c r="A164" s="8">
        <v>1</v>
      </c>
      <c r="B164" s="9" t="s">
        <v>207</v>
      </c>
      <c r="C164" s="9" t="s">
        <v>100</v>
      </c>
      <c r="D164" s="9" t="s">
        <v>68</v>
      </c>
      <c r="E164" s="9" t="s">
        <v>18</v>
      </c>
      <c r="F164" s="9" t="s">
        <v>19</v>
      </c>
      <c r="G164" s="9" t="s">
        <v>101</v>
      </c>
      <c r="H164" s="9" t="s">
        <v>159</v>
      </c>
      <c r="I164" s="8">
        <v>-150.255</v>
      </c>
      <c r="J164" s="8">
        <v>0.96299999999999997</v>
      </c>
      <c r="K164" s="8">
        <v>38.97</v>
      </c>
      <c r="L164" s="8">
        <v>29.745000000000001</v>
      </c>
      <c r="M164" s="8">
        <v>2.5979999999999999</v>
      </c>
      <c r="N164" s="8">
        <v>3.4671945060315199</v>
      </c>
      <c r="O164" s="9" t="s">
        <v>68</v>
      </c>
      <c r="P164" s="9" t="s">
        <v>100</v>
      </c>
      <c r="Q164" s="8">
        <v>104.015835180946</v>
      </c>
      <c r="R164" s="8">
        <v>0.51914818600571</v>
      </c>
      <c r="S164" s="8"/>
      <c r="T164" s="8">
        <f t="shared" si="48"/>
        <v>0.83611715601522962</v>
      </c>
      <c r="U164" s="8">
        <f t="shared" si="49"/>
        <v>0.47778352987205858</v>
      </c>
      <c r="V164" s="8">
        <f t="shared" si="50"/>
        <v>1.2989999999999999</v>
      </c>
      <c r="W164" s="8">
        <f t="shared" si="51"/>
        <v>2.1351171560152293</v>
      </c>
      <c r="X164" s="8">
        <f t="shared" si="52"/>
        <v>2.1879219298977661</v>
      </c>
      <c r="Y164" s="8">
        <f t="shared" si="53"/>
        <v>2.5979999999999999</v>
      </c>
      <c r="Z164" s="8">
        <f t="shared" si="54"/>
        <v>3.4341171560152297</v>
      </c>
      <c r="AA164" s="8">
        <f t="shared" si="55"/>
        <v>3.4671945060315168</v>
      </c>
      <c r="AB164" s="8">
        <f t="shared" si="56"/>
        <v>65.637657896932978</v>
      </c>
      <c r="AC164" s="8">
        <f t="shared" si="57"/>
        <v>104.0158351809455</v>
      </c>
      <c r="AD164" s="10">
        <f t="shared" si="58"/>
        <v>40.340050028</v>
      </c>
      <c r="AE164" s="10">
        <f t="shared" si="47"/>
        <v>38.97</v>
      </c>
    </row>
    <row r="165" spans="1:31" s="10" customFormat="1" ht="13" x14ac:dyDescent="0.15">
      <c r="A165" s="8">
        <v>1</v>
      </c>
      <c r="B165" s="9" t="s">
        <v>208</v>
      </c>
      <c r="C165" s="9" t="s">
        <v>100</v>
      </c>
      <c r="D165" s="9" t="s">
        <v>68</v>
      </c>
      <c r="E165" s="9" t="s">
        <v>18</v>
      </c>
      <c r="F165" s="9" t="s">
        <v>19</v>
      </c>
      <c r="G165" s="9" t="s">
        <v>101</v>
      </c>
      <c r="H165" s="9" t="s">
        <v>159</v>
      </c>
      <c r="I165" s="8">
        <v>-152.35400000000001</v>
      </c>
      <c r="J165" s="8">
        <v>0.93700000000000006</v>
      </c>
      <c r="K165" s="8">
        <v>38.97</v>
      </c>
      <c r="L165" s="8">
        <v>27.646000000000001</v>
      </c>
      <c r="M165" s="8">
        <v>2.5979999999999999</v>
      </c>
      <c r="N165" s="8">
        <v>3.4554851330215199</v>
      </c>
      <c r="O165" s="9" t="s">
        <v>68</v>
      </c>
      <c r="P165" s="9" t="s">
        <v>100</v>
      </c>
      <c r="Q165" s="8">
        <v>103.664553990646</v>
      </c>
      <c r="R165" s="8">
        <v>0.48251372500634998</v>
      </c>
      <c r="S165" s="8"/>
      <c r="T165" s="8">
        <f t="shared" si="48"/>
        <v>0.83002396161138114</v>
      </c>
      <c r="U165" s="8">
        <f t="shared" si="49"/>
        <v>0.43477491090327242</v>
      </c>
      <c r="V165" s="8">
        <f t="shared" si="50"/>
        <v>1.2989999999999999</v>
      </c>
      <c r="W165" s="8">
        <f t="shared" si="51"/>
        <v>2.1290239616113809</v>
      </c>
      <c r="X165" s="8">
        <f t="shared" si="52"/>
        <v>2.1729639325737478</v>
      </c>
      <c r="Y165" s="8">
        <f t="shared" si="53"/>
        <v>2.5979999999999999</v>
      </c>
      <c r="Z165" s="8">
        <f t="shared" si="54"/>
        <v>3.4280239616113812</v>
      </c>
      <c r="AA165" s="8">
        <f t="shared" si="55"/>
        <v>3.4554851330215177</v>
      </c>
      <c r="AB165" s="8">
        <f t="shared" si="56"/>
        <v>65.188917977212427</v>
      </c>
      <c r="AC165" s="8">
        <f t="shared" si="57"/>
        <v>103.66455399064553</v>
      </c>
      <c r="AD165" s="10">
        <f t="shared" si="58"/>
        <v>40.340050028</v>
      </c>
      <c r="AE165" s="10">
        <f t="shared" si="47"/>
        <v>38.97</v>
      </c>
    </row>
    <row r="166" spans="1:31" s="10" customFormat="1" ht="13" x14ac:dyDescent="0.15">
      <c r="A166" s="8">
        <v>1</v>
      </c>
      <c r="B166" s="9" t="s">
        <v>209</v>
      </c>
      <c r="C166" s="9" t="s">
        <v>100</v>
      </c>
      <c r="D166" s="9" t="s">
        <v>68</v>
      </c>
      <c r="E166" s="9" t="s">
        <v>18</v>
      </c>
      <c r="F166" s="9" t="s">
        <v>19</v>
      </c>
      <c r="G166" s="9" t="s">
        <v>101</v>
      </c>
      <c r="H166" s="9" t="s">
        <v>159</v>
      </c>
      <c r="I166" s="8">
        <v>-143.61600000000001</v>
      </c>
      <c r="J166" s="8">
        <v>1.86</v>
      </c>
      <c r="K166" s="8">
        <v>38.97</v>
      </c>
      <c r="L166" s="8">
        <v>36.384</v>
      </c>
      <c r="M166" s="8">
        <v>2.5979999999999999</v>
      </c>
      <c r="N166" s="8">
        <v>4.2414324992800001</v>
      </c>
      <c r="O166" s="9" t="s">
        <v>68</v>
      </c>
      <c r="P166" s="9" t="s">
        <v>100</v>
      </c>
      <c r="Q166" s="8">
        <v>127.2429749784</v>
      </c>
      <c r="R166" s="8">
        <v>0.63502059504562003</v>
      </c>
      <c r="S166" s="8"/>
      <c r="T166" s="8">
        <f t="shared" si="48"/>
        <v>1.4974106323996512</v>
      </c>
      <c r="U166" s="8">
        <f t="shared" si="49"/>
        <v>1.1033410161760855</v>
      </c>
      <c r="V166" s="8">
        <f t="shared" si="50"/>
        <v>1.2989999999999999</v>
      </c>
      <c r="W166" s="8">
        <f t="shared" si="51"/>
        <v>2.7964106323996512</v>
      </c>
      <c r="X166" s="8">
        <f t="shared" si="52"/>
        <v>3.0062058849942885</v>
      </c>
      <c r="Y166" s="8">
        <f t="shared" si="53"/>
        <v>2.5979999999999999</v>
      </c>
      <c r="Z166" s="8">
        <f t="shared" si="54"/>
        <v>4.0954106323996511</v>
      </c>
      <c r="AA166" s="8">
        <f t="shared" si="55"/>
        <v>4.2414324992800001</v>
      </c>
      <c r="AB166" s="8">
        <f t="shared" si="56"/>
        <v>90.186176549828659</v>
      </c>
      <c r="AC166" s="8">
        <f t="shared" si="57"/>
        <v>127.2429749784</v>
      </c>
      <c r="AD166" s="10">
        <f t="shared" si="58"/>
        <v>40.340050028</v>
      </c>
      <c r="AE166" s="10">
        <f t="shared" si="47"/>
        <v>38.97</v>
      </c>
    </row>
    <row r="167" spans="1:31" s="10" customFormat="1" ht="13" x14ac:dyDescent="0.15">
      <c r="A167" s="8">
        <v>1</v>
      </c>
      <c r="B167" s="9" t="s">
        <v>210</v>
      </c>
      <c r="C167" s="9" t="s">
        <v>100</v>
      </c>
      <c r="D167" s="9" t="s">
        <v>68</v>
      </c>
      <c r="E167" s="9" t="s">
        <v>18</v>
      </c>
      <c r="F167" s="9" t="s">
        <v>88</v>
      </c>
      <c r="G167" s="9" t="s">
        <v>101</v>
      </c>
      <c r="H167" s="9" t="s">
        <v>159</v>
      </c>
      <c r="I167" s="8">
        <v>-167.196</v>
      </c>
      <c r="J167" s="8">
        <v>0.875</v>
      </c>
      <c r="K167" s="8">
        <v>47.63</v>
      </c>
      <c r="L167" s="8">
        <v>12.804</v>
      </c>
      <c r="M167" s="8">
        <v>3.17533333333333</v>
      </c>
      <c r="N167" s="8">
        <v>4.0332397962430599</v>
      </c>
      <c r="O167" s="9" t="s">
        <v>68</v>
      </c>
      <c r="P167" s="9" t="s">
        <v>100</v>
      </c>
      <c r="Q167" s="8">
        <v>120.997193887292</v>
      </c>
      <c r="R167" s="8">
        <v>0.22347195742535</v>
      </c>
      <c r="S167" s="8"/>
      <c r="T167" s="8">
        <f t="shared" si="48"/>
        <v>0.85324214931046938</v>
      </c>
      <c r="U167" s="8">
        <f t="shared" si="49"/>
        <v>0.19391450342883243</v>
      </c>
      <c r="V167" s="8">
        <f t="shared" si="50"/>
        <v>1.5876666666666668</v>
      </c>
      <c r="W167" s="8">
        <f t="shared" si="51"/>
        <v>2.4409088159771359</v>
      </c>
      <c r="X167" s="8">
        <f t="shared" si="52"/>
        <v>2.4485993307511449</v>
      </c>
      <c r="Y167" s="8">
        <f t="shared" si="53"/>
        <v>3.1753333333333336</v>
      </c>
      <c r="Z167" s="8">
        <f t="shared" si="54"/>
        <v>4.0285754826438032</v>
      </c>
      <c r="AA167" s="8">
        <f t="shared" si="55"/>
        <v>4.0332397962430653</v>
      </c>
      <c r="AB167" s="8">
        <f t="shared" si="56"/>
        <v>73.457979922534349</v>
      </c>
      <c r="AC167" s="8">
        <f t="shared" si="57"/>
        <v>120.99719388729196</v>
      </c>
      <c r="AD167" s="10">
        <f t="shared" si="58"/>
        <v>55.381532671999999</v>
      </c>
      <c r="AE167" s="10">
        <f t="shared" si="47"/>
        <v>47.63</v>
      </c>
    </row>
    <row r="168" spans="1:31" s="10" customFormat="1" ht="13" x14ac:dyDescent="0.15">
      <c r="A168" s="8">
        <v>1</v>
      </c>
      <c r="B168" s="9" t="s">
        <v>211</v>
      </c>
      <c r="C168" s="9" t="s">
        <v>100</v>
      </c>
      <c r="D168" s="9" t="s">
        <v>68</v>
      </c>
      <c r="E168" s="9" t="s">
        <v>18</v>
      </c>
      <c r="F168" s="9" t="s">
        <v>95</v>
      </c>
      <c r="G168" s="9" t="s">
        <v>101</v>
      </c>
      <c r="H168" s="9" t="s">
        <v>159</v>
      </c>
      <c r="I168" s="8">
        <v>-137.291</v>
      </c>
      <c r="J168" s="8">
        <v>0.68899999999999995</v>
      </c>
      <c r="K168" s="8">
        <v>56.29</v>
      </c>
      <c r="L168" s="8">
        <v>42.709000000000003</v>
      </c>
      <c r="M168" s="8">
        <v>3.7526666666666699</v>
      </c>
      <c r="N168" s="8">
        <v>4.28451268420089</v>
      </c>
      <c r="O168" s="9" t="s">
        <v>68</v>
      </c>
      <c r="P168" s="9" t="s">
        <v>100</v>
      </c>
      <c r="Q168" s="8">
        <v>128.53538052602701</v>
      </c>
      <c r="R168" s="8">
        <v>0.74541267023426006</v>
      </c>
      <c r="S168" s="8"/>
      <c r="T168" s="8">
        <f t="shared" si="48"/>
        <v>0.50628275403720713</v>
      </c>
      <c r="U168" s="8">
        <f t="shared" si="49"/>
        <v>0.46733154501328156</v>
      </c>
      <c r="V168" s="8">
        <f t="shared" si="50"/>
        <v>1.8763333333333334</v>
      </c>
      <c r="W168" s="8">
        <f t="shared" si="51"/>
        <v>2.3826160873705406</v>
      </c>
      <c r="X168" s="8">
        <f t="shared" si="52"/>
        <v>2.4280152785271771</v>
      </c>
      <c r="Y168" s="8">
        <f t="shared" si="53"/>
        <v>3.7526666666666668</v>
      </c>
      <c r="Z168" s="8">
        <f t="shared" si="54"/>
        <v>4.2589494207038738</v>
      </c>
      <c r="AA168" s="8">
        <f t="shared" si="55"/>
        <v>4.2845126842008954</v>
      </c>
      <c r="AB168" s="8">
        <f t="shared" si="56"/>
        <v>72.840458355815315</v>
      </c>
      <c r="AC168" s="8">
        <f t="shared" si="57"/>
        <v>128.53538052602687</v>
      </c>
      <c r="AD168" s="10">
        <f t="shared" si="58"/>
        <v>70.423015316000004</v>
      </c>
      <c r="AE168" s="10">
        <f t="shared" si="47"/>
        <v>56.29</v>
      </c>
    </row>
    <row r="169" spans="1:31" s="10" customFormat="1" ht="13" x14ac:dyDescent="0.15">
      <c r="A169" s="8">
        <v>1</v>
      </c>
      <c r="B169" s="9" t="s">
        <v>212</v>
      </c>
      <c r="C169" s="9" t="s">
        <v>100</v>
      </c>
      <c r="D169" s="9" t="s">
        <v>68</v>
      </c>
      <c r="E169" s="9" t="s">
        <v>18</v>
      </c>
      <c r="F169" s="9" t="s">
        <v>95</v>
      </c>
      <c r="G169" s="9" t="s">
        <v>101</v>
      </c>
      <c r="H169" s="9" t="s">
        <v>159</v>
      </c>
      <c r="I169" s="8">
        <v>176.42400000000001</v>
      </c>
      <c r="J169" s="8">
        <v>1.2490000000000001</v>
      </c>
      <c r="K169" s="8">
        <v>56.29</v>
      </c>
      <c r="L169" s="8">
        <v>3.5759999999999899</v>
      </c>
      <c r="M169" s="8">
        <v>3.7526666666666699</v>
      </c>
      <c r="N169" s="8">
        <v>4.9998417388287404</v>
      </c>
      <c r="O169" s="9" t="s">
        <v>68</v>
      </c>
      <c r="P169" s="9" t="s">
        <v>100</v>
      </c>
      <c r="Q169" s="8">
        <v>149.99525216486199</v>
      </c>
      <c r="R169" s="8">
        <v>6.2412974051317002E-2</v>
      </c>
      <c r="S169" s="8"/>
      <c r="T169" s="8">
        <f t="shared" si="48"/>
        <v>1.2465681251851448</v>
      </c>
      <c r="U169" s="8">
        <f t="shared" si="49"/>
        <v>7.7903204506578214E-2</v>
      </c>
      <c r="V169" s="8">
        <f t="shared" si="50"/>
        <v>1.8763333333333334</v>
      </c>
      <c r="W169" s="8">
        <f t="shared" si="51"/>
        <v>3.122901458518478</v>
      </c>
      <c r="X169" s="8">
        <f t="shared" si="52"/>
        <v>3.1238729853963703</v>
      </c>
      <c r="Y169" s="8">
        <f t="shared" si="53"/>
        <v>3.7526666666666668</v>
      </c>
      <c r="Z169" s="8">
        <f t="shared" si="54"/>
        <v>4.9992347918518121</v>
      </c>
      <c r="AA169" s="8">
        <f t="shared" si="55"/>
        <v>4.9998417388287431</v>
      </c>
      <c r="AB169" s="8">
        <f t="shared" si="56"/>
        <v>93.716189561891113</v>
      </c>
      <c r="AC169" s="8">
        <f t="shared" si="57"/>
        <v>149.99525216486228</v>
      </c>
      <c r="AD169" s="10">
        <f t="shared" si="58"/>
        <v>70.423015316000004</v>
      </c>
      <c r="AE169" s="10">
        <f t="shared" si="47"/>
        <v>56.29</v>
      </c>
    </row>
    <row r="170" spans="1:31" s="10" customFormat="1" ht="13" x14ac:dyDescent="0.15">
      <c r="A170" s="8">
        <v>1</v>
      </c>
      <c r="B170" s="9" t="s">
        <v>213</v>
      </c>
      <c r="C170" s="9" t="s">
        <v>100</v>
      </c>
      <c r="D170" s="9" t="s">
        <v>68</v>
      </c>
      <c r="E170" s="9" t="s">
        <v>18</v>
      </c>
      <c r="F170" s="9" t="s">
        <v>95</v>
      </c>
      <c r="G170" s="9" t="s">
        <v>101</v>
      </c>
      <c r="H170" s="9" t="s">
        <v>159</v>
      </c>
      <c r="I170" s="8">
        <v>158.62899999999999</v>
      </c>
      <c r="J170" s="8">
        <v>0.95</v>
      </c>
      <c r="K170" s="8">
        <v>56.29</v>
      </c>
      <c r="L170" s="8">
        <v>21.370999999999999</v>
      </c>
      <c r="M170" s="8">
        <v>3.7526666666666699</v>
      </c>
      <c r="N170" s="8">
        <v>4.6502487120765004</v>
      </c>
      <c r="O170" s="9" t="s">
        <v>68</v>
      </c>
      <c r="P170" s="9" t="s">
        <v>100</v>
      </c>
      <c r="Q170" s="8">
        <v>139.507461362295</v>
      </c>
      <c r="R170" s="8">
        <v>0.37299431444371001</v>
      </c>
      <c r="S170" s="8"/>
      <c r="T170" s="8">
        <f t="shared" si="48"/>
        <v>0.88467835846394238</v>
      </c>
      <c r="U170" s="8">
        <f t="shared" si="49"/>
        <v>0.34618521352816933</v>
      </c>
      <c r="V170" s="8">
        <f t="shared" si="50"/>
        <v>1.8763333333333334</v>
      </c>
      <c r="W170" s="8">
        <f t="shared" si="51"/>
        <v>2.7610116917972758</v>
      </c>
      <c r="X170" s="8">
        <f t="shared" si="52"/>
        <v>2.782630008518344</v>
      </c>
      <c r="Y170" s="8">
        <f t="shared" si="53"/>
        <v>3.7526666666666668</v>
      </c>
      <c r="Z170" s="8">
        <f t="shared" si="54"/>
        <v>4.6373450251306094</v>
      </c>
      <c r="AA170" s="8">
        <f t="shared" si="55"/>
        <v>4.6502487120765013</v>
      </c>
      <c r="AB170" s="8">
        <f t="shared" si="56"/>
        <v>83.478900255550315</v>
      </c>
      <c r="AC170" s="8">
        <f t="shared" si="57"/>
        <v>139.50746136229503</v>
      </c>
      <c r="AD170" s="10">
        <f t="shared" si="58"/>
        <v>70.423015316000004</v>
      </c>
      <c r="AE170" s="10">
        <f t="shared" si="47"/>
        <v>56.29</v>
      </c>
    </row>
    <row r="171" spans="1:31" s="10" customFormat="1" ht="13" x14ac:dyDescent="0.15">
      <c r="A171" s="8">
        <v>1</v>
      </c>
      <c r="B171" s="9" t="s">
        <v>214</v>
      </c>
      <c r="C171" s="9" t="s">
        <v>100</v>
      </c>
      <c r="D171" s="9" t="s">
        <v>68</v>
      </c>
      <c r="E171" s="9" t="s">
        <v>18</v>
      </c>
      <c r="F171" s="9" t="s">
        <v>95</v>
      </c>
      <c r="G171" s="9" t="s">
        <v>101</v>
      </c>
      <c r="H171" s="9" t="s">
        <v>159</v>
      </c>
      <c r="I171" s="8">
        <v>160.017</v>
      </c>
      <c r="J171" s="8">
        <v>0.45600000000000002</v>
      </c>
      <c r="K171" s="8">
        <v>56.29</v>
      </c>
      <c r="L171" s="8">
        <v>19.983000000000001</v>
      </c>
      <c r="M171" s="8">
        <v>3.7526666666666699</v>
      </c>
      <c r="N171" s="8">
        <v>4.1841157215711497</v>
      </c>
      <c r="O171" s="9" t="s">
        <v>68</v>
      </c>
      <c r="P171" s="9" t="s">
        <v>100</v>
      </c>
      <c r="Q171" s="8">
        <v>125.523471647134</v>
      </c>
      <c r="R171" s="8">
        <v>0.34876914442603002</v>
      </c>
      <c r="S171" s="8"/>
      <c r="T171" s="8">
        <f t="shared" si="48"/>
        <v>0.42854609083155143</v>
      </c>
      <c r="U171" s="8">
        <f t="shared" si="49"/>
        <v>0.15583404003296475</v>
      </c>
      <c r="V171" s="8">
        <f t="shared" si="50"/>
        <v>1.8763333333333334</v>
      </c>
      <c r="W171" s="8">
        <f t="shared" si="51"/>
        <v>2.3048794241648847</v>
      </c>
      <c r="X171" s="8">
        <f t="shared" si="52"/>
        <v>2.3101414259676063</v>
      </c>
      <c r="Y171" s="8">
        <f t="shared" si="53"/>
        <v>3.7526666666666668</v>
      </c>
      <c r="Z171" s="8">
        <f t="shared" si="54"/>
        <v>4.1812127574982183</v>
      </c>
      <c r="AA171" s="8">
        <f t="shared" si="55"/>
        <v>4.184115721571148</v>
      </c>
      <c r="AB171" s="8">
        <f t="shared" si="56"/>
        <v>69.304242779028186</v>
      </c>
      <c r="AC171" s="8">
        <f t="shared" si="57"/>
        <v>125.52347164713444</v>
      </c>
      <c r="AD171" s="10">
        <f t="shared" si="58"/>
        <v>70.423015316000004</v>
      </c>
      <c r="AE171" s="10">
        <f t="shared" si="47"/>
        <v>56.29</v>
      </c>
    </row>
    <row r="172" spans="1:31" s="10" customFormat="1" ht="13" x14ac:dyDescent="0.15">
      <c r="A172" s="8">
        <v>1</v>
      </c>
      <c r="B172" s="9" t="s">
        <v>215</v>
      </c>
      <c r="C172" s="9" t="s">
        <v>100</v>
      </c>
      <c r="D172" s="9" t="s">
        <v>68</v>
      </c>
      <c r="E172" s="9" t="s">
        <v>18</v>
      </c>
      <c r="F172" s="9" t="s">
        <v>23</v>
      </c>
      <c r="G172" s="9" t="s">
        <v>101</v>
      </c>
      <c r="H172" s="9" t="s">
        <v>159</v>
      </c>
      <c r="I172" s="8">
        <v>160.346</v>
      </c>
      <c r="J172" s="8">
        <v>0.56999999999999995</v>
      </c>
      <c r="K172" s="8">
        <v>64.95</v>
      </c>
      <c r="L172" s="8">
        <v>19.654</v>
      </c>
      <c r="M172" s="8">
        <v>4.33</v>
      </c>
      <c r="N172" s="8">
        <v>4.8705668382472203</v>
      </c>
      <c r="O172" s="9" t="s">
        <v>68</v>
      </c>
      <c r="P172" s="9" t="s">
        <v>100</v>
      </c>
      <c r="Q172" s="8">
        <v>146.11700514741699</v>
      </c>
      <c r="R172" s="8">
        <v>0.34302701118696999</v>
      </c>
      <c r="S172" s="8"/>
      <c r="T172" s="8">
        <f t="shared" si="48"/>
        <v>0.53679230090456387</v>
      </c>
      <c r="U172" s="8">
        <f t="shared" si="49"/>
        <v>0.19171339465354031</v>
      </c>
      <c r="V172" s="8">
        <f t="shared" si="50"/>
        <v>2.165</v>
      </c>
      <c r="W172" s="8">
        <f t="shared" si="51"/>
        <v>2.7017923009045637</v>
      </c>
      <c r="X172" s="8">
        <f t="shared" si="52"/>
        <v>2.7085855465384068</v>
      </c>
      <c r="Y172" s="8">
        <f t="shared" si="53"/>
        <v>4.33</v>
      </c>
      <c r="Z172" s="8">
        <f t="shared" si="54"/>
        <v>4.8667923009045637</v>
      </c>
      <c r="AA172" s="8">
        <f t="shared" si="55"/>
        <v>4.8705668382472203</v>
      </c>
      <c r="AB172" s="8">
        <f t="shared" si="56"/>
        <v>81.2575663961522</v>
      </c>
      <c r="AC172" s="8">
        <f t="shared" si="57"/>
        <v>146.11700514741662</v>
      </c>
      <c r="AD172" s="10">
        <f t="shared" si="58"/>
        <v>85.464497959999989</v>
      </c>
      <c r="AE172" s="10">
        <f t="shared" si="47"/>
        <v>64.95</v>
      </c>
    </row>
    <row r="173" spans="1:31" s="10" customFormat="1" ht="13" x14ac:dyDescent="0.15">
      <c r="A173" s="8">
        <v>1</v>
      </c>
      <c r="B173" s="9" t="s">
        <v>216</v>
      </c>
      <c r="C173" s="9" t="s">
        <v>100</v>
      </c>
      <c r="D173" s="9" t="s">
        <v>68</v>
      </c>
      <c r="E173" s="9" t="s">
        <v>18</v>
      </c>
      <c r="F173" s="9" t="s">
        <v>23</v>
      </c>
      <c r="G173" s="9" t="s">
        <v>101</v>
      </c>
      <c r="H173" s="9" t="s">
        <v>159</v>
      </c>
      <c r="I173" s="8">
        <v>165.964</v>
      </c>
      <c r="J173" s="8">
        <v>0.48199999999999998</v>
      </c>
      <c r="K173" s="8">
        <v>64.95</v>
      </c>
      <c r="L173" s="8">
        <v>14.036</v>
      </c>
      <c r="M173" s="8">
        <v>4.33</v>
      </c>
      <c r="N173" s="8">
        <v>4.7990331853992201</v>
      </c>
      <c r="O173" s="9" t="s">
        <v>68</v>
      </c>
      <c r="P173" s="9" t="s">
        <v>100</v>
      </c>
      <c r="Q173" s="8">
        <v>143.97099556197699</v>
      </c>
      <c r="R173" s="8">
        <v>0.24497441380991999</v>
      </c>
      <c r="S173" s="8"/>
      <c r="T173" s="8">
        <f t="shared" si="48"/>
        <v>0.46760918182020494</v>
      </c>
      <c r="U173" s="8">
        <f t="shared" si="49"/>
        <v>0.11690018424895028</v>
      </c>
      <c r="V173" s="8">
        <f t="shared" si="50"/>
        <v>2.165</v>
      </c>
      <c r="W173" s="8">
        <f t="shared" si="51"/>
        <v>2.6326091818202051</v>
      </c>
      <c r="X173" s="8">
        <f t="shared" si="52"/>
        <v>2.6352033616556976</v>
      </c>
      <c r="Y173" s="8">
        <f t="shared" si="53"/>
        <v>4.33</v>
      </c>
      <c r="Z173" s="8">
        <f t="shared" si="54"/>
        <v>4.7976091818202047</v>
      </c>
      <c r="AA173" s="8">
        <f t="shared" si="55"/>
        <v>4.7990331853992183</v>
      </c>
      <c r="AB173" s="8">
        <f t="shared" si="56"/>
        <v>79.056100849670926</v>
      </c>
      <c r="AC173" s="8">
        <f t="shared" si="57"/>
        <v>143.97099556197654</v>
      </c>
      <c r="AD173" s="10">
        <f t="shared" si="58"/>
        <v>85.464497959999989</v>
      </c>
      <c r="AE173" s="10">
        <f t="shared" si="47"/>
        <v>64.95</v>
      </c>
    </row>
    <row r="174" spans="1:31" s="10" customFormat="1" ht="13" x14ac:dyDescent="0.15">
      <c r="A174" s="8">
        <v>1</v>
      </c>
      <c r="B174" s="9" t="s">
        <v>217</v>
      </c>
      <c r="C174" s="9" t="s">
        <v>100</v>
      </c>
      <c r="D174" s="9" t="s">
        <v>68</v>
      </c>
      <c r="E174" s="9" t="s">
        <v>18</v>
      </c>
      <c r="F174" s="9" t="s">
        <v>23</v>
      </c>
      <c r="G174" s="9" t="s">
        <v>101</v>
      </c>
      <c r="H174" s="9" t="s">
        <v>159</v>
      </c>
      <c r="I174" s="8">
        <v>146.31</v>
      </c>
      <c r="J174" s="8">
        <v>0.68700000000000006</v>
      </c>
      <c r="K174" s="8">
        <v>64.95</v>
      </c>
      <c r="L174" s="8">
        <v>33.69</v>
      </c>
      <c r="M174" s="8">
        <v>4.33</v>
      </c>
      <c r="N174" s="8">
        <v>4.91641023019067</v>
      </c>
      <c r="O174" s="9" t="s">
        <v>68</v>
      </c>
      <c r="P174" s="9" t="s">
        <v>100</v>
      </c>
      <c r="Q174" s="8">
        <v>147.49230690572</v>
      </c>
      <c r="R174" s="8">
        <v>0.58800142499689001</v>
      </c>
      <c r="S174" s="8"/>
      <c r="T174" s="8">
        <f t="shared" si="48"/>
        <v>0.57161900133065646</v>
      </c>
      <c r="U174" s="8">
        <f t="shared" si="49"/>
        <v>0.38107836112503551</v>
      </c>
      <c r="V174" s="8">
        <f t="shared" si="50"/>
        <v>2.165</v>
      </c>
      <c r="W174" s="8">
        <f t="shared" si="51"/>
        <v>2.7366190013306566</v>
      </c>
      <c r="X174" s="8">
        <f t="shared" si="52"/>
        <v>2.7630244797615791</v>
      </c>
      <c r="Y174" s="8">
        <f t="shared" si="53"/>
        <v>4.33</v>
      </c>
      <c r="Z174" s="8">
        <f t="shared" si="54"/>
        <v>4.9016190013306566</v>
      </c>
      <c r="AA174" s="8">
        <f t="shared" si="55"/>
        <v>4.9164102301906709</v>
      </c>
      <c r="AB174" s="8">
        <f t="shared" si="56"/>
        <v>82.890734392847378</v>
      </c>
      <c r="AC174" s="8">
        <f t="shared" si="57"/>
        <v>147.49230690572011</v>
      </c>
      <c r="AD174" s="10">
        <f t="shared" si="58"/>
        <v>85.464497959999989</v>
      </c>
      <c r="AE174" s="10">
        <f t="shared" si="47"/>
        <v>64.95</v>
      </c>
    </row>
    <row r="175" spans="1:31" s="10" customFormat="1" ht="13" x14ac:dyDescent="0.15">
      <c r="A175" s="8">
        <v>1</v>
      </c>
      <c r="B175" s="9" t="s">
        <v>218</v>
      </c>
      <c r="C175" s="9" t="s">
        <v>100</v>
      </c>
      <c r="D175" s="9" t="s">
        <v>68</v>
      </c>
      <c r="E175" s="9" t="s">
        <v>18</v>
      </c>
      <c r="F175" s="9" t="s">
        <v>23</v>
      </c>
      <c r="G175" s="9" t="s">
        <v>101</v>
      </c>
      <c r="H175" s="9" t="s">
        <v>159</v>
      </c>
      <c r="I175" s="8">
        <v>169.69499999999999</v>
      </c>
      <c r="J175" s="8">
        <v>0.41599999999999998</v>
      </c>
      <c r="K175" s="8">
        <v>64.95</v>
      </c>
      <c r="L175" s="8">
        <v>10.305</v>
      </c>
      <c r="M175" s="8">
        <v>4.33</v>
      </c>
      <c r="N175" s="8">
        <v>4.7398739072304599</v>
      </c>
      <c r="O175" s="9" t="s">
        <v>68</v>
      </c>
      <c r="P175" s="9" t="s">
        <v>100</v>
      </c>
      <c r="Q175" s="8">
        <v>142.19621721691399</v>
      </c>
      <c r="R175" s="8">
        <v>0.17985617941802001</v>
      </c>
      <c r="S175" s="8"/>
      <c r="T175" s="8">
        <f t="shared" si="48"/>
        <v>0.40928968319216086</v>
      </c>
      <c r="U175" s="8">
        <f t="shared" si="49"/>
        <v>7.4417439034547436E-2</v>
      </c>
      <c r="V175" s="8">
        <f t="shared" si="50"/>
        <v>2.165</v>
      </c>
      <c r="W175" s="8">
        <f t="shared" si="51"/>
        <v>2.5742896831921609</v>
      </c>
      <c r="X175" s="8">
        <f t="shared" si="52"/>
        <v>2.5753650863949478</v>
      </c>
      <c r="Y175" s="8">
        <f t="shared" si="53"/>
        <v>4.33</v>
      </c>
      <c r="Z175" s="8">
        <f t="shared" si="54"/>
        <v>4.7392896831921609</v>
      </c>
      <c r="AA175" s="8">
        <f t="shared" si="55"/>
        <v>4.7398739072304563</v>
      </c>
      <c r="AB175" s="8">
        <f t="shared" si="56"/>
        <v>77.260952591848437</v>
      </c>
      <c r="AC175" s="8">
        <f t="shared" si="57"/>
        <v>142.19621721691368</v>
      </c>
      <c r="AD175" s="10">
        <f t="shared" si="58"/>
        <v>85.464497959999989</v>
      </c>
      <c r="AE175" s="10">
        <f t="shared" si="47"/>
        <v>64.95</v>
      </c>
    </row>
    <row r="176" spans="1:31" ht="13" x14ac:dyDescent="0.15">
      <c r="A176" s="2">
        <v>1</v>
      </c>
      <c r="B176" s="1" t="s">
        <v>219</v>
      </c>
      <c r="C176" s="1" t="s">
        <v>121</v>
      </c>
      <c r="D176" s="1" t="s">
        <v>122</v>
      </c>
      <c r="E176" s="1" t="s">
        <v>18</v>
      </c>
      <c r="F176" s="1" t="s">
        <v>95</v>
      </c>
      <c r="G176" s="1" t="s">
        <v>123</v>
      </c>
      <c r="H176" s="1" t="s">
        <v>159</v>
      </c>
      <c r="I176" s="2">
        <v>125.83799999999999</v>
      </c>
      <c r="J176" s="2">
        <v>0.80300000000000005</v>
      </c>
      <c r="K176" s="2">
        <v>56.29</v>
      </c>
      <c r="L176" s="2">
        <v>54.161999999999999</v>
      </c>
      <c r="M176" s="2">
        <v>3.7526666666666699</v>
      </c>
      <c r="N176" s="2">
        <v>4.2727005542291199</v>
      </c>
      <c r="O176" s="1" t="s">
        <v>122</v>
      </c>
      <c r="P176" s="1" t="s">
        <v>121</v>
      </c>
      <c r="Q176" s="2">
        <v>128.181016626874</v>
      </c>
      <c r="R176" s="2">
        <v>0.94530522946517004</v>
      </c>
      <c r="S176" s="2"/>
      <c r="T176" s="5">
        <f t="shared" si="48"/>
        <v>0.47015285774542936</v>
      </c>
      <c r="U176" s="5">
        <f t="shared" si="49"/>
        <v>0.65097257265863839</v>
      </c>
      <c r="V176" s="5">
        <f t="shared" si="50"/>
        <v>1.8763333333333334</v>
      </c>
      <c r="W176" s="5">
        <f t="shared" si="51"/>
        <v>2.3464861910787627</v>
      </c>
      <c r="X176" s="5">
        <f t="shared" si="52"/>
        <v>2.4351104154179799</v>
      </c>
      <c r="Y176" s="5">
        <f t="shared" si="53"/>
        <v>3.7526666666666668</v>
      </c>
      <c r="Z176" s="5">
        <f t="shared" si="54"/>
        <v>4.2228195244120963</v>
      </c>
      <c r="AA176" s="5">
        <f t="shared" si="55"/>
        <v>4.2727005542291181</v>
      </c>
      <c r="AB176" s="5">
        <f t="shared" si="56"/>
        <v>73.053312462539395</v>
      </c>
      <c r="AC176" s="5">
        <f t="shared" si="57"/>
        <v>128.18101662687354</v>
      </c>
      <c r="AD176" s="7">
        <f t="shared" si="58"/>
        <v>70.423015316000004</v>
      </c>
      <c r="AE176" s="13">
        <f t="shared" si="47"/>
        <v>56.29</v>
      </c>
    </row>
    <row r="177" spans="1:31" ht="13" x14ac:dyDescent="0.15">
      <c r="A177" s="2">
        <v>1</v>
      </c>
      <c r="B177" s="1" t="s">
        <v>220</v>
      </c>
      <c r="C177" s="1" t="s">
        <v>121</v>
      </c>
      <c r="D177" s="1" t="s">
        <v>122</v>
      </c>
      <c r="E177" s="1" t="s">
        <v>18</v>
      </c>
      <c r="F177" s="1" t="s">
        <v>95</v>
      </c>
      <c r="G177" s="1" t="s">
        <v>123</v>
      </c>
      <c r="H177" s="1" t="s">
        <v>159</v>
      </c>
      <c r="I177" s="2">
        <v>158.19900000000001</v>
      </c>
      <c r="J177" s="2">
        <v>1.165</v>
      </c>
      <c r="K177" s="2">
        <v>56.29</v>
      </c>
      <c r="L177" s="2">
        <v>21.800999999999998</v>
      </c>
      <c r="M177" s="2">
        <v>3.7526666666666699</v>
      </c>
      <c r="N177" s="2">
        <v>4.8536676174833602</v>
      </c>
      <c r="O177" s="1" t="s">
        <v>122</v>
      </c>
      <c r="P177" s="1" t="s">
        <v>121</v>
      </c>
      <c r="Q177" s="2">
        <v>145.61002852450099</v>
      </c>
      <c r="R177" s="2">
        <v>0.38049923022727999</v>
      </c>
      <c r="S177" s="2"/>
      <c r="T177" s="5">
        <f t="shared" si="48"/>
        <v>1.0816784370974564</v>
      </c>
      <c r="U177" s="5">
        <f t="shared" si="49"/>
        <v>0.43266240733209593</v>
      </c>
      <c r="V177" s="5">
        <f t="shared" si="50"/>
        <v>1.8763333333333334</v>
      </c>
      <c r="W177" s="5">
        <f t="shared" si="51"/>
        <v>2.9580117704307898</v>
      </c>
      <c r="X177" s="5">
        <f t="shared" si="52"/>
        <v>2.9894866436773886</v>
      </c>
      <c r="Y177" s="5">
        <f t="shared" si="53"/>
        <v>3.7526666666666668</v>
      </c>
      <c r="Z177" s="5">
        <f t="shared" si="54"/>
        <v>4.8343451037641234</v>
      </c>
      <c r="AA177" s="5">
        <f t="shared" si="55"/>
        <v>4.8536676174833557</v>
      </c>
      <c r="AB177" s="5">
        <f t="shared" si="56"/>
        <v>89.684599310321659</v>
      </c>
      <c r="AC177" s="5">
        <f t="shared" si="57"/>
        <v>145.61002852450068</v>
      </c>
      <c r="AD177" s="7">
        <f t="shared" si="58"/>
        <v>70.423015316000004</v>
      </c>
      <c r="AE177" s="13">
        <f t="shared" si="47"/>
        <v>56.29</v>
      </c>
    </row>
    <row r="178" spans="1:31" ht="13" x14ac:dyDescent="0.15">
      <c r="A178" s="2">
        <v>1</v>
      </c>
      <c r="B178" s="1" t="s">
        <v>221</v>
      </c>
      <c r="C178" s="1" t="s">
        <v>121</v>
      </c>
      <c r="D178" s="1" t="s">
        <v>122</v>
      </c>
      <c r="E178" s="1" t="s">
        <v>18</v>
      </c>
      <c r="F178" s="1" t="s">
        <v>95</v>
      </c>
      <c r="G178" s="1" t="s">
        <v>123</v>
      </c>
      <c r="H178" s="1" t="s">
        <v>159</v>
      </c>
      <c r="I178" s="2">
        <v>152.10300000000001</v>
      </c>
      <c r="J178" s="2">
        <v>0.70699999999999996</v>
      </c>
      <c r="K178" s="2">
        <v>56.29</v>
      </c>
      <c r="L178" s="2">
        <v>27.896999999999998</v>
      </c>
      <c r="M178" s="2">
        <v>3.7526666666666699</v>
      </c>
      <c r="N178" s="2">
        <v>4.3899869876151003</v>
      </c>
      <c r="O178" s="1" t="s">
        <v>122</v>
      </c>
      <c r="P178" s="1" t="s">
        <v>121</v>
      </c>
      <c r="Q178" s="2">
        <v>131.699609628453</v>
      </c>
      <c r="R178" s="2">
        <v>0.48689450142885998</v>
      </c>
      <c r="S178" s="2"/>
      <c r="T178" s="5">
        <f t="shared" si="48"/>
        <v>0.62483962164488671</v>
      </c>
      <c r="U178" s="5">
        <f t="shared" si="49"/>
        <v>0.33079366260960119</v>
      </c>
      <c r="V178" s="5">
        <f t="shared" si="50"/>
        <v>1.8763333333333334</v>
      </c>
      <c r="W178" s="5">
        <f t="shared" si="51"/>
        <v>2.50117295497822</v>
      </c>
      <c r="X178" s="5">
        <f t="shared" si="52"/>
        <v>2.5229527538059755</v>
      </c>
      <c r="Y178" s="5">
        <f t="shared" si="53"/>
        <v>3.7526666666666668</v>
      </c>
      <c r="Z178" s="5">
        <f t="shared" si="54"/>
        <v>4.3775062883115536</v>
      </c>
      <c r="AA178" s="5">
        <f t="shared" si="55"/>
        <v>4.3899869876150968</v>
      </c>
      <c r="AB178" s="5">
        <f t="shared" si="56"/>
        <v>75.688582614179268</v>
      </c>
      <c r="AC178" s="5">
        <f t="shared" si="57"/>
        <v>131.69960962845289</v>
      </c>
      <c r="AD178" s="7">
        <f t="shared" si="58"/>
        <v>70.423015316000004</v>
      </c>
      <c r="AE178" s="13">
        <f t="shared" si="47"/>
        <v>56.29</v>
      </c>
    </row>
    <row r="179" spans="1:31" ht="13" x14ac:dyDescent="0.15">
      <c r="A179" s="2">
        <v>1</v>
      </c>
      <c r="B179" s="1" t="s">
        <v>222</v>
      </c>
      <c r="C179" s="1" t="s">
        <v>121</v>
      </c>
      <c r="D179" s="1" t="s">
        <v>122</v>
      </c>
      <c r="E179" s="1" t="s">
        <v>18</v>
      </c>
      <c r="F179" s="1" t="s">
        <v>95</v>
      </c>
      <c r="G179" s="1" t="s">
        <v>123</v>
      </c>
      <c r="H179" s="1" t="s">
        <v>159</v>
      </c>
      <c r="I179" s="2">
        <v>151.821</v>
      </c>
      <c r="J179" s="2">
        <v>1.1479999999999999</v>
      </c>
      <c r="K179" s="2">
        <v>56.29</v>
      </c>
      <c r="L179" s="2">
        <v>28.178999999999998</v>
      </c>
      <c r="M179" s="2">
        <v>3.7526666666666699</v>
      </c>
      <c r="N179" s="2">
        <v>4.7953437367482001</v>
      </c>
      <c r="O179" s="1" t="s">
        <v>122</v>
      </c>
      <c r="P179" s="1" t="s">
        <v>121</v>
      </c>
      <c r="Q179" s="2">
        <v>143.86031210244599</v>
      </c>
      <c r="R179" s="2">
        <v>0.49181632991947999</v>
      </c>
      <c r="S179" s="2"/>
      <c r="T179" s="5">
        <f t="shared" si="48"/>
        <v>1.0119351273484309</v>
      </c>
      <c r="U179" s="5">
        <f t="shared" si="49"/>
        <v>0.5421174208954318</v>
      </c>
      <c r="V179" s="5">
        <f t="shared" si="50"/>
        <v>1.8763333333333334</v>
      </c>
      <c r="W179" s="5">
        <f t="shared" si="51"/>
        <v>2.8882684606817643</v>
      </c>
      <c r="X179" s="5">
        <f t="shared" si="52"/>
        <v>2.9387048165828635</v>
      </c>
      <c r="Y179" s="5">
        <f t="shared" si="53"/>
        <v>3.7526666666666668</v>
      </c>
      <c r="Z179" s="5">
        <f t="shared" si="54"/>
        <v>4.764601794015098</v>
      </c>
      <c r="AA179" s="5">
        <f t="shared" si="55"/>
        <v>4.795343736748201</v>
      </c>
      <c r="AB179" s="5">
        <f t="shared" si="56"/>
        <v>88.161144497485907</v>
      </c>
      <c r="AC179" s="5">
        <f t="shared" si="57"/>
        <v>143.86031210244602</v>
      </c>
      <c r="AD179" s="7">
        <f t="shared" si="58"/>
        <v>70.423015316000004</v>
      </c>
      <c r="AE179" s="13">
        <f t="shared" si="47"/>
        <v>56.29</v>
      </c>
    </row>
    <row r="180" spans="1:31" ht="13" x14ac:dyDescent="0.15">
      <c r="A180" s="2">
        <v>1</v>
      </c>
      <c r="B180" s="1" t="s">
        <v>223</v>
      </c>
      <c r="C180" s="1" t="s">
        <v>121</v>
      </c>
      <c r="D180" s="1" t="s">
        <v>122</v>
      </c>
      <c r="E180" s="1" t="s">
        <v>18</v>
      </c>
      <c r="F180" s="1" t="s">
        <v>95</v>
      </c>
      <c r="G180" s="1" t="s">
        <v>123</v>
      </c>
      <c r="H180" s="1" t="s">
        <v>159</v>
      </c>
      <c r="I180" s="2">
        <v>-176.73</v>
      </c>
      <c r="J180" s="2">
        <v>1.2669999999999999</v>
      </c>
      <c r="K180" s="2">
        <v>56.29</v>
      </c>
      <c r="L180" s="2">
        <v>3.2700000000000098</v>
      </c>
      <c r="M180" s="2">
        <v>3.7526666666666699</v>
      </c>
      <c r="N180" s="2">
        <v>5.0181242176629004</v>
      </c>
      <c r="O180" s="1" t="s">
        <v>122</v>
      </c>
      <c r="P180" s="1" t="s">
        <v>121</v>
      </c>
      <c r="Q180" s="2">
        <v>150.54372652988701</v>
      </c>
      <c r="R180" s="2">
        <v>5.7072266540215001E-2</v>
      </c>
      <c r="S180" s="2"/>
      <c r="T180" s="5">
        <f t="shared" si="48"/>
        <v>1.2649370962138622</v>
      </c>
      <c r="U180" s="5">
        <f t="shared" si="49"/>
        <v>7.2271312580043726E-2</v>
      </c>
      <c r="V180" s="5">
        <f t="shared" si="50"/>
        <v>1.8763333333333334</v>
      </c>
      <c r="W180" s="5">
        <f t="shared" si="51"/>
        <v>3.1412704295471956</v>
      </c>
      <c r="X180" s="5">
        <f t="shared" si="52"/>
        <v>3.1421016937982236</v>
      </c>
      <c r="Y180" s="5">
        <f t="shared" si="53"/>
        <v>3.7526666666666668</v>
      </c>
      <c r="Z180" s="5">
        <f t="shared" si="54"/>
        <v>5.0176037628805288</v>
      </c>
      <c r="AA180" s="5">
        <f t="shared" si="55"/>
        <v>5.0181242176628995</v>
      </c>
      <c r="AB180" s="5">
        <f t="shared" si="56"/>
        <v>94.263050813946705</v>
      </c>
      <c r="AC180" s="5">
        <f t="shared" si="57"/>
        <v>150.54372652988698</v>
      </c>
      <c r="AD180" s="7">
        <f t="shared" si="58"/>
        <v>70.423015316000004</v>
      </c>
      <c r="AE180" s="13">
        <f t="shared" si="47"/>
        <v>56.29</v>
      </c>
    </row>
    <row r="181" spans="1:31" ht="13" x14ac:dyDescent="0.15">
      <c r="A181" s="2">
        <v>1</v>
      </c>
      <c r="B181" s="1" t="s">
        <v>224</v>
      </c>
      <c r="C181" s="1" t="s">
        <v>121</v>
      </c>
      <c r="D181" s="1" t="s">
        <v>122</v>
      </c>
      <c r="E181" s="1" t="s">
        <v>18</v>
      </c>
      <c r="F181" s="1" t="s">
        <v>23</v>
      </c>
      <c r="G181" s="1" t="s">
        <v>123</v>
      </c>
      <c r="H181" s="1" t="s">
        <v>159</v>
      </c>
      <c r="I181" s="2">
        <v>-172.875</v>
      </c>
      <c r="J181" s="2">
        <v>1.1419999999999999</v>
      </c>
      <c r="K181" s="2">
        <v>64.95</v>
      </c>
      <c r="L181" s="2">
        <v>7.125</v>
      </c>
      <c r="M181" s="2">
        <v>4.33</v>
      </c>
      <c r="N181" s="2">
        <v>5.4650173570550198</v>
      </c>
      <c r="O181" s="1" t="s">
        <v>122</v>
      </c>
      <c r="P181" s="1" t="s">
        <v>121</v>
      </c>
      <c r="Q181" s="2">
        <v>163.950520711651</v>
      </c>
      <c r="R181" s="2">
        <v>0.1243547092046</v>
      </c>
      <c r="S181" s="2"/>
      <c r="T181" s="5">
        <f t="shared" si="48"/>
        <v>1.1331813756250142</v>
      </c>
      <c r="U181" s="5">
        <f t="shared" si="49"/>
        <v>0.14164734355645422</v>
      </c>
      <c r="V181" s="5">
        <f t="shared" si="50"/>
        <v>2.165</v>
      </c>
      <c r="W181" s="5">
        <f t="shared" si="51"/>
        <v>3.2981813756250142</v>
      </c>
      <c r="X181" s="5">
        <f t="shared" si="52"/>
        <v>3.3012216460662422</v>
      </c>
      <c r="Y181" s="5">
        <f t="shared" si="53"/>
        <v>4.33</v>
      </c>
      <c r="Z181" s="5">
        <f t="shared" si="54"/>
        <v>5.4631813756250143</v>
      </c>
      <c r="AA181" s="5">
        <f t="shared" si="55"/>
        <v>5.4650173570550189</v>
      </c>
      <c r="AB181" s="5">
        <f t="shared" si="56"/>
        <v>99.036649381987274</v>
      </c>
      <c r="AC181" s="5">
        <f t="shared" si="57"/>
        <v>163.95052071165057</v>
      </c>
      <c r="AD181" s="7">
        <f t="shared" si="58"/>
        <v>85.464497959999989</v>
      </c>
      <c r="AE181" s="13">
        <f t="shared" si="47"/>
        <v>64.95</v>
      </c>
    </row>
    <row r="182" spans="1:31" ht="13" x14ac:dyDescent="0.15">
      <c r="A182" s="2">
        <v>1</v>
      </c>
      <c r="B182" s="1" t="s">
        <v>225</v>
      </c>
      <c r="C182" s="1" t="s">
        <v>121</v>
      </c>
      <c r="D182" s="1" t="s">
        <v>122</v>
      </c>
      <c r="E182" s="1" t="s">
        <v>18</v>
      </c>
      <c r="F182" s="1" t="s">
        <v>23</v>
      </c>
      <c r="G182" s="1" t="s">
        <v>123</v>
      </c>
      <c r="H182" s="1" t="s">
        <v>159</v>
      </c>
      <c r="I182" s="2">
        <v>117.759</v>
      </c>
      <c r="J182" s="2">
        <v>0.76</v>
      </c>
      <c r="K182" s="2">
        <v>64.95</v>
      </c>
      <c r="L182" s="2">
        <v>62.241</v>
      </c>
      <c r="M182" s="2">
        <v>4.33</v>
      </c>
      <c r="N182" s="2">
        <v>4.7320083918596598</v>
      </c>
      <c r="O182" s="1" t="s">
        <v>122</v>
      </c>
      <c r="P182" s="1" t="s">
        <v>121</v>
      </c>
      <c r="Q182" s="2">
        <v>141.96025175579001</v>
      </c>
      <c r="R182" s="2">
        <v>1.0863103797337901</v>
      </c>
      <c r="S182" s="2"/>
      <c r="T182" s="5">
        <f t="shared" si="48"/>
        <v>0.3539726813660849</v>
      </c>
      <c r="U182" s="5">
        <f t="shared" si="49"/>
        <v>0.67253501087044099</v>
      </c>
      <c r="V182" s="5">
        <f t="shared" si="50"/>
        <v>2.165</v>
      </c>
      <c r="W182" s="5">
        <f t="shared" si="51"/>
        <v>2.5189726813660851</v>
      </c>
      <c r="X182" s="5">
        <f t="shared" si="52"/>
        <v>2.6072066873025523</v>
      </c>
      <c r="Y182" s="5">
        <f t="shared" si="53"/>
        <v>4.33</v>
      </c>
      <c r="Z182" s="5">
        <f t="shared" si="54"/>
        <v>4.6839726813660851</v>
      </c>
      <c r="AA182" s="5">
        <f t="shared" si="55"/>
        <v>4.732008391859666</v>
      </c>
      <c r="AB182" s="5">
        <f t="shared" si="56"/>
        <v>78.216200619076574</v>
      </c>
      <c r="AC182" s="5">
        <f t="shared" si="57"/>
        <v>141.96025175578998</v>
      </c>
      <c r="AD182" s="7">
        <f t="shared" si="58"/>
        <v>85.464497959999989</v>
      </c>
      <c r="AE182" s="13">
        <f t="shared" si="47"/>
        <v>64.95</v>
      </c>
    </row>
    <row r="183" spans="1:31" ht="13" x14ac:dyDescent="0.15">
      <c r="A183" s="2">
        <v>1</v>
      </c>
      <c r="B183" s="1" t="s">
        <v>226</v>
      </c>
      <c r="C183" s="1" t="s">
        <v>121</v>
      </c>
      <c r="D183" s="1" t="s">
        <v>122</v>
      </c>
      <c r="E183" s="1" t="s">
        <v>18</v>
      </c>
      <c r="F183" s="1" t="s">
        <v>42</v>
      </c>
      <c r="G183" s="1" t="s">
        <v>123</v>
      </c>
      <c r="H183" s="1" t="s">
        <v>159</v>
      </c>
      <c r="I183" s="2">
        <v>170.727</v>
      </c>
      <c r="J183" s="2">
        <v>1.7929999999999999</v>
      </c>
      <c r="K183" s="2">
        <v>73.61</v>
      </c>
      <c r="L183" s="2">
        <v>9.2729999999999997</v>
      </c>
      <c r="M183" s="2">
        <v>4.9073333333333302</v>
      </c>
      <c r="N183" s="2">
        <v>6.6831501449770796</v>
      </c>
      <c r="O183" s="1" t="s">
        <v>122</v>
      </c>
      <c r="P183" s="1" t="s">
        <v>121</v>
      </c>
      <c r="Q183" s="2">
        <v>200.494504349312</v>
      </c>
      <c r="R183" s="2">
        <v>0.16184438153743</v>
      </c>
      <c r="S183" s="2"/>
      <c r="T183" s="5">
        <f t="shared" si="48"/>
        <v>1.7695686471806813</v>
      </c>
      <c r="U183" s="5">
        <f t="shared" si="49"/>
        <v>0.28892179376975596</v>
      </c>
      <c r="V183" s="5">
        <f t="shared" si="50"/>
        <v>2.4536666666666664</v>
      </c>
      <c r="W183" s="5">
        <f t="shared" si="51"/>
        <v>4.223235313847348</v>
      </c>
      <c r="X183" s="5">
        <f t="shared" si="52"/>
        <v>4.2331066982822954</v>
      </c>
      <c r="Y183" s="5">
        <f t="shared" si="53"/>
        <v>4.9073333333333329</v>
      </c>
      <c r="Z183" s="5">
        <f t="shared" si="54"/>
        <v>6.676901980514014</v>
      </c>
      <c r="AA183" s="5">
        <f t="shared" si="55"/>
        <v>6.6831501449770743</v>
      </c>
      <c r="AB183" s="5">
        <f t="shared" si="56"/>
        <v>126.99320094846885</v>
      </c>
      <c r="AC183" s="5">
        <f t="shared" si="57"/>
        <v>200.49450434931222</v>
      </c>
      <c r="AD183" s="7">
        <f t="shared" si="58"/>
        <v>100.505980604</v>
      </c>
      <c r="AE183" s="13">
        <f t="shared" si="47"/>
        <v>73.61</v>
      </c>
    </row>
    <row r="184" spans="1:31" ht="13" x14ac:dyDescent="0.15">
      <c r="A184" s="2">
        <v>1</v>
      </c>
      <c r="B184" s="1" t="s">
        <v>227</v>
      </c>
      <c r="C184" s="1" t="s">
        <v>121</v>
      </c>
      <c r="D184" s="1" t="s">
        <v>122</v>
      </c>
      <c r="E184" s="1" t="s">
        <v>18</v>
      </c>
      <c r="F184" s="1" t="s">
        <v>25</v>
      </c>
      <c r="G184" s="1" t="s">
        <v>123</v>
      </c>
      <c r="H184" s="1" t="s">
        <v>159</v>
      </c>
      <c r="I184" s="2">
        <v>-162.64599999999999</v>
      </c>
      <c r="J184" s="2">
        <v>1.212</v>
      </c>
      <c r="K184" s="2">
        <v>82.27</v>
      </c>
      <c r="L184" s="2">
        <v>17.353999999999999</v>
      </c>
      <c r="M184" s="2">
        <v>5.4846666666666701</v>
      </c>
      <c r="N184" s="2">
        <v>6.6513280707608002</v>
      </c>
      <c r="O184" s="1" t="s">
        <v>122</v>
      </c>
      <c r="P184" s="1" t="s">
        <v>121</v>
      </c>
      <c r="Q184" s="2">
        <v>199.53984212282401</v>
      </c>
      <c r="R184" s="2">
        <v>0.30288443839110002</v>
      </c>
      <c r="S184" s="2"/>
      <c r="T184" s="5">
        <f t="shared" si="48"/>
        <v>1.1568298888215154</v>
      </c>
      <c r="U184" s="5">
        <f t="shared" si="49"/>
        <v>0.36150879426260207</v>
      </c>
      <c r="V184" s="5">
        <f t="shared" si="50"/>
        <v>2.7423333333333333</v>
      </c>
      <c r="W184" s="5">
        <f t="shared" si="51"/>
        <v>3.8991632221548489</v>
      </c>
      <c r="X184" s="5">
        <f t="shared" si="52"/>
        <v>3.9158859075992218</v>
      </c>
      <c r="Y184" s="5">
        <f t="shared" si="53"/>
        <v>5.4846666666666666</v>
      </c>
      <c r="Z184" s="5">
        <f t="shared" si="54"/>
        <v>6.6414965554881817</v>
      </c>
      <c r="AA184" s="5">
        <f t="shared" si="55"/>
        <v>6.6513280707608002</v>
      </c>
      <c r="AB184" s="5">
        <f t="shared" si="56"/>
        <v>117.47657722797666</v>
      </c>
      <c r="AC184" s="5">
        <f t="shared" si="57"/>
        <v>199.53984212282401</v>
      </c>
      <c r="AD184" s="7">
        <f t="shared" si="58"/>
        <v>115.54746324799999</v>
      </c>
      <c r="AE184" s="13">
        <f t="shared" si="47"/>
        <v>82.27</v>
      </c>
    </row>
    <row r="185" spans="1:31" ht="13" x14ac:dyDescent="0.15">
      <c r="A185" s="2">
        <v>1</v>
      </c>
      <c r="B185" s="1" t="s">
        <v>228</v>
      </c>
      <c r="C185" s="1" t="s">
        <v>121</v>
      </c>
      <c r="D185" s="1" t="s">
        <v>122</v>
      </c>
      <c r="E185" s="1" t="s">
        <v>18</v>
      </c>
      <c r="F185" s="1" t="s">
        <v>25</v>
      </c>
      <c r="G185" s="1" t="s">
        <v>123</v>
      </c>
      <c r="H185" s="1" t="s">
        <v>159</v>
      </c>
      <c r="I185" s="2">
        <v>-124.69499999999999</v>
      </c>
      <c r="J185" s="2">
        <v>1.143</v>
      </c>
      <c r="K185" s="2">
        <v>82.27</v>
      </c>
      <c r="L185" s="2">
        <v>55.305</v>
      </c>
      <c r="M185" s="2">
        <v>5.4846666666666701</v>
      </c>
      <c r="N185" s="2">
        <v>6.2068280898441701</v>
      </c>
      <c r="O185" s="1" t="s">
        <v>122</v>
      </c>
      <c r="P185" s="1" t="s">
        <v>121</v>
      </c>
      <c r="Q185" s="2">
        <v>186.204842695325</v>
      </c>
      <c r="R185" s="2">
        <v>0.96525434281545996</v>
      </c>
      <c r="S185" s="2"/>
      <c r="T185" s="5">
        <f t="shared" si="48"/>
        <v>0.65060448758060463</v>
      </c>
      <c r="U185" s="5">
        <f t="shared" si="49"/>
        <v>0.93976741842861256</v>
      </c>
      <c r="V185" s="5">
        <f t="shared" si="50"/>
        <v>2.7423333333333333</v>
      </c>
      <c r="W185" s="5">
        <f t="shared" si="51"/>
        <v>3.392937820913938</v>
      </c>
      <c r="X185" s="5">
        <f t="shared" si="52"/>
        <v>3.5206803117193419</v>
      </c>
      <c r="Y185" s="5">
        <f t="shared" si="53"/>
        <v>5.4846666666666666</v>
      </c>
      <c r="Z185" s="5">
        <f t="shared" si="54"/>
        <v>6.1352711542472713</v>
      </c>
      <c r="AA185" s="5">
        <f t="shared" si="55"/>
        <v>6.2068280898441692</v>
      </c>
      <c r="AB185" s="5">
        <f t="shared" si="56"/>
        <v>105.62040935158026</v>
      </c>
      <c r="AC185" s="5">
        <f t="shared" si="57"/>
        <v>186.20484269532508</v>
      </c>
      <c r="AD185" s="7">
        <f t="shared" si="58"/>
        <v>115.54746324799999</v>
      </c>
      <c r="AE185" s="13">
        <f t="shared" si="47"/>
        <v>82.27</v>
      </c>
    </row>
    <row r="186" spans="1:31" ht="13" x14ac:dyDescent="0.15">
      <c r="A186" s="2">
        <v>1</v>
      </c>
      <c r="B186" s="1" t="s">
        <v>229</v>
      </c>
      <c r="C186" s="1" t="s">
        <v>121</v>
      </c>
      <c r="D186" s="1" t="s">
        <v>122</v>
      </c>
      <c r="E186" s="1" t="s">
        <v>18</v>
      </c>
      <c r="F186" s="1" t="s">
        <v>25</v>
      </c>
      <c r="G186" s="1" t="s">
        <v>123</v>
      </c>
      <c r="H186" s="1" t="s">
        <v>159</v>
      </c>
      <c r="I186" s="2">
        <v>177.51</v>
      </c>
      <c r="J186" s="2">
        <v>0.83199999999999996</v>
      </c>
      <c r="K186" s="2">
        <v>82.27</v>
      </c>
      <c r="L186" s="2">
        <v>2.49000000000001</v>
      </c>
      <c r="M186" s="2">
        <v>5.4846666666666701</v>
      </c>
      <c r="N186" s="2">
        <v>6.3159845414028997</v>
      </c>
      <c r="O186" s="1" t="s">
        <v>122</v>
      </c>
      <c r="P186" s="1" t="s">
        <v>121</v>
      </c>
      <c r="Q186" s="2">
        <v>189.47953624208699</v>
      </c>
      <c r="R186" s="2">
        <v>4.3458698374659002E-2</v>
      </c>
      <c r="S186" s="2"/>
      <c r="T186" s="5">
        <f t="shared" si="48"/>
        <v>0.83121444172808445</v>
      </c>
      <c r="U186" s="5">
        <f t="shared" si="49"/>
        <v>3.6146256551252386E-2</v>
      </c>
      <c r="V186" s="5">
        <f t="shared" si="50"/>
        <v>2.7423333333333333</v>
      </c>
      <c r="W186" s="5">
        <f t="shared" si="51"/>
        <v>3.5735477750614177</v>
      </c>
      <c r="X186" s="5">
        <f t="shared" si="52"/>
        <v>3.5737305791720053</v>
      </c>
      <c r="Y186" s="5">
        <f t="shared" si="53"/>
        <v>5.4846666666666666</v>
      </c>
      <c r="Z186" s="5">
        <f t="shared" si="54"/>
        <v>6.315881108394751</v>
      </c>
      <c r="AA186" s="5">
        <f t="shared" si="55"/>
        <v>6.3159845414028979</v>
      </c>
      <c r="AB186" s="5">
        <f t="shared" si="56"/>
        <v>107.21191737516016</v>
      </c>
      <c r="AC186" s="5">
        <f t="shared" si="57"/>
        <v>189.47953624208694</v>
      </c>
      <c r="AD186" s="7">
        <f t="shared" si="58"/>
        <v>115.54746324799999</v>
      </c>
      <c r="AE186" s="13">
        <f t="shared" si="47"/>
        <v>82.27</v>
      </c>
    </row>
    <row r="187" spans="1:31" ht="13" x14ac:dyDescent="0.15">
      <c r="A187" s="2">
        <v>1</v>
      </c>
      <c r="B187" s="1" t="s">
        <v>230</v>
      </c>
      <c r="C187" s="1" t="s">
        <v>121</v>
      </c>
      <c r="D187" s="1" t="s">
        <v>122</v>
      </c>
      <c r="E187" s="1" t="s">
        <v>18</v>
      </c>
      <c r="F187" s="1" t="s">
        <v>32</v>
      </c>
      <c r="G187" s="1" t="s">
        <v>123</v>
      </c>
      <c r="H187" s="1" t="s">
        <v>159</v>
      </c>
      <c r="I187" s="2">
        <v>-113.199</v>
      </c>
      <c r="J187" s="2">
        <v>0.59299999999999997</v>
      </c>
      <c r="K187" s="2">
        <v>90.93</v>
      </c>
      <c r="L187" s="2">
        <v>66.801000000000002</v>
      </c>
      <c r="M187" s="2">
        <v>6.0620000000000003</v>
      </c>
      <c r="N187" s="2">
        <v>6.3191483311192904</v>
      </c>
      <c r="O187" s="1" t="s">
        <v>122</v>
      </c>
      <c r="P187" s="1" t="s">
        <v>121</v>
      </c>
      <c r="Q187" s="2">
        <v>189.57444993357899</v>
      </c>
      <c r="R187" s="2">
        <v>1.1658973936247301</v>
      </c>
      <c r="S187" s="2"/>
      <c r="T187" s="5">
        <f t="shared" si="48"/>
        <v>0.23359803948265476</v>
      </c>
      <c r="U187" s="5">
        <f t="shared" si="49"/>
        <v>0.54505133331628508</v>
      </c>
      <c r="V187" s="5">
        <f t="shared" si="50"/>
        <v>3.0310000000000001</v>
      </c>
      <c r="W187" s="5">
        <f t="shared" si="51"/>
        <v>3.2645980394826548</v>
      </c>
      <c r="X187" s="5">
        <f t="shared" si="52"/>
        <v>3.3097856902439853</v>
      </c>
      <c r="Y187" s="5">
        <f t="shared" si="53"/>
        <v>6.0620000000000003</v>
      </c>
      <c r="Z187" s="5">
        <f t="shared" si="54"/>
        <v>6.2955980394826554</v>
      </c>
      <c r="AA187" s="5">
        <f t="shared" si="55"/>
        <v>6.3191483311192904</v>
      </c>
      <c r="AB187" s="5">
        <f t="shared" si="56"/>
        <v>99.29357070731956</v>
      </c>
      <c r="AC187" s="5">
        <f t="shared" si="57"/>
        <v>189.57444993357871</v>
      </c>
      <c r="AD187" s="7">
        <f t="shared" si="58"/>
        <v>130.588945892</v>
      </c>
      <c r="AE187" s="13">
        <f t="shared" si="47"/>
        <v>90.93</v>
      </c>
    </row>
    <row r="188" spans="1:31" ht="13" x14ac:dyDescent="0.15">
      <c r="A188" s="2">
        <v>1</v>
      </c>
      <c r="B188" s="1" t="s">
        <v>231</v>
      </c>
      <c r="C188" s="1" t="s">
        <v>121</v>
      </c>
      <c r="D188" s="1" t="s">
        <v>122</v>
      </c>
      <c r="E188" s="1" t="s">
        <v>18</v>
      </c>
      <c r="F188" s="1" t="s">
        <v>32</v>
      </c>
      <c r="G188" s="1" t="s">
        <v>123</v>
      </c>
      <c r="H188" s="1" t="s">
        <v>159</v>
      </c>
      <c r="I188" s="2">
        <v>-170.53800000000001</v>
      </c>
      <c r="J188" s="2">
        <v>1.113</v>
      </c>
      <c r="K188" s="2">
        <v>90.93</v>
      </c>
      <c r="L188" s="2">
        <v>9.4619999999999909</v>
      </c>
      <c r="M188" s="2">
        <v>6.0620000000000003</v>
      </c>
      <c r="N188" s="2">
        <v>7.16219497920103</v>
      </c>
      <c r="O188" s="1" t="s">
        <v>122</v>
      </c>
      <c r="P188" s="1" t="s">
        <v>121</v>
      </c>
      <c r="Q188" s="2">
        <v>214.86584937603101</v>
      </c>
      <c r="R188" s="2">
        <v>0.16514305382370001</v>
      </c>
      <c r="S188" s="2"/>
      <c r="T188" s="5">
        <f t="shared" si="48"/>
        <v>1.0978574661903988</v>
      </c>
      <c r="U188" s="5">
        <f t="shared" si="49"/>
        <v>0.18296989897247365</v>
      </c>
      <c r="V188" s="5">
        <f t="shared" si="50"/>
        <v>3.0310000000000001</v>
      </c>
      <c r="W188" s="5">
        <f t="shared" si="51"/>
        <v>4.1288574661903992</v>
      </c>
      <c r="X188" s="5">
        <f t="shared" si="52"/>
        <v>4.1329096239872216</v>
      </c>
      <c r="Y188" s="5">
        <f t="shared" si="53"/>
        <v>6.0620000000000003</v>
      </c>
      <c r="Z188" s="5">
        <f t="shared" si="54"/>
        <v>7.1598574661903989</v>
      </c>
      <c r="AA188" s="5">
        <f t="shared" si="55"/>
        <v>7.1621949792010264</v>
      </c>
      <c r="AB188" s="5">
        <f t="shared" si="56"/>
        <v>123.98728871961664</v>
      </c>
      <c r="AC188" s="5">
        <f t="shared" si="57"/>
        <v>214.86584937603078</v>
      </c>
      <c r="AD188" s="7">
        <f t="shared" si="58"/>
        <v>130.588945892</v>
      </c>
      <c r="AE188" s="13">
        <f t="shared" si="47"/>
        <v>90.93</v>
      </c>
    </row>
    <row r="189" spans="1:31" ht="13" x14ac:dyDescent="0.15">
      <c r="A189" s="2">
        <v>1</v>
      </c>
      <c r="B189" s="1" t="s">
        <v>232</v>
      </c>
      <c r="C189" s="1" t="s">
        <v>121</v>
      </c>
      <c r="D189" s="1" t="s">
        <v>122</v>
      </c>
      <c r="E189" s="1" t="s">
        <v>18</v>
      </c>
      <c r="F189" s="1" t="s">
        <v>55</v>
      </c>
      <c r="G189" s="1" t="s">
        <v>123</v>
      </c>
      <c r="H189" s="1" t="s">
        <v>159</v>
      </c>
      <c r="I189" s="2">
        <v>164.05500000000001</v>
      </c>
      <c r="J189" s="2">
        <v>0.56699999999999995</v>
      </c>
      <c r="K189" s="2">
        <v>99.59</v>
      </c>
      <c r="L189" s="2">
        <v>15.945</v>
      </c>
      <c r="M189" s="2">
        <v>6.6393333333333304</v>
      </c>
      <c r="N189" s="2">
        <v>7.1862067915442802</v>
      </c>
      <c r="O189" s="1" t="s">
        <v>122</v>
      </c>
      <c r="P189" s="1" t="s">
        <v>121</v>
      </c>
      <c r="Q189" s="2">
        <v>215.58620374632801</v>
      </c>
      <c r="R189" s="2">
        <v>0.27829274923050001</v>
      </c>
      <c r="S189" s="2"/>
      <c r="T189" s="5">
        <f t="shared" si="48"/>
        <v>0.54518515461336181</v>
      </c>
      <c r="U189" s="5">
        <f t="shared" si="49"/>
        <v>0.15576311241498972</v>
      </c>
      <c r="V189" s="5">
        <f t="shared" si="50"/>
        <v>3.319666666666667</v>
      </c>
      <c r="W189" s="5">
        <f t="shared" si="51"/>
        <v>3.8648518212800287</v>
      </c>
      <c r="X189" s="5">
        <f t="shared" si="52"/>
        <v>3.8679893675708001</v>
      </c>
      <c r="Y189" s="5">
        <f t="shared" si="53"/>
        <v>6.639333333333334</v>
      </c>
      <c r="Z189" s="5">
        <f t="shared" si="54"/>
        <v>7.1845184879466961</v>
      </c>
      <c r="AA189" s="5">
        <f t="shared" si="55"/>
        <v>7.1862067915442767</v>
      </c>
      <c r="AB189" s="5">
        <f t="shared" si="56"/>
        <v>116.039681027124</v>
      </c>
      <c r="AC189" s="5">
        <f t="shared" si="57"/>
        <v>215.58620374632829</v>
      </c>
      <c r="AD189" s="7">
        <f t="shared" si="58"/>
        <v>145.63042853599998</v>
      </c>
      <c r="AE189" s="13">
        <f t="shared" si="47"/>
        <v>99.59</v>
      </c>
    </row>
    <row r="190" spans="1:31" s="10" customFormat="1" ht="13" x14ac:dyDescent="0.15">
      <c r="A190" s="8">
        <v>1</v>
      </c>
      <c r="B190" s="9" t="s">
        <v>233</v>
      </c>
      <c r="C190" s="9" t="s">
        <v>135</v>
      </c>
      <c r="D190" s="9" t="s">
        <v>136</v>
      </c>
      <c r="E190" s="9" t="s">
        <v>18</v>
      </c>
      <c r="F190" s="9" t="s">
        <v>69</v>
      </c>
      <c r="G190" s="9" t="s">
        <v>137</v>
      </c>
      <c r="H190" s="9" t="s">
        <v>159</v>
      </c>
      <c r="I190" s="8">
        <v>-173.29</v>
      </c>
      <c r="J190" s="8">
        <v>1.2769999999999999</v>
      </c>
      <c r="K190" s="8">
        <v>12.99</v>
      </c>
      <c r="L190" s="8">
        <v>6.7100000000000097</v>
      </c>
      <c r="M190" s="8">
        <v>0.86599999999999999</v>
      </c>
      <c r="N190" s="8">
        <v>2.1394623196385099</v>
      </c>
      <c r="O190" s="9" t="s">
        <v>136</v>
      </c>
      <c r="P190" s="9" t="s">
        <v>135</v>
      </c>
      <c r="Q190" s="8">
        <v>64.183869589155293</v>
      </c>
      <c r="R190" s="8">
        <v>0.11711159280882</v>
      </c>
      <c r="S190" s="8"/>
      <c r="T190" s="8">
        <f t="shared" si="48"/>
        <v>1.2682528967396014</v>
      </c>
      <c r="U190" s="8">
        <f t="shared" si="49"/>
        <v>0.14920988543528199</v>
      </c>
      <c r="V190" s="8">
        <f t="shared" si="50"/>
        <v>0.433</v>
      </c>
      <c r="W190" s="8">
        <f t="shared" si="51"/>
        <v>1.7012528967396015</v>
      </c>
      <c r="X190" s="8">
        <f t="shared" si="52"/>
        <v>1.707783653914188</v>
      </c>
      <c r="Y190" s="8">
        <f t="shared" si="53"/>
        <v>0.86599999999999999</v>
      </c>
      <c r="Z190" s="8">
        <f t="shared" si="54"/>
        <v>2.1342528967396013</v>
      </c>
      <c r="AA190" s="8">
        <f t="shared" si="55"/>
        <v>2.139462319638509</v>
      </c>
      <c r="AB190" s="8">
        <f t="shared" si="56"/>
        <v>51.233509617425639</v>
      </c>
      <c r="AC190" s="8">
        <f t="shared" si="57"/>
        <v>64.183869589155265</v>
      </c>
      <c r="AD190" s="10">
        <f t="shared" si="58"/>
        <v>-4.7843979039999986</v>
      </c>
      <c r="AE190" s="10">
        <f t="shared" si="47"/>
        <v>12.99</v>
      </c>
    </row>
    <row r="191" spans="1:31" s="10" customFormat="1" ht="13" x14ac:dyDescent="0.15">
      <c r="A191" s="8">
        <v>1</v>
      </c>
      <c r="B191" s="9" t="s">
        <v>234</v>
      </c>
      <c r="C191" s="9" t="s">
        <v>135</v>
      </c>
      <c r="D191" s="9" t="s">
        <v>136</v>
      </c>
      <c r="E191" s="9" t="s">
        <v>18</v>
      </c>
      <c r="F191" s="9" t="s">
        <v>88</v>
      </c>
      <c r="G191" s="9" t="s">
        <v>137</v>
      </c>
      <c r="H191" s="9" t="s">
        <v>159</v>
      </c>
      <c r="I191" s="8">
        <v>115.974</v>
      </c>
      <c r="J191" s="8">
        <v>1.629</v>
      </c>
      <c r="K191" s="8">
        <v>47.63</v>
      </c>
      <c r="L191" s="8">
        <v>64.025999999999996</v>
      </c>
      <c r="M191" s="8">
        <v>3.17533333333333</v>
      </c>
      <c r="N191" s="8">
        <v>4.1553839623099398</v>
      </c>
      <c r="O191" s="9" t="s">
        <v>136</v>
      </c>
      <c r="P191" s="9" t="s">
        <v>135</v>
      </c>
      <c r="Q191" s="8">
        <v>124.66151886929801</v>
      </c>
      <c r="R191" s="8">
        <v>1.11746450688189</v>
      </c>
      <c r="S191" s="8"/>
      <c r="T191" s="8">
        <f t="shared" si="48"/>
        <v>0.71344212100223081</v>
      </c>
      <c r="U191" s="8">
        <f t="shared" si="49"/>
        <v>1.464459401956858</v>
      </c>
      <c r="V191" s="8">
        <f t="shared" si="50"/>
        <v>1.5876666666666668</v>
      </c>
      <c r="W191" s="8">
        <f t="shared" si="51"/>
        <v>2.3011087876688974</v>
      </c>
      <c r="X191" s="8">
        <f t="shared" si="52"/>
        <v>2.7275892272603772</v>
      </c>
      <c r="Y191" s="8">
        <f t="shared" si="53"/>
        <v>3.1753333333333336</v>
      </c>
      <c r="Z191" s="8">
        <f t="shared" si="54"/>
        <v>3.8887754543355646</v>
      </c>
      <c r="AA191" s="8">
        <f t="shared" si="55"/>
        <v>4.1553839623099353</v>
      </c>
      <c r="AB191" s="8">
        <f t="shared" si="56"/>
        <v>81.827676817811323</v>
      </c>
      <c r="AC191" s="8">
        <f t="shared" si="57"/>
        <v>124.66151886929806</v>
      </c>
      <c r="AD191" s="10">
        <f t="shared" si="58"/>
        <v>55.381532671999999</v>
      </c>
      <c r="AE191" s="10">
        <f t="shared" si="47"/>
        <v>47.63</v>
      </c>
    </row>
    <row r="192" spans="1:31" s="10" customFormat="1" ht="13" x14ac:dyDescent="0.15">
      <c r="A192" s="8">
        <v>1</v>
      </c>
      <c r="B192" s="9" t="s">
        <v>235</v>
      </c>
      <c r="C192" s="9" t="s">
        <v>135</v>
      </c>
      <c r="D192" s="9" t="s">
        <v>136</v>
      </c>
      <c r="E192" s="9" t="s">
        <v>18</v>
      </c>
      <c r="F192" s="9" t="s">
        <v>23</v>
      </c>
      <c r="G192" s="9" t="s">
        <v>137</v>
      </c>
      <c r="H192" s="9" t="s">
        <v>159</v>
      </c>
      <c r="I192" s="8">
        <v>168.05600000000001</v>
      </c>
      <c r="J192" s="8">
        <v>1.97</v>
      </c>
      <c r="K192" s="8">
        <v>64.95</v>
      </c>
      <c r="L192" s="8">
        <v>11.944000000000001</v>
      </c>
      <c r="M192" s="8">
        <v>4.33</v>
      </c>
      <c r="N192" s="8">
        <v>6.27061819312949</v>
      </c>
      <c r="O192" s="9" t="s">
        <v>136</v>
      </c>
      <c r="P192" s="9" t="s">
        <v>135</v>
      </c>
      <c r="Q192" s="8">
        <v>188.118545793885</v>
      </c>
      <c r="R192" s="8">
        <v>0.20846212585820001</v>
      </c>
      <c r="S192" s="8"/>
      <c r="T192" s="8">
        <f t="shared" si="48"/>
        <v>1.927350175982282</v>
      </c>
      <c r="U192" s="8">
        <f t="shared" si="49"/>
        <v>0.40770246398699406</v>
      </c>
      <c r="V192" s="8">
        <f t="shared" si="50"/>
        <v>2.165</v>
      </c>
      <c r="W192" s="8">
        <f t="shared" si="51"/>
        <v>4.0923501759822818</v>
      </c>
      <c r="X192" s="8">
        <f t="shared" si="52"/>
        <v>4.1126088146094419</v>
      </c>
      <c r="Y192" s="8">
        <f t="shared" si="53"/>
        <v>4.33</v>
      </c>
      <c r="Z192" s="8">
        <f t="shared" si="54"/>
        <v>6.2573501759822818</v>
      </c>
      <c r="AA192" s="8">
        <f t="shared" si="55"/>
        <v>6.27061819312949</v>
      </c>
      <c r="AB192" s="8">
        <f t="shared" si="56"/>
        <v>123.37826443828325</v>
      </c>
      <c r="AC192" s="8">
        <f t="shared" si="57"/>
        <v>188.11854579388469</v>
      </c>
      <c r="AD192" s="10">
        <f t="shared" si="58"/>
        <v>85.464497959999989</v>
      </c>
      <c r="AE192" s="10">
        <f t="shared" si="47"/>
        <v>64.95</v>
      </c>
    </row>
    <row r="193" spans="1:31" s="10" customFormat="1" ht="13" x14ac:dyDescent="0.15">
      <c r="A193" s="8">
        <v>1</v>
      </c>
      <c r="B193" s="9" t="s">
        <v>236</v>
      </c>
      <c r="C193" s="9" t="s">
        <v>135</v>
      </c>
      <c r="D193" s="9" t="s">
        <v>136</v>
      </c>
      <c r="E193" s="9" t="s">
        <v>18</v>
      </c>
      <c r="F193" s="9" t="s">
        <v>23</v>
      </c>
      <c r="G193" s="9" t="s">
        <v>137</v>
      </c>
      <c r="H193" s="9" t="s">
        <v>159</v>
      </c>
      <c r="I193" s="8">
        <v>148.173</v>
      </c>
      <c r="J193" s="8">
        <v>1.3029999999999999</v>
      </c>
      <c r="K193" s="8">
        <v>64.95</v>
      </c>
      <c r="L193" s="8">
        <v>31.827000000000002</v>
      </c>
      <c r="M193" s="8">
        <v>4.33</v>
      </c>
      <c r="N193" s="8">
        <v>5.4803355758415302</v>
      </c>
      <c r="O193" s="9" t="s">
        <v>136</v>
      </c>
      <c r="P193" s="9" t="s">
        <v>135</v>
      </c>
      <c r="Q193" s="8">
        <v>164.41006727524601</v>
      </c>
      <c r="R193" s="8">
        <v>0.55548594103224003</v>
      </c>
      <c r="S193" s="8"/>
      <c r="T193" s="8">
        <f t="shared" si="48"/>
        <v>1.1070864923596266</v>
      </c>
      <c r="U193" s="8">
        <f t="shared" si="49"/>
        <v>0.68714518002737845</v>
      </c>
      <c r="V193" s="8">
        <f t="shared" si="50"/>
        <v>2.165</v>
      </c>
      <c r="W193" s="8">
        <f t="shared" si="51"/>
        <v>3.2720864923596267</v>
      </c>
      <c r="X193" s="8">
        <f t="shared" si="52"/>
        <v>3.343459063891344</v>
      </c>
      <c r="Y193" s="8">
        <f t="shared" si="53"/>
        <v>4.33</v>
      </c>
      <c r="Z193" s="8">
        <f t="shared" si="54"/>
        <v>5.4370864923596267</v>
      </c>
      <c r="AA193" s="8">
        <f t="shared" si="55"/>
        <v>5.4803355758415346</v>
      </c>
      <c r="AB193" s="8">
        <f t="shared" si="56"/>
        <v>100.30377191674032</v>
      </c>
      <c r="AC193" s="8">
        <f t="shared" si="57"/>
        <v>164.41006727524604</v>
      </c>
      <c r="AD193" s="10">
        <f t="shared" si="58"/>
        <v>85.464497959999989</v>
      </c>
      <c r="AE193" s="10">
        <f t="shared" si="47"/>
        <v>64.95</v>
      </c>
    </row>
    <row r="194" spans="1:31" s="10" customFormat="1" ht="13" x14ac:dyDescent="0.15">
      <c r="A194" s="8">
        <v>1</v>
      </c>
      <c r="B194" s="9" t="s">
        <v>237</v>
      </c>
      <c r="C194" s="9" t="s">
        <v>135</v>
      </c>
      <c r="D194" s="9" t="s">
        <v>136</v>
      </c>
      <c r="E194" s="9" t="s">
        <v>18</v>
      </c>
      <c r="F194" s="9" t="s">
        <v>42</v>
      </c>
      <c r="G194" s="9" t="s">
        <v>137</v>
      </c>
      <c r="H194" s="9" t="s">
        <v>159</v>
      </c>
      <c r="I194" s="8">
        <v>133.315</v>
      </c>
      <c r="J194" s="8">
        <v>1.78</v>
      </c>
      <c r="K194" s="8">
        <v>73.61</v>
      </c>
      <c r="L194" s="8">
        <v>46.685000000000002</v>
      </c>
      <c r="M194" s="8">
        <v>4.9073333333333302</v>
      </c>
      <c r="N194" s="8">
        <v>6.2637822759825799</v>
      </c>
      <c r="O194" s="9" t="s">
        <v>136</v>
      </c>
      <c r="P194" s="9" t="s">
        <v>135</v>
      </c>
      <c r="Q194" s="8">
        <v>187.913468279478</v>
      </c>
      <c r="R194" s="8">
        <v>0.81480696129355001</v>
      </c>
      <c r="S194" s="8"/>
      <c r="T194" s="8">
        <f t="shared" si="48"/>
        <v>1.221095770595277</v>
      </c>
      <c r="U194" s="8">
        <f t="shared" si="49"/>
        <v>1.2951158708912214</v>
      </c>
      <c r="V194" s="8">
        <f t="shared" si="50"/>
        <v>2.4536666666666664</v>
      </c>
      <c r="W194" s="8">
        <f t="shared" si="51"/>
        <v>3.6747624372619434</v>
      </c>
      <c r="X194" s="8">
        <f t="shared" si="52"/>
        <v>3.896306467585124</v>
      </c>
      <c r="Y194" s="8">
        <f t="shared" si="53"/>
        <v>4.9073333333333329</v>
      </c>
      <c r="Z194" s="8">
        <f t="shared" si="54"/>
        <v>6.1284291039286103</v>
      </c>
      <c r="AA194" s="8">
        <f t="shared" si="55"/>
        <v>6.2637822759825843</v>
      </c>
      <c r="AB194" s="8">
        <f t="shared" si="56"/>
        <v>116.88919402755371</v>
      </c>
      <c r="AC194" s="8">
        <f t="shared" si="57"/>
        <v>187.91346827947754</v>
      </c>
      <c r="AD194" s="10">
        <f t="shared" si="58"/>
        <v>100.505980604</v>
      </c>
      <c r="AE194" s="10">
        <f t="shared" si="47"/>
        <v>73.61</v>
      </c>
    </row>
    <row r="195" spans="1:31" s="10" customFormat="1" ht="13" x14ac:dyDescent="0.15">
      <c r="A195" s="8">
        <v>1</v>
      </c>
      <c r="B195" s="9" t="s">
        <v>238</v>
      </c>
      <c r="C195" s="9" t="s">
        <v>135</v>
      </c>
      <c r="D195" s="9" t="s">
        <v>136</v>
      </c>
      <c r="E195" s="9" t="s">
        <v>18</v>
      </c>
      <c r="F195" s="9" t="s">
        <v>42</v>
      </c>
      <c r="G195" s="9" t="s">
        <v>137</v>
      </c>
      <c r="H195" s="9" t="s">
        <v>159</v>
      </c>
      <c r="I195" s="8">
        <v>-137.386</v>
      </c>
      <c r="J195" s="8">
        <v>1.2869999999999999</v>
      </c>
      <c r="K195" s="8">
        <v>73.61</v>
      </c>
      <c r="L195" s="8">
        <v>42.613999999999997</v>
      </c>
      <c r="M195" s="8">
        <v>4.9073333333333302</v>
      </c>
      <c r="N195" s="8">
        <v>5.9189688892102499</v>
      </c>
      <c r="O195" s="9" t="s">
        <v>136</v>
      </c>
      <c r="P195" s="9" t="s">
        <v>135</v>
      </c>
      <c r="Q195" s="8">
        <v>177.56906667630699</v>
      </c>
      <c r="R195" s="8">
        <v>0.74375460744485999</v>
      </c>
      <c r="S195" s="8"/>
      <c r="T195" s="8">
        <f t="shared" si="48"/>
        <v>0.94714406334000423</v>
      </c>
      <c r="U195" s="8">
        <f t="shared" si="49"/>
        <v>0.87137082994542903</v>
      </c>
      <c r="V195" s="8">
        <f t="shared" si="50"/>
        <v>2.4536666666666664</v>
      </c>
      <c r="W195" s="8">
        <f t="shared" si="51"/>
        <v>3.4008107300066706</v>
      </c>
      <c r="X195" s="8">
        <f t="shared" si="52"/>
        <v>3.5106695578775695</v>
      </c>
      <c r="Y195" s="8">
        <f t="shared" si="53"/>
        <v>4.9073333333333329</v>
      </c>
      <c r="Z195" s="8">
        <f t="shared" si="54"/>
        <v>5.854477396673337</v>
      </c>
      <c r="AA195" s="8">
        <f t="shared" si="55"/>
        <v>5.9189688892102481</v>
      </c>
      <c r="AB195" s="8">
        <f t="shared" si="56"/>
        <v>105.32008673632708</v>
      </c>
      <c r="AC195" s="8">
        <f t="shared" si="57"/>
        <v>177.56906667630744</v>
      </c>
      <c r="AD195" s="10">
        <f t="shared" si="58"/>
        <v>100.505980604</v>
      </c>
      <c r="AE195" s="10">
        <f t="shared" ref="AE195:AE210" si="59">K195</f>
        <v>73.61</v>
      </c>
    </row>
    <row r="196" spans="1:31" s="10" customFormat="1" ht="13" x14ac:dyDescent="0.15">
      <c r="A196" s="8">
        <v>1</v>
      </c>
      <c r="B196" s="9" t="s">
        <v>239</v>
      </c>
      <c r="C196" s="9" t="s">
        <v>135</v>
      </c>
      <c r="D196" s="9" t="s">
        <v>136</v>
      </c>
      <c r="E196" s="9" t="s">
        <v>18</v>
      </c>
      <c r="F196" s="9" t="s">
        <v>42</v>
      </c>
      <c r="G196" s="9" t="s">
        <v>137</v>
      </c>
      <c r="H196" s="9" t="s">
        <v>159</v>
      </c>
      <c r="I196" s="8">
        <v>-160.017</v>
      </c>
      <c r="J196" s="8">
        <v>1.3089999999999999</v>
      </c>
      <c r="K196" s="8">
        <v>73.61</v>
      </c>
      <c r="L196" s="8">
        <v>19.983000000000001</v>
      </c>
      <c r="M196" s="8">
        <v>4.9073333333333302</v>
      </c>
      <c r="N196" s="8">
        <v>6.1538045453963797</v>
      </c>
      <c r="O196" s="9" t="s">
        <v>136</v>
      </c>
      <c r="P196" s="9" t="s">
        <v>135</v>
      </c>
      <c r="Q196" s="8">
        <v>184.61413636189101</v>
      </c>
      <c r="R196" s="8">
        <v>0.34876914442603002</v>
      </c>
      <c r="S196" s="8"/>
      <c r="T196" s="8">
        <f t="shared" si="48"/>
        <v>1.2301904230230281</v>
      </c>
      <c r="U196" s="8">
        <f t="shared" si="49"/>
        <v>0.44733938246305011</v>
      </c>
      <c r="V196" s="8">
        <f t="shared" si="50"/>
        <v>2.4536666666666664</v>
      </c>
      <c r="W196" s="8">
        <f t="shared" si="51"/>
        <v>3.6838570896896945</v>
      </c>
      <c r="X196" s="8">
        <f t="shared" si="52"/>
        <v>3.7109184281467908</v>
      </c>
      <c r="Y196" s="8">
        <f t="shared" si="53"/>
        <v>4.9073333333333329</v>
      </c>
      <c r="Z196" s="8">
        <f t="shared" si="54"/>
        <v>6.1375237563563605</v>
      </c>
      <c r="AA196" s="8">
        <f t="shared" si="55"/>
        <v>6.1538045453963779</v>
      </c>
      <c r="AB196" s="8">
        <f t="shared" si="56"/>
        <v>111.32755284440373</v>
      </c>
      <c r="AC196" s="8">
        <f t="shared" si="57"/>
        <v>184.61413636189133</v>
      </c>
      <c r="AD196" s="10">
        <f t="shared" si="58"/>
        <v>100.505980604</v>
      </c>
      <c r="AE196" s="10">
        <f t="shared" si="59"/>
        <v>73.61</v>
      </c>
    </row>
    <row r="197" spans="1:31" s="10" customFormat="1" ht="13" x14ac:dyDescent="0.15">
      <c r="A197" s="8">
        <v>1</v>
      </c>
      <c r="B197" s="9" t="s">
        <v>240</v>
      </c>
      <c r="C197" s="9" t="s">
        <v>135</v>
      </c>
      <c r="D197" s="9" t="s">
        <v>136</v>
      </c>
      <c r="E197" s="9" t="s">
        <v>18</v>
      </c>
      <c r="F197" s="9" t="s">
        <v>42</v>
      </c>
      <c r="G197" s="9" t="s">
        <v>137</v>
      </c>
      <c r="H197" s="9" t="s">
        <v>159</v>
      </c>
      <c r="I197" s="8">
        <v>160.017</v>
      </c>
      <c r="J197" s="8">
        <v>0.46</v>
      </c>
      <c r="K197" s="8">
        <v>73.61</v>
      </c>
      <c r="L197" s="8">
        <v>19.983000000000001</v>
      </c>
      <c r="M197" s="8">
        <v>4.9073333333333302</v>
      </c>
      <c r="N197" s="8">
        <v>5.3419521281035998</v>
      </c>
      <c r="O197" s="9" t="s">
        <v>136</v>
      </c>
      <c r="P197" s="9" t="s">
        <v>135</v>
      </c>
      <c r="Q197" s="8">
        <v>160.25856384310799</v>
      </c>
      <c r="R197" s="8">
        <v>0.34876914442603002</v>
      </c>
      <c r="S197" s="8"/>
      <c r="T197" s="8">
        <f t="shared" si="48"/>
        <v>0.43230526706691591</v>
      </c>
      <c r="U197" s="8">
        <f t="shared" si="49"/>
        <v>0.15720100529641182</v>
      </c>
      <c r="V197" s="8">
        <f t="shared" si="50"/>
        <v>2.4536666666666664</v>
      </c>
      <c r="W197" s="8">
        <f t="shared" si="51"/>
        <v>2.8859719337335825</v>
      </c>
      <c r="X197" s="8">
        <f t="shared" si="52"/>
        <v>2.890250189579469</v>
      </c>
      <c r="Y197" s="8">
        <f t="shared" si="53"/>
        <v>4.9073333333333329</v>
      </c>
      <c r="Z197" s="8">
        <f t="shared" si="54"/>
        <v>5.3396386004002485</v>
      </c>
      <c r="AA197" s="8">
        <f t="shared" si="55"/>
        <v>5.3419521281035953</v>
      </c>
      <c r="AB197" s="8">
        <f t="shared" si="56"/>
        <v>86.707505687384071</v>
      </c>
      <c r="AC197" s="8">
        <f t="shared" si="57"/>
        <v>160.25856384310785</v>
      </c>
      <c r="AD197" s="10">
        <f t="shared" si="58"/>
        <v>100.505980604</v>
      </c>
      <c r="AE197" s="10">
        <f t="shared" si="59"/>
        <v>73.61</v>
      </c>
    </row>
    <row r="198" spans="1:31" s="10" customFormat="1" ht="13" x14ac:dyDescent="0.15">
      <c r="A198" s="8">
        <v>1</v>
      </c>
      <c r="B198" s="9" t="s">
        <v>241</v>
      </c>
      <c r="C198" s="9" t="s">
        <v>135</v>
      </c>
      <c r="D198" s="9" t="s">
        <v>136</v>
      </c>
      <c r="E198" s="9" t="s">
        <v>18</v>
      </c>
      <c r="F198" s="9" t="s">
        <v>42</v>
      </c>
      <c r="G198" s="9" t="s">
        <v>137</v>
      </c>
      <c r="H198" s="9" t="s">
        <v>159</v>
      </c>
      <c r="I198" s="8">
        <v>147.84800000000001</v>
      </c>
      <c r="J198" s="8">
        <v>1.5409999999999999</v>
      </c>
      <c r="K198" s="8">
        <v>73.61</v>
      </c>
      <c r="L198" s="8">
        <v>32.152000000000001</v>
      </c>
      <c r="M198" s="8">
        <v>4.9073333333333302</v>
      </c>
      <c r="N198" s="8">
        <v>6.2659008816579398</v>
      </c>
      <c r="O198" s="9" t="s">
        <v>136</v>
      </c>
      <c r="P198" s="9" t="s">
        <v>135</v>
      </c>
      <c r="Q198" s="8">
        <v>187.97702644973799</v>
      </c>
      <c r="R198" s="8">
        <v>0.56115826110122002</v>
      </c>
      <c r="S198" s="8"/>
      <c r="T198" s="8">
        <f t="shared" si="48"/>
        <v>1.304671146683599</v>
      </c>
      <c r="U198" s="8">
        <f t="shared" si="49"/>
        <v>0.82006963058712434</v>
      </c>
      <c r="V198" s="8">
        <f t="shared" si="50"/>
        <v>2.4536666666666664</v>
      </c>
      <c r="W198" s="8">
        <f t="shared" si="51"/>
        <v>3.7583378133502654</v>
      </c>
      <c r="X198" s="8">
        <f t="shared" si="52"/>
        <v>3.8467671255574802</v>
      </c>
      <c r="Y198" s="8">
        <f t="shared" si="53"/>
        <v>4.9073333333333329</v>
      </c>
      <c r="Z198" s="8">
        <f t="shared" si="54"/>
        <v>6.2120044800169314</v>
      </c>
      <c r="AA198" s="8">
        <f t="shared" si="55"/>
        <v>6.2659008816579389</v>
      </c>
      <c r="AB198" s="8">
        <f t="shared" si="56"/>
        <v>115.40301376672441</v>
      </c>
      <c r="AC198" s="8">
        <f t="shared" si="57"/>
        <v>187.97702644973816</v>
      </c>
      <c r="AD198" s="10">
        <f t="shared" si="58"/>
        <v>100.505980604</v>
      </c>
      <c r="AE198" s="10">
        <f t="shared" si="59"/>
        <v>73.61</v>
      </c>
    </row>
    <row r="199" spans="1:31" s="10" customFormat="1" ht="13" x14ac:dyDescent="0.15">
      <c r="A199" s="8">
        <v>1</v>
      </c>
      <c r="B199" s="9" t="s">
        <v>242</v>
      </c>
      <c r="C199" s="9" t="s">
        <v>135</v>
      </c>
      <c r="D199" s="9" t="s">
        <v>136</v>
      </c>
      <c r="E199" s="9" t="s">
        <v>18</v>
      </c>
      <c r="F199" s="9" t="s">
        <v>42</v>
      </c>
      <c r="G199" s="9" t="s">
        <v>137</v>
      </c>
      <c r="H199" s="9" t="s">
        <v>159</v>
      </c>
      <c r="I199" s="8">
        <v>-135</v>
      </c>
      <c r="J199" s="8">
        <v>0.79100000000000004</v>
      </c>
      <c r="K199" s="8">
        <v>73.61</v>
      </c>
      <c r="L199" s="8">
        <v>45</v>
      </c>
      <c r="M199" s="8">
        <v>4.9073333333333302</v>
      </c>
      <c r="N199" s="8">
        <v>5.49519382481793</v>
      </c>
      <c r="O199" s="9" t="s">
        <v>136</v>
      </c>
      <c r="P199" s="9" t="s">
        <v>135</v>
      </c>
      <c r="Q199" s="8">
        <v>164.85581474453801</v>
      </c>
      <c r="R199" s="8">
        <v>0.78539816339745006</v>
      </c>
      <c r="S199" s="8"/>
      <c r="T199" s="8">
        <f t="shared" si="48"/>
        <v>0.55932146391855919</v>
      </c>
      <c r="U199" s="8">
        <f t="shared" si="49"/>
        <v>0.55932146391855908</v>
      </c>
      <c r="V199" s="8">
        <f t="shared" si="50"/>
        <v>2.4536666666666664</v>
      </c>
      <c r="W199" s="8">
        <f t="shared" si="51"/>
        <v>3.0129881305852257</v>
      </c>
      <c r="X199" s="8">
        <f t="shared" si="52"/>
        <v>3.0644637336812215</v>
      </c>
      <c r="Y199" s="8">
        <f t="shared" si="53"/>
        <v>4.9073333333333329</v>
      </c>
      <c r="Z199" s="8">
        <f t="shared" si="54"/>
        <v>5.4666547972518922</v>
      </c>
      <c r="AA199" s="8">
        <f t="shared" si="55"/>
        <v>5.4951938248179317</v>
      </c>
      <c r="AB199" s="8">
        <f t="shared" si="56"/>
        <v>91.933912010436643</v>
      </c>
      <c r="AC199" s="8">
        <f t="shared" si="57"/>
        <v>164.85581474453795</v>
      </c>
      <c r="AD199" s="10">
        <f t="shared" si="58"/>
        <v>100.505980604</v>
      </c>
      <c r="AE199" s="10">
        <f t="shared" si="59"/>
        <v>73.61</v>
      </c>
    </row>
    <row r="200" spans="1:31" s="10" customFormat="1" ht="13" x14ac:dyDescent="0.15">
      <c r="A200" s="8">
        <v>1</v>
      </c>
      <c r="B200" s="9" t="s">
        <v>243</v>
      </c>
      <c r="C200" s="9" t="s">
        <v>135</v>
      </c>
      <c r="D200" s="9" t="s">
        <v>136</v>
      </c>
      <c r="E200" s="9" t="s">
        <v>18</v>
      </c>
      <c r="F200" s="9" t="s">
        <v>42</v>
      </c>
      <c r="G200" s="9" t="s">
        <v>137</v>
      </c>
      <c r="H200" s="9" t="s">
        <v>159</v>
      </c>
      <c r="I200" s="8">
        <v>165.06899999999999</v>
      </c>
      <c r="J200" s="8">
        <v>0.57499999999999996</v>
      </c>
      <c r="K200" s="8">
        <v>73.61</v>
      </c>
      <c r="L200" s="8">
        <v>14.930999999999999</v>
      </c>
      <c r="M200" s="8">
        <v>4.9073333333333302</v>
      </c>
      <c r="N200" s="8">
        <v>5.4649280414096504</v>
      </c>
      <c r="O200" s="9" t="s">
        <v>136</v>
      </c>
      <c r="P200" s="9" t="s">
        <v>135</v>
      </c>
      <c r="Q200" s="8">
        <v>163.94784124229</v>
      </c>
      <c r="R200" s="8">
        <v>0.26059511061527002</v>
      </c>
      <c r="S200" s="8"/>
      <c r="T200" s="8">
        <f t="shared" si="48"/>
        <v>0.55558616899956736</v>
      </c>
      <c r="U200" s="8">
        <f t="shared" si="49"/>
        <v>0.14815197877984676</v>
      </c>
      <c r="V200" s="8">
        <f t="shared" si="50"/>
        <v>2.4536666666666664</v>
      </c>
      <c r="W200" s="8">
        <f t="shared" si="51"/>
        <v>3.009252835666234</v>
      </c>
      <c r="X200" s="8">
        <f t="shared" si="52"/>
        <v>3.0128975485040401</v>
      </c>
      <c r="Y200" s="8">
        <f t="shared" si="53"/>
        <v>4.9073333333333329</v>
      </c>
      <c r="Z200" s="8">
        <f t="shared" si="54"/>
        <v>5.4629195023329</v>
      </c>
      <c r="AA200" s="8">
        <f t="shared" si="55"/>
        <v>5.4649280414096513</v>
      </c>
      <c r="AB200" s="8">
        <f t="shared" si="56"/>
        <v>90.386926455121198</v>
      </c>
      <c r="AC200" s="8">
        <f t="shared" si="57"/>
        <v>163.94784124228954</v>
      </c>
      <c r="AD200" s="10">
        <f t="shared" si="58"/>
        <v>100.505980604</v>
      </c>
      <c r="AE200" s="10">
        <f t="shared" si="59"/>
        <v>73.61</v>
      </c>
    </row>
    <row r="201" spans="1:31" s="10" customFormat="1" ht="13" x14ac:dyDescent="0.15">
      <c r="A201" s="8">
        <v>1</v>
      </c>
      <c r="B201" s="9" t="s">
        <v>244</v>
      </c>
      <c r="C201" s="9" t="s">
        <v>135</v>
      </c>
      <c r="D201" s="9" t="s">
        <v>136</v>
      </c>
      <c r="E201" s="9" t="s">
        <v>18</v>
      </c>
      <c r="F201" s="9" t="s">
        <v>25</v>
      </c>
      <c r="G201" s="9" t="s">
        <v>137</v>
      </c>
      <c r="H201" s="9" t="s">
        <v>159</v>
      </c>
      <c r="I201" s="8">
        <v>154.09299999999999</v>
      </c>
      <c r="J201" s="8">
        <v>1.45</v>
      </c>
      <c r="K201" s="8">
        <v>82.27</v>
      </c>
      <c r="L201" s="8">
        <v>25.907</v>
      </c>
      <c r="M201" s="8">
        <v>5.4846666666666701</v>
      </c>
      <c r="N201" s="8">
        <v>6.8184430606155404</v>
      </c>
      <c r="O201" s="9" t="s">
        <v>136</v>
      </c>
      <c r="P201" s="9" t="s">
        <v>135</v>
      </c>
      <c r="Q201" s="8">
        <v>204.55329181846599</v>
      </c>
      <c r="R201" s="8">
        <v>0.45216244931416999</v>
      </c>
      <c r="S201" s="8"/>
      <c r="T201" s="8">
        <f t="shared" si="48"/>
        <v>1.3042813899123449</v>
      </c>
      <c r="U201" s="8">
        <f t="shared" si="49"/>
        <v>0.63352194589321154</v>
      </c>
      <c r="V201" s="8">
        <f t="shared" si="50"/>
        <v>2.7423333333333333</v>
      </c>
      <c r="W201" s="8">
        <f t="shared" si="51"/>
        <v>4.0466147232456784</v>
      </c>
      <c r="X201" s="8">
        <f t="shared" si="52"/>
        <v>4.0959053668654288</v>
      </c>
      <c r="Y201" s="8">
        <f t="shared" si="53"/>
        <v>5.4846666666666666</v>
      </c>
      <c r="Z201" s="8">
        <f t="shared" si="54"/>
        <v>6.7889480565790112</v>
      </c>
      <c r="AA201" s="8">
        <f t="shared" si="55"/>
        <v>6.8184430606155431</v>
      </c>
      <c r="AB201" s="8">
        <f t="shared" si="56"/>
        <v>122.87716100596286</v>
      </c>
      <c r="AC201" s="8">
        <f t="shared" si="57"/>
        <v>204.55329181846628</v>
      </c>
      <c r="AD201" s="10">
        <f t="shared" si="58"/>
        <v>115.54746324799999</v>
      </c>
      <c r="AE201" s="10">
        <f t="shared" si="59"/>
        <v>82.27</v>
      </c>
    </row>
    <row r="202" spans="1:31" s="10" customFormat="1" ht="13" x14ac:dyDescent="0.15">
      <c r="A202" s="8">
        <v>1</v>
      </c>
      <c r="B202" s="9" t="s">
        <v>245</v>
      </c>
      <c r="C202" s="9" t="s">
        <v>135</v>
      </c>
      <c r="D202" s="9" t="s">
        <v>136</v>
      </c>
      <c r="E202" s="9" t="s">
        <v>18</v>
      </c>
      <c r="F202" s="9" t="s">
        <v>25</v>
      </c>
      <c r="G202" s="9" t="s">
        <v>137</v>
      </c>
      <c r="H202" s="9" t="s">
        <v>159</v>
      </c>
      <c r="I202" s="8">
        <v>180</v>
      </c>
      <c r="J202" s="8">
        <v>0.81100000000000005</v>
      </c>
      <c r="K202" s="8">
        <v>82.27</v>
      </c>
      <c r="L202" s="8">
        <v>0</v>
      </c>
      <c r="M202" s="8">
        <v>5.4846666666666701</v>
      </c>
      <c r="N202" s="8">
        <v>6.2956666666666701</v>
      </c>
      <c r="O202" s="9" t="s">
        <v>136</v>
      </c>
      <c r="P202" s="9" t="s">
        <v>135</v>
      </c>
      <c r="Q202" s="8">
        <v>188.87</v>
      </c>
      <c r="R202" s="8">
        <v>0</v>
      </c>
      <c r="S202" s="8"/>
      <c r="T202" s="8">
        <f t="shared" si="48"/>
        <v>0.81100000000000005</v>
      </c>
      <c r="U202" s="8">
        <f t="shared" si="49"/>
        <v>0</v>
      </c>
      <c r="V202" s="8">
        <f t="shared" si="50"/>
        <v>2.7423333333333333</v>
      </c>
      <c r="W202" s="8">
        <f t="shared" si="51"/>
        <v>3.5533333333333332</v>
      </c>
      <c r="X202" s="8">
        <f t="shared" si="52"/>
        <v>3.5533333333333332</v>
      </c>
      <c r="Y202" s="8">
        <f t="shared" si="53"/>
        <v>5.4846666666666666</v>
      </c>
      <c r="Z202" s="8">
        <f t="shared" si="54"/>
        <v>6.2956666666666665</v>
      </c>
      <c r="AA202" s="8">
        <f t="shared" si="55"/>
        <v>6.2956666666666665</v>
      </c>
      <c r="AB202" s="8">
        <f t="shared" si="56"/>
        <v>106.6</v>
      </c>
      <c r="AC202" s="8">
        <f t="shared" si="57"/>
        <v>188.87</v>
      </c>
      <c r="AD202" s="10">
        <f t="shared" si="58"/>
        <v>115.54746324799999</v>
      </c>
      <c r="AE202" s="10">
        <f t="shared" si="59"/>
        <v>82.27</v>
      </c>
    </row>
    <row r="203" spans="1:31" s="10" customFormat="1" ht="13" x14ac:dyDescent="0.15">
      <c r="A203" s="8">
        <v>1</v>
      </c>
      <c r="B203" s="9" t="s">
        <v>246</v>
      </c>
      <c r="C203" s="9" t="s">
        <v>135</v>
      </c>
      <c r="D203" s="9" t="s">
        <v>136</v>
      </c>
      <c r="E203" s="9" t="s">
        <v>18</v>
      </c>
      <c r="F203" s="9" t="s">
        <v>25</v>
      </c>
      <c r="G203" s="9" t="s">
        <v>137</v>
      </c>
      <c r="H203" s="9" t="s">
        <v>159</v>
      </c>
      <c r="I203" s="8">
        <v>145.62</v>
      </c>
      <c r="J203" s="8">
        <v>0.84499999999999997</v>
      </c>
      <c r="K203" s="8">
        <v>82.27</v>
      </c>
      <c r="L203" s="8">
        <v>34.380000000000003</v>
      </c>
      <c r="M203" s="8">
        <v>5.4846666666666701</v>
      </c>
      <c r="N203" s="8">
        <v>6.2004410703427899</v>
      </c>
      <c r="O203" s="9" t="s">
        <v>136</v>
      </c>
      <c r="P203" s="9" t="s">
        <v>135</v>
      </c>
      <c r="Q203" s="8">
        <v>186.01323211028401</v>
      </c>
      <c r="R203" s="8">
        <v>0.60004419683565002</v>
      </c>
      <c r="S203" s="8"/>
      <c r="T203" s="8">
        <f t="shared" si="48"/>
        <v>0.69738750659558457</v>
      </c>
      <c r="U203" s="8">
        <f t="shared" si="49"/>
        <v>0.47715371280583518</v>
      </c>
      <c r="V203" s="8">
        <f t="shared" si="50"/>
        <v>2.7423333333333333</v>
      </c>
      <c r="W203" s="8">
        <f t="shared" si="51"/>
        <v>3.4397208399289179</v>
      </c>
      <c r="X203" s="8">
        <f t="shared" si="52"/>
        <v>3.4726582213465371</v>
      </c>
      <c r="Y203" s="8">
        <f t="shared" si="53"/>
        <v>5.4846666666666666</v>
      </c>
      <c r="Z203" s="8">
        <f t="shared" si="54"/>
        <v>6.1820541732622516</v>
      </c>
      <c r="AA203" s="8">
        <f t="shared" si="55"/>
        <v>6.2004410703427872</v>
      </c>
      <c r="AB203" s="8">
        <f t="shared" si="56"/>
        <v>104.17974664039612</v>
      </c>
      <c r="AC203" s="8">
        <f t="shared" si="57"/>
        <v>186.01323211028361</v>
      </c>
      <c r="AD203" s="10">
        <f t="shared" si="58"/>
        <v>115.54746324799999</v>
      </c>
      <c r="AE203" s="10">
        <f t="shared" si="59"/>
        <v>82.27</v>
      </c>
    </row>
    <row r="204" spans="1:31" s="10" customFormat="1" ht="13" x14ac:dyDescent="0.15">
      <c r="A204" s="8">
        <v>1</v>
      </c>
      <c r="B204" s="9" t="s">
        <v>247</v>
      </c>
      <c r="C204" s="9" t="s">
        <v>135</v>
      </c>
      <c r="D204" s="9" t="s">
        <v>136</v>
      </c>
      <c r="E204" s="9" t="s">
        <v>18</v>
      </c>
      <c r="F204" s="9" t="s">
        <v>25</v>
      </c>
      <c r="G204" s="9" t="s">
        <v>137</v>
      </c>
      <c r="H204" s="9" t="s">
        <v>159</v>
      </c>
      <c r="I204" s="8">
        <v>160.20099999999999</v>
      </c>
      <c r="J204" s="8">
        <v>1.004</v>
      </c>
      <c r="K204" s="8">
        <v>82.27</v>
      </c>
      <c r="L204" s="8">
        <v>19.798999999999999</v>
      </c>
      <c r="M204" s="8">
        <v>5.4846666666666701</v>
      </c>
      <c r="N204" s="8">
        <v>6.4383047205525497</v>
      </c>
      <c r="O204" s="9" t="s">
        <v>136</v>
      </c>
      <c r="P204" s="9" t="s">
        <v>135</v>
      </c>
      <c r="Q204" s="8">
        <v>193.149141616576</v>
      </c>
      <c r="R204" s="8">
        <v>0.34555773860236</v>
      </c>
      <c r="S204" s="8"/>
      <c r="T204" s="8">
        <f t="shared" si="48"/>
        <v>0.94465022762654216</v>
      </c>
      <c r="U204" s="8">
        <f t="shared" si="49"/>
        <v>0.34007638472131813</v>
      </c>
      <c r="V204" s="8">
        <f t="shared" si="50"/>
        <v>2.7423333333333333</v>
      </c>
      <c r="W204" s="8">
        <f t="shared" si="51"/>
        <v>3.6869835609598756</v>
      </c>
      <c r="X204" s="8">
        <f t="shared" si="52"/>
        <v>3.702634160463802</v>
      </c>
      <c r="Y204" s="8">
        <f t="shared" si="53"/>
        <v>5.4846666666666666</v>
      </c>
      <c r="Z204" s="8">
        <f t="shared" si="54"/>
        <v>6.4293168942932084</v>
      </c>
      <c r="AA204" s="8">
        <f t="shared" si="55"/>
        <v>6.4383047205525452</v>
      </c>
      <c r="AB204" s="8">
        <f t="shared" si="56"/>
        <v>111.07902481391406</v>
      </c>
      <c r="AC204" s="8">
        <f t="shared" si="57"/>
        <v>193.14914161657634</v>
      </c>
      <c r="AD204" s="10">
        <f t="shared" si="58"/>
        <v>115.54746324799999</v>
      </c>
      <c r="AE204" s="10">
        <f t="shared" si="59"/>
        <v>82.27</v>
      </c>
    </row>
    <row r="205" spans="1:31" s="10" customFormat="1" ht="13" x14ac:dyDescent="0.15">
      <c r="A205" s="8">
        <v>1</v>
      </c>
      <c r="B205" s="9" t="s">
        <v>248</v>
      </c>
      <c r="C205" s="9" t="s">
        <v>135</v>
      </c>
      <c r="D205" s="9" t="s">
        <v>136</v>
      </c>
      <c r="E205" s="9" t="s">
        <v>18</v>
      </c>
      <c r="F205" s="9" t="s">
        <v>25</v>
      </c>
      <c r="G205" s="9" t="s">
        <v>137</v>
      </c>
      <c r="H205" s="9" t="s">
        <v>159</v>
      </c>
      <c r="I205" s="8">
        <v>142.76499999999999</v>
      </c>
      <c r="J205" s="8">
        <v>1.17</v>
      </c>
      <c r="K205" s="8">
        <v>82.27</v>
      </c>
      <c r="L205" s="8">
        <v>37.234999999999999</v>
      </c>
      <c r="M205" s="8">
        <v>5.4846666666666701</v>
      </c>
      <c r="N205" s="8">
        <v>6.4551132508704399</v>
      </c>
      <c r="O205" s="9" t="s">
        <v>136</v>
      </c>
      <c r="P205" s="9" t="s">
        <v>135</v>
      </c>
      <c r="Q205" s="8">
        <v>193.653397526113</v>
      </c>
      <c r="R205" s="8">
        <v>0.64987334698009003</v>
      </c>
      <c r="S205" s="8"/>
      <c r="T205" s="8">
        <f t="shared" si="48"/>
        <v>0.93150771579422098</v>
      </c>
      <c r="U205" s="8">
        <f t="shared" si="49"/>
        <v>0.70795012212431507</v>
      </c>
      <c r="V205" s="8">
        <f t="shared" si="50"/>
        <v>2.7423333333333333</v>
      </c>
      <c r="W205" s="8">
        <f t="shared" si="51"/>
        <v>3.6738410491275544</v>
      </c>
      <c r="X205" s="8">
        <f t="shared" si="52"/>
        <v>3.7414303988809525</v>
      </c>
      <c r="Y205" s="8">
        <f t="shared" si="53"/>
        <v>5.4846666666666666</v>
      </c>
      <c r="Z205" s="8">
        <f t="shared" si="54"/>
        <v>6.4161743824608877</v>
      </c>
      <c r="AA205" s="8">
        <f t="shared" si="55"/>
        <v>6.4551132508704434</v>
      </c>
      <c r="AB205" s="8">
        <f t="shared" si="56"/>
        <v>112.24291196642858</v>
      </c>
      <c r="AC205" s="8">
        <f t="shared" si="57"/>
        <v>193.65339752611331</v>
      </c>
      <c r="AD205" s="10">
        <f t="shared" si="58"/>
        <v>115.54746324799999</v>
      </c>
      <c r="AE205" s="10">
        <f t="shared" si="59"/>
        <v>82.27</v>
      </c>
    </row>
    <row r="206" spans="1:31" s="10" customFormat="1" ht="13" x14ac:dyDescent="0.15">
      <c r="A206" s="8">
        <v>1</v>
      </c>
      <c r="B206" s="9" t="s">
        <v>249</v>
      </c>
      <c r="C206" s="9" t="s">
        <v>135</v>
      </c>
      <c r="D206" s="9" t="s">
        <v>136</v>
      </c>
      <c r="E206" s="9" t="s">
        <v>18</v>
      </c>
      <c r="F206" s="9" t="s">
        <v>25</v>
      </c>
      <c r="G206" s="9" t="s">
        <v>137</v>
      </c>
      <c r="H206" s="9" t="s">
        <v>159</v>
      </c>
      <c r="I206" s="8">
        <v>170.21799999999999</v>
      </c>
      <c r="J206" s="8">
        <v>1.097</v>
      </c>
      <c r="K206" s="8">
        <v>82.27</v>
      </c>
      <c r="L206" s="8">
        <v>9.7820000000000107</v>
      </c>
      <c r="M206" s="8">
        <v>5.4846666666666701</v>
      </c>
      <c r="N206" s="8">
        <v>6.56836258082435</v>
      </c>
      <c r="O206" s="9" t="s">
        <v>136</v>
      </c>
      <c r="P206" s="9" t="s">
        <v>135</v>
      </c>
      <c r="Q206" s="8">
        <v>197.050877424731</v>
      </c>
      <c r="R206" s="8">
        <v>0.17072810743009001</v>
      </c>
      <c r="S206" s="8"/>
      <c r="T206" s="8">
        <f t="shared" ref="T206:T210" si="60">J206*COS(L206*PI()/180)</f>
        <v>1.0810510710522472</v>
      </c>
      <c r="U206" s="8">
        <f t="shared" ref="U206:U210" si="61">J206*SIN(L206*PI()/180)</f>
        <v>0.18638020757792165</v>
      </c>
      <c r="V206" s="8">
        <f t="shared" ref="V206:V210" si="62">K206/30</f>
        <v>2.7423333333333333</v>
      </c>
      <c r="W206" s="8">
        <f t="shared" ref="W206:W210" si="63">V206+T206</f>
        <v>3.8233844043855805</v>
      </c>
      <c r="X206" s="8">
        <f t="shared" ref="X206:X210" si="64">SQRT(W206^2 + U206^2)</f>
        <v>3.8279244879537093</v>
      </c>
      <c r="Y206" s="8">
        <f t="shared" ref="Y206:Y210" si="65">K206/(30/2)</f>
        <v>5.4846666666666666</v>
      </c>
      <c r="Z206" s="8">
        <f t="shared" ref="Z206:Z210" si="66">Y206+T206</f>
        <v>6.5657177377189138</v>
      </c>
      <c r="AA206" s="8">
        <f t="shared" ref="AA206:AA210" si="67">SQRT(Z206^2 + U206^2)</f>
        <v>6.5683625808243535</v>
      </c>
      <c r="AB206" s="8">
        <f t="shared" ref="AB206:AB210" si="68">X206*30</f>
        <v>114.83773463861128</v>
      </c>
      <c r="AC206" s="8">
        <f t="shared" ref="AC206:AC210" si="69">AA206*30</f>
        <v>197.0508774247306</v>
      </c>
      <c r="AD206" s="10">
        <f t="shared" ref="AD206:AD210" si="70">-27.34662187 + 7.520741322 * F206</f>
        <v>115.54746324799999</v>
      </c>
      <c r="AE206" s="10">
        <f t="shared" si="59"/>
        <v>82.27</v>
      </c>
    </row>
    <row r="207" spans="1:31" s="10" customFormat="1" ht="13" x14ac:dyDescent="0.15">
      <c r="A207" s="8">
        <v>1</v>
      </c>
      <c r="B207" s="9" t="s">
        <v>250</v>
      </c>
      <c r="C207" s="9" t="s">
        <v>135</v>
      </c>
      <c r="D207" s="9" t="s">
        <v>136</v>
      </c>
      <c r="E207" s="9" t="s">
        <v>18</v>
      </c>
      <c r="F207" s="9" t="s">
        <v>25</v>
      </c>
      <c r="G207" s="9" t="s">
        <v>137</v>
      </c>
      <c r="H207" s="9" t="s">
        <v>159</v>
      </c>
      <c r="I207" s="8">
        <v>-173.88399999999999</v>
      </c>
      <c r="J207" s="8">
        <v>2.0790000000000002</v>
      </c>
      <c r="K207" s="8">
        <v>82.27</v>
      </c>
      <c r="L207" s="8">
        <v>6.1160000000000103</v>
      </c>
      <c r="M207" s="8">
        <v>5.4846666666666701</v>
      </c>
      <c r="N207" s="8">
        <v>7.5550811550823997</v>
      </c>
      <c r="O207" s="9" t="s">
        <v>136</v>
      </c>
      <c r="P207" s="9" t="s">
        <v>135</v>
      </c>
      <c r="Q207" s="8">
        <v>226.65243465247201</v>
      </c>
      <c r="R207" s="8">
        <v>0.10674433705197001</v>
      </c>
      <c r="S207" s="8"/>
      <c r="T207" s="8">
        <f t="shared" si="60"/>
        <v>2.0671668119092663</v>
      </c>
      <c r="U207" s="8">
        <f t="shared" si="61"/>
        <v>0.22150027480994264</v>
      </c>
      <c r="V207" s="8">
        <f t="shared" si="62"/>
        <v>2.7423333333333333</v>
      </c>
      <c r="W207" s="8">
        <f t="shared" si="63"/>
        <v>4.8095001452426001</v>
      </c>
      <c r="X207" s="8">
        <f t="shared" si="64"/>
        <v>4.8145980121739624</v>
      </c>
      <c r="Y207" s="8">
        <f t="shared" si="65"/>
        <v>5.4846666666666666</v>
      </c>
      <c r="Z207" s="8">
        <f t="shared" si="66"/>
        <v>7.5518334785759329</v>
      </c>
      <c r="AA207" s="8">
        <f t="shared" si="67"/>
        <v>7.5550811550823962</v>
      </c>
      <c r="AB207" s="8">
        <f t="shared" si="68"/>
        <v>144.43794036521888</v>
      </c>
      <c r="AC207" s="8">
        <f t="shared" si="69"/>
        <v>226.6524346524719</v>
      </c>
      <c r="AD207" s="10">
        <f t="shared" si="70"/>
        <v>115.54746324799999</v>
      </c>
      <c r="AE207" s="10">
        <f t="shared" si="59"/>
        <v>82.27</v>
      </c>
    </row>
    <row r="208" spans="1:31" s="10" customFormat="1" ht="13" x14ac:dyDescent="0.15">
      <c r="A208" s="8">
        <v>1</v>
      </c>
      <c r="B208" s="9" t="s">
        <v>251</v>
      </c>
      <c r="C208" s="9" t="s">
        <v>135</v>
      </c>
      <c r="D208" s="9" t="s">
        <v>136</v>
      </c>
      <c r="E208" s="9" t="s">
        <v>18</v>
      </c>
      <c r="F208" s="9" t="s">
        <v>32</v>
      </c>
      <c r="G208" s="9" t="s">
        <v>137</v>
      </c>
      <c r="H208" s="9" t="s">
        <v>159</v>
      </c>
      <c r="I208" s="8">
        <v>-162.35</v>
      </c>
      <c r="J208" s="8">
        <v>0.86</v>
      </c>
      <c r="K208" s="8">
        <v>90.93</v>
      </c>
      <c r="L208" s="8">
        <v>17.649999999999999</v>
      </c>
      <c r="M208" s="8">
        <v>6.0620000000000003</v>
      </c>
      <c r="N208" s="8">
        <v>6.88645517729893</v>
      </c>
      <c r="O208" s="9" t="s">
        <v>136</v>
      </c>
      <c r="P208" s="9" t="s">
        <v>135</v>
      </c>
      <c r="Q208" s="8">
        <v>206.59365531896799</v>
      </c>
      <c r="R208" s="8">
        <v>0.30805061297699998</v>
      </c>
      <c r="S208" s="8"/>
      <c r="T208" s="8">
        <f t="shared" si="60"/>
        <v>0.81951673613883158</v>
      </c>
      <c r="U208" s="8">
        <f t="shared" si="61"/>
        <v>0.26075336850816849</v>
      </c>
      <c r="V208" s="8">
        <f t="shared" si="62"/>
        <v>3.0310000000000001</v>
      </c>
      <c r="W208" s="8">
        <f t="shared" si="63"/>
        <v>3.8505167361388315</v>
      </c>
      <c r="X208" s="8">
        <f t="shared" si="64"/>
        <v>3.859335623455622</v>
      </c>
      <c r="Y208" s="8">
        <f t="shared" si="65"/>
        <v>6.0620000000000003</v>
      </c>
      <c r="Z208" s="8">
        <f t="shared" si="66"/>
        <v>6.8815167361388321</v>
      </c>
      <c r="AA208" s="8">
        <f t="shared" si="67"/>
        <v>6.8864551772989273</v>
      </c>
      <c r="AB208" s="8">
        <f t="shared" si="68"/>
        <v>115.78006870366866</v>
      </c>
      <c r="AC208" s="8">
        <f t="shared" si="69"/>
        <v>206.59365531896782</v>
      </c>
      <c r="AD208" s="10">
        <f t="shared" si="70"/>
        <v>130.588945892</v>
      </c>
      <c r="AE208" s="10">
        <f t="shared" si="59"/>
        <v>90.93</v>
      </c>
    </row>
    <row r="209" spans="1:31" s="10" customFormat="1" ht="13" x14ac:dyDescent="0.15">
      <c r="A209" s="8">
        <v>1</v>
      </c>
      <c r="B209" s="9" t="s">
        <v>252</v>
      </c>
      <c r="C209" s="9" t="s">
        <v>135</v>
      </c>
      <c r="D209" s="9" t="s">
        <v>136</v>
      </c>
      <c r="E209" s="9" t="s">
        <v>18</v>
      </c>
      <c r="F209" s="9" t="s">
        <v>32</v>
      </c>
      <c r="G209" s="9" t="s">
        <v>137</v>
      </c>
      <c r="H209" s="9" t="s">
        <v>159</v>
      </c>
      <c r="I209" s="8">
        <v>165.37899999999999</v>
      </c>
      <c r="J209" s="8">
        <v>0.88600000000000001</v>
      </c>
      <c r="K209" s="8">
        <v>90.93</v>
      </c>
      <c r="L209" s="8">
        <v>14.621</v>
      </c>
      <c r="M209" s="8">
        <v>6.0620000000000003</v>
      </c>
      <c r="N209" s="8">
        <v>6.9229218672981601</v>
      </c>
      <c r="O209" s="9" t="s">
        <v>136</v>
      </c>
      <c r="P209" s="9" t="s">
        <v>135</v>
      </c>
      <c r="Q209" s="8">
        <v>207.68765601894501</v>
      </c>
      <c r="R209" s="8">
        <v>0.25518458993408999</v>
      </c>
      <c r="S209" s="8"/>
      <c r="T209" s="8">
        <f t="shared" si="60"/>
        <v>0.85730841147435211</v>
      </c>
      <c r="U209" s="8">
        <f t="shared" si="61"/>
        <v>0.22364768636255336</v>
      </c>
      <c r="V209" s="8">
        <f t="shared" si="62"/>
        <v>3.0310000000000001</v>
      </c>
      <c r="W209" s="8">
        <f t="shared" si="63"/>
        <v>3.8883084114743522</v>
      </c>
      <c r="X209" s="8">
        <f t="shared" si="64"/>
        <v>3.8947349833278162</v>
      </c>
      <c r="Y209" s="8">
        <f t="shared" si="65"/>
        <v>6.0620000000000003</v>
      </c>
      <c r="Z209" s="8">
        <f t="shared" si="66"/>
        <v>6.9193084114743524</v>
      </c>
      <c r="AA209" s="8">
        <f t="shared" si="67"/>
        <v>6.9229218672981609</v>
      </c>
      <c r="AB209" s="8">
        <f t="shared" si="68"/>
        <v>116.84204949983449</v>
      </c>
      <c r="AC209" s="8">
        <f t="shared" si="69"/>
        <v>207.68765601894484</v>
      </c>
      <c r="AD209" s="10">
        <f t="shared" si="70"/>
        <v>130.588945892</v>
      </c>
      <c r="AE209" s="10">
        <f t="shared" si="59"/>
        <v>90.93</v>
      </c>
    </row>
    <row r="210" spans="1:31" s="10" customFormat="1" ht="13" x14ac:dyDescent="0.15">
      <c r="A210" s="8">
        <v>1</v>
      </c>
      <c r="B210" s="9" t="s">
        <v>253</v>
      </c>
      <c r="C210" s="9" t="s">
        <v>135</v>
      </c>
      <c r="D210" s="9" t="s">
        <v>136</v>
      </c>
      <c r="E210" s="9" t="s">
        <v>18</v>
      </c>
      <c r="F210" s="9" t="s">
        <v>55</v>
      </c>
      <c r="G210" s="9" t="s">
        <v>137</v>
      </c>
      <c r="H210" s="9" t="s">
        <v>254</v>
      </c>
      <c r="I210" s="8">
        <v>-174.80600000000001</v>
      </c>
      <c r="J210" s="8">
        <v>0.79900000000000004</v>
      </c>
      <c r="K210" s="8">
        <v>99.59</v>
      </c>
      <c r="L210" s="8">
        <v>5.1939999999999902</v>
      </c>
      <c r="M210" s="8">
        <v>6.6393333333333304</v>
      </c>
      <c r="N210" s="8">
        <v>7.4354043808574799</v>
      </c>
      <c r="O210" s="9" t="s">
        <v>136</v>
      </c>
      <c r="P210" s="9" t="s">
        <v>135</v>
      </c>
      <c r="Q210" s="8">
        <v>223.062131425724</v>
      </c>
      <c r="R210" s="8">
        <v>9.0652401348585002E-2</v>
      </c>
      <c r="S210" s="8"/>
      <c r="T210" s="8">
        <f t="shared" si="60"/>
        <v>0.79571921345743102</v>
      </c>
      <c r="U210" s="8">
        <f t="shared" si="61"/>
        <v>7.2332104453606369E-2</v>
      </c>
      <c r="V210" s="8">
        <f t="shared" si="62"/>
        <v>3.319666666666667</v>
      </c>
      <c r="W210" s="8">
        <f t="shared" si="63"/>
        <v>4.1153858801240979</v>
      </c>
      <c r="X210" s="8">
        <f t="shared" si="64"/>
        <v>4.1160214862971118</v>
      </c>
      <c r="Y210" s="8">
        <f t="shared" si="65"/>
        <v>6.639333333333334</v>
      </c>
      <c r="Z210" s="8">
        <f t="shared" si="66"/>
        <v>7.4350525467907653</v>
      </c>
      <c r="AA210" s="8">
        <f t="shared" si="67"/>
        <v>7.4354043808574755</v>
      </c>
      <c r="AB210" s="8">
        <f t="shared" si="68"/>
        <v>123.48064458891335</v>
      </c>
      <c r="AC210" s="8">
        <f t="shared" si="69"/>
        <v>223.06213142572426</v>
      </c>
      <c r="AD210" s="10">
        <f t="shared" si="70"/>
        <v>145.63042853599998</v>
      </c>
      <c r="AE210" s="10">
        <f t="shared" si="59"/>
        <v>99.59</v>
      </c>
    </row>
    <row r="211" spans="1:31" ht="12.75" customHeight="1" x14ac:dyDescent="0.15">
      <c r="AE211" s="13"/>
    </row>
    <row r="212" spans="1:31" ht="12.75" customHeight="1" x14ac:dyDescent="0.15">
      <c r="AE212" s="13"/>
    </row>
    <row r="213" spans="1:31" ht="12.75" customHeight="1" x14ac:dyDescent="0.15">
      <c r="AE213" s="13"/>
    </row>
    <row r="214" spans="1:31" ht="12.75" customHeight="1" x14ac:dyDescent="0.15">
      <c r="AE214" s="13"/>
    </row>
    <row r="215" spans="1:31" ht="12.75" customHeight="1" x14ac:dyDescent="0.15">
      <c r="AE215" s="13"/>
    </row>
    <row r="216" spans="1:31" ht="12.75" customHeight="1" x14ac:dyDescent="0.15">
      <c r="AE216" s="13"/>
    </row>
    <row r="217" spans="1:31" ht="12.75" customHeight="1" x14ac:dyDescent="0.15">
      <c r="AE217" s="13"/>
    </row>
    <row r="218" spans="1:31" ht="12.75" customHeight="1" x14ac:dyDescent="0.15">
      <c r="AE218" s="13"/>
    </row>
    <row r="219" spans="1:31" ht="12.75" customHeight="1" x14ac:dyDescent="0.15">
      <c r="AE219" s="13"/>
    </row>
    <row r="220" spans="1:31" ht="12.75" customHeight="1" x14ac:dyDescent="0.15">
      <c r="AE220" s="13"/>
    </row>
    <row r="221" spans="1:31" ht="12.75" customHeight="1" x14ac:dyDescent="0.15">
      <c r="AE221" s="13"/>
    </row>
    <row r="222" spans="1:31" ht="12.75" customHeight="1" x14ac:dyDescent="0.15">
      <c r="AE222" s="13"/>
    </row>
    <row r="223" spans="1:31" ht="12.75" customHeight="1" x14ac:dyDescent="0.15">
      <c r="AE223" s="13"/>
    </row>
    <row r="224" spans="1:31" ht="12.75" customHeight="1" x14ac:dyDescent="0.15">
      <c r="AE224" s="13"/>
    </row>
    <row r="225" spans="31:31" ht="12.75" customHeight="1" x14ac:dyDescent="0.15">
      <c r="AE225" s="13"/>
    </row>
    <row r="226" spans="31:31" ht="12.75" customHeight="1" x14ac:dyDescent="0.15">
      <c r="AE226" s="13"/>
    </row>
    <row r="227" spans="31:31" ht="12.75" customHeight="1" x14ac:dyDescent="0.15">
      <c r="AE227" s="13"/>
    </row>
    <row r="228" spans="31:31" ht="12.75" customHeight="1" x14ac:dyDescent="0.15">
      <c r="AE228" s="13"/>
    </row>
    <row r="229" spans="31:31" ht="12.75" customHeight="1" x14ac:dyDescent="0.15">
      <c r="AE229" s="13"/>
    </row>
    <row r="230" spans="31:31" ht="12.75" customHeight="1" x14ac:dyDescent="0.15">
      <c r="AE230" s="13"/>
    </row>
    <row r="231" spans="31:31" ht="12.75" customHeight="1" x14ac:dyDescent="0.15">
      <c r="AE231" s="13"/>
    </row>
    <row r="232" spans="31:31" ht="12.75" customHeight="1" x14ac:dyDescent="0.15">
      <c r="AE232" s="13"/>
    </row>
    <row r="233" spans="31:31" ht="12.75" customHeight="1" x14ac:dyDescent="0.15">
      <c r="AE233" s="13"/>
    </row>
    <row r="234" spans="31:31" ht="12.75" customHeight="1" x14ac:dyDescent="0.15">
      <c r="AE234" s="13"/>
    </row>
    <row r="235" spans="31:31" ht="12.75" customHeight="1" x14ac:dyDescent="0.15">
      <c r="AE235" s="13"/>
    </row>
    <row r="236" spans="31:31" ht="12.75" customHeight="1" x14ac:dyDescent="0.15">
      <c r="AE236" s="13"/>
    </row>
    <row r="237" spans="31:31" ht="12.75" customHeight="1" x14ac:dyDescent="0.15">
      <c r="AE237" s="13"/>
    </row>
    <row r="238" spans="31:31" ht="12.75" customHeight="1" x14ac:dyDescent="0.15">
      <c r="AE238" s="13"/>
    </row>
    <row r="239" spans="31:31" ht="12.75" customHeight="1" x14ac:dyDescent="0.15">
      <c r="AE239" s="13"/>
    </row>
    <row r="240" spans="31:31" ht="12.75" customHeight="1" x14ac:dyDescent="0.15">
      <c r="AE240" s="13"/>
    </row>
    <row r="241" spans="31:31" ht="12.75" customHeight="1" x14ac:dyDescent="0.15">
      <c r="AE241" s="13"/>
    </row>
    <row r="242" spans="31:31" ht="12.75" customHeight="1" x14ac:dyDescent="0.15">
      <c r="AE242" s="13"/>
    </row>
    <row r="243" spans="31:31" ht="12.75" customHeight="1" x14ac:dyDescent="0.15">
      <c r="AE243" s="13"/>
    </row>
    <row r="244" spans="31:31" ht="12.75" customHeight="1" x14ac:dyDescent="0.15">
      <c r="AE244" s="13"/>
    </row>
    <row r="245" spans="31:31" ht="12.75" customHeight="1" x14ac:dyDescent="0.15">
      <c r="AE245" s="13"/>
    </row>
    <row r="246" spans="31:31" ht="12.75" customHeight="1" x14ac:dyDescent="0.15">
      <c r="AE246" s="13"/>
    </row>
    <row r="247" spans="31:31" ht="12.75" customHeight="1" x14ac:dyDescent="0.15">
      <c r="AE247" s="13"/>
    </row>
    <row r="248" spans="31:31" ht="12.75" customHeight="1" x14ac:dyDescent="0.15">
      <c r="AE248" s="13"/>
    </row>
    <row r="249" spans="31:31" ht="12.75" customHeight="1" x14ac:dyDescent="0.15">
      <c r="AE249" s="13"/>
    </row>
    <row r="250" spans="31:31" ht="12.75" customHeight="1" x14ac:dyDescent="0.15">
      <c r="AE250" s="13"/>
    </row>
    <row r="251" spans="31:31" ht="12.75" customHeight="1" x14ac:dyDescent="0.15">
      <c r="AE251" s="13"/>
    </row>
    <row r="252" spans="31:31" ht="12.75" customHeight="1" x14ac:dyDescent="0.15">
      <c r="AE252" s="13"/>
    </row>
    <row r="253" spans="31:31" ht="12.75" customHeight="1" x14ac:dyDescent="0.15">
      <c r="AE253" s="13"/>
    </row>
    <row r="254" spans="31:31" ht="12.75" customHeight="1" x14ac:dyDescent="0.15">
      <c r="AE254" s="13"/>
    </row>
    <row r="255" spans="31:31" ht="12.75" customHeight="1" x14ac:dyDescent="0.15">
      <c r="AE255" s="13"/>
    </row>
    <row r="256" spans="31:31" ht="12.75" customHeight="1" x14ac:dyDescent="0.15">
      <c r="AE256" s="13"/>
    </row>
    <row r="257" spans="31:31" ht="12.75" customHeight="1" x14ac:dyDescent="0.15">
      <c r="AE257" s="13"/>
    </row>
    <row r="258" spans="31:31" ht="12.75" customHeight="1" x14ac:dyDescent="0.15">
      <c r="AE258" s="13"/>
    </row>
    <row r="259" spans="31:31" ht="12.75" customHeight="1" x14ac:dyDescent="0.15">
      <c r="AE259" s="13"/>
    </row>
    <row r="260" spans="31:31" ht="12.75" customHeight="1" x14ac:dyDescent="0.15">
      <c r="AE260" s="13"/>
    </row>
    <row r="261" spans="31:31" ht="12.75" customHeight="1" x14ac:dyDescent="0.15">
      <c r="AE261" s="13"/>
    </row>
    <row r="262" spans="31:31" ht="12.75" customHeight="1" x14ac:dyDescent="0.15">
      <c r="AE262" s="13"/>
    </row>
    <row r="263" spans="31:31" ht="12.75" customHeight="1" x14ac:dyDescent="0.15">
      <c r="AE263" s="13"/>
    </row>
    <row r="264" spans="31:31" ht="12.75" customHeight="1" x14ac:dyDescent="0.15">
      <c r="AE264" s="13"/>
    </row>
    <row r="265" spans="31:31" ht="12.75" customHeight="1" x14ac:dyDescent="0.15">
      <c r="AE265" s="13"/>
    </row>
    <row r="266" spans="31:31" ht="12.75" customHeight="1" x14ac:dyDescent="0.15">
      <c r="AE266" s="13"/>
    </row>
    <row r="267" spans="31:31" ht="12.75" customHeight="1" x14ac:dyDescent="0.15">
      <c r="AE267" s="13"/>
    </row>
    <row r="268" spans="31:31" ht="12.75" customHeight="1" x14ac:dyDescent="0.15">
      <c r="AE268" s="13"/>
    </row>
    <row r="269" spans="31:31" ht="12.75" customHeight="1" x14ac:dyDescent="0.15">
      <c r="AE269" s="13"/>
    </row>
    <row r="270" spans="31:31" ht="12.75" customHeight="1" x14ac:dyDescent="0.15">
      <c r="AE270" s="13"/>
    </row>
    <row r="271" spans="31:31" ht="12.75" customHeight="1" x14ac:dyDescent="0.15">
      <c r="AE271" s="13"/>
    </row>
    <row r="272" spans="31:31" ht="12.75" customHeight="1" x14ac:dyDescent="0.15">
      <c r="AE272" s="13"/>
    </row>
    <row r="273" spans="31:31" ht="12.75" customHeight="1" x14ac:dyDescent="0.15">
      <c r="AE273" s="13"/>
    </row>
    <row r="274" spans="31:31" ht="12.75" customHeight="1" x14ac:dyDescent="0.15">
      <c r="AE274" s="13"/>
    </row>
    <row r="275" spans="31:31" ht="12.75" customHeight="1" x14ac:dyDescent="0.15">
      <c r="AE275" s="13"/>
    </row>
    <row r="276" spans="31:31" ht="12.75" customHeight="1" x14ac:dyDescent="0.15">
      <c r="AE276" s="13"/>
    </row>
    <row r="277" spans="31:31" ht="12.75" customHeight="1" x14ac:dyDescent="0.15">
      <c r="AE277" s="13"/>
    </row>
    <row r="278" spans="31:31" ht="12.75" customHeight="1" x14ac:dyDescent="0.15">
      <c r="AE278" s="13"/>
    </row>
    <row r="279" spans="31:31" ht="12.75" customHeight="1" x14ac:dyDescent="0.15">
      <c r="AE279" s="13"/>
    </row>
    <row r="280" spans="31:31" ht="12.75" customHeight="1" x14ac:dyDescent="0.15">
      <c r="AE280" s="13"/>
    </row>
    <row r="281" spans="31:31" ht="12.75" customHeight="1" x14ac:dyDescent="0.15">
      <c r="AE281" s="13"/>
    </row>
    <row r="282" spans="31:31" ht="12.75" customHeight="1" x14ac:dyDescent="0.15">
      <c r="AE282" s="13"/>
    </row>
    <row r="283" spans="31:31" ht="12.75" customHeight="1" x14ac:dyDescent="0.15">
      <c r="AE283" s="13"/>
    </row>
    <row r="284" spans="31:31" ht="12.75" customHeight="1" x14ac:dyDescent="0.15">
      <c r="AE284" s="13"/>
    </row>
    <row r="285" spans="31:31" ht="12.75" customHeight="1" x14ac:dyDescent="0.15">
      <c r="AE285" s="13"/>
    </row>
    <row r="286" spans="31:31" ht="12.75" customHeight="1" x14ac:dyDescent="0.15">
      <c r="AE286" s="13"/>
    </row>
    <row r="287" spans="31:31" ht="12.75" customHeight="1" x14ac:dyDescent="0.15">
      <c r="AE287" s="13"/>
    </row>
    <row r="288" spans="31:31" ht="12.75" customHeight="1" x14ac:dyDescent="0.15">
      <c r="AE288" s="13"/>
    </row>
    <row r="289" spans="31:31" ht="12.75" customHeight="1" x14ac:dyDescent="0.15">
      <c r="AE289" s="13"/>
    </row>
    <row r="290" spans="31:31" ht="12.75" customHeight="1" x14ac:dyDescent="0.15">
      <c r="AE290" s="13"/>
    </row>
    <row r="291" spans="31:31" ht="12.75" customHeight="1" x14ac:dyDescent="0.15">
      <c r="AE291" s="13"/>
    </row>
    <row r="292" spans="31:31" ht="12.75" customHeight="1" x14ac:dyDescent="0.15">
      <c r="AE292" s="13"/>
    </row>
    <row r="293" spans="31:31" ht="12.75" customHeight="1" x14ac:dyDescent="0.15">
      <c r="AE293" s="13"/>
    </row>
    <row r="294" spans="31:31" ht="12.75" customHeight="1" x14ac:dyDescent="0.15">
      <c r="AE294" s="13"/>
    </row>
    <row r="295" spans="31:31" ht="12.75" customHeight="1" x14ac:dyDescent="0.15">
      <c r="AE295" s="13"/>
    </row>
    <row r="296" spans="31:31" ht="12.75" customHeight="1" x14ac:dyDescent="0.15">
      <c r="AE296" s="13"/>
    </row>
    <row r="297" spans="31:31" ht="12.75" customHeight="1" x14ac:dyDescent="0.15">
      <c r="AE297" s="13"/>
    </row>
    <row r="298" spans="31:31" ht="12.75" customHeight="1" x14ac:dyDescent="0.15">
      <c r="AE298" s="13"/>
    </row>
    <row r="299" spans="31:31" ht="12.75" customHeight="1" x14ac:dyDescent="0.15">
      <c r="AE299" s="13"/>
    </row>
    <row r="300" spans="31:31" ht="12.75" customHeight="1" x14ac:dyDescent="0.15">
      <c r="AE300" s="13"/>
    </row>
    <row r="301" spans="31:31" ht="12.75" customHeight="1" x14ac:dyDescent="0.15">
      <c r="AE301" s="13"/>
    </row>
    <row r="302" spans="31:31" ht="12.75" customHeight="1" x14ac:dyDescent="0.15">
      <c r="AE302" s="13"/>
    </row>
    <row r="303" spans="31:31" ht="12.75" customHeight="1" x14ac:dyDescent="0.15">
      <c r="AE303" s="13"/>
    </row>
    <row r="304" spans="31:31" ht="12.75" customHeight="1" x14ac:dyDescent="0.15">
      <c r="AE304" s="13"/>
    </row>
    <row r="305" spans="31:31" ht="12.75" customHeight="1" x14ac:dyDescent="0.15">
      <c r="AE305" s="13"/>
    </row>
    <row r="306" spans="31:31" ht="12.75" customHeight="1" x14ac:dyDescent="0.15">
      <c r="AE306" s="13"/>
    </row>
    <row r="307" spans="31:31" ht="12.75" customHeight="1" x14ac:dyDescent="0.15">
      <c r="AE307" s="13"/>
    </row>
    <row r="308" spans="31:31" ht="12.75" customHeight="1" x14ac:dyDescent="0.15">
      <c r="AE308" s="13"/>
    </row>
    <row r="309" spans="31:31" ht="12.75" customHeight="1" x14ac:dyDescent="0.15">
      <c r="AE309" s="13"/>
    </row>
    <row r="310" spans="31:31" ht="12.75" customHeight="1" x14ac:dyDescent="0.15">
      <c r="AE310" s="13"/>
    </row>
    <row r="311" spans="31:31" ht="12.75" customHeight="1" x14ac:dyDescent="0.15">
      <c r="AE311" s="13"/>
    </row>
    <row r="312" spans="31:31" ht="12.75" customHeight="1" x14ac:dyDescent="0.15">
      <c r="AE312" s="13"/>
    </row>
    <row r="313" spans="31:31" ht="12.75" customHeight="1" x14ac:dyDescent="0.15">
      <c r="AE313" s="13"/>
    </row>
    <row r="314" spans="31:31" ht="12.75" customHeight="1" x14ac:dyDescent="0.15">
      <c r="AE314" s="13"/>
    </row>
    <row r="315" spans="31:31" ht="12.75" customHeight="1" x14ac:dyDescent="0.15">
      <c r="AE315" s="13"/>
    </row>
    <row r="316" spans="31:31" ht="12.75" customHeight="1" x14ac:dyDescent="0.15">
      <c r="AE316" s="13"/>
    </row>
    <row r="317" spans="31:31" ht="12.75" customHeight="1" x14ac:dyDescent="0.15">
      <c r="AE317" s="13"/>
    </row>
    <row r="318" spans="31:31" ht="12.75" customHeight="1" x14ac:dyDescent="0.15">
      <c r="AE318" s="13"/>
    </row>
    <row r="319" spans="31:31" ht="12.75" customHeight="1" x14ac:dyDescent="0.15">
      <c r="AE319" s="13"/>
    </row>
    <row r="320" spans="31:31" ht="12.75" customHeight="1" x14ac:dyDescent="0.15">
      <c r="AE320" s="13"/>
    </row>
    <row r="321" spans="31:31" ht="12.75" customHeight="1" x14ac:dyDescent="0.15">
      <c r="AE321" s="13"/>
    </row>
    <row r="322" spans="31:31" ht="12.75" customHeight="1" x14ac:dyDescent="0.15">
      <c r="AE322" s="13"/>
    </row>
    <row r="323" spans="31:31" ht="12.75" customHeight="1" x14ac:dyDescent="0.15">
      <c r="AE323" s="13"/>
    </row>
    <row r="324" spans="31:31" ht="12.75" customHeight="1" x14ac:dyDescent="0.15">
      <c r="AE324" s="13"/>
    </row>
    <row r="325" spans="31:31" ht="12.75" customHeight="1" x14ac:dyDescent="0.15">
      <c r="AE325" s="13"/>
    </row>
    <row r="326" spans="31:31" ht="12.75" customHeight="1" x14ac:dyDescent="0.15">
      <c r="AE326" s="13"/>
    </row>
    <row r="327" spans="31:31" ht="12.75" customHeight="1" x14ac:dyDescent="0.15">
      <c r="AE327" s="13"/>
    </row>
    <row r="328" spans="31:31" ht="12.75" customHeight="1" x14ac:dyDescent="0.15">
      <c r="AE328" s="13"/>
    </row>
    <row r="329" spans="31:31" ht="12.75" customHeight="1" x14ac:dyDescent="0.15">
      <c r="AE329" s="13"/>
    </row>
    <row r="330" spans="31:31" ht="12.75" customHeight="1" x14ac:dyDescent="0.15">
      <c r="AE330" s="13"/>
    </row>
    <row r="331" spans="31:31" ht="12.75" customHeight="1" x14ac:dyDescent="0.15">
      <c r="AE331" s="13"/>
    </row>
    <row r="332" spans="31:31" ht="12.75" customHeight="1" x14ac:dyDescent="0.15">
      <c r="AE332" s="13"/>
    </row>
    <row r="333" spans="31:31" ht="12.75" customHeight="1" x14ac:dyDescent="0.15">
      <c r="AE333" s="13"/>
    </row>
    <row r="334" spans="31:31" ht="12.75" customHeight="1" x14ac:dyDescent="0.15">
      <c r="AE334" s="13"/>
    </row>
    <row r="335" spans="31:31" ht="12.75" customHeight="1" x14ac:dyDescent="0.15">
      <c r="AE335" s="13"/>
    </row>
    <row r="336" spans="31:31" ht="12.75" customHeight="1" x14ac:dyDescent="0.15">
      <c r="AE336" s="13"/>
    </row>
    <row r="337" spans="31:31" ht="12.75" customHeight="1" x14ac:dyDescent="0.15">
      <c r="AE337" s="13"/>
    </row>
    <row r="338" spans="31:31" ht="12.75" customHeight="1" x14ac:dyDescent="0.15">
      <c r="AE338" s="13"/>
    </row>
    <row r="339" spans="31:31" ht="12.75" customHeight="1" x14ac:dyDescent="0.15">
      <c r="AE339" s="13"/>
    </row>
    <row r="340" spans="31:31" ht="12.75" customHeight="1" x14ac:dyDescent="0.15">
      <c r="AE340" s="13"/>
    </row>
    <row r="341" spans="31:31" ht="12.75" customHeight="1" x14ac:dyDescent="0.15">
      <c r="AE341" s="13"/>
    </row>
    <row r="342" spans="31:31" ht="12.75" customHeight="1" x14ac:dyDescent="0.15">
      <c r="AE342" s="13"/>
    </row>
    <row r="343" spans="31:31" ht="12.75" customHeight="1" x14ac:dyDescent="0.15">
      <c r="AE343" s="13"/>
    </row>
    <row r="344" spans="31:31" ht="12.75" customHeight="1" x14ac:dyDescent="0.15">
      <c r="AE344" s="13"/>
    </row>
    <row r="345" spans="31:31" ht="12.75" customHeight="1" x14ac:dyDescent="0.15">
      <c r="AE345" s="13"/>
    </row>
    <row r="346" spans="31:31" ht="12.75" customHeight="1" x14ac:dyDescent="0.15">
      <c r="AE346" s="13"/>
    </row>
    <row r="347" spans="31:31" ht="12.75" customHeight="1" x14ac:dyDescent="0.15">
      <c r="AE347" s="13"/>
    </row>
    <row r="348" spans="31:31" ht="12.75" customHeight="1" x14ac:dyDescent="0.15">
      <c r="AE348" s="13"/>
    </row>
    <row r="349" spans="31:31" ht="12.75" customHeight="1" x14ac:dyDescent="0.15">
      <c r="AE349" s="13"/>
    </row>
    <row r="350" spans="31:31" ht="12.75" customHeight="1" x14ac:dyDescent="0.15">
      <c r="AE350" s="13"/>
    </row>
    <row r="351" spans="31:31" ht="12.75" customHeight="1" x14ac:dyDescent="0.15">
      <c r="AE351" s="13"/>
    </row>
    <row r="352" spans="31:31" ht="12.75" customHeight="1" x14ac:dyDescent="0.15">
      <c r="AE352" s="13"/>
    </row>
    <row r="353" spans="31:31" ht="12.75" customHeight="1" x14ac:dyDescent="0.15">
      <c r="AE353" s="13"/>
    </row>
    <row r="354" spans="31:31" ht="12.75" customHeight="1" x14ac:dyDescent="0.15">
      <c r="AE354" s="13"/>
    </row>
    <row r="355" spans="31:31" ht="12.75" customHeight="1" x14ac:dyDescent="0.15">
      <c r="AE355" s="13"/>
    </row>
    <row r="356" spans="31:31" ht="12.75" customHeight="1" x14ac:dyDescent="0.15">
      <c r="AE356" s="13"/>
    </row>
    <row r="357" spans="31:31" ht="12.75" customHeight="1" x14ac:dyDescent="0.15">
      <c r="AE357" s="13"/>
    </row>
    <row r="358" spans="31:31" ht="12.75" customHeight="1" x14ac:dyDescent="0.15">
      <c r="AE358" s="13"/>
    </row>
    <row r="359" spans="31:31" ht="12.75" customHeight="1" x14ac:dyDescent="0.15">
      <c r="AE359" s="13"/>
    </row>
    <row r="360" spans="31:31" ht="12.75" customHeight="1" x14ac:dyDescent="0.15">
      <c r="AE360" s="13"/>
    </row>
    <row r="361" spans="31:31" ht="12.75" customHeight="1" x14ac:dyDescent="0.15">
      <c r="AE361" s="13"/>
    </row>
    <row r="362" spans="31:31" ht="12.75" customHeight="1" x14ac:dyDescent="0.15">
      <c r="AE362" s="13"/>
    </row>
    <row r="363" spans="31:31" ht="12.75" customHeight="1" x14ac:dyDescent="0.15">
      <c r="AE363" s="13"/>
    </row>
    <row r="364" spans="31:31" ht="12.75" customHeight="1" x14ac:dyDescent="0.15">
      <c r="AE364" s="13"/>
    </row>
    <row r="365" spans="31:31" ht="12.75" customHeight="1" x14ac:dyDescent="0.15">
      <c r="AE365" s="13"/>
    </row>
    <row r="366" spans="31:31" ht="12.75" customHeight="1" x14ac:dyDescent="0.15">
      <c r="AE366" s="13"/>
    </row>
    <row r="367" spans="31:31" ht="12.75" customHeight="1" x14ac:dyDescent="0.15">
      <c r="AE367" s="13"/>
    </row>
    <row r="368" spans="31:31" ht="12.75" customHeight="1" x14ac:dyDescent="0.15">
      <c r="AE368" s="13"/>
    </row>
    <row r="369" spans="31:31" ht="12.75" customHeight="1" x14ac:dyDescent="0.15">
      <c r="AE369" s="13"/>
    </row>
    <row r="370" spans="31:31" ht="12.75" customHeight="1" x14ac:dyDescent="0.15">
      <c r="AE370" s="13"/>
    </row>
    <row r="371" spans="31:31" ht="12.75" customHeight="1" x14ac:dyDescent="0.15">
      <c r="AE371" s="13"/>
    </row>
    <row r="372" spans="31:31" ht="12.75" customHeight="1" x14ac:dyDescent="0.15">
      <c r="AE372" s="13"/>
    </row>
    <row r="373" spans="31:31" ht="12.75" customHeight="1" x14ac:dyDescent="0.15">
      <c r="AE373" s="13"/>
    </row>
    <row r="374" spans="31:31" ht="12.75" customHeight="1" x14ac:dyDescent="0.15">
      <c r="AE374" s="13"/>
    </row>
    <row r="375" spans="31:31" ht="12.75" customHeight="1" x14ac:dyDescent="0.15">
      <c r="AE375" s="13"/>
    </row>
    <row r="376" spans="31:31" ht="12.75" customHeight="1" x14ac:dyDescent="0.15">
      <c r="AE376" s="13"/>
    </row>
    <row r="377" spans="31:31" ht="12.75" customHeight="1" x14ac:dyDescent="0.15">
      <c r="AE377" s="13"/>
    </row>
    <row r="378" spans="31:31" ht="12.75" customHeight="1" x14ac:dyDescent="0.15">
      <c r="AE378" s="13"/>
    </row>
    <row r="379" spans="31:31" ht="12.75" customHeight="1" x14ac:dyDescent="0.15">
      <c r="AE379" s="13"/>
    </row>
    <row r="380" spans="31:31" ht="12.75" customHeight="1" x14ac:dyDescent="0.15">
      <c r="AE380" s="13"/>
    </row>
    <row r="381" spans="31:31" ht="12.75" customHeight="1" x14ac:dyDescent="0.15">
      <c r="AE381" s="13"/>
    </row>
    <row r="382" spans="31:31" ht="12.75" customHeight="1" x14ac:dyDescent="0.15">
      <c r="AE382" s="13"/>
    </row>
    <row r="383" spans="31:31" ht="12.75" customHeight="1" x14ac:dyDescent="0.15">
      <c r="AE383" s="13"/>
    </row>
    <row r="384" spans="31:31" ht="12.75" customHeight="1" x14ac:dyDescent="0.15">
      <c r="AE384" s="13"/>
    </row>
    <row r="385" spans="31:31" ht="12.75" customHeight="1" x14ac:dyDescent="0.15">
      <c r="AE385" s="13"/>
    </row>
    <row r="386" spans="31:31" ht="12.75" customHeight="1" x14ac:dyDescent="0.15">
      <c r="AE386" s="13"/>
    </row>
    <row r="387" spans="31:31" ht="12.75" customHeight="1" x14ac:dyDescent="0.15">
      <c r="AE387" s="13"/>
    </row>
    <row r="388" spans="31:31" ht="12.75" customHeight="1" x14ac:dyDescent="0.15">
      <c r="AE388" s="13"/>
    </row>
    <row r="389" spans="31:31" ht="12.75" customHeight="1" x14ac:dyDescent="0.15">
      <c r="AE389" s="13"/>
    </row>
    <row r="390" spans="31:31" ht="12.75" customHeight="1" x14ac:dyDescent="0.15">
      <c r="AE390" s="13"/>
    </row>
    <row r="391" spans="31:31" ht="12.75" customHeight="1" x14ac:dyDescent="0.15">
      <c r="AE391" s="13"/>
    </row>
    <row r="392" spans="31:31" ht="12.75" customHeight="1" x14ac:dyDescent="0.15">
      <c r="AE392" s="13"/>
    </row>
    <row r="393" spans="31:31" ht="12.75" customHeight="1" x14ac:dyDescent="0.15">
      <c r="AE393" s="13"/>
    </row>
    <row r="394" spans="31:31" ht="12.75" customHeight="1" x14ac:dyDescent="0.15">
      <c r="AE394" s="13"/>
    </row>
    <row r="395" spans="31:31" ht="12.75" customHeight="1" x14ac:dyDescent="0.15">
      <c r="AE395" s="13"/>
    </row>
    <row r="396" spans="31:31" ht="12.75" customHeight="1" x14ac:dyDescent="0.15">
      <c r="AE396" s="13"/>
    </row>
    <row r="397" spans="31:31" ht="12.75" customHeight="1" x14ac:dyDescent="0.15">
      <c r="AE397" s="13"/>
    </row>
    <row r="398" spans="31:31" ht="12.75" customHeight="1" x14ac:dyDescent="0.15">
      <c r="AE398" s="13"/>
    </row>
    <row r="399" spans="31:31" ht="12.75" customHeight="1" x14ac:dyDescent="0.15">
      <c r="AE399" s="13"/>
    </row>
    <row r="400" spans="31:31" ht="12.75" customHeight="1" x14ac:dyDescent="0.15">
      <c r="AE400" s="13"/>
    </row>
    <row r="401" spans="31:31" ht="12.75" customHeight="1" x14ac:dyDescent="0.15">
      <c r="AE401" s="13"/>
    </row>
    <row r="402" spans="31:31" ht="12.75" customHeight="1" x14ac:dyDescent="0.15">
      <c r="AE402" s="13"/>
    </row>
    <row r="403" spans="31:31" ht="12.75" customHeight="1" x14ac:dyDescent="0.15">
      <c r="AE403" s="13"/>
    </row>
    <row r="404" spans="31:31" ht="12.75" customHeight="1" x14ac:dyDescent="0.15">
      <c r="AE404" s="13"/>
    </row>
    <row r="405" spans="31:31" ht="12.75" customHeight="1" x14ac:dyDescent="0.15">
      <c r="AE405" s="13"/>
    </row>
    <row r="406" spans="31:31" ht="12.75" customHeight="1" x14ac:dyDescent="0.15">
      <c r="AE406" s="13"/>
    </row>
    <row r="407" spans="31:31" ht="12.75" customHeight="1" x14ac:dyDescent="0.15">
      <c r="AE407" s="13"/>
    </row>
    <row r="408" spans="31:31" ht="12.75" customHeight="1" x14ac:dyDescent="0.15">
      <c r="AE408" s="13"/>
    </row>
    <row r="409" spans="31:31" ht="12.75" customHeight="1" x14ac:dyDescent="0.15">
      <c r="AE409" s="13"/>
    </row>
    <row r="410" spans="31:31" ht="12.75" customHeight="1" x14ac:dyDescent="0.15">
      <c r="AE410" s="13"/>
    </row>
    <row r="411" spans="31:31" ht="12.75" customHeight="1" x14ac:dyDescent="0.15">
      <c r="AE411" s="13"/>
    </row>
    <row r="412" spans="31:31" ht="12.75" customHeight="1" x14ac:dyDescent="0.15">
      <c r="AE412" s="13"/>
    </row>
    <row r="413" spans="31:31" ht="12.75" customHeight="1" x14ac:dyDescent="0.15">
      <c r="AE413" s="13"/>
    </row>
    <row r="414" spans="31:31" ht="12.75" customHeight="1" x14ac:dyDescent="0.15">
      <c r="AE414" s="13"/>
    </row>
    <row r="415" spans="31:31" ht="12.75" customHeight="1" x14ac:dyDescent="0.15">
      <c r="AE415" s="13"/>
    </row>
    <row r="416" spans="31:31" ht="12.75" customHeight="1" x14ac:dyDescent="0.15">
      <c r="AE416" s="13"/>
    </row>
    <row r="417" spans="31:31" ht="12.75" customHeight="1" x14ac:dyDescent="0.15">
      <c r="AE417" s="13"/>
    </row>
    <row r="418" spans="31:31" ht="12.75" customHeight="1" x14ac:dyDescent="0.15">
      <c r="AE418" s="13"/>
    </row>
    <row r="419" spans="31:31" ht="12.75" customHeight="1" x14ac:dyDescent="0.15">
      <c r="AE419" s="13"/>
    </row>
    <row r="420" spans="31:31" ht="12.75" customHeight="1" x14ac:dyDescent="0.15">
      <c r="AE420" s="13"/>
    </row>
    <row r="421" spans="31:31" ht="12.75" customHeight="1" x14ac:dyDescent="0.15">
      <c r="AE421" s="13"/>
    </row>
    <row r="422" spans="31:31" ht="12.75" customHeight="1" x14ac:dyDescent="0.15">
      <c r="AE422" s="13"/>
    </row>
    <row r="423" spans="31:31" ht="12.75" customHeight="1" x14ac:dyDescent="0.15">
      <c r="AE423" s="13"/>
    </row>
    <row r="424" spans="31:31" ht="12.75" customHeight="1" x14ac:dyDescent="0.15">
      <c r="AE424" s="13"/>
    </row>
    <row r="425" spans="31:31" ht="12.75" customHeight="1" x14ac:dyDescent="0.15">
      <c r="AE425" s="13"/>
    </row>
    <row r="426" spans="31:31" ht="12.75" customHeight="1" x14ac:dyDescent="0.15">
      <c r="AE426" s="13"/>
    </row>
    <row r="427" spans="31:31" ht="12.75" customHeight="1" x14ac:dyDescent="0.15">
      <c r="AE427" s="13"/>
    </row>
    <row r="428" spans="31:31" ht="12.75" customHeight="1" x14ac:dyDescent="0.15">
      <c r="AE428" s="13"/>
    </row>
    <row r="429" spans="31:31" ht="12.75" customHeight="1" x14ac:dyDescent="0.15">
      <c r="AE429" s="13"/>
    </row>
    <row r="430" spans="31:31" ht="12.75" customHeight="1" x14ac:dyDescent="0.15">
      <c r="AE430" s="13"/>
    </row>
    <row r="431" spans="31:31" ht="12.75" customHeight="1" x14ac:dyDescent="0.15">
      <c r="AE431" s="13"/>
    </row>
    <row r="432" spans="31:31" ht="12.75" customHeight="1" x14ac:dyDescent="0.15">
      <c r="AE432" s="13"/>
    </row>
    <row r="433" spans="31:31" ht="12.75" customHeight="1" x14ac:dyDescent="0.15">
      <c r="AE433" s="13"/>
    </row>
    <row r="434" spans="31:31" ht="12.75" customHeight="1" x14ac:dyDescent="0.15">
      <c r="AE434" s="13"/>
    </row>
    <row r="435" spans="31:31" ht="12.75" customHeight="1" x14ac:dyDescent="0.15">
      <c r="AE435" s="13"/>
    </row>
    <row r="436" spans="31:31" ht="12.75" customHeight="1" x14ac:dyDescent="0.15">
      <c r="AE436" s="13"/>
    </row>
    <row r="437" spans="31:31" ht="12.75" customHeight="1" x14ac:dyDescent="0.15">
      <c r="AE437" s="13"/>
    </row>
    <row r="438" spans="31:31" ht="12.75" customHeight="1" x14ac:dyDescent="0.15">
      <c r="AE438" s="13"/>
    </row>
    <row r="439" spans="31:31" ht="12.75" customHeight="1" x14ac:dyDescent="0.15">
      <c r="AE439" s="13"/>
    </row>
    <row r="440" spans="31:31" ht="12.75" customHeight="1" x14ac:dyDescent="0.15">
      <c r="AE440" s="13"/>
    </row>
    <row r="441" spans="31:31" ht="12.75" customHeight="1" x14ac:dyDescent="0.15">
      <c r="AE441" s="13"/>
    </row>
    <row r="442" spans="31:31" ht="12.75" customHeight="1" x14ac:dyDescent="0.15">
      <c r="AE442" s="13"/>
    </row>
    <row r="443" spans="31:31" ht="12.75" customHeight="1" x14ac:dyDescent="0.15">
      <c r="AE443" s="13"/>
    </row>
    <row r="444" spans="31:31" ht="12.75" customHeight="1" x14ac:dyDescent="0.15">
      <c r="AE444" s="13"/>
    </row>
    <row r="445" spans="31:31" ht="12.75" customHeight="1" x14ac:dyDescent="0.15">
      <c r="AE445" s="13"/>
    </row>
    <row r="446" spans="31:31" ht="12.75" customHeight="1" x14ac:dyDescent="0.15">
      <c r="AE446" s="13"/>
    </row>
    <row r="447" spans="31:31" ht="12.75" customHeight="1" x14ac:dyDescent="0.15">
      <c r="AE447" s="13"/>
    </row>
    <row r="448" spans="31:31" ht="12.75" customHeight="1" x14ac:dyDescent="0.15">
      <c r="AE448" s="13"/>
    </row>
    <row r="449" spans="31:31" ht="12.75" customHeight="1" x14ac:dyDescent="0.15">
      <c r="AE449" s="13"/>
    </row>
    <row r="450" spans="31:31" ht="12.75" customHeight="1" x14ac:dyDescent="0.15">
      <c r="AE450" s="13"/>
    </row>
    <row r="451" spans="31:31" ht="12.75" customHeight="1" x14ac:dyDescent="0.15">
      <c r="AE451" s="13"/>
    </row>
    <row r="452" spans="31:31" ht="12.75" customHeight="1" x14ac:dyDescent="0.15">
      <c r="AE452" s="13"/>
    </row>
    <row r="453" spans="31:31" ht="12.75" customHeight="1" x14ac:dyDescent="0.15">
      <c r="AE453" s="13"/>
    </row>
    <row r="454" spans="31:31" ht="12.75" customHeight="1" x14ac:dyDescent="0.15">
      <c r="AE454" s="13"/>
    </row>
    <row r="455" spans="31:31" ht="12.75" customHeight="1" x14ac:dyDescent="0.15">
      <c r="AE455" s="13"/>
    </row>
    <row r="456" spans="31:31" ht="12.75" customHeight="1" x14ac:dyDescent="0.15">
      <c r="AE456" s="13"/>
    </row>
    <row r="457" spans="31:31" ht="12.75" customHeight="1" x14ac:dyDescent="0.15">
      <c r="AE457" s="13"/>
    </row>
    <row r="458" spans="31:31" ht="12.75" customHeight="1" x14ac:dyDescent="0.15">
      <c r="AE458" s="13"/>
    </row>
    <row r="459" spans="31:31" ht="12.75" customHeight="1" x14ac:dyDescent="0.15">
      <c r="AE459" s="13"/>
    </row>
    <row r="460" spans="31:31" ht="12.75" customHeight="1" x14ac:dyDescent="0.15">
      <c r="AE460" s="13"/>
    </row>
    <row r="461" spans="31:31" ht="12.75" customHeight="1" x14ac:dyDescent="0.15">
      <c r="AE461" s="13"/>
    </row>
    <row r="462" spans="31:31" ht="12.75" customHeight="1" x14ac:dyDescent="0.15">
      <c r="AE462" s="13"/>
    </row>
    <row r="463" spans="31:31" ht="12.75" customHeight="1" x14ac:dyDescent="0.15">
      <c r="AE463" s="13"/>
    </row>
    <row r="464" spans="31:31" ht="12.75" customHeight="1" x14ac:dyDescent="0.15">
      <c r="AE464" s="13"/>
    </row>
    <row r="465" spans="31:31" ht="12.75" customHeight="1" x14ac:dyDescent="0.15">
      <c r="AE465" s="13"/>
    </row>
    <row r="466" spans="31:31" ht="12.75" customHeight="1" x14ac:dyDescent="0.15">
      <c r="AE466" s="13"/>
    </row>
    <row r="467" spans="31:31" ht="12.75" customHeight="1" x14ac:dyDescent="0.15">
      <c r="AE467" s="13"/>
    </row>
    <row r="468" spans="31:31" ht="12.75" customHeight="1" x14ac:dyDescent="0.15">
      <c r="AE468" s="13"/>
    </row>
    <row r="469" spans="31:31" ht="12.75" customHeight="1" x14ac:dyDescent="0.15">
      <c r="AE469" s="13"/>
    </row>
    <row r="470" spans="31:31" ht="12.75" customHeight="1" x14ac:dyDescent="0.15">
      <c r="AE470" s="13"/>
    </row>
    <row r="471" spans="31:31" ht="12.75" customHeight="1" x14ac:dyDescent="0.15">
      <c r="AE471" s="13"/>
    </row>
    <row r="472" spans="31:31" ht="12.75" customHeight="1" x14ac:dyDescent="0.15">
      <c r="AE472" s="13"/>
    </row>
    <row r="473" spans="31:31" ht="12.75" customHeight="1" x14ac:dyDescent="0.15">
      <c r="AE473" s="13"/>
    </row>
    <row r="474" spans="31:31" ht="12.75" customHeight="1" x14ac:dyDescent="0.15">
      <c r="AE474" s="13"/>
    </row>
    <row r="475" spans="31:31" ht="12.75" customHeight="1" x14ac:dyDescent="0.15">
      <c r="AE475" s="13"/>
    </row>
    <row r="476" spans="31:31" ht="12.75" customHeight="1" x14ac:dyDescent="0.15">
      <c r="AE476" s="13"/>
    </row>
    <row r="477" spans="31:31" ht="12.75" customHeight="1" x14ac:dyDescent="0.15">
      <c r="AE477" s="13"/>
    </row>
    <row r="478" spans="31:31" ht="12.75" customHeight="1" x14ac:dyDescent="0.15">
      <c r="AE478" s="13"/>
    </row>
    <row r="479" spans="31:31" ht="12.75" customHeight="1" x14ac:dyDescent="0.15">
      <c r="AE479" s="13"/>
    </row>
    <row r="480" spans="31:31" ht="12.75" customHeight="1" x14ac:dyDescent="0.15">
      <c r="AE480" s="13"/>
    </row>
    <row r="481" spans="31:31" ht="12.75" customHeight="1" x14ac:dyDescent="0.15">
      <c r="AE481" s="13"/>
    </row>
    <row r="482" spans="31:31" ht="12.75" customHeight="1" x14ac:dyDescent="0.15">
      <c r="AE482" s="13"/>
    </row>
    <row r="483" spans="31:31" ht="12.75" customHeight="1" x14ac:dyDescent="0.15">
      <c r="AE483" s="13"/>
    </row>
    <row r="484" spans="31:31" ht="12.75" customHeight="1" x14ac:dyDescent="0.15">
      <c r="AE484" s="13"/>
    </row>
    <row r="485" spans="31:31" ht="12.75" customHeight="1" x14ac:dyDescent="0.15">
      <c r="AE485" s="13"/>
    </row>
    <row r="486" spans="31:31" ht="12.75" customHeight="1" x14ac:dyDescent="0.15">
      <c r="AE486" s="13"/>
    </row>
    <row r="487" spans="31:31" ht="12.75" customHeight="1" x14ac:dyDescent="0.15">
      <c r="AE487" s="13"/>
    </row>
    <row r="488" spans="31:31" ht="12.75" customHeight="1" x14ac:dyDescent="0.15">
      <c r="AE488" s="13"/>
    </row>
    <row r="489" spans="31:31" ht="12.75" customHeight="1" x14ac:dyDescent="0.15">
      <c r="AE489" s="13"/>
    </row>
    <row r="490" spans="31:31" ht="12.75" customHeight="1" x14ac:dyDescent="0.15">
      <c r="AE490" s="13"/>
    </row>
    <row r="491" spans="31:31" ht="12.75" customHeight="1" x14ac:dyDescent="0.15">
      <c r="AE491" s="13"/>
    </row>
    <row r="492" spans="31:31" ht="12.75" customHeight="1" x14ac:dyDescent="0.15">
      <c r="AE492" s="13"/>
    </row>
    <row r="493" spans="31:31" ht="12.75" customHeight="1" x14ac:dyDescent="0.15">
      <c r="AE493" s="13"/>
    </row>
    <row r="494" spans="31:31" ht="12.75" customHeight="1" x14ac:dyDescent="0.15">
      <c r="AE494" s="13"/>
    </row>
    <row r="495" spans="31:31" ht="12.75" customHeight="1" x14ac:dyDescent="0.15">
      <c r="AE495" s="13"/>
    </row>
    <row r="496" spans="31:31" ht="12.75" customHeight="1" x14ac:dyDescent="0.15">
      <c r="AE496" s="13"/>
    </row>
    <row r="497" spans="31:31" ht="12.75" customHeight="1" x14ac:dyDescent="0.15">
      <c r="AE497" s="13"/>
    </row>
    <row r="498" spans="31:31" ht="12.75" customHeight="1" x14ac:dyDescent="0.15">
      <c r="AE498" s="13"/>
    </row>
    <row r="499" spans="31:31" ht="12.75" customHeight="1" x14ac:dyDescent="0.15">
      <c r="AE499" s="13"/>
    </row>
    <row r="500" spans="31:31" ht="12.75" customHeight="1" x14ac:dyDescent="0.15">
      <c r="AE500" s="13"/>
    </row>
    <row r="501" spans="31:31" ht="12.75" customHeight="1" x14ac:dyDescent="0.15">
      <c r="AE501" s="13"/>
    </row>
    <row r="502" spans="31:31" ht="12.75" customHeight="1" x14ac:dyDescent="0.15">
      <c r="AE502" s="13"/>
    </row>
    <row r="503" spans="31:31" ht="12.75" customHeight="1" x14ac:dyDescent="0.15">
      <c r="AE503" s="13"/>
    </row>
    <row r="504" spans="31:31" ht="12.75" customHeight="1" x14ac:dyDescent="0.15">
      <c r="AE504" s="13"/>
    </row>
    <row r="505" spans="31:31" ht="12.75" customHeight="1" x14ac:dyDescent="0.15">
      <c r="AE505" s="13"/>
    </row>
    <row r="506" spans="31:31" ht="12.75" customHeight="1" x14ac:dyDescent="0.15">
      <c r="AE506" s="13"/>
    </row>
    <row r="507" spans="31:31" ht="12.75" customHeight="1" x14ac:dyDescent="0.15">
      <c r="AE507" s="13"/>
    </row>
    <row r="508" spans="31:31" ht="12.75" customHeight="1" x14ac:dyDescent="0.15">
      <c r="AE508" s="13"/>
    </row>
    <row r="509" spans="31:31" ht="12.75" customHeight="1" x14ac:dyDescent="0.15">
      <c r="AE509" s="13"/>
    </row>
    <row r="510" spans="31:31" ht="12.75" customHeight="1" x14ac:dyDescent="0.15">
      <c r="AE510" s="13"/>
    </row>
    <row r="511" spans="31:31" ht="12.75" customHeight="1" x14ac:dyDescent="0.15">
      <c r="AE511" s="13"/>
    </row>
    <row r="512" spans="31:31" ht="12.75" customHeight="1" x14ac:dyDescent="0.15">
      <c r="AE512" s="13"/>
    </row>
    <row r="513" spans="31:31" ht="12.75" customHeight="1" x14ac:dyDescent="0.15">
      <c r="AE513" s="13"/>
    </row>
    <row r="514" spans="31:31" ht="12.75" customHeight="1" x14ac:dyDescent="0.15">
      <c r="AE514" s="13"/>
    </row>
    <row r="515" spans="31:31" ht="12.75" customHeight="1" x14ac:dyDescent="0.15">
      <c r="AE515" s="13"/>
    </row>
    <row r="516" spans="31:31" ht="12.75" customHeight="1" x14ac:dyDescent="0.15">
      <c r="AE516" s="13"/>
    </row>
    <row r="517" spans="31:31" ht="12.75" customHeight="1" x14ac:dyDescent="0.15">
      <c r="AE517" s="13"/>
    </row>
    <row r="518" spans="31:31" ht="12.75" customHeight="1" x14ac:dyDescent="0.15">
      <c r="AE518" s="13"/>
    </row>
    <row r="519" spans="31:31" ht="12.75" customHeight="1" x14ac:dyDescent="0.15">
      <c r="AE519" s="13"/>
    </row>
    <row r="520" spans="31:31" ht="12.75" customHeight="1" x14ac:dyDescent="0.15">
      <c r="AE520" s="13"/>
    </row>
    <row r="521" spans="31:31" ht="12.75" customHeight="1" x14ac:dyDescent="0.15">
      <c r="AE521" s="13"/>
    </row>
    <row r="522" spans="31:31" ht="12.75" customHeight="1" x14ac:dyDescent="0.15">
      <c r="AE522" s="13"/>
    </row>
    <row r="523" spans="31:31" ht="12.75" customHeight="1" x14ac:dyDescent="0.15">
      <c r="AE523" s="13"/>
    </row>
    <row r="524" spans="31:31" ht="12.75" customHeight="1" x14ac:dyDescent="0.15">
      <c r="AE524" s="13"/>
    </row>
    <row r="525" spans="31:31" ht="12.75" customHeight="1" x14ac:dyDescent="0.15">
      <c r="AE525" s="13"/>
    </row>
    <row r="526" spans="31:31" ht="12.75" customHeight="1" x14ac:dyDescent="0.15">
      <c r="AE526" s="13"/>
    </row>
    <row r="527" spans="31:31" ht="12.75" customHeight="1" x14ac:dyDescent="0.15">
      <c r="AE527" s="13"/>
    </row>
    <row r="528" spans="31:31" ht="12.75" customHeight="1" x14ac:dyDescent="0.15">
      <c r="AE528" s="13"/>
    </row>
    <row r="529" spans="31:31" ht="12.75" customHeight="1" x14ac:dyDescent="0.15">
      <c r="AE529" s="13"/>
    </row>
    <row r="530" spans="31:31" ht="12.75" customHeight="1" x14ac:dyDescent="0.15">
      <c r="AE530" s="13"/>
    </row>
    <row r="531" spans="31:31" ht="12.75" customHeight="1" x14ac:dyDescent="0.15">
      <c r="AE531" s="13"/>
    </row>
    <row r="532" spans="31:31" ht="12.75" customHeight="1" x14ac:dyDescent="0.15">
      <c r="AE532" s="13"/>
    </row>
    <row r="533" spans="31:31" ht="12.75" customHeight="1" x14ac:dyDescent="0.15">
      <c r="AE533" s="13"/>
    </row>
    <row r="534" spans="31:31" ht="12.75" customHeight="1" x14ac:dyDescent="0.15">
      <c r="AE534" s="13"/>
    </row>
    <row r="535" spans="31:31" ht="12.75" customHeight="1" x14ac:dyDescent="0.15">
      <c r="AE535" s="13"/>
    </row>
    <row r="536" spans="31:31" ht="12.75" customHeight="1" x14ac:dyDescent="0.15">
      <c r="AE536" s="13"/>
    </row>
    <row r="537" spans="31:31" ht="12.75" customHeight="1" x14ac:dyDescent="0.15">
      <c r="AE537" s="13"/>
    </row>
    <row r="538" spans="31:31" ht="12.75" customHeight="1" x14ac:dyDescent="0.15">
      <c r="AE538" s="13"/>
    </row>
    <row r="539" spans="31:31" ht="12.75" customHeight="1" x14ac:dyDescent="0.15">
      <c r="AE539" s="13"/>
    </row>
    <row r="540" spans="31:31" ht="12.75" customHeight="1" x14ac:dyDescent="0.15">
      <c r="AE540" s="13"/>
    </row>
    <row r="541" spans="31:31" ht="12.75" customHeight="1" x14ac:dyDescent="0.15">
      <c r="AE541" s="13"/>
    </row>
    <row r="542" spans="31:31" ht="12.75" customHeight="1" x14ac:dyDescent="0.15">
      <c r="AE542" s="13"/>
    </row>
    <row r="543" spans="31:31" ht="12.75" customHeight="1" x14ac:dyDescent="0.15">
      <c r="AE543" s="13"/>
    </row>
    <row r="544" spans="31:31" ht="12.75" customHeight="1" x14ac:dyDescent="0.15">
      <c r="AE544" s="13"/>
    </row>
    <row r="545" spans="31:31" ht="12.75" customHeight="1" x14ac:dyDescent="0.15">
      <c r="AE545" s="13"/>
    </row>
    <row r="546" spans="31:31" ht="12.75" customHeight="1" x14ac:dyDescent="0.15">
      <c r="AE546" s="13"/>
    </row>
    <row r="547" spans="31:31" ht="12.75" customHeight="1" x14ac:dyDescent="0.15">
      <c r="AE547" s="13"/>
    </row>
    <row r="548" spans="31:31" ht="12.75" customHeight="1" x14ac:dyDescent="0.15">
      <c r="AE548" s="13"/>
    </row>
    <row r="549" spans="31:31" ht="12.75" customHeight="1" x14ac:dyDescent="0.15">
      <c r="AE549" s="13"/>
    </row>
    <row r="550" spans="31:31" ht="12.75" customHeight="1" x14ac:dyDescent="0.15">
      <c r="AE550" s="13"/>
    </row>
    <row r="551" spans="31:31" ht="12.75" customHeight="1" x14ac:dyDescent="0.15">
      <c r="AE551" s="13"/>
    </row>
    <row r="552" spans="31:31" ht="12.75" customHeight="1" x14ac:dyDescent="0.15">
      <c r="AE552" s="13"/>
    </row>
    <row r="553" spans="31:31" ht="12.75" customHeight="1" x14ac:dyDescent="0.15">
      <c r="AE553" s="13"/>
    </row>
    <row r="554" spans="31:31" ht="12.75" customHeight="1" x14ac:dyDescent="0.15">
      <c r="AE554" s="13"/>
    </row>
    <row r="555" spans="31:31" ht="12.75" customHeight="1" x14ac:dyDescent="0.15">
      <c r="AE555" s="13"/>
    </row>
    <row r="556" spans="31:31" ht="12.75" customHeight="1" x14ac:dyDescent="0.15">
      <c r="AE556" s="13"/>
    </row>
    <row r="557" spans="31:31" ht="12.75" customHeight="1" x14ac:dyDescent="0.15">
      <c r="AE557" s="13"/>
    </row>
    <row r="558" spans="31:31" ht="12.75" customHeight="1" x14ac:dyDescent="0.15">
      <c r="AE558" s="13"/>
    </row>
    <row r="559" spans="31:31" ht="12.75" customHeight="1" x14ac:dyDescent="0.15">
      <c r="AE559" s="13"/>
    </row>
    <row r="560" spans="31:31" ht="12.75" customHeight="1" x14ac:dyDescent="0.15">
      <c r="AE560" s="13"/>
    </row>
    <row r="561" spans="31:31" ht="12.75" customHeight="1" x14ac:dyDescent="0.15">
      <c r="AE561" s="13"/>
    </row>
    <row r="562" spans="31:31" ht="12.75" customHeight="1" x14ac:dyDescent="0.15">
      <c r="AE562" s="13"/>
    </row>
    <row r="563" spans="31:31" ht="12.75" customHeight="1" x14ac:dyDescent="0.15">
      <c r="AE563" s="13"/>
    </row>
    <row r="564" spans="31:31" ht="12.75" customHeight="1" x14ac:dyDescent="0.15">
      <c r="AE564" s="13"/>
    </row>
    <row r="565" spans="31:31" ht="12.75" customHeight="1" x14ac:dyDescent="0.15">
      <c r="AE565" s="13"/>
    </row>
    <row r="566" spans="31:31" ht="12.75" customHeight="1" x14ac:dyDescent="0.15">
      <c r="AE566" s="13"/>
    </row>
    <row r="567" spans="31:31" ht="12.75" customHeight="1" x14ac:dyDescent="0.15">
      <c r="AE567" s="13"/>
    </row>
    <row r="568" spans="31:31" ht="12.75" customHeight="1" x14ac:dyDescent="0.15">
      <c r="AE568" s="13"/>
    </row>
    <row r="569" spans="31:31" ht="12.75" customHeight="1" x14ac:dyDescent="0.15">
      <c r="AE569" s="13"/>
    </row>
    <row r="570" spans="31:31" ht="12.75" customHeight="1" x14ac:dyDescent="0.15">
      <c r="AE570" s="13"/>
    </row>
    <row r="571" spans="31:31" ht="12.75" customHeight="1" x14ac:dyDescent="0.15">
      <c r="AE571" s="13"/>
    </row>
    <row r="572" spans="31:31" ht="12.75" customHeight="1" x14ac:dyDescent="0.15">
      <c r="AE572" s="13"/>
    </row>
    <row r="573" spans="31:31" ht="12.75" customHeight="1" x14ac:dyDescent="0.15">
      <c r="AE573" s="13"/>
    </row>
    <row r="574" spans="31:31" ht="12.75" customHeight="1" x14ac:dyDescent="0.15">
      <c r="AE574" s="13"/>
    </row>
    <row r="575" spans="31:31" ht="12.75" customHeight="1" x14ac:dyDescent="0.15">
      <c r="AE575" s="13"/>
    </row>
    <row r="576" spans="31:31" ht="12.75" customHeight="1" x14ac:dyDescent="0.15">
      <c r="AE576" s="13"/>
    </row>
    <row r="577" spans="31:31" ht="12.75" customHeight="1" x14ac:dyDescent="0.15">
      <c r="AE577" s="13"/>
    </row>
    <row r="578" spans="31:31" ht="12.75" customHeight="1" x14ac:dyDescent="0.15">
      <c r="AE578" s="13"/>
    </row>
    <row r="579" spans="31:31" ht="12.75" customHeight="1" x14ac:dyDescent="0.15">
      <c r="AE579" s="13"/>
    </row>
    <row r="580" spans="31:31" ht="12.75" customHeight="1" x14ac:dyDescent="0.15">
      <c r="AE580" s="13"/>
    </row>
    <row r="581" spans="31:31" ht="12.75" customHeight="1" x14ac:dyDescent="0.15">
      <c r="AE581" s="13"/>
    </row>
    <row r="582" spans="31:31" ht="12.75" customHeight="1" x14ac:dyDescent="0.15">
      <c r="AE582" s="13"/>
    </row>
    <row r="583" spans="31:31" ht="12.75" customHeight="1" x14ac:dyDescent="0.15">
      <c r="AE583" s="13"/>
    </row>
    <row r="584" spans="31:31" ht="12.75" customHeight="1" x14ac:dyDescent="0.15">
      <c r="AE584" s="13"/>
    </row>
    <row r="585" spans="31:31" ht="12.75" customHeight="1" x14ac:dyDescent="0.15">
      <c r="AE585" s="13"/>
    </row>
    <row r="586" spans="31:31" ht="12.75" customHeight="1" x14ac:dyDescent="0.15">
      <c r="AE586" s="13"/>
    </row>
    <row r="587" spans="31:31" ht="12.75" customHeight="1" x14ac:dyDescent="0.15">
      <c r="AE587" s="13"/>
    </row>
    <row r="588" spans="31:31" ht="12.75" customHeight="1" x14ac:dyDescent="0.15">
      <c r="AE588" s="13"/>
    </row>
    <row r="589" spans="31:31" ht="12.75" customHeight="1" x14ac:dyDescent="0.15">
      <c r="AE589" s="13"/>
    </row>
    <row r="590" spans="31:31" ht="12.75" customHeight="1" x14ac:dyDescent="0.15">
      <c r="AE590" s="13"/>
    </row>
    <row r="591" spans="31:31" ht="12.75" customHeight="1" x14ac:dyDescent="0.15">
      <c r="AE591" s="13"/>
    </row>
    <row r="592" spans="31:31" ht="12.75" customHeight="1" x14ac:dyDescent="0.15">
      <c r="AE592" s="13"/>
    </row>
    <row r="593" spans="31:31" ht="12.75" customHeight="1" x14ac:dyDescent="0.15">
      <c r="AE593" s="13"/>
    </row>
    <row r="594" spans="31:31" ht="12.75" customHeight="1" x14ac:dyDescent="0.15">
      <c r="AE594" s="13"/>
    </row>
    <row r="595" spans="31:31" ht="12.75" customHeight="1" x14ac:dyDescent="0.15">
      <c r="AE595" s="13"/>
    </row>
    <row r="596" spans="31:31" ht="12.75" customHeight="1" x14ac:dyDescent="0.15">
      <c r="AE596" s="13"/>
    </row>
    <row r="597" spans="31:31" ht="12.75" customHeight="1" x14ac:dyDescent="0.15">
      <c r="AE597" s="13"/>
    </row>
    <row r="598" spans="31:31" ht="12.75" customHeight="1" x14ac:dyDescent="0.15">
      <c r="AE598" s="13"/>
    </row>
    <row r="599" spans="31:31" ht="12.75" customHeight="1" x14ac:dyDescent="0.15">
      <c r="AE599" s="13"/>
    </row>
    <row r="600" spans="31:31" ht="12.75" customHeight="1" x14ac:dyDescent="0.15">
      <c r="AE600" s="13"/>
    </row>
    <row r="601" spans="31:31" ht="12.75" customHeight="1" x14ac:dyDescent="0.15">
      <c r="AE601" s="13"/>
    </row>
    <row r="602" spans="31:31" ht="12.75" customHeight="1" x14ac:dyDescent="0.15">
      <c r="AE602" s="13"/>
    </row>
    <row r="603" spans="31:31" ht="12.75" customHeight="1" x14ac:dyDescent="0.15">
      <c r="AE603" s="13"/>
    </row>
    <row r="604" spans="31:31" ht="12.75" customHeight="1" x14ac:dyDescent="0.15">
      <c r="AE604" s="13"/>
    </row>
    <row r="605" spans="31:31" ht="12.75" customHeight="1" x14ac:dyDescent="0.15">
      <c r="AE605" s="13"/>
    </row>
    <row r="606" spans="31:31" ht="12.75" customHeight="1" x14ac:dyDescent="0.15">
      <c r="AE606" s="13"/>
    </row>
    <row r="607" spans="31:31" ht="12.75" customHeight="1" x14ac:dyDescent="0.15">
      <c r="AE607" s="13"/>
    </row>
    <row r="608" spans="31:31" ht="12.75" customHeight="1" x14ac:dyDescent="0.15">
      <c r="AE608" s="13"/>
    </row>
    <row r="609" spans="31:31" ht="12.75" customHeight="1" x14ac:dyDescent="0.15">
      <c r="AE609" s="13"/>
    </row>
    <row r="610" spans="31:31" ht="12.75" customHeight="1" x14ac:dyDescent="0.15">
      <c r="AE610" s="13"/>
    </row>
    <row r="611" spans="31:31" ht="12.75" customHeight="1" x14ac:dyDescent="0.15">
      <c r="AE611" s="13"/>
    </row>
    <row r="612" spans="31:31" ht="12.75" customHeight="1" x14ac:dyDescent="0.15">
      <c r="AE612" s="13"/>
    </row>
    <row r="613" spans="31:31" ht="12.75" customHeight="1" x14ac:dyDescent="0.15">
      <c r="AE613" s="13"/>
    </row>
    <row r="614" spans="31:31" ht="12.75" customHeight="1" x14ac:dyDescent="0.15">
      <c r="AE614" s="13"/>
    </row>
    <row r="615" spans="31:31" ht="12.75" customHeight="1" x14ac:dyDescent="0.15">
      <c r="AE615" s="13"/>
    </row>
    <row r="616" spans="31:31" ht="12.75" customHeight="1" x14ac:dyDescent="0.15">
      <c r="AE616" s="13"/>
    </row>
    <row r="617" spans="31:31" ht="12.75" customHeight="1" x14ac:dyDescent="0.15">
      <c r="AE617" s="13"/>
    </row>
    <row r="618" spans="31:31" ht="12.75" customHeight="1" x14ac:dyDescent="0.15">
      <c r="AE618" s="13"/>
    </row>
    <row r="619" spans="31:31" ht="12.75" customHeight="1" x14ac:dyDescent="0.15">
      <c r="AE619" s="13"/>
    </row>
    <row r="620" spans="31:31" ht="12.75" customHeight="1" x14ac:dyDescent="0.15">
      <c r="AE620" s="13"/>
    </row>
    <row r="621" spans="31:31" ht="12.75" customHeight="1" x14ac:dyDescent="0.15">
      <c r="AE621" s="13"/>
    </row>
    <row r="622" spans="31:31" ht="12.75" customHeight="1" x14ac:dyDescent="0.15">
      <c r="AE622" s="13"/>
    </row>
    <row r="623" spans="31:31" ht="12.75" customHeight="1" x14ac:dyDescent="0.15">
      <c r="AE623" s="13"/>
    </row>
    <row r="624" spans="31:31" ht="12.75" customHeight="1" x14ac:dyDescent="0.15">
      <c r="AE624" s="13"/>
    </row>
    <row r="625" spans="31:31" ht="12.75" customHeight="1" x14ac:dyDescent="0.15">
      <c r="AE625" s="13"/>
    </row>
    <row r="626" spans="31:31" ht="12.75" customHeight="1" x14ac:dyDescent="0.15">
      <c r="AE626" s="13"/>
    </row>
    <row r="627" spans="31:31" ht="12.75" customHeight="1" x14ac:dyDescent="0.15">
      <c r="AE627" s="13"/>
    </row>
    <row r="628" spans="31:31" ht="12.75" customHeight="1" x14ac:dyDescent="0.15">
      <c r="AE628" s="13"/>
    </row>
    <row r="629" spans="31:31" ht="12.75" customHeight="1" x14ac:dyDescent="0.15">
      <c r="AE629" s="13"/>
    </row>
    <row r="630" spans="31:31" ht="12.75" customHeight="1" x14ac:dyDescent="0.15">
      <c r="AE630" s="13"/>
    </row>
    <row r="631" spans="31:31" ht="12.75" customHeight="1" x14ac:dyDescent="0.15">
      <c r="AE631" s="13"/>
    </row>
    <row r="632" spans="31:31" ht="12.75" customHeight="1" x14ac:dyDescent="0.15">
      <c r="AE632" s="13"/>
    </row>
    <row r="633" spans="31:31" ht="12.75" customHeight="1" x14ac:dyDescent="0.15">
      <c r="AE633" s="13"/>
    </row>
    <row r="634" spans="31:31" ht="12.75" customHeight="1" x14ac:dyDescent="0.15">
      <c r="AE634" s="13"/>
    </row>
    <row r="635" spans="31:31" ht="12.75" customHeight="1" x14ac:dyDescent="0.15">
      <c r="AE635" s="13"/>
    </row>
    <row r="636" spans="31:31" ht="12.75" customHeight="1" x14ac:dyDescent="0.15">
      <c r="AE636" s="13"/>
    </row>
    <row r="637" spans="31:31" ht="12.75" customHeight="1" x14ac:dyDescent="0.15">
      <c r="AE637" s="13"/>
    </row>
    <row r="638" spans="31:31" ht="12.75" customHeight="1" x14ac:dyDescent="0.15">
      <c r="AE638" s="13"/>
    </row>
    <row r="639" spans="31:31" ht="12.75" customHeight="1" x14ac:dyDescent="0.15">
      <c r="AE639" s="13"/>
    </row>
    <row r="640" spans="31:31" ht="12.75" customHeight="1" x14ac:dyDescent="0.15">
      <c r="AE640" s="13"/>
    </row>
    <row r="641" spans="31:31" ht="12.75" customHeight="1" x14ac:dyDescent="0.15">
      <c r="AE641" s="13"/>
    </row>
    <row r="642" spans="31:31" ht="12.75" customHeight="1" x14ac:dyDescent="0.15">
      <c r="AE642" s="13"/>
    </row>
    <row r="643" spans="31:31" ht="12.75" customHeight="1" x14ac:dyDescent="0.15">
      <c r="AE643" s="13"/>
    </row>
    <row r="644" spans="31:31" ht="12.75" customHeight="1" x14ac:dyDescent="0.15">
      <c r="AE644" s="13"/>
    </row>
    <row r="645" spans="31:31" ht="12.75" customHeight="1" x14ac:dyDescent="0.15">
      <c r="AE645" s="13"/>
    </row>
    <row r="646" spans="31:31" ht="12.75" customHeight="1" x14ac:dyDescent="0.15">
      <c r="AE646" s="13"/>
    </row>
    <row r="647" spans="31:31" ht="12.75" customHeight="1" x14ac:dyDescent="0.15">
      <c r="AE647" s="13"/>
    </row>
    <row r="648" spans="31:31" ht="12.75" customHeight="1" x14ac:dyDescent="0.15">
      <c r="AE648" s="13"/>
    </row>
    <row r="649" spans="31:31" ht="12.75" customHeight="1" x14ac:dyDescent="0.15">
      <c r="AE649" s="13"/>
    </row>
    <row r="650" spans="31:31" ht="12.75" customHeight="1" x14ac:dyDescent="0.15">
      <c r="AE650" s="13"/>
    </row>
    <row r="651" spans="31:31" ht="12.75" customHeight="1" x14ac:dyDescent="0.15">
      <c r="AE651" s="13"/>
    </row>
    <row r="652" spans="31:31" ht="12.75" customHeight="1" x14ac:dyDescent="0.15">
      <c r="AE652" s="13"/>
    </row>
    <row r="653" spans="31:31" ht="12.75" customHeight="1" x14ac:dyDescent="0.15">
      <c r="AE653" s="13"/>
    </row>
    <row r="654" spans="31:31" ht="12.75" customHeight="1" x14ac:dyDescent="0.15">
      <c r="AE654" s="13"/>
    </row>
    <row r="655" spans="31:31" ht="12.75" customHeight="1" x14ac:dyDescent="0.15">
      <c r="AE655" s="13"/>
    </row>
    <row r="656" spans="31:31" ht="12.75" customHeight="1" x14ac:dyDescent="0.15">
      <c r="AE656" s="13"/>
    </row>
    <row r="657" spans="31:31" ht="12.75" customHeight="1" x14ac:dyDescent="0.15">
      <c r="AE657" s="13"/>
    </row>
    <row r="658" spans="31:31" ht="12.75" customHeight="1" x14ac:dyDescent="0.15">
      <c r="AE658" s="13"/>
    </row>
    <row r="659" spans="31:31" ht="12.75" customHeight="1" x14ac:dyDescent="0.15">
      <c r="AE659" s="13"/>
    </row>
    <row r="660" spans="31:31" ht="12.75" customHeight="1" x14ac:dyDescent="0.15">
      <c r="AE660" s="13"/>
    </row>
    <row r="661" spans="31:31" ht="12.75" customHeight="1" x14ac:dyDescent="0.15">
      <c r="AE661" s="13"/>
    </row>
    <row r="662" spans="31:31" ht="12.75" customHeight="1" x14ac:dyDescent="0.15">
      <c r="AE662" s="13"/>
    </row>
    <row r="663" spans="31:31" ht="12.75" customHeight="1" x14ac:dyDescent="0.15">
      <c r="AE663" s="13"/>
    </row>
    <row r="664" spans="31:31" ht="12.75" customHeight="1" x14ac:dyDescent="0.15">
      <c r="AE664" s="13"/>
    </row>
    <row r="665" spans="31:31" ht="12.75" customHeight="1" x14ac:dyDescent="0.15">
      <c r="AE665" s="13"/>
    </row>
    <row r="666" spans="31:31" ht="12.75" customHeight="1" x14ac:dyDescent="0.15">
      <c r="AE666" s="13"/>
    </row>
    <row r="667" spans="31:31" ht="12.75" customHeight="1" x14ac:dyDescent="0.15">
      <c r="AE667" s="13"/>
    </row>
    <row r="668" spans="31:31" ht="12.75" customHeight="1" x14ac:dyDescent="0.15">
      <c r="AE668" s="13"/>
    </row>
    <row r="669" spans="31:31" ht="12.75" customHeight="1" x14ac:dyDescent="0.15">
      <c r="AE669" s="13"/>
    </row>
    <row r="670" spans="31:31" ht="12.75" customHeight="1" x14ac:dyDescent="0.15">
      <c r="AE670" s="13"/>
    </row>
    <row r="671" spans="31:31" ht="12.75" customHeight="1" x14ac:dyDescent="0.15">
      <c r="AE671" s="13"/>
    </row>
    <row r="672" spans="31:31" ht="12.75" customHeight="1" x14ac:dyDescent="0.15">
      <c r="AE672" s="13"/>
    </row>
    <row r="673" spans="31:31" ht="12.75" customHeight="1" x14ac:dyDescent="0.15">
      <c r="AE673" s="13"/>
    </row>
    <row r="674" spans="31:31" ht="12.75" customHeight="1" x14ac:dyDescent="0.15">
      <c r="AE674" s="13"/>
    </row>
    <row r="675" spans="31:31" ht="12.75" customHeight="1" x14ac:dyDescent="0.15">
      <c r="AE675" s="13"/>
    </row>
    <row r="676" spans="31:31" ht="12.75" customHeight="1" x14ac:dyDescent="0.15">
      <c r="AE676" s="13"/>
    </row>
    <row r="677" spans="31:31" ht="12.75" customHeight="1" x14ac:dyDescent="0.15">
      <c r="AE677" s="13"/>
    </row>
    <row r="678" spans="31:31" ht="12.75" customHeight="1" x14ac:dyDescent="0.15">
      <c r="AE678" s="13"/>
    </row>
    <row r="679" spans="31:31" ht="12.75" customHeight="1" x14ac:dyDescent="0.15">
      <c r="AE679" s="13"/>
    </row>
    <row r="680" spans="31:31" ht="12.75" customHeight="1" x14ac:dyDescent="0.15">
      <c r="AE680" s="13"/>
    </row>
    <row r="681" spans="31:31" ht="12.75" customHeight="1" x14ac:dyDescent="0.15">
      <c r="AE681" s="13"/>
    </row>
    <row r="682" spans="31:31" ht="12.75" customHeight="1" x14ac:dyDescent="0.15">
      <c r="AE682" s="13"/>
    </row>
    <row r="683" spans="31:31" ht="12.75" customHeight="1" x14ac:dyDescent="0.15">
      <c r="AE683" s="13"/>
    </row>
    <row r="684" spans="31:31" ht="12.75" customHeight="1" x14ac:dyDescent="0.15">
      <c r="AE684" s="13"/>
    </row>
    <row r="685" spans="31:31" ht="12.75" customHeight="1" x14ac:dyDescent="0.15">
      <c r="AE685" s="13"/>
    </row>
    <row r="686" spans="31:31" ht="12.75" customHeight="1" x14ac:dyDescent="0.15">
      <c r="AE686" s="13"/>
    </row>
    <row r="687" spans="31:31" ht="12.75" customHeight="1" x14ac:dyDescent="0.15">
      <c r="AE687" s="13"/>
    </row>
    <row r="688" spans="31:31" ht="12.75" customHeight="1" x14ac:dyDescent="0.15">
      <c r="AE688" s="13"/>
    </row>
    <row r="689" spans="31:31" ht="12.75" customHeight="1" x14ac:dyDescent="0.15">
      <c r="AE689" s="13"/>
    </row>
    <row r="690" spans="31:31" ht="12.75" customHeight="1" x14ac:dyDescent="0.15">
      <c r="AE690" s="13"/>
    </row>
    <row r="691" spans="31:31" ht="12.75" customHeight="1" x14ac:dyDescent="0.15">
      <c r="AE691" s="13"/>
    </row>
    <row r="692" spans="31:31" ht="12.75" customHeight="1" x14ac:dyDescent="0.15">
      <c r="AE692" s="13"/>
    </row>
    <row r="693" spans="31:31" ht="12.75" customHeight="1" x14ac:dyDescent="0.15">
      <c r="AE693" s="13"/>
    </row>
    <row r="694" spans="31:31" ht="12.75" customHeight="1" x14ac:dyDescent="0.15">
      <c r="AE694" s="13"/>
    </row>
    <row r="695" spans="31:31" ht="12.75" customHeight="1" x14ac:dyDescent="0.15">
      <c r="AE695" s="13"/>
    </row>
    <row r="696" spans="31:31" ht="12.75" customHeight="1" x14ac:dyDescent="0.15">
      <c r="AE696" s="13"/>
    </row>
    <row r="697" spans="31:31" ht="12.75" customHeight="1" x14ac:dyDescent="0.15">
      <c r="AE697" s="13"/>
    </row>
    <row r="698" spans="31:31" ht="12.75" customHeight="1" x14ac:dyDescent="0.15">
      <c r="AE698" s="13"/>
    </row>
    <row r="699" spans="31:31" ht="12.75" customHeight="1" x14ac:dyDescent="0.15">
      <c r="AE699" s="13"/>
    </row>
    <row r="700" spans="31:31" ht="12.75" customHeight="1" x14ac:dyDescent="0.15">
      <c r="AE700" s="13"/>
    </row>
    <row r="701" spans="31:31" ht="12.75" customHeight="1" x14ac:dyDescent="0.15">
      <c r="AE701" s="13"/>
    </row>
    <row r="702" spans="31:31" ht="12.75" customHeight="1" x14ac:dyDescent="0.15">
      <c r="AE702" s="13"/>
    </row>
    <row r="703" spans="31:31" ht="12.75" customHeight="1" x14ac:dyDescent="0.15">
      <c r="AE703" s="13"/>
    </row>
    <row r="704" spans="31:31" ht="12.75" customHeight="1" x14ac:dyDescent="0.15">
      <c r="AE704" s="13"/>
    </row>
    <row r="705" spans="31:31" ht="12.75" customHeight="1" x14ac:dyDescent="0.15">
      <c r="AE705" s="13"/>
    </row>
    <row r="706" spans="31:31" ht="12.75" customHeight="1" x14ac:dyDescent="0.15">
      <c r="AE706" s="13"/>
    </row>
    <row r="707" spans="31:31" ht="12.75" customHeight="1" x14ac:dyDescent="0.15">
      <c r="AE707" s="13"/>
    </row>
    <row r="708" spans="31:31" ht="12.75" customHeight="1" x14ac:dyDescent="0.15">
      <c r="AE708" s="13"/>
    </row>
    <row r="709" spans="31:31" ht="12.75" customHeight="1" x14ac:dyDescent="0.15">
      <c r="AE709" s="13"/>
    </row>
    <row r="710" spans="31:31" ht="12.75" customHeight="1" x14ac:dyDescent="0.15">
      <c r="AE710" s="13"/>
    </row>
    <row r="711" spans="31:31" ht="12.75" customHeight="1" x14ac:dyDescent="0.15">
      <c r="AE711" s="13"/>
    </row>
    <row r="712" spans="31:31" ht="12.75" customHeight="1" x14ac:dyDescent="0.15">
      <c r="AE712" s="13"/>
    </row>
    <row r="713" spans="31:31" ht="12.75" customHeight="1" x14ac:dyDescent="0.15">
      <c r="AE713" s="13"/>
    </row>
    <row r="714" spans="31:31" ht="12.75" customHeight="1" x14ac:dyDescent="0.15">
      <c r="AE714" s="13"/>
    </row>
    <row r="715" spans="31:31" ht="12.75" customHeight="1" x14ac:dyDescent="0.15">
      <c r="AE715" s="13"/>
    </row>
    <row r="716" spans="31:31" ht="12.75" customHeight="1" x14ac:dyDescent="0.15">
      <c r="AE716" s="13"/>
    </row>
    <row r="717" spans="31:31" ht="12.75" customHeight="1" x14ac:dyDescent="0.15">
      <c r="AE717" s="13"/>
    </row>
    <row r="718" spans="31:31" ht="12.75" customHeight="1" x14ac:dyDescent="0.15">
      <c r="AE718" s="13"/>
    </row>
    <row r="719" spans="31:31" ht="12.75" customHeight="1" x14ac:dyDescent="0.15">
      <c r="AE719" s="13"/>
    </row>
    <row r="720" spans="31:31" ht="12.75" customHeight="1" x14ac:dyDescent="0.15">
      <c r="AE720" s="13"/>
    </row>
    <row r="721" spans="31:31" ht="12.75" customHeight="1" x14ac:dyDescent="0.15">
      <c r="AE721" s="13"/>
    </row>
    <row r="722" spans="31:31" ht="12.75" customHeight="1" x14ac:dyDescent="0.15">
      <c r="AE722" s="13"/>
    </row>
    <row r="723" spans="31:31" ht="12.75" customHeight="1" x14ac:dyDescent="0.15">
      <c r="AE723" s="13"/>
    </row>
    <row r="724" spans="31:31" ht="12.75" customHeight="1" x14ac:dyDescent="0.15">
      <c r="AE724" s="13"/>
    </row>
    <row r="725" spans="31:31" ht="12.75" customHeight="1" x14ac:dyDescent="0.15">
      <c r="AE725" s="13"/>
    </row>
    <row r="726" spans="31:31" ht="12.75" customHeight="1" x14ac:dyDescent="0.15">
      <c r="AE726" s="13"/>
    </row>
    <row r="727" spans="31:31" ht="12.75" customHeight="1" x14ac:dyDescent="0.15">
      <c r="AE727" s="13"/>
    </row>
    <row r="728" spans="31:31" ht="12.75" customHeight="1" x14ac:dyDescent="0.15">
      <c r="AE728" s="13"/>
    </row>
    <row r="729" spans="31:31" ht="12.75" customHeight="1" x14ac:dyDescent="0.15">
      <c r="AE729" s="13"/>
    </row>
    <row r="730" spans="31:31" ht="12.75" customHeight="1" x14ac:dyDescent="0.15">
      <c r="AE730" s="13"/>
    </row>
    <row r="731" spans="31:31" ht="12.75" customHeight="1" x14ac:dyDescent="0.15">
      <c r="AE731" s="13"/>
    </row>
    <row r="732" spans="31:31" ht="12.75" customHeight="1" x14ac:dyDescent="0.15">
      <c r="AE732" s="13"/>
    </row>
    <row r="733" spans="31:31" ht="12.75" customHeight="1" x14ac:dyDescent="0.15">
      <c r="AE733" s="13"/>
    </row>
    <row r="734" spans="31:31" ht="12.75" customHeight="1" x14ac:dyDescent="0.15">
      <c r="AE734" s="13"/>
    </row>
    <row r="735" spans="31:31" ht="12.75" customHeight="1" x14ac:dyDescent="0.15">
      <c r="AE735" s="13"/>
    </row>
    <row r="736" spans="31:31" ht="12.75" customHeight="1" x14ac:dyDescent="0.15">
      <c r="AE736" s="13"/>
    </row>
    <row r="737" spans="31:31" ht="12.75" customHeight="1" x14ac:dyDescent="0.15">
      <c r="AE737" s="13"/>
    </row>
    <row r="738" spans="31:31" ht="12.75" customHeight="1" x14ac:dyDescent="0.15">
      <c r="AE738" s="13"/>
    </row>
    <row r="739" spans="31:31" ht="12.75" customHeight="1" x14ac:dyDescent="0.15">
      <c r="AE739" s="13"/>
    </row>
    <row r="740" spans="31:31" ht="12.75" customHeight="1" x14ac:dyDescent="0.15">
      <c r="AE740" s="13"/>
    </row>
    <row r="741" spans="31:31" ht="12.75" customHeight="1" x14ac:dyDescent="0.15">
      <c r="AE741" s="13"/>
    </row>
    <row r="742" spans="31:31" ht="12.75" customHeight="1" x14ac:dyDescent="0.15">
      <c r="AE742" s="13"/>
    </row>
    <row r="743" spans="31:31" ht="12.75" customHeight="1" x14ac:dyDescent="0.15">
      <c r="AE743" s="13"/>
    </row>
    <row r="744" spans="31:31" ht="12.75" customHeight="1" x14ac:dyDescent="0.15">
      <c r="AE744" s="13"/>
    </row>
    <row r="745" spans="31:31" ht="12.75" customHeight="1" x14ac:dyDescent="0.15">
      <c r="AE745" s="13"/>
    </row>
    <row r="746" spans="31:31" ht="12.75" customHeight="1" x14ac:dyDescent="0.15">
      <c r="AE746" s="13"/>
    </row>
    <row r="747" spans="31:31" ht="12.75" customHeight="1" x14ac:dyDescent="0.15">
      <c r="AE747" s="13"/>
    </row>
    <row r="748" spans="31:31" ht="12.75" customHeight="1" x14ac:dyDescent="0.15">
      <c r="AE748" s="13"/>
    </row>
    <row r="749" spans="31:31" ht="12.75" customHeight="1" x14ac:dyDescent="0.15">
      <c r="AE749" s="13"/>
    </row>
    <row r="750" spans="31:31" ht="12.75" customHeight="1" x14ac:dyDescent="0.15">
      <c r="AE750" s="13"/>
    </row>
    <row r="751" spans="31:31" ht="12.75" customHeight="1" x14ac:dyDescent="0.15">
      <c r="AE751" s="13"/>
    </row>
    <row r="752" spans="31:31" ht="12.75" customHeight="1" x14ac:dyDescent="0.15">
      <c r="AE752" s="13"/>
    </row>
    <row r="753" spans="31:31" ht="12.75" customHeight="1" x14ac:dyDescent="0.15">
      <c r="AE753" s="13"/>
    </row>
    <row r="754" spans="31:31" ht="12.75" customHeight="1" x14ac:dyDescent="0.15">
      <c r="AE754" s="13"/>
    </row>
    <row r="755" spans="31:31" ht="12.75" customHeight="1" x14ac:dyDescent="0.15">
      <c r="AE755" s="13"/>
    </row>
    <row r="756" spans="31:31" ht="12.75" customHeight="1" x14ac:dyDescent="0.15">
      <c r="AE756" s="13"/>
    </row>
    <row r="757" spans="31:31" ht="12.75" customHeight="1" x14ac:dyDescent="0.15">
      <c r="AE757" s="13"/>
    </row>
    <row r="758" spans="31:31" ht="12.75" customHeight="1" x14ac:dyDescent="0.15">
      <c r="AE758" s="13"/>
    </row>
    <row r="759" spans="31:31" ht="12.75" customHeight="1" x14ac:dyDescent="0.15">
      <c r="AE759" s="13"/>
    </row>
    <row r="760" spans="31:31" ht="12.75" customHeight="1" x14ac:dyDescent="0.15">
      <c r="AE760" s="13"/>
    </row>
    <row r="761" spans="31:31" ht="12.75" customHeight="1" x14ac:dyDescent="0.15">
      <c r="AE761" s="13"/>
    </row>
    <row r="762" spans="31:31" ht="12.75" customHeight="1" x14ac:dyDescent="0.15">
      <c r="AE762" s="13"/>
    </row>
    <row r="763" spans="31:31" ht="12.75" customHeight="1" x14ac:dyDescent="0.15">
      <c r="AE763" s="13"/>
    </row>
    <row r="764" spans="31:31" ht="12.75" customHeight="1" x14ac:dyDescent="0.15">
      <c r="AE764" s="13"/>
    </row>
    <row r="765" spans="31:31" ht="12.75" customHeight="1" x14ac:dyDescent="0.15">
      <c r="AE765" s="13"/>
    </row>
    <row r="766" spans="31:31" ht="12.75" customHeight="1" x14ac:dyDescent="0.15">
      <c r="AE766" s="13"/>
    </row>
    <row r="767" spans="31:31" ht="12.75" customHeight="1" x14ac:dyDescent="0.15">
      <c r="AE767" s="13"/>
    </row>
    <row r="768" spans="31:31" ht="12.75" customHeight="1" x14ac:dyDescent="0.15">
      <c r="AE768" s="13"/>
    </row>
    <row r="769" spans="31:31" ht="12.75" customHeight="1" x14ac:dyDescent="0.15">
      <c r="AE769" s="13"/>
    </row>
    <row r="770" spans="31:31" ht="12.75" customHeight="1" x14ac:dyDescent="0.15">
      <c r="AE770" s="13"/>
    </row>
    <row r="771" spans="31:31" ht="12.75" customHeight="1" x14ac:dyDescent="0.15">
      <c r="AE771" s="13"/>
    </row>
    <row r="772" spans="31:31" ht="12.75" customHeight="1" x14ac:dyDescent="0.15">
      <c r="AE772" s="13"/>
    </row>
    <row r="773" spans="31:31" ht="12.75" customHeight="1" x14ac:dyDescent="0.15">
      <c r="AE773" s="13"/>
    </row>
    <row r="774" spans="31:31" ht="12.75" customHeight="1" x14ac:dyDescent="0.15">
      <c r="AE774" s="13"/>
    </row>
    <row r="775" spans="31:31" ht="12.75" customHeight="1" x14ac:dyDescent="0.15">
      <c r="AE775" s="13"/>
    </row>
    <row r="776" spans="31:31" ht="12.75" customHeight="1" x14ac:dyDescent="0.15">
      <c r="AE776" s="13"/>
    </row>
    <row r="777" spans="31:31" ht="12.75" customHeight="1" x14ac:dyDescent="0.15">
      <c r="AE777" s="13"/>
    </row>
    <row r="778" spans="31:31" ht="12.75" customHeight="1" x14ac:dyDescent="0.15">
      <c r="AE778" s="13"/>
    </row>
    <row r="779" spans="31:31" ht="12.75" customHeight="1" x14ac:dyDescent="0.15">
      <c r="AE779" s="13"/>
    </row>
    <row r="780" spans="31:31" ht="12.75" customHeight="1" x14ac:dyDescent="0.15">
      <c r="AE780" s="13"/>
    </row>
    <row r="781" spans="31:31" ht="12.75" customHeight="1" x14ac:dyDescent="0.15">
      <c r="AE781" s="13"/>
    </row>
    <row r="782" spans="31:31" ht="12.75" customHeight="1" x14ac:dyDescent="0.15">
      <c r="AE782" s="13"/>
    </row>
    <row r="783" spans="31:31" ht="12.75" customHeight="1" x14ac:dyDescent="0.15">
      <c r="AE783" s="13"/>
    </row>
    <row r="784" spans="31:31" ht="12.75" customHeight="1" x14ac:dyDescent="0.15">
      <c r="AE784" s="13"/>
    </row>
    <row r="785" spans="31:31" ht="12.75" customHeight="1" x14ac:dyDescent="0.15">
      <c r="AE785" s="13"/>
    </row>
    <row r="786" spans="31:31" ht="12.75" customHeight="1" x14ac:dyDescent="0.15">
      <c r="AE786" s="13"/>
    </row>
    <row r="787" spans="31:31" ht="12.75" customHeight="1" x14ac:dyDescent="0.15">
      <c r="AE787" s="13"/>
    </row>
    <row r="788" spans="31:31" ht="12.75" customHeight="1" x14ac:dyDescent="0.15">
      <c r="AE788" s="13"/>
    </row>
    <row r="789" spans="31:31" ht="12.75" customHeight="1" x14ac:dyDescent="0.15">
      <c r="AE789" s="13"/>
    </row>
    <row r="790" spans="31:31" ht="12.75" customHeight="1" x14ac:dyDescent="0.15">
      <c r="AE790" s="13"/>
    </row>
    <row r="791" spans="31:31" ht="12.75" customHeight="1" x14ac:dyDescent="0.15">
      <c r="AE791" s="13"/>
    </row>
    <row r="792" spans="31:31" ht="12.75" customHeight="1" x14ac:dyDescent="0.15">
      <c r="AE792" s="13"/>
    </row>
    <row r="793" spans="31:31" ht="12.75" customHeight="1" x14ac:dyDescent="0.15">
      <c r="AE793" s="13"/>
    </row>
    <row r="794" spans="31:31" ht="12.75" customHeight="1" x14ac:dyDescent="0.15">
      <c r="AE794" s="13"/>
    </row>
    <row r="795" spans="31:31" ht="12.75" customHeight="1" x14ac:dyDescent="0.15">
      <c r="AE795" s="13"/>
    </row>
    <row r="796" spans="31:31" ht="12.75" customHeight="1" x14ac:dyDescent="0.15">
      <c r="AE796" s="13"/>
    </row>
    <row r="797" spans="31:31" ht="12.75" customHeight="1" x14ac:dyDescent="0.15">
      <c r="AE797" s="13"/>
    </row>
    <row r="798" spans="31:31" ht="12.75" customHeight="1" x14ac:dyDescent="0.15">
      <c r="AE798" s="13"/>
    </row>
    <row r="799" spans="31:31" ht="12.75" customHeight="1" x14ac:dyDescent="0.15">
      <c r="AE799" s="13"/>
    </row>
    <row r="800" spans="31:31" ht="12.75" customHeight="1" x14ac:dyDescent="0.15">
      <c r="AE800" s="13"/>
    </row>
    <row r="801" spans="31:31" ht="12.75" customHeight="1" x14ac:dyDescent="0.15">
      <c r="AE801" s="13"/>
    </row>
    <row r="802" spans="31:31" ht="12.75" customHeight="1" x14ac:dyDescent="0.15">
      <c r="AE802" s="13"/>
    </row>
    <row r="803" spans="31:31" ht="12.75" customHeight="1" x14ac:dyDescent="0.15">
      <c r="AE803" s="13"/>
    </row>
    <row r="804" spans="31:31" ht="12.75" customHeight="1" x14ac:dyDescent="0.15">
      <c r="AE804" s="13"/>
    </row>
    <row r="805" spans="31:31" ht="12.75" customHeight="1" x14ac:dyDescent="0.15">
      <c r="AE805" s="13"/>
    </row>
    <row r="806" spans="31:31" ht="12.75" customHeight="1" x14ac:dyDescent="0.15">
      <c r="AE806" s="13"/>
    </row>
    <row r="807" spans="31:31" ht="12.75" customHeight="1" x14ac:dyDescent="0.15">
      <c r="AE807" s="13"/>
    </row>
    <row r="808" spans="31:31" ht="12.75" customHeight="1" x14ac:dyDescent="0.15">
      <c r="AE808" s="13"/>
    </row>
    <row r="809" spans="31:31" ht="12.75" customHeight="1" x14ac:dyDescent="0.15">
      <c r="AE809" s="13"/>
    </row>
    <row r="810" spans="31:31" ht="12.75" customHeight="1" x14ac:dyDescent="0.15">
      <c r="AE810" s="13"/>
    </row>
    <row r="811" spans="31:31" ht="12.75" customHeight="1" x14ac:dyDescent="0.15">
      <c r="AE811" s="13"/>
    </row>
    <row r="812" spans="31:31" ht="12.75" customHeight="1" x14ac:dyDescent="0.15">
      <c r="AE812" s="13"/>
    </row>
    <row r="813" spans="31:31" ht="12.75" customHeight="1" x14ac:dyDescent="0.15">
      <c r="AE813" s="13"/>
    </row>
    <row r="814" spans="31:31" ht="12.75" customHeight="1" x14ac:dyDescent="0.15">
      <c r="AE814" s="13"/>
    </row>
    <row r="815" spans="31:31" ht="12.75" customHeight="1" x14ac:dyDescent="0.15">
      <c r="AE815" s="13"/>
    </row>
    <row r="816" spans="31:31" ht="12.75" customHeight="1" x14ac:dyDescent="0.15">
      <c r="AE816" s="13"/>
    </row>
    <row r="817" spans="31:31" ht="12.75" customHeight="1" x14ac:dyDescent="0.15">
      <c r="AE817" s="13"/>
    </row>
    <row r="818" spans="31:31" ht="12.75" customHeight="1" x14ac:dyDescent="0.15">
      <c r="AE818" s="13"/>
    </row>
    <row r="819" spans="31:31" ht="12.75" customHeight="1" x14ac:dyDescent="0.15">
      <c r="AE819" s="13"/>
    </row>
    <row r="820" spans="31:31" ht="12.75" customHeight="1" x14ac:dyDescent="0.15">
      <c r="AE820" s="13"/>
    </row>
    <row r="821" spans="31:31" ht="12.75" customHeight="1" x14ac:dyDescent="0.15">
      <c r="AE821" s="13"/>
    </row>
    <row r="822" spans="31:31" ht="12.75" customHeight="1" x14ac:dyDescent="0.15">
      <c r="AE822" s="13"/>
    </row>
    <row r="823" spans="31:31" ht="12.75" customHeight="1" x14ac:dyDescent="0.15">
      <c r="AE823" s="13"/>
    </row>
    <row r="824" spans="31:31" ht="12.75" customHeight="1" x14ac:dyDescent="0.15">
      <c r="AE824" s="13"/>
    </row>
    <row r="825" spans="31:31" ht="12.75" customHeight="1" x14ac:dyDescent="0.15">
      <c r="AE825" s="13"/>
    </row>
    <row r="826" spans="31:31" ht="12.75" customHeight="1" x14ac:dyDescent="0.15">
      <c r="AE826" s="13"/>
    </row>
    <row r="827" spans="31:31" ht="12.75" customHeight="1" x14ac:dyDescent="0.15">
      <c r="AE827" s="13"/>
    </row>
    <row r="828" spans="31:31" ht="12.75" customHeight="1" x14ac:dyDescent="0.15">
      <c r="AE828" s="13"/>
    </row>
    <row r="829" spans="31:31" ht="12.75" customHeight="1" x14ac:dyDescent="0.15">
      <c r="AE829" s="13"/>
    </row>
    <row r="830" spans="31:31" ht="12.75" customHeight="1" x14ac:dyDescent="0.15">
      <c r="AE830" s="13"/>
    </row>
    <row r="831" spans="31:31" ht="12.75" customHeight="1" x14ac:dyDescent="0.15">
      <c r="AE831" s="13"/>
    </row>
    <row r="832" spans="31:31" ht="12.75" customHeight="1" x14ac:dyDescent="0.15">
      <c r="AE832" s="13"/>
    </row>
    <row r="833" spans="31:31" ht="12.75" customHeight="1" x14ac:dyDescent="0.15">
      <c r="AE833" s="13"/>
    </row>
    <row r="834" spans="31:31" ht="12.75" customHeight="1" x14ac:dyDescent="0.15">
      <c r="AE834" s="13"/>
    </row>
    <row r="835" spans="31:31" ht="12.75" customHeight="1" x14ac:dyDescent="0.15">
      <c r="AE835" s="13"/>
    </row>
    <row r="836" spans="31:31" ht="12.75" customHeight="1" x14ac:dyDescent="0.15">
      <c r="AE836" s="13"/>
    </row>
    <row r="837" spans="31:31" ht="12.75" customHeight="1" x14ac:dyDescent="0.15">
      <c r="AE837" s="13"/>
    </row>
    <row r="838" spans="31:31" ht="12.75" customHeight="1" x14ac:dyDescent="0.15">
      <c r="AE838" s="13"/>
    </row>
    <row r="839" spans="31:31" ht="12.75" customHeight="1" x14ac:dyDescent="0.15">
      <c r="AE839" s="13"/>
    </row>
    <row r="840" spans="31:31" ht="12.75" customHeight="1" x14ac:dyDescent="0.15">
      <c r="AE840" s="13"/>
    </row>
    <row r="841" spans="31:31" ht="12.75" customHeight="1" x14ac:dyDescent="0.15">
      <c r="AE841" s="13"/>
    </row>
    <row r="842" spans="31:31" ht="12.75" customHeight="1" x14ac:dyDescent="0.15">
      <c r="AE842" s="13"/>
    </row>
    <row r="843" spans="31:31" ht="12.75" customHeight="1" x14ac:dyDescent="0.15">
      <c r="AE843" s="13"/>
    </row>
    <row r="844" spans="31:31" ht="12.75" customHeight="1" x14ac:dyDescent="0.15">
      <c r="AE844" s="13"/>
    </row>
    <row r="845" spans="31:31" ht="12.75" customHeight="1" x14ac:dyDescent="0.15">
      <c r="AE845" s="13"/>
    </row>
    <row r="846" spans="31:31" ht="12.75" customHeight="1" x14ac:dyDescent="0.15">
      <c r="AE846" s="13"/>
    </row>
    <row r="847" spans="31:31" ht="12.75" customHeight="1" x14ac:dyDescent="0.15">
      <c r="AE847" s="13"/>
    </row>
    <row r="848" spans="31:31" ht="12.75" customHeight="1" x14ac:dyDescent="0.15">
      <c r="AE848" s="13"/>
    </row>
    <row r="849" spans="31:31" ht="12.75" customHeight="1" x14ac:dyDescent="0.15">
      <c r="AE849" s="13"/>
    </row>
    <row r="850" spans="31:31" ht="12.75" customHeight="1" x14ac:dyDescent="0.15">
      <c r="AE850" s="13"/>
    </row>
    <row r="851" spans="31:31" ht="12.75" customHeight="1" x14ac:dyDescent="0.15">
      <c r="AE851" s="13"/>
    </row>
    <row r="852" spans="31:31" ht="12.75" customHeight="1" x14ac:dyDescent="0.15">
      <c r="AE852" s="13"/>
    </row>
    <row r="853" spans="31:31" ht="12.75" customHeight="1" x14ac:dyDescent="0.15">
      <c r="AE853" s="13"/>
    </row>
    <row r="854" spans="31:31" ht="12.75" customHeight="1" x14ac:dyDescent="0.15">
      <c r="AE854" s="13"/>
    </row>
    <row r="855" spans="31:31" ht="12.75" customHeight="1" x14ac:dyDescent="0.15">
      <c r="AE855" s="13"/>
    </row>
    <row r="856" spans="31:31" ht="12.75" customHeight="1" x14ac:dyDescent="0.15">
      <c r="AE856" s="13"/>
    </row>
    <row r="857" spans="31:31" ht="12.75" customHeight="1" x14ac:dyDescent="0.15">
      <c r="AE857" s="13"/>
    </row>
    <row r="858" spans="31:31" ht="12.75" customHeight="1" x14ac:dyDescent="0.15">
      <c r="AE858" s="13"/>
    </row>
    <row r="859" spans="31:31" ht="12.75" customHeight="1" x14ac:dyDescent="0.15">
      <c r="AE859" s="13"/>
    </row>
    <row r="860" spans="31:31" ht="12.75" customHeight="1" x14ac:dyDescent="0.15">
      <c r="AE860" s="13"/>
    </row>
    <row r="861" spans="31:31" ht="12.75" customHeight="1" x14ac:dyDescent="0.15">
      <c r="AE861" s="13"/>
    </row>
    <row r="862" spans="31:31" ht="12.75" customHeight="1" x14ac:dyDescent="0.15">
      <c r="AE862" s="13"/>
    </row>
    <row r="863" spans="31:31" ht="12.75" customHeight="1" x14ac:dyDescent="0.15">
      <c r="AE863" s="13"/>
    </row>
    <row r="864" spans="31:31" ht="12.75" customHeight="1" x14ac:dyDescent="0.15">
      <c r="AE864" s="13"/>
    </row>
    <row r="865" spans="31:31" ht="12.75" customHeight="1" x14ac:dyDescent="0.15">
      <c r="AE865" s="13"/>
    </row>
    <row r="866" spans="31:31" ht="12.75" customHeight="1" x14ac:dyDescent="0.15">
      <c r="AE866" s="13"/>
    </row>
    <row r="867" spans="31:31" ht="12.75" customHeight="1" x14ac:dyDescent="0.15">
      <c r="AE867" s="13"/>
    </row>
    <row r="868" spans="31:31" ht="12.75" customHeight="1" x14ac:dyDescent="0.15">
      <c r="AE868" s="13"/>
    </row>
    <row r="869" spans="31:31" ht="12.75" customHeight="1" x14ac:dyDescent="0.15">
      <c r="AE869" s="13"/>
    </row>
    <row r="870" spans="31:31" ht="12.75" customHeight="1" x14ac:dyDescent="0.15">
      <c r="AE870" s="13"/>
    </row>
    <row r="871" spans="31:31" ht="12.75" customHeight="1" x14ac:dyDescent="0.15">
      <c r="AE871" s="13"/>
    </row>
    <row r="872" spans="31:31" ht="12.75" customHeight="1" x14ac:dyDescent="0.15">
      <c r="AE872" s="13"/>
    </row>
    <row r="873" spans="31:31" ht="12.75" customHeight="1" x14ac:dyDescent="0.15">
      <c r="AE873" s="13"/>
    </row>
    <row r="874" spans="31:31" ht="12.75" customHeight="1" x14ac:dyDescent="0.15">
      <c r="AE874" s="13"/>
    </row>
    <row r="875" spans="31:31" ht="12.75" customHeight="1" x14ac:dyDescent="0.15">
      <c r="AE875" s="13"/>
    </row>
    <row r="876" spans="31:31" ht="12.75" customHeight="1" x14ac:dyDescent="0.15">
      <c r="AE876" s="13"/>
    </row>
    <row r="877" spans="31:31" ht="12.75" customHeight="1" x14ac:dyDescent="0.15">
      <c r="AE877" s="13"/>
    </row>
    <row r="878" spans="31:31" ht="12.75" customHeight="1" x14ac:dyDescent="0.15">
      <c r="AE878" s="13"/>
    </row>
    <row r="879" spans="31:31" ht="12.75" customHeight="1" x14ac:dyDescent="0.15">
      <c r="AE879" s="13"/>
    </row>
    <row r="880" spans="31:31" ht="12.75" customHeight="1" x14ac:dyDescent="0.15">
      <c r="AE880" s="13"/>
    </row>
    <row r="881" spans="31:31" ht="12.75" customHeight="1" x14ac:dyDescent="0.15">
      <c r="AE881" s="13"/>
    </row>
    <row r="882" spans="31:31" ht="12.75" customHeight="1" x14ac:dyDescent="0.15">
      <c r="AE882" s="13"/>
    </row>
    <row r="883" spans="31:31" ht="12.75" customHeight="1" x14ac:dyDescent="0.15">
      <c r="AE883" s="13"/>
    </row>
    <row r="884" spans="31:31" ht="12.75" customHeight="1" x14ac:dyDescent="0.15">
      <c r="AE884" s="13"/>
    </row>
    <row r="885" spans="31:31" ht="12.75" customHeight="1" x14ac:dyDescent="0.15">
      <c r="AE885" s="13"/>
    </row>
    <row r="886" spans="31:31" ht="12.75" customHeight="1" x14ac:dyDescent="0.15">
      <c r="AE886" s="13"/>
    </row>
    <row r="887" spans="31:31" ht="12.75" customHeight="1" x14ac:dyDescent="0.15">
      <c r="AE887" s="13"/>
    </row>
    <row r="888" spans="31:31" ht="12.75" customHeight="1" x14ac:dyDescent="0.15">
      <c r="AE888" s="13"/>
    </row>
    <row r="889" spans="31:31" ht="12.75" customHeight="1" x14ac:dyDescent="0.15">
      <c r="AE889" s="13"/>
    </row>
    <row r="890" spans="31:31" ht="12.75" customHeight="1" x14ac:dyDescent="0.15">
      <c r="AE890" s="13"/>
    </row>
    <row r="891" spans="31:31" ht="12.75" customHeight="1" x14ac:dyDescent="0.15">
      <c r="AE891" s="13"/>
    </row>
    <row r="892" spans="31:31" ht="12.75" customHeight="1" x14ac:dyDescent="0.15">
      <c r="AE892" s="13"/>
    </row>
    <row r="893" spans="31:31" ht="12.75" customHeight="1" x14ac:dyDescent="0.15">
      <c r="AE893" s="13"/>
    </row>
    <row r="894" spans="31:31" ht="12.75" customHeight="1" x14ac:dyDescent="0.15">
      <c r="AE894" s="13"/>
    </row>
    <row r="895" spans="31:31" ht="12.75" customHeight="1" x14ac:dyDescent="0.15">
      <c r="AE895" s="13"/>
    </row>
    <row r="896" spans="31:31" ht="12.75" customHeight="1" x14ac:dyDescent="0.15">
      <c r="AE896" s="13"/>
    </row>
    <row r="897" spans="31:31" ht="12.75" customHeight="1" x14ac:dyDescent="0.15">
      <c r="AE897" s="13"/>
    </row>
    <row r="898" spans="31:31" ht="12.75" customHeight="1" x14ac:dyDescent="0.15">
      <c r="AE898" s="13"/>
    </row>
    <row r="899" spans="31:31" ht="12.75" customHeight="1" x14ac:dyDescent="0.15">
      <c r="AE899" s="13"/>
    </row>
    <row r="900" spans="31:31" ht="12.75" customHeight="1" x14ac:dyDescent="0.15">
      <c r="AE900" s="13"/>
    </row>
    <row r="901" spans="31:31" ht="12.75" customHeight="1" x14ac:dyDescent="0.15">
      <c r="AE901" s="13"/>
    </row>
    <row r="902" spans="31:31" ht="12.75" customHeight="1" x14ac:dyDescent="0.15">
      <c r="AE902" s="13"/>
    </row>
    <row r="903" spans="31:31" ht="12.75" customHeight="1" x14ac:dyDescent="0.15">
      <c r="AE903" s="13"/>
    </row>
    <row r="904" spans="31:31" ht="12.75" customHeight="1" x14ac:dyDescent="0.15">
      <c r="AE904" s="13"/>
    </row>
    <row r="905" spans="31:31" ht="12.75" customHeight="1" x14ac:dyDescent="0.15">
      <c r="AE905" s="13"/>
    </row>
    <row r="906" spans="31:31" ht="12.75" customHeight="1" x14ac:dyDescent="0.15">
      <c r="AE906" s="13"/>
    </row>
    <row r="907" spans="31:31" ht="12.75" customHeight="1" x14ac:dyDescent="0.15">
      <c r="AE907" s="13"/>
    </row>
    <row r="908" spans="31:31" ht="12.75" customHeight="1" x14ac:dyDescent="0.15">
      <c r="AE908" s="13"/>
    </row>
    <row r="909" spans="31:31" ht="12.75" customHeight="1" x14ac:dyDescent="0.15">
      <c r="AE909" s="13"/>
    </row>
    <row r="910" spans="31:31" ht="12.75" customHeight="1" x14ac:dyDescent="0.15">
      <c r="AE910" s="13"/>
    </row>
    <row r="911" spans="31:31" ht="12.75" customHeight="1" x14ac:dyDescent="0.15">
      <c r="AE911" s="13"/>
    </row>
    <row r="912" spans="31:31" ht="12.75" customHeight="1" x14ac:dyDescent="0.15">
      <c r="AE912" s="13"/>
    </row>
    <row r="913" spans="31:31" ht="12.75" customHeight="1" x14ac:dyDescent="0.15">
      <c r="AE913" s="13"/>
    </row>
    <row r="914" spans="31:31" ht="12.75" customHeight="1" x14ac:dyDescent="0.15">
      <c r="AE914" s="13"/>
    </row>
    <row r="915" spans="31:31" ht="12.75" customHeight="1" x14ac:dyDescent="0.15">
      <c r="AE915" s="13"/>
    </row>
    <row r="916" spans="31:31" ht="12.75" customHeight="1" x14ac:dyDescent="0.15">
      <c r="AE916" s="13"/>
    </row>
    <row r="917" spans="31:31" ht="12.75" customHeight="1" x14ac:dyDescent="0.15">
      <c r="AE917" s="13"/>
    </row>
    <row r="918" spans="31:31" ht="12.75" customHeight="1" x14ac:dyDescent="0.15">
      <c r="AE918" s="13"/>
    </row>
    <row r="919" spans="31:31" ht="12.75" customHeight="1" x14ac:dyDescent="0.15">
      <c r="AE919" s="13"/>
    </row>
    <row r="920" spans="31:31" ht="12.75" customHeight="1" x14ac:dyDescent="0.15">
      <c r="AE920" s="13"/>
    </row>
    <row r="921" spans="31:31" ht="12.75" customHeight="1" x14ac:dyDescent="0.15">
      <c r="AE921" s="13"/>
    </row>
    <row r="922" spans="31:31" ht="12.75" customHeight="1" x14ac:dyDescent="0.15">
      <c r="AE922" s="13"/>
    </row>
    <row r="923" spans="31:31" ht="12.75" customHeight="1" x14ac:dyDescent="0.15">
      <c r="AE923" s="13"/>
    </row>
    <row r="924" spans="31:31" ht="12.75" customHeight="1" x14ac:dyDescent="0.15">
      <c r="AE924" s="13"/>
    </row>
    <row r="925" spans="31:31" ht="12.75" customHeight="1" x14ac:dyDescent="0.15">
      <c r="AE925" s="13"/>
    </row>
    <row r="926" spans="31:31" ht="12.75" customHeight="1" x14ac:dyDescent="0.15">
      <c r="AE926" s="13"/>
    </row>
    <row r="927" spans="31:31" ht="12.75" customHeight="1" x14ac:dyDescent="0.15">
      <c r="AE927" s="13"/>
    </row>
    <row r="928" spans="31:31" ht="12.75" customHeight="1" x14ac:dyDescent="0.15">
      <c r="AE928" s="13"/>
    </row>
    <row r="929" spans="31:31" ht="12.75" customHeight="1" x14ac:dyDescent="0.15">
      <c r="AE929" s="13"/>
    </row>
    <row r="930" spans="31:31" ht="12.75" customHeight="1" x14ac:dyDescent="0.15">
      <c r="AE930" s="13"/>
    </row>
    <row r="931" spans="31:31" ht="12.75" customHeight="1" x14ac:dyDescent="0.15">
      <c r="AE931" s="13"/>
    </row>
    <row r="932" spans="31:31" ht="12.75" customHeight="1" x14ac:dyDescent="0.15">
      <c r="AE932" s="13"/>
    </row>
    <row r="933" spans="31:31" ht="12.75" customHeight="1" x14ac:dyDescent="0.15">
      <c r="AE933" s="13"/>
    </row>
    <row r="934" spans="31:31" ht="12.75" customHeight="1" x14ac:dyDescent="0.15">
      <c r="AE934" s="13"/>
    </row>
    <row r="935" spans="31:31" ht="12.75" customHeight="1" x14ac:dyDescent="0.15">
      <c r="AE935" s="13"/>
    </row>
    <row r="936" spans="31:31" ht="12.75" customHeight="1" x14ac:dyDescent="0.15">
      <c r="AE936" s="13"/>
    </row>
    <row r="937" spans="31:31" ht="12.75" customHeight="1" x14ac:dyDescent="0.15">
      <c r="AE937" s="13"/>
    </row>
    <row r="938" spans="31:31" ht="12.75" customHeight="1" x14ac:dyDescent="0.15">
      <c r="AE938" s="13"/>
    </row>
    <row r="939" spans="31:31" ht="12.75" customHeight="1" x14ac:dyDescent="0.15">
      <c r="AE939" s="13"/>
    </row>
    <row r="940" spans="31:31" ht="12.75" customHeight="1" x14ac:dyDescent="0.15">
      <c r="AE940" s="13"/>
    </row>
    <row r="941" spans="31:31" ht="12.75" customHeight="1" x14ac:dyDescent="0.15">
      <c r="AE941" s="13"/>
    </row>
    <row r="942" spans="31:31" ht="12.75" customHeight="1" x14ac:dyDescent="0.15">
      <c r="AE942" s="13"/>
    </row>
    <row r="943" spans="31:31" ht="12.75" customHeight="1" x14ac:dyDescent="0.15">
      <c r="AE943" s="13"/>
    </row>
    <row r="944" spans="31:31" ht="12.75" customHeight="1" x14ac:dyDescent="0.15">
      <c r="AE944" s="13"/>
    </row>
    <row r="945" spans="31:31" ht="12.75" customHeight="1" x14ac:dyDescent="0.15">
      <c r="AE945" s="13"/>
    </row>
    <row r="946" spans="31:31" ht="12.75" customHeight="1" x14ac:dyDescent="0.15">
      <c r="AE946" s="13"/>
    </row>
    <row r="947" spans="31:31" ht="12.75" customHeight="1" x14ac:dyDescent="0.15">
      <c r="AE947" s="13"/>
    </row>
    <row r="948" spans="31:31" ht="12.75" customHeight="1" x14ac:dyDescent="0.15">
      <c r="AE948" s="13"/>
    </row>
    <row r="949" spans="31:31" ht="12.75" customHeight="1" x14ac:dyDescent="0.15">
      <c r="AE949" s="13"/>
    </row>
    <row r="950" spans="31:31" ht="12.75" customHeight="1" x14ac:dyDescent="0.15">
      <c r="AE950" s="13"/>
    </row>
    <row r="951" spans="31:31" ht="12.75" customHeight="1" x14ac:dyDescent="0.15">
      <c r="AE951" s="13"/>
    </row>
    <row r="952" spans="31:31" ht="12.75" customHeight="1" x14ac:dyDescent="0.15">
      <c r="AE952" s="13"/>
    </row>
    <row r="953" spans="31:31" ht="12.75" customHeight="1" x14ac:dyDescent="0.15">
      <c r="AE953" s="13"/>
    </row>
    <row r="954" spans="31:31" ht="12.75" customHeight="1" x14ac:dyDescent="0.15">
      <c r="AE954" s="13"/>
    </row>
    <row r="955" spans="31:31" ht="12.75" customHeight="1" x14ac:dyDescent="0.15">
      <c r="AE955" s="13"/>
    </row>
    <row r="956" spans="31:31" ht="12.75" customHeight="1" x14ac:dyDescent="0.15">
      <c r="AE956" s="13"/>
    </row>
    <row r="957" spans="31:31" ht="12.75" customHeight="1" x14ac:dyDescent="0.15">
      <c r="AE957" s="13"/>
    </row>
    <row r="958" spans="31:31" ht="12.75" customHeight="1" x14ac:dyDescent="0.15">
      <c r="AE958" s="13"/>
    </row>
    <row r="959" spans="31:31" ht="12.75" customHeight="1" x14ac:dyDescent="0.15">
      <c r="AE959" s="13"/>
    </row>
    <row r="960" spans="31:31" ht="12.75" customHeight="1" x14ac:dyDescent="0.15">
      <c r="AE960" s="13"/>
    </row>
    <row r="961" spans="31:31" ht="12.75" customHeight="1" x14ac:dyDescent="0.15">
      <c r="AE961" s="13"/>
    </row>
    <row r="962" spans="31:31" ht="12.75" customHeight="1" x14ac:dyDescent="0.15">
      <c r="AE962" s="13"/>
    </row>
    <row r="963" spans="31:31" ht="12.75" customHeight="1" x14ac:dyDescent="0.15">
      <c r="AE963" s="13"/>
    </row>
    <row r="964" spans="31:31" ht="12.75" customHeight="1" x14ac:dyDescent="0.15">
      <c r="AE964" s="13"/>
    </row>
    <row r="965" spans="31:31" ht="12.75" customHeight="1" x14ac:dyDescent="0.15">
      <c r="AE965" s="13"/>
    </row>
    <row r="966" spans="31:31" ht="12.75" customHeight="1" x14ac:dyDescent="0.15">
      <c r="AE966" s="13"/>
    </row>
    <row r="967" spans="31:31" ht="12.75" customHeight="1" x14ac:dyDescent="0.15">
      <c r="AE967" s="13"/>
    </row>
    <row r="968" spans="31:31" ht="12.75" customHeight="1" x14ac:dyDescent="0.15">
      <c r="AE968" s="13"/>
    </row>
    <row r="969" spans="31:31" ht="12.75" customHeight="1" x14ac:dyDescent="0.15">
      <c r="AE969" s="13"/>
    </row>
    <row r="970" spans="31:31" ht="12.75" customHeight="1" x14ac:dyDescent="0.15">
      <c r="AE970" s="13"/>
    </row>
    <row r="971" spans="31:31" ht="12.75" customHeight="1" x14ac:dyDescent="0.15">
      <c r="AE971" s="13"/>
    </row>
    <row r="972" spans="31:31" ht="12.75" customHeight="1" x14ac:dyDescent="0.15">
      <c r="AE972" s="13"/>
    </row>
    <row r="973" spans="31:31" ht="12.75" customHeight="1" x14ac:dyDescent="0.15">
      <c r="AE973" s="13"/>
    </row>
    <row r="974" spans="31:31" ht="12.75" customHeight="1" x14ac:dyDescent="0.15">
      <c r="AE974" s="13"/>
    </row>
    <row r="975" spans="31:31" ht="12.75" customHeight="1" x14ac:dyDescent="0.15">
      <c r="AE975" s="13"/>
    </row>
    <row r="976" spans="31:31" ht="12.75" customHeight="1" x14ac:dyDescent="0.15">
      <c r="AE976" s="13"/>
    </row>
    <row r="977" spans="31:31" ht="12.75" customHeight="1" x14ac:dyDescent="0.15">
      <c r="AE977" s="13"/>
    </row>
    <row r="978" spans="31:31" ht="12.75" customHeight="1" x14ac:dyDescent="0.15">
      <c r="AE978" s="13"/>
    </row>
    <row r="979" spans="31:31" ht="12.75" customHeight="1" x14ac:dyDescent="0.15">
      <c r="AE979" s="13"/>
    </row>
    <row r="980" spans="31:31" ht="12.75" customHeight="1" x14ac:dyDescent="0.15">
      <c r="AE980" s="13"/>
    </row>
    <row r="981" spans="31:31" ht="12.75" customHeight="1" x14ac:dyDescent="0.15">
      <c r="AE981" s="13"/>
    </row>
    <row r="982" spans="31:31" ht="12.75" customHeight="1" x14ac:dyDescent="0.15">
      <c r="AE982" s="13"/>
    </row>
    <row r="983" spans="31:31" ht="12.75" customHeight="1" x14ac:dyDescent="0.15">
      <c r="AE983" s="13"/>
    </row>
    <row r="984" spans="31:31" ht="12.75" customHeight="1" x14ac:dyDescent="0.15">
      <c r="AE984" s="13"/>
    </row>
    <row r="985" spans="31:31" ht="12.75" customHeight="1" x14ac:dyDescent="0.15">
      <c r="AE985" s="13"/>
    </row>
    <row r="986" spans="31:31" ht="12.75" customHeight="1" x14ac:dyDescent="0.15">
      <c r="AE986" s="13"/>
    </row>
    <row r="987" spans="31:31" ht="12.75" customHeight="1" x14ac:dyDescent="0.15">
      <c r="AE987" s="13"/>
    </row>
    <row r="988" spans="31:31" ht="12.75" customHeight="1" x14ac:dyDescent="0.15">
      <c r="AE988" s="13"/>
    </row>
    <row r="989" spans="31:31" ht="12.75" customHeight="1" x14ac:dyDescent="0.15">
      <c r="AE989" s="13"/>
    </row>
    <row r="990" spans="31:31" ht="12.75" customHeight="1" x14ac:dyDescent="0.15">
      <c r="AE990" s="13"/>
    </row>
    <row r="991" spans="31:31" ht="12.75" customHeight="1" x14ac:dyDescent="0.15">
      <c r="AE991" s="13"/>
    </row>
    <row r="992" spans="31:31" ht="12.75" customHeight="1" x14ac:dyDescent="0.15">
      <c r="AE992" s="13"/>
    </row>
    <row r="993" spans="31:31" ht="12.75" customHeight="1" x14ac:dyDescent="0.15">
      <c r="AE993" s="13"/>
    </row>
    <row r="994" spans="31:31" ht="12.75" customHeight="1" x14ac:dyDescent="0.15">
      <c r="AE994" s="13"/>
    </row>
    <row r="995" spans="31:31" ht="12.75" customHeight="1" x14ac:dyDescent="0.15">
      <c r="AE995" s="13"/>
    </row>
    <row r="996" spans="31:31" ht="12.75" customHeight="1" x14ac:dyDescent="0.15">
      <c r="AE996" s="13"/>
    </row>
    <row r="997" spans="31:31" ht="12.75" customHeight="1" x14ac:dyDescent="0.15">
      <c r="AE997" s="13"/>
    </row>
    <row r="998" spans="31:31" ht="12.75" customHeight="1" x14ac:dyDescent="0.15">
      <c r="AE998" s="13"/>
    </row>
    <row r="999" spans="31:31" ht="12.75" customHeight="1" x14ac:dyDescent="0.15">
      <c r="AE999" s="13"/>
    </row>
    <row r="1000" spans="31:31" ht="12.75" customHeight="1" x14ac:dyDescent="0.15">
      <c r="AE1000" s="13"/>
    </row>
    <row r="1001" spans="31:31" ht="12.75" customHeight="1" x14ac:dyDescent="0.15">
      <c r="AE1001" s="13"/>
    </row>
    <row r="1002" spans="31:31" ht="12.75" customHeight="1" x14ac:dyDescent="0.15">
      <c r="AE1002" s="13"/>
    </row>
    <row r="1003" spans="31:31" ht="12.75" customHeight="1" x14ac:dyDescent="0.15">
      <c r="AE1003" s="13"/>
    </row>
    <row r="1004" spans="31:31" ht="12.75" customHeight="1" x14ac:dyDescent="0.15">
      <c r="AE1004" s="13"/>
    </row>
    <row r="1005" spans="31:31" ht="12.75" customHeight="1" x14ac:dyDescent="0.15">
      <c r="AE1005" s="13"/>
    </row>
    <row r="1006" spans="31:31" ht="12.75" customHeight="1" x14ac:dyDescent="0.15">
      <c r="AE1006" s="13"/>
    </row>
    <row r="1007" spans="31:31" ht="12.75" customHeight="1" x14ac:dyDescent="0.15">
      <c r="AE1007" s="13"/>
    </row>
    <row r="1008" spans="31:31" ht="12.75" customHeight="1" x14ac:dyDescent="0.15">
      <c r="AE1008" s="13"/>
    </row>
    <row r="1009" spans="31:31" ht="12.75" customHeight="1" x14ac:dyDescent="0.15">
      <c r="AE1009" s="13"/>
    </row>
    <row r="1010" spans="31:31" ht="12.75" customHeight="1" x14ac:dyDescent="0.15">
      <c r="AE1010" s="13"/>
    </row>
    <row r="1011" spans="31:31" ht="12.75" customHeight="1" x14ac:dyDescent="0.15">
      <c r="AE1011" s="13"/>
    </row>
    <row r="1012" spans="31:31" ht="12.75" customHeight="1" x14ac:dyDescent="0.15">
      <c r="AE1012" s="13"/>
    </row>
    <row r="1013" spans="31:31" ht="12.75" customHeight="1" x14ac:dyDescent="0.15">
      <c r="AE1013" s="13"/>
    </row>
    <row r="1014" spans="31:31" ht="12.75" customHeight="1" x14ac:dyDescent="0.15">
      <c r="AE1014" s="13"/>
    </row>
    <row r="1015" spans="31:31" ht="12.75" customHeight="1" x14ac:dyDescent="0.15">
      <c r="AE1015" s="13"/>
    </row>
    <row r="1016" spans="31:31" ht="12.75" customHeight="1" x14ac:dyDescent="0.15">
      <c r="AE1016" s="13"/>
    </row>
    <row r="1017" spans="31:31" ht="12.75" customHeight="1" x14ac:dyDescent="0.15">
      <c r="AE1017" s="13"/>
    </row>
    <row r="1018" spans="31:31" ht="12.75" customHeight="1" x14ac:dyDescent="0.15">
      <c r="AE1018" s="13"/>
    </row>
    <row r="1019" spans="31:31" ht="12.75" customHeight="1" x14ac:dyDescent="0.15">
      <c r="AE1019" s="13"/>
    </row>
    <row r="1020" spans="31:31" ht="12.75" customHeight="1" x14ac:dyDescent="0.15">
      <c r="AE1020" s="13"/>
    </row>
    <row r="1021" spans="31:31" ht="12.75" customHeight="1" x14ac:dyDescent="0.15">
      <c r="AE1021" s="13"/>
    </row>
    <row r="1022" spans="31:31" ht="12.75" customHeight="1" x14ac:dyDescent="0.15">
      <c r="AE1022" s="13"/>
    </row>
    <row r="1023" spans="31:31" ht="12.75" customHeight="1" x14ac:dyDescent="0.15">
      <c r="AE1023" s="13"/>
    </row>
    <row r="1024" spans="31:31" ht="12.75" customHeight="1" x14ac:dyDescent="0.15">
      <c r="AE1024" s="13"/>
    </row>
    <row r="1025" spans="31:31" ht="12.75" customHeight="1" x14ac:dyDescent="0.15">
      <c r="AE1025" s="13"/>
    </row>
    <row r="1026" spans="31:31" ht="12.75" customHeight="1" x14ac:dyDescent="0.15">
      <c r="AE1026" s="13"/>
    </row>
    <row r="1027" spans="31:31" ht="12.75" customHeight="1" x14ac:dyDescent="0.15">
      <c r="AE1027" s="13"/>
    </row>
    <row r="1028" spans="31:31" ht="12.75" customHeight="1" x14ac:dyDescent="0.15">
      <c r="AE1028" s="13"/>
    </row>
    <row r="1029" spans="31:31" ht="12.75" customHeight="1" x14ac:dyDescent="0.15">
      <c r="AE1029" s="13"/>
    </row>
    <row r="1030" spans="31:31" ht="12.75" customHeight="1" x14ac:dyDescent="0.15">
      <c r="AE1030" s="13"/>
    </row>
    <row r="1031" spans="31:31" ht="12.75" customHeight="1" x14ac:dyDescent="0.15">
      <c r="AE1031" s="13"/>
    </row>
    <row r="1032" spans="31:31" ht="12.75" customHeight="1" x14ac:dyDescent="0.15">
      <c r="AE1032" s="13"/>
    </row>
    <row r="1033" spans="31:31" ht="12.75" customHeight="1" x14ac:dyDescent="0.15">
      <c r="AE1033" s="13"/>
    </row>
    <row r="1034" spans="31:31" ht="12.75" customHeight="1" x14ac:dyDescent="0.15">
      <c r="AE1034" s="13"/>
    </row>
    <row r="1035" spans="31:31" ht="12.75" customHeight="1" x14ac:dyDescent="0.15">
      <c r="AE1035" s="13"/>
    </row>
    <row r="1036" spans="31:31" ht="12.75" customHeight="1" x14ac:dyDescent="0.15">
      <c r="AE1036" s="13"/>
    </row>
    <row r="1037" spans="31:31" ht="12.75" customHeight="1" x14ac:dyDescent="0.15">
      <c r="AE1037" s="13"/>
    </row>
    <row r="1038" spans="31:31" ht="12.75" customHeight="1" x14ac:dyDescent="0.15">
      <c r="AE1038" s="13"/>
    </row>
    <row r="1039" spans="31:31" ht="12.75" customHeight="1" x14ac:dyDescent="0.15">
      <c r="AE1039" s="13"/>
    </row>
    <row r="1040" spans="31:31" ht="12.75" customHeight="1" x14ac:dyDescent="0.15">
      <c r="AE1040" s="13"/>
    </row>
    <row r="1041" spans="31:31" ht="12.75" customHeight="1" x14ac:dyDescent="0.15">
      <c r="AE1041" s="13"/>
    </row>
    <row r="1042" spans="31:31" ht="12.75" customHeight="1" x14ac:dyDescent="0.15">
      <c r="AE1042" s="13"/>
    </row>
    <row r="1043" spans="31:31" ht="12.75" customHeight="1" x14ac:dyDescent="0.15">
      <c r="AE1043" s="13"/>
    </row>
    <row r="1044" spans="31:31" ht="12.75" customHeight="1" x14ac:dyDescent="0.15">
      <c r="AE1044" s="13"/>
    </row>
    <row r="1045" spans="31:31" ht="12.75" customHeight="1" x14ac:dyDescent="0.15">
      <c r="AE1045" s="13"/>
    </row>
    <row r="1046" spans="31:31" ht="12.75" customHeight="1" x14ac:dyDescent="0.15">
      <c r="AE1046" s="13"/>
    </row>
    <row r="1047" spans="31:31" ht="12.75" customHeight="1" x14ac:dyDescent="0.15">
      <c r="AE1047" s="13"/>
    </row>
    <row r="1048" spans="31:31" ht="12.75" customHeight="1" x14ac:dyDescent="0.15">
      <c r="AE1048" s="13"/>
    </row>
    <row r="1049" spans="31:31" ht="12.75" customHeight="1" x14ac:dyDescent="0.15">
      <c r="AE1049" s="13"/>
    </row>
    <row r="1050" spans="31:31" ht="12.75" customHeight="1" x14ac:dyDescent="0.15">
      <c r="AE1050" s="13"/>
    </row>
    <row r="1051" spans="31:31" ht="12.75" customHeight="1" x14ac:dyDescent="0.15">
      <c r="AE1051" s="13"/>
    </row>
    <row r="1052" spans="31:31" ht="12.75" customHeight="1" x14ac:dyDescent="0.15">
      <c r="AE1052" s="13"/>
    </row>
    <row r="1053" spans="31:31" ht="12.75" customHeight="1" x14ac:dyDescent="0.15">
      <c r="AE1053" s="13"/>
    </row>
    <row r="1054" spans="31:31" ht="12.75" customHeight="1" x14ac:dyDescent="0.15">
      <c r="AE1054" s="13"/>
    </row>
    <row r="1055" spans="31:31" ht="12.75" customHeight="1" x14ac:dyDescent="0.15">
      <c r="AE1055" s="13"/>
    </row>
    <row r="1056" spans="31:31" ht="12.75" customHeight="1" x14ac:dyDescent="0.15">
      <c r="AE1056" s="13"/>
    </row>
    <row r="1057" spans="31:31" ht="12.75" customHeight="1" x14ac:dyDescent="0.15">
      <c r="AE1057" s="13"/>
    </row>
    <row r="1058" spans="31:31" ht="12.75" customHeight="1" x14ac:dyDescent="0.15">
      <c r="AE1058" s="13"/>
    </row>
    <row r="1059" spans="31:31" ht="12.75" customHeight="1" x14ac:dyDescent="0.15">
      <c r="AE1059" s="13"/>
    </row>
    <row r="1060" spans="31:31" ht="12.75" customHeight="1" x14ac:dyDescent="0.15">
      <c r="AE1060" s="13"/>
    </row>
    <row r="1061" spans="31:31" ht="12.75" customHeight="1" x14ac:dyDescent="0.15">
      <c r="AE1061" s="13"/>
    </row>
    <row r="1062" spans="31:31" ht="12.75" customHeight="1" x14ac:dyDescent="0.15">
      <c r="AE1062" s="13"/>
    </row>
    <row r="1063" spans="31:31" ht="12.75" customHeight="1" x14ac:dyDescent="0.15">
      <c r="AE1063" s="13"/>
    </row>
    <row r="1064" spans="31:31" ht="12.75" customHeight="1" x14ac:dyDescent="0.15">
      <c r="AE1064" s="13"/>
    </row>
    <row r="1065" spans="31:31" ht="12.75" customHeight="1" x14ac:dyDescent="0.15">
      <c r="AE1065" s="13"/>
    </row>
    <row r="1066" spans="31:31" ht="12.75" customHeight="1" x14ac:dyDescent="0.15">
      <c r="AE1066" s="13"/>
    </row>
    <row r="1067" spans="31:31" ht="12.75" customHeight="1" x14ac:dyDescent="0.15">
      <c r="AE1067" s="13"/>
    </row>
    <row r="1068" spans="31:31" ht="12.75" customHeight="1" x14ac:dyDescent="0.15">
      <c r="AE1068" s="13"/>
    </row>
    <row r="1069" spans="31:31" ht="12.75" customHeight="1" x14ac:dyDescent="0.15">
      <c r="AE1069" s="13"/>
    </row>
    <row r="1070" spans="31:31" ht="12.75" customHeight="1" x14ac:dyDescent="0.15">
      <c r="AE1070" s="13"/>
    </row>
    <row r="1071" spans="31:31" ht="12.75" customHeight="1" x14ac:dyDescent="0.15">
      <c r="AE1071" s="13"/>
    </row>
    <row r="1072" spans="31:31" ht="12.75" customHeight="1" x14ac:dyDescent="0.15">
      <c r="AE1072" s="13"/>
    </row>
    <row r="1073" spans="31:31" ht="12.75" customHeight="1" x14ac:dyDescent="0.15">
      <c r="AE1073" s="13"/>
    </row>
    <row r="1074" spans="31:31" ht="12.75" customHeight="1" x14ac:dyDescent="0.15">
      <c r="AE1074" s="13"/>
    </row>
    <row r="1075" spans="31:31" ht="12.75" customHeight="1" x14ac:dyDescent="0.15">
      <c r="AE1075" s="13"/>
    </row>
    <row r="1076" spans="31:31" ht="12.75" customHeight="1" x14ac:dyDescent="0.15">
      <c r="AE1076" s="13"/>
    </row>
    <row r="1077" spans="31:31" ht="12.75" customHeight="1" x14ac:dyDescent="0.15">
      <c r="AE1077" s="13"/>
    </row>
    <row r="1078" spans="31:31" ht="12.75" customHeight="1" x14ac:dyDescent="0.15">
      <c r="AE1078" s="13"/>
    </row>
    <row r="1079" spans="31:31" ht="12.75" customHeight="1" x14ac:dyDescent="0.15">
      <c r="AE1079" s="13"/>
    </row>
    <row r="1080" spans="31:31" ht="12.75" customHeight="1" x14ac:dyDescent="0.15">
      <c r="AE1080" s="13"/>
    </row>
    <row r="1081" spans="31:31" ht="12.75" customHeight="1" x14ac:dyDescent="0.15">
      <c r="AE1081" s="13"/>
    </row>
    <row r="1082" spans="31:31" ht="12.75" customHeight="1" x14ac:dyDescent="0.15">
      <c r="AE1082" s="13"/>
    </row>
    <row r="1083" spans="31:31" ht="12.75" customHeight="1" x14ac:dyDescent="0.15">
      <c r="AE1083" s="13"/>
    </row>
    <row r="1084" spans="31:31" ht="12.75" customHeight="1" x14ac:dyDescent="0.15">
      <c r="AE1084" s="13"/>
    </row>
    <row r="1085" spans="31:31" ht="12.75" customHeight="1" x14ac:dyDescent="0.15">
      <c r="AE1085" s="13"/>
    </row>
    <row r="1086" spans="31:31" ht="12.75" customHeight="1" x14ac:dyDescent="0.15">
      <c r="AE1086" s="13"/>
    </row>
    <row r="1087" spans="31:31" ht="12.75" customHeight="1" x14ac:dyDescent="0.15">
      <c r="AE1087" s="13"/>
    </row>
    <row r="1088" spans="31:31" ht="12.75" customHeight="1" x14ac:dyDescent="0.15">
      <c r="AE1088" s="13"/>
    </row>
    <row r="1089" spans="31:31" ht="12.75" customHeight="1" x14ac:dyDescent="0.15">
      <c r="AE1089" s="13"/>
    </row>
    <row r="1090" spans="31:31" ht="12.75" customHeight="1" x14ac:dyDescent="0.15">
      <c r="AE1090" s="13"/>
    </row>
    <row r="1091" spans="31:31" ht="12.75" customHeight="1" x14ac:dyDescent="0.15">
      <c r="AE1091" s="13"/>
    </row>
    <row r="1092" spans="31:31" ht="12.75" customHeight="1" x14ac:dyDescent="0.15">
      <c r="AE1092" s="13"/>
    </row>
    <row r="1093" spans="31:31" ht="12.75" customHeight="1" x14ac:dyDescent="0.15">
      <c r="AE1093" s="13"/>
    </row>
    <row r="1094" spans="31:31" ht="12.75" customHeight="1" x14ac:dyDescent="0.15">
      <c r="AE1094" s="13"/>
    </row>
    <row r="1095" spans="31:31" ht="12.75" customHeight="1" x14ac:dyDescent="0.15">
      <c r="AE1095" s="13"/>
    </row>
    <row r="1096" spans="31:31" ht="12.75" customHeight="1" x14ac:dyDescent="0.15">
      <c r="AE1096" s="13"/>
    </row>
    <row r="1097" spans="31:31" ht="12.75" customHeight="1" x14ac:dyDescent="0.15">
      <c r="AE1097" s="13"/>
    </row>
    <row r="1098" spans="31:31" ht="12.75" customHeight="1" x14ac:dyDescent="0.15">
      <c r="AE1098" s="13"/>
    </row>
    <row r="1099" spans="31:31" ht="12.75" customHeight="1" x14ac:dyDescent="0.15">
      <c r="AE1099" s="13"/>
    </row>
    <row r="1100" spans="31:31" ht="12.75" customHeight="1" x14ac:dyDescent="0.15">
      <c r="AE1100" s="13"/>
    </row>
    <row r="1101" spans="31:31" ht="12.75" customHeight="1" x14ac:dyDescent="0.15">
      <c r="AE1101" s="13"/>
    </row>
    <row r="1102" spans="31:31" ht="12.75" customHeight="1" x14ac:dyDescent="0.15">
      <c r="AE1102" s="13"/>
    </row>
    <row r="1103" spans="31:31" ht="12.75" customHeight="1" x14ac:dyDescent="0.15">
      <c r="AE1103" s="13"/>
    </row>
    <row r="1104" spans="31:31" ht="12.75" customHeight="1" x14ac:dyDescent="0.15">
      <c r="AE1104" s="13"/>
    </row>
    <row r="1105" spans="31:31" ht="12.75" customHeight="1" x14ac:dyDescent="0.15">
      <c r="AE1105" s="13"/>
    </row>
    <row r="1106" spans="31:31" ht="12.75" customHeight="1" x14ac:dyDescent="0.15">
      <c r="AE1106" s="13"/>
    </row>
    <row r="1107" spans="31:31" ht="12.75" customHeight="1" x14ac:dyDescent="0.15">
      <c r="AE1107" s="13"/>
    </row>
    <row r="1108" spans="31:31" ht="12.75" customHeight="1" x14ac:dyDescent="0.15">
      <c r="AE1108" s="13"/>
    </row>
    <row r="1109" spans="31:31" ht="12.75" customHeight="1" x14ac:dyDescent="0.15">
      <c r="AE1109" s="13"/>
    </row>
    <row r="1110" spans="31:31" ht="12.75" customHeight="1" x14ac:dyDescent="0.15">
      <c r="AE1110" s="13"/>
    </row>
    <row r="1111" spans="31:31" ht="12.75" customHeight="1" x14ac:dyDescent="0.15">
      <c r="AE1111" s="13"/>
    </row>
    <row r="1112" spans="31:31" ht="12.75" customHeight="1" x14ac:dyDescent="0.15">
      <c r="AE1112" s="13"/>
    </row>
    <row r="1113" spans="31:31" ht="12.75" customHeight="1" x14ac:dyDescent="0.15">
      <c r="AE1113" s="13"/>
    </row>
    <row r="1114" spans="31:31" ht="12.75" customHeight="1" x14ac:dyDescent="0.15">
      <c r="AE1114" s="13"/>
    </row>
    <row r="1115" spans="31:31" ht="12.75" customHeight="1" x14ac:dyDescent="0.15">
      <c r="AE1115" s="13"/>
    </row>
    <row r="1116" spans="31:31" ht="12.75" customHeight="1" x14ac:dyDescent="0.15">
      <c r="AE1116" s="13"/>
    </row>
    <row r="1117" spans="31:31" ht="12.75" customHeight="1" x14ac:dyDescent="0.15">
      <c r="AE1117" s="13"/>
    </row>
    <row r="1118" spans="31:31" ht="12.75" customHeight="1" x14ac:dyDescent="0.15">
      <c r="AE1118" s="13"/>
    </row>
    <row r="1119" spans="31:31" ht="12.75" customHeight="1" x14ac:dyDescent="0.15">
      <c r="AE1119" s="13"/>
    </row>
    <row r="1120" spans="31:31" ht="12.75" customHeight="1" x14ac:dyDescent="0.15">
      <c r="AE1120" s="13"/>
    </row>
    <row r="1121" spans="31:31" ht="12.75" customHeight="1" x14ac:dyDescent="0.15">
      <c r="AE1121" s="13"/>
    </row>
    <row r="1122" spans="31:31" ht="12.75" customHeight="1" x14ac:dyDescent="0.15">
      <c r="AE1122" s="13"/>
    </row>
    <row r="1123" spans="31:31" ht="12.75" customHeight="1" x14ac:dyDescent="0.15">
      <c r="AE1123" s="13"/>
    </row>
    <row r="1124" spans="31:31" ht="12.75" customHeight="1" x14ac:dyDescent="0.15">
      <c r="AE1124" s="13"/>
    </row>
    <row r="1125" spans="31:31" ht="12.75" customHeight="1" x14ac:dyDescent="0.15">
      <c r="AE1125" s="13"/>
    </row>
    <row r="1126" spans="31:31" ht="12.75" customHeight="1" x14ac:dyDescent="0.15">
      <c r="AE1126" s="13"/>
    </row>
    <row r="1127" spans="31:31" ht="12.75" customHeight="1" x14ac:dyDescent="0.15">
      <c r="AE1127" s="13"/>
    </row>
    <row r="1128" spans="31:31" ht="12.75" customHeight="1" x14ac:dyDescent="0.15">
      <c r="AE1128" s="13"/>
    </row>
    <row r="1129" spans="31:31" ht="12.75" customHeight="1" x14ac:dyDescent="0.15">
      <c r="AE1129" s="13"/>
    </row>
    <row r="1130" spans="31:31" ht="12.75" customHeight="1" x14ac:dyDescent="0.15">
      <c r="AE1130" s="13"/>
    </row>
    <row r="1131" spans="31:31" ht="12.75" customHeight="1" x14ac:dyDescent="0.15">
      <c r="AE1131" s="13"/>
    </row>
    <row r="1132" spans="31:31" ht="12.75" customHeight="1" x14ac:dyDescent="0.15">
      <c r="AE1132" s="13"/>
    </row>
    <row r="1133" spans="31:31" ht="12.75" customHeight="1" x14ac:dyDescent="0.15">
      <c r="AE1133" s="13"/>
    </row>
    <row r="1134" spans="31:31" ht="12.75" customHeight="1" x14ac:dyDescent="0.15">
      <c r="AE1134" s="13"/>
    </row>
    <row r="1135" spans="31:31" ht="12.75" customHeight="1" x14ac:dyDescent="0.15">
      <c r="AE1135" s="13"/>
    </row>
    <row r="1136" spans="31:31" ht="12.75" customHeight="1" x14ac:dyDescent="0.15">
      <c r="AE1136" s="13"/>
    </row>
    <row r="1137" spans="31:31" ht="12.75" customHeight="1" x14ac:dyDescent="0.15">
      <c r="AE1137" s="13"/>
    </row>
    <row r="1138" spans="31:31" ht="12.75" customHeight="1" x14ac:dyDescent="0.15">
      <c r="AE1138" s="13"/>
    </row>
    <row r="1139" spans="31:31" ht="12.75" customHeight="1" x14ac:dyDescent="0.15">
      <c r="AE1139" s="13"/>
    </row>
    <row r="1140" spans="31:31" ht="12.75" customHeight="1" x14ac:dyDescent="0.15">
      <c r="AE1140" s="13"/>
    </row>
    <row r="1141" spans="31:31" ht="12.75" customHeight="1" x14ac:dyDescent="0.15">
      <c r="AE1141" s="13"/>
    </row>
    <row r="1142" spans="31:31" ht="12.75" customHeight="1" x14ac:dyDescent="0.15">
      <c r="AE1142" s="13"/>
    </row>
    <row r="1143" spans="31:31" ht="12.75" customHeight="1" x14ac:dyDescent="0.15">
      <c r="AE1143" s="13"/>
    </row>
    <row r="1144" spans="31:31" ht="12.75" customHeight="1" x14ac:dyDescent="0.15">
      <c r="AE1144" s="13"/>
    </row>
    <row r="1145" spans="31:31" ht="12.75" customHeight="1" x14ac:dyDescent="0.15">
      <c r="AE1145" s="13"/>
    </row>
    <row r="1146" spans="31:31" ht="12.75" customHeight="1" x14ac:dyDescent="0.15">
      <c r="AE1146" s="13"/>
    </row>
    <row r="1147" spans="31:31" ht="12.75" customHeight="1" x14ac:dyDescent="0.15">
      <c r="AE1147" s="13"/>
    </row>
    <row r="1148" spans="31:31" ht="12.75" customHeight="1" x14ac:dyDescent="0.15">
      <c r="AE1148" s="13"/>
    </row>
    <row r="1149" spans="31:31" ht="12.75" customHeight="1" x14ac:dyDescent="0.15">
      <c r="AE1149" s="13"/>
    </row>
    <row r="1150" spans="31:31" ht="12.75" customHeight="1" x14ac:dyDescent="0.15">
      <c r="AE1150" s="13"/>
    </row>
    <row r="1151" spans="31:31" ht="12.75" customHeight="1" x14ac:dyDescent="0.15">
      <c r="AE1151" s="13"/>
    </row>
    <row r="1152" spans="31:31" ht="12.75" customHeight="1" x14ac:dyDescent="0.15">
      <c r="AE1152" s="13"/>
    </row>
    <row r="1153" spans="31:31" ht="12.75" customHeight="1" x14ac:dyDescent="0.15">
      <c r="AE1153" s="13"/>
    </row>
    <row r="1154" spans="31:31" ht="12.75" customHeight="1" x14ac:dyDescent="0.15">
      <c r="AE1154" s="13"/>
    </row>
    <row r="1155" spans="31:31" ht="12.75" customHeight="1" x14ac:dyDescent="0.15">
      <c r="AE1155" s="13"/>
    </row>
    <row r="1156" spans="31:31" ht="12.75" customHeight="1" x14ac:dyDescent="0.15">
      <c r="AE1156" s="13"/>
    </row>
    <row r="1157" spans="31:31" ht="12.75" customHeight="1" x14ac:dyDescent="0.15">
      <c r="AE1157" s="13"/>
    </row>
    <row r="1158" spans="31:31" ht="12.75" customHeight="1" x14ac:dyDescent="0.15">
      <c r="AE1158" s="13"/>
    </row>
    <row r="1159" spans="31:31" ht="12.75" customHeight="1" x14ac:dyDescent="0.15">
      <c r="AE1159" s="13"/>
    </row>
    <row r="1160" spans="31:31" ht="12.75" customHeight="1" x14ac:dyDescent="0.15">
      <c r="AE1160" s="13"/>
    </row>
    <row r="1161" spans="31:31" ht="12.75" customHeight="1" x14ac:dyDescent="0.15">
      <c r="AE1161" s="13"/>
    </row>
    <row r="1162" spans="31:31" ht="12.75" customHeight="1" x14ac:dyDescent="0.15">
      <c r="AE1162" s="13"/>
    </row>
    <row r="1163" spans="31:31" ht="12.75" customHeight="1" x14ac:dyDescent="0.15">
      <c r="AE1163" s="13"/>
    </row>
    <row r="1164" spans="31:31" ht="12.75" customHeight="1" x14ac:dyDescent="0.15">
      <c r="AE1164" s="13"/>
    </row>
    <row r="1165" spans="31:31" ht="12.75" customHeight="1" x14ac:dyDescent="0.15">
      <c r="AE1165" s="13"/>
    </row>
    <row r="1166" spans="31:31" ht="12.75" customHeight="1" x14ac:dyDescent="0.15">
      <c r="AE1166" s="13"/>
    </row>
    <row r="1167" spans="31:31" ht="12.75" customHeight="1" x14ac:dyDescent="0.15">
      <c r="AE1167" s="13"/>
    </row>
    <row r="1168" spans="31:31" ht="12.75" customHeight="1" x14ac:dyDescent="0.15">
      <c r="AE1168" s="13"/>
    </row>
    <row r="1169" spans="31:31" ht="12.75" customHeight="1" x14ac:dyDescent="0.15">
      <c r="AE1169" s="13"/>
    </row>
    <row r="1170" spans="31:31" ht="12.75" customHeight="1" x14ac:dyDescent="0.15">
      <c r="AE1170" s="13"/>
    </row>
    <row r="1171" spans="31:31" ht="12.75" customHeight="1" x14ac:dyDescent="0.15">
      <c r="AE1171" s="13"/>
    </row>
    <row r="1172" spans="31:31" ht="12.75" customHeight="1" x14ac:dyDescent="0.15">
      <c r="AE1172" s="13"/>
    </row>
    <row r="1173" spans="31:31" ht="12.75" customHeight="1" x14ac:dyDescent="0.15">
      <c r="AE1173" s="13"/>
    </row>
    <row r="1174" spans="31:31" ht="12.75" customHeight="1" x14ac:dyDescent="0.15">
      <c r="AE1174" s="13"/>
    </row>
    <row r="1175" spans="31:31" ht="12.75" customHeight="1" x14ac:dyDescent="0.15">
      <c r="AE1175" s="13"/>
    </row>
    <row r="1176" spans="31:31" ht="12.75" customHeight="1" x14ac:dyDescent="0.15">
      <c r="AE1176" s="13"/>
    </row>
    <row r="1177" spans="31:31" ht="12.75" customHeight="1" x14ac:dyDescent="0.15">
      <c r="AE1177" s="13"/>
    </row>
    <row r="1178" spans="31:31" ht="12.75" customHeight="1" x14ac:dyDescent="0.15">
      <c r="AE1178" s="13"/>
    </row>
    <row r="1179" spans="31:31" ht="12.75" customHeight="1" x14ac:dyDescent="0.15">
      <c r="AE1179" s="13"/>
    </row>
    <row r="1180" spans="31:31" ht="12.75" customHeight="1" x14ac:dyDescent="0.15">
      <c r="AE1180" s="13"/>
    </row>
    <row r="1181" spans="31:31" ht="12.75" customHeight="1" x14ac:dyDescent="0.15">
      <c r="AE1181" s="13"/>
    </row>
    <row r="1182" spans="31:31" ht="12.75" customHeight="1" x14ac:dyDescent="0.15">
      <c r="AE1182" s="13"/>
    </row>
    <row r="1183" spans="31:31" ht="12.75" customHeight="1" x14ac:dyDescent="0.15">
      <c r="AE1183" s="13"/>
    </row>
    <row r="1184" spans="31:31" ht="12.75" customHeight="1" x14ac:dyDescent="0.15">
      <c r="AE1184" s="13"/>
    </row>
    <row r="1185" spans="31:31" ht="12.75" customHeight="1" x14ac:dyDescent="0.15">
      <c r="AE1185" s="13"/>
    </row>
    <row r="1186" spans="31:31" ht="12.75" customHeight="1" x14ac:dyDescent="0.15">
      <c r="AE1186" s="13"/>
    </row>
    <row r="1187" spans="31:31" ht="12.75" customHeight="1" x14ac:dyDescent="0.15">
      <c r="AE1187" s="13"/>
    </row>
    <row r="1188" spans="31:31" ht="12.75" customHeight="1" x14ac:dyDescent="0.15">
      <c r="AE1188" s="13"/>
    </row>
    <row r="1189" spans="31:31" ht="12.75" customHeight="1" x14ac:dyDescent="0.15">
      <c r="AE1189" s="13"/>
    </row>
    <row r="1190" spans="31:31" ht="12.75" customHeight="1" x14ac:dyDescent="0.15">
      <c r="AE1190" s="13"/>
    </row>
    <row r="1191" spans="31:31" ht="12.75" customHeight="1" x14ac:dyDescent="0.15">
      <c r="AE1191" s="13"/>
    </row>
    <row r="1192" spans="31:31" ht="12.75" customHeight="1" x14ac:dyDescent="0.15">
      <c r="AE1192" s="13"/>
    </row>
    <row r="1193" spans="31:31" ht="12.75" customHeight="1" x14ac:dyDescent="0.15">
      <c r="AE1193" s="13"/>
    </row>
    <row r="1194" spans="31:31" ht="12.75" customHeight="1" x14ac:dyDescent="0.15">
      <c r="AE1194" s="13"/>
    </row>
    <row r="1195" spans="31:31" ht="12.75" customHeight="1" x14ac:dyDescent="0.15">
      <c r="AE1195" s="13"/>
    </row>
    <row r="1196" spans="31:31" ht="12.75" customHeight="1" x14ac:dyDescent="0.15">
      <c r="AE1196" s="13"/>
    </row>
    <row r="1197" spans="31:31" ht="12.75" customHeight="1" x14ac:dyDescent="0.15">
      <c r="AE1197" s="13"/>
    </row>
    <row r="1198" spans="31:31" ht="12.75" customHeight="1" x14ac:dyDescent="0.15">
      <c r="AE1198" s="13"/>
    </row>
    <row r="1199" spans="31:31" ht="12.75" customHeight="1" x14ac:dyDescent="0.15">
      <c r="AE1199" s="13"/>
    </row>
    <row r="1200" spans="31:31" ht="12.75" customHeight="1" x14ac:dyDescent="0.15">
      <c r="AE1200" s="13"/>
    </row>
    <row r="1201" spans="31:31" ht="12.75" customHeight="1" x14ac:dyDescent="0.15">
      <c r="AE1201" s="13"/>
    </row>
    <row r="1202" spans="31:31" ht="12.75" customHeight="1" x14ac:dyDescent="0.15">
      <c r="AE1202" s="13"/>
    </row>
    <row r="1203" spans="31:31" ht="12.75" customHeight="1" x14ac:dyDescent="0.15">
      <c r="AE1203" s="13"/>
    </row>
    <row r="1204" spans="31:31" ht="12.75" customHeight="1" x14ac:dyDescent="0.15">
      <c r="AE1204" s="13"/>
    </row>
    <row r="1205" spans="31:31" ht="12.75" customHeight="1" x14ac:dyDescent="0.15">
      <c r="AE1205" s="13"/>
    </row>
    <row r="1206" spans="31:31" ht="12.75" customHeight="1" x14ac:dyDescent="0.15">
      <c r="AE1206" s="13"/>
    </row>
    <row r="1207" spans="31:31" ht="12.75" customHeight="1" x14ac:dyDescent="0.15">
      <c r="AE1207" s="13"/>
    </row>
    <row r="1208" spans="31:31" ht="12.75" customHeight="1" x14ac:dyDescent="0.15">
      <c r="AE1208" s="13"/>
    </row>
    <row r="1209" spans="31:31" ht="12.75" customHeight="1" x14ac:dyDescent="0.15">
      <c r="AE1209" s="13"/>
    </row>
    <row r="1210" spans="31:31" ht="12.75" customHeight="1" x14ac:dyDescent="0.15">
      <c r="AE1210" s="13"/>
    </row>
    <row r="1211" spans="31:31" ht="12.75" customHeight="1" x14ac:dyDescent="0.15">
      <c r="AE1211" s="13"/>
    </row>
    <row r="1212" spans="31:31" ht="12.75" customHeight="1" x14ac:dyDescent="0.15">
      <c r="AE1212" s="13"/>
    </row>
    <row r="1213" spans="31:31" ht="12.75" customHeight="1" x14ac:dyDescent="0.15">
      <c r="AE1213" s="13"/>
    </row>
    <row r="1214" spans="31:31" ht="12.75" customHeight="1" x14ac:dyDescent="0.15">
      <c r="AE1214" s="13"/>
    </row>
    <row r="1215" spans="31:31" ht="12.75" customHeight="1" x14ac:dyDescent="0.15">
      <c r="AE1215" s="13"/>
    </row>
    <row r="1216" spans="31:31" ht="12.75" customHeight="1" x14ac:dyDescent="0.15">
      <c r="AE1216" s="13"/>
    </row>
    <row r="1217" spans="31:31" ht="12.75" customHeight="1" x14ac:dyDescent="0.15">
      <c r="AE1217" s="13"/>
    </row>
    <row r="1218" spans="31:31" ht="12.75" customHeight="1" x14ac:dyDescent="0.15">
      <c r="AE1218" s="13"/>
    </row>
    <row r="1219" spans="31:31" ht="12.75" customHeight="1" x14ac:dyDescent="0.15">
      <c r="AE1219" s="13"/>
    </row>
    <row r="1220" spans="31:31" ht="12.75" customHeight="1" x14ac:dyDescent="0.15">
      <c r="AE1220" s="13"/>
    </row>
    <row r="1221" spans="31:31" ht="12.75" customHeight="1" x14ac:dyDescent="0.15">
      <c r="AE1221" s="13"/>
    </row>
    <row r="1222" spans="31:31" ht="12.75" customHeight="1" x14ac:dyDescent="0.15">
      <c r="AE1222" s="13"/>
    </row>
    <row r="1223" spans="31:31" ht="12.75" customHeight="1" x14ac:dyDescent="0.15">
      <c r="AE1223" s="13"/>
    </row>
    <row r="1224" spans="31:31" ht="12.75" customHeight="1" x14ac:dyDescent="0.15">
      <c r="AE1224" s="13"/>
    </row>
    <row r="1225" spans="31:31" ht="12.75" customHeight="1" x14ac:dyDescent="0.15">
      <c r="AE1225" s="13"/>
    </row>
    <row r="1226" spans="31:31" ht="12.75" customHeight="1" x14ac:dyDescent="0.15">
      <c r="AE1226" s="13"/>
    </row>
    <row r="1227" spans="31:31" ht="12.75" customHeight="1" x14ac:dyDescent="0.15">
      <c r="AE1227" s="13"/>
    </row>
    <row r="1228" spans="31:31" ht="12.75" customHeight="1" x14ac:dyDescent="0.15">
      <c r="AE1228" s="13"/>
    </row>
    <row r="1229" spans="31:31" ht="12.75" customHeight="1" x14ac:dyDescent="0.15">
      <c r="AE1229" s="13"/>
    </row>
    <row r="1230" spans="31:31" ht="12.75" customHeight="1" x14ac:dyDescent="0.15">
      <c r="AE1230" s="13"/>
    </row>
    <row r="1231" spans="31:31" ht="12.75" customHeight="1" x14ac:dyDescent="0.15">
      <c r="AE1231" s="13"/>
    </row>
    <row r="1232" spans="31:31" ht="12.75" customHeight="1" x14ac:dyDescent="0.15">
      <c r="AE1232" s="13"/>
    </row>
    <row r="1233" spans="31:31" ht="12.75" customHeight="1" x14ac:dyDescent="0.15">
      <c r="AE1233" s="13"/>
    </row>
    <row r="1234" spans="31:31" ht="12.75" customHeight="1" x14ac:dyDescent="0.15">
      <c r="AE1234" s="13"/>
    </row>
    <row r="1235" spans="31:31" ht="12.75" customHeight="1" x14ac:dyDescent="0.15">
      <c r="AE1235" s="13"/>
    </row>
    <row r="1236" spans="31:31" ht="12.75" customHeight="1" x14ac:dyDescent="0.15">
      <c r="AE1236" s="13"/>
    </row>
    <row r="1237" spans="31:31" ht="12.75" customHeight="1" x14ac:dyDescent="0.15">
      <c r="AE1237" s="13"/>
    </row>
    <row r="1238" spans="31:31" ht="12.75" customHeight="1" x14ac:dyDescent="0.15">
      <c r="AE1238" s="13"/>
    </row>
    <row r="1239" spans="31:31" ht="12.75" customHeight="1" x14ac:dyDescent="0.15">
      <c r="AE1239" s="13"/>
    </row>
    <row r="1240" spans="31:31" ht="12.75" customHeight="1" x14ac:dyDescent="0.15">
      <c r="AE1240" s="13"/>
    </row>
    <row r="1241" spans="31:31" ht="12.75" customHeight="1" x14ac:dyDescent="0.15">
      <c r="AE1241" s="13"/>
    </row>
    <row r="1242" spans="31:31" ht="12.75" customHeight="1" x14ac:dyDescent="0.15">
      <c r="AE1242" s="13"/>
    </row>
    <row r="1243" spans="31:31" ht="12.75" customHeight="1" x14ac:dyDescent="0.15">
      <c r="AE1243" s="13"/>
    </row>
    <row r="1244" spans="31:31" ht="12.75" customHeight="1" x14ac:dyDescent="0.15">
      <c r="AE1244" s="13"/>
    </row>
    <row r="1245" spans="31:31" ht="12.75" customHeight="1" x14ac:dyDescent="0.15">
      <c r="AE1245" s="13"/>
    </row>
    <row r="1246" spans="31:31" ht="12.75" customHeight="1" x14ac:dyDescent="0.15">
      <c r="AE1246" s="13"/>
    </row>
    <row r="1247" spans="31:31" ht="12.75" customHeight="1" x14ac:dyDescent="0.15">
      <c r="AE1247" s="13"/>
    </row>
    <row r="1248" spans="31:31" ht="12.75" customHeight="1" x14ac:dyDescent="0.15">
      <c r="AE1248" s="13"/>
    </row>
    <row r="1249" spans="31:31" ht="12.75" customHeight="1" x14ac:dyDescent="0.15">
      <c r="AE1249" s="13"/>
    </row>
    <row r="1250" spans="31:31" ht="12.75" customHeight="1" x14ac:dyDescent="0.15">
      <c r="AE1250" s="13"/>
    </row>
    <row r="1251" spans="31:31" ht="12.75" customHeight="1" x14ac:dyDescent="0.15">
      <c r="AE1251" s="13"/>
    </row>
    <row r="1252" spans="31:31" ht="12.75" customHeight="1" x14ac:dyDescent="0.15">
      <c r="AE1252" s="13"/>
    </row>
    <row r="1253" spans="31:31" ht="12.75" customHeight="1" x14ac:dyDescent="0.15">
      <c r="AE1253" s="13"/>
    </row>
    <row r="1254" spans="31:31" ht="12.75" customHeight="1" x14ac:dyDescent="0.15">
      <c r="AE1254" s="13"/>
    </row>
    <row r="1255" spans="31:31" ht="12.75" customHeight="1" x14ac:dyDescent="0.15">
      <c r="AE1255" s="13"/>
    </row>
    <row r="1256" spans="31:31" ht="12.75" customHeight="1" x14ac:dyDescent="0.15">
      <c r="AE1256" s="13"/>
    </row>
    <row r="1257" spans="31:31" ht="12.75" customHeight="1" x14ac:dyDescent="0.15">
      <c r="AE1257" s="13"/>
    </row>
    <row r="1258" spans="31:31" ht="12.75" customHeight="1" x14ac:dyDescent="0.15">
      <c r="AE1258" s="13"/>
    </row>
    <row r="1259" spans="31:31" ht="12.75" customHeight="1" x14ac:dyDescent="0.15">
      <c r="AE1259" s="13"/>
    </row>
    <row r="1260" spans="31:31" ht="12.75" customHeight="1" x14ac:dyDescent="0.15">
      <c r="AE1260" s="13"/>
    </row>
    <row r="1261" spans="31:31" ht="12.75" customHeight="1" x14ac:dyDescent="0.15">
      <c r="AE1261" s="13"/>
    </row>
    <row r="1262" spans="31:31" ht="12.75" customHeight="1" x14ac:dyDescent="0.15">
      <c r="AE1262" s="13"/>
    </row>
    <row r="1263" spans="31:31" ht="12.75" customHeight="1" x14ac:dyDescent="0.15">
      <c r="AE1263" s="13"/>
    </row>
    <row r="1264" spans="31:31" ht="12.75" customHeight="1" x14ac:dyDescent="0.15">
      <c r="AE1264" s="13"/>
    </row>
    <row r="1265" spans="31:31" ht="12.75" customHeight="1" x14ac:dyDescent="0.15">
      <c r="AE1265" s="13"/>
    </row>
    <row r="1266" spans="31:31" ht="12.75" customHeight="1" x14ac:dyDescent="0.15">
      <c r="AE1266" s="13"/>
    </row>
    <row r="1267" spans="31:31" ht="12.75" customHeight="1" x14ac:dyDescent="0.15">
      <c r="AE1267" s="13"/>
    </row>
    <row r="1268" spans="31:31" ht="12.75" customHeight="1" x14ac:dyDescent="0.15">
      <c r="AE1268" s="13"/>
    </row>
    <row r="1269" spans="31:31" ht="12.75" customHeight="1" x14ac:dyDescent="0.15">
      <c r="AE1269" s="13"/>
    </row>
    <row r="1270" spans="31:31" ht="12.75" customHeight="1" x14ac:dyDescent="0.15">
      <c r="AE1270" s="13"/>
    </row>
    <row r="1271" spans="31:31" ht="12.75" customHeight="1" x14ac:dyDescent="0.15">
      <c r="AE1271" s="13"/>
    </row>
    <row r="1272" spans="31:31" ht="12.75" customHeight="1" x14ac:dyDescent="0.15">
      <c r="AE1272" s="13"/>
    </row>
    <row r="1273" spans="31:31" ht="12.75" customHeight="1" x14ac:dyDescent="0.15">
      <c r="AE1273" s="13"/>
    </row>
    <row r="1274" spans="31:31" ht="12.75" customHeight="1" x14ac:dyDescent="0.15">
      <c r="AE1274" s="13"/>
    </row>
    <row r="1275" spans="31:31" ht="12.75" customHeight="1" x14ac:dyDescent="0.15">
      <c r="AE1275" s="13"/>
    </row>
    <row r="1276" spans="31:31" ht="12.75" customHeight="1" x14ac:dyDescent="0.15">
      <c r="AE1276" s="13"/>
    </row>
    <row r="1277" spans="31:31" ht="12.75" customHeight="1" x14ac:dyDescent="0.15">
      <c r="AE1277" s="13"/>
    </row>
    <row r="1278" spans="31:31" ht="12.75" customHeight="1" x14ac:dyDescent="0.15">
      <c r="AE1278" s="13"/>
    </row>
    <row r="1279" spans="31:31" ht="12.75" customHeight="1" x14ac:dyDescent="0.15">
      <c r="AE1279" s="13"/>
    </row>
    <row r="1280" spans="31:31" ht="12.75" customHeight="1" x14ac:dyDescent="0.15">
      <c r="AE1280" s="13"/>
    </row>
    <row r="1281" spans="31:31" ht="12.75" customHeight="1" x14ac:dyDescent="0.15">
      <c r="AE1281" s="13"/>
    </row>
    <row r="1282" spans="31:31" ht="12.75" customHeight="1" x14ac:dyDescent="0.15">
      <c r="AE1282" s="13"/>
    </row>
    <row r="1283" spans="31:31" ht="12.75" customHeight="1" x14ac:dyDescent="0.15">
      <c r="AE1283" s="13"/>
    </row>
    <row r="1284" spans="31:31" ht="12.75" customHeight="1" x14ac:dyDescent="0.15">
      <c r="AE1284" s="13"/>
    </row>
    <row r="1285" spans="31:31" ht="12.75" customHeight="1" x14ac:dyDescent="0.15">
      <c r="AE1285" s="13"/>
    </row>
    <row r="1286" spans="31:31" ht="12.75" customHeight="1" x14ac:dyDescent="0.15">
      <c r="AE1286" s="13"/>
    </row>
    <row r="1287" spans="31:31" ht="12.75" customHeight="1" x14ac:dyDescent="0.15">
      <c r="AE1287" s="13"/>
    </row>
    <row r="1288" spans="31:31" ht="12.75" customHeight="1" x14ac:dyDescent="0.15">
      <c r="AE1288" s="13"/>
    </row>
    <row r="1289" spans="31:31" ht="12.75" customHeight="1" x14ac:dyDescent="0.15">
      <c r="AE1289" s="13"/>
    </row>
    <row r="1290" spans="31:31" ht="12.75" customHeight="1" x14ac:dyDescent="0.15">
      <c r="AE1290" s="13"/>
    </row>
    <row r="1291" spans="31:31" ht="12.75" customHeight="1" x14ac:dyDescent="0.15">
      <c r="AE1291" s="13"/>
    </row>
    <row r="1292" spans="31:31" ht="12.75" customHeight="1" x14ac:dyDescent="0.15">
      <c r="AE1292" s="13"/>
    </row>
    <row r="1293" spans="31:31" ht="12.75" customHeight="1" x14ac:dyDescent="0.15">
      <c r="AE1293" s="13"/>
    </row>
    <row r="1294" spans="31:31" ht="12.75" customHeight="1" x14ac:dyDescent="0.15">
      <c r="AE1294" s="13"/>
    </row>
    <row r="1295" spans="31:31" ht="12.75" customHeight="1" x14ac:dyDescent="0.15">
      <c r="AE1295" s="13"/>
    </row>
    <row r="1296" spans="31:31" ht="12.75" customHeight="1" x14ac:dyDescent="0.15">
      <c r="AE1296" s="13"/>
    </row>
    <row r="1297" spans="31:31" ht="12.75" customHeight="1" x14ac:dyDescent="0.15">
      <c r="AE1297" s="13"/>
    </row>
    <row r="1298" spans="31:31" ht="12.75" customHeight="1" x14ac:dyDescent="0.15">
      <c r="AE1298" s="13"/>
    </row>
    <row r="1299" spans="31:31" ht="12.75" customHeight="1" x14ac:dyDescent="0.15">
      <c r="AE1299" s="13"/>
    </row>
    <row r="1300" spans="31:31" ht="12.75" customHeight="1" x14ac:dyDescent="0.15">
      <c r="AE1300" s="13"/>
    </row>
    <row r="1301" spans="31:31" ht="12.75" customHeight="1" x14ac:dyDescent="0.15">
      <c r="AE1301" s="13"/>
    </row>
    <row r="1302" spans="31:31" ht="12.75" customHeight="1" x14ac:dyDescent="0.15">
      <c r="AE1302" s="13"/>
    </row>
    <row r="1303" spans="31:31" ht="12.75" customHeight="1" x14ac:dyDescent="0.15">
      <c r="AE1303" s="13"/>
    </row>
    <row r="1304" spans="31:31" ht="12.75" customHeight="1" x14ac:dyDescent="0.15">
      <c r="AE1304" s="13"/>
    </row>
    <row r="1305" spans="31:31" ht="12.75" customHeight="1" x14ac:dyDescent="0.15">
      <c r="AE1305" s="13"/>
    </row>
    <row r="1306" spans="31:31" ht="12.75" customHeight="1" x14ac:dyDescent="0.15">
      <c r="AE1306" s="13"/>
    </row>
    <row r="1307" spans="31:31" ht="12.75" customHeight="1" x14ac:dyDescent="0.15">
      <c r="AE1307" s="13"/>
    </row>
    <row r="1308" spans="31:31" ht="12.75" customHeight="1" x14ac:dyDescent="0.15">
      <c r="AE1308" s="13"/>
    </row>
    <row r="1309" spans="31:31" ht="12.75" customHeight="1" x14ac:dyDescent="0.15">
      <c r="AE1309" s="13"/>
    </row>
    <row r="1310" spans="31:31" ht="12.75" customHeight="1" x14ac:dyDescent="0.15">
      <c r="AE1310" s="13"/>
    </row>
    <row r="1311" spans="31:31" ht="12.75" customHeight="1" x14ac:dyDescent="0.15">
      <c r="AE1311" s="13"/>
    </row>
    <row r="1312" spans="31:31" ht="12.75" customHeight="1" x14ac:dyDescent="0.15">
      <c r="AE1312" s="13"/>
    </row>
    <row r="1313" spans="31:31" ht="12.75" customHeight="1" x14ac:dyDescent="0.15">
      <c r="AE1313" s="13"/>
    </row>
    <row r="1314" spans="31:31" ht="12.75" customHeight="1" x14ac:dyDescent="0.15">
      <c r="AE1314" s="13"/>
    </row>
    <row r="1315" spans="31:31" ht="12.75" customHeight="1" x14ac:dyDescent="0.15">
      <c r="AE1315" s="13"/>
    </row>
    <row r="1316" spans="31:31" ht="12.75" customHeight="1" x14ac:dyDescent="0.15">
      <c r="AE1316" s="13"/>
    </row>
    <row r="1317" spans="31:31" ht="12.75" customHeight="1" x14ac:dyDescent="0.15">
      <c r="AE1317" s="13"/>
    </row>
    <row r="1318" spans="31:31" ht="12.75" customHeight="1" x14ac:dyDescent="0.15">
      <c r="AE1318" s="13"/>
    </row>
    <row r="1319" spans="31:31" ht="12.75" customHeight="1" x14ac:dyDescent="0.15">
      <c r="AE1319" s="13"/>
    </row>
    <row r="1320" spans="31:31" ht="12.75" customHeight="1" x14ac:dyDescent="0.15">
      <c r="AE1320" s="13"/>
    </row>
    <row r="1321" spans="31:31" ht="12.75" customHeight="1" x14ac:dyDescent="0.15">
      <c r="AE1321" s="13"/>
    </row>
    <row r="1322" spans="31:31" ht="12.75" customHeight="1" x14ac:dyDescent="0.15">
      <c r="AE1322" s="13"/>
    </row>
    <row r="1323" spans="31:31" ht="12.75" customHeight="1" x14ac:dyDescent="0.15">
      <c r="AE1323" s="13"/>
    </row>
    <row r="1324" spans="31:31" ht="12.75" customHeight="1" x14ac:dyDescent="0.15">
      <c r="AE1324" s="13"/>
    </row>
    <row r="1325" spans="31:31" ht="12.75" customHeight="1" x14ac:dyDescent="0.15">
      <c r="AE1325" s="13"/>
    </row>
    <row r="1326" spans="31:31" ht="12.75" customHeight="1" x14ac:dyDescent="0.15">
      <c r="AE1326" s="13"/>
    </row>
    <row r="1327" spans="31:31" ht="12.75" customHeight="1" x14ac:dyDescent="0.15">
      <c r="AE1327" s="13"/>
    </row>
    <row r="1328" spans="31:31" ht="12.75" customHeight="1" x14ac:dyDescent="0.15">
      <c r="AE1328" s="13"/>
    </row>
    <row r="1329" spans="31:31" ht="12.75" customHeight="1" x14ac:dyDescent="0.15">
      <c r="AE1329" s="13"/>
    </row>
    <row r="1330" spans="31:31" ht="12.75" customHeight="1" x14ac:dyDescent="0.15">
      <c r="AE1330" s="13"/>
    </row>
    <row r="1331" spans="31:31" ht="12.75" customHeight="1" x14ac:dyDescent="0.15">
      <c r="AE1331" s="13"/>
    </row>
    <row r="1332" spans="31:31" ht="12.75" customHeight="1" x14ac:dyDescent="0.15">
      <c r="AE1332" s="13"/>
    </row>
    <row r="1333" spans="31:31" ht="12.75" customHeight="1" x14ac:dyDescent="0.15">
      <c r="AE1333" s="13"/>
    </row>
    <row r="1334" spans="31:31" ht="12.75" customHeight="1" x14ac:dyDescent="0.15">
      <c r="AE1334" s="13"/>
    </row>
    <row r="1335" spans="31:31" ht="12.75" customHeight="1" x14ac:dyDescent="0.15">
      <c r="AE1335" s="13"/>
    </row>
    <row r="1336" spans="31:31" ht="12.75" customHeight="1" x14ac:dyDescent="0.15">
      <c r="AE1336" s="13"/>
    </row>
    <row r="1337" spans="31:31" ht="12.75" customHeight="1" x14ac:dyDescent="0.15">
      <c r="AE1337" s="13"/>
    </row>
    <row r="1338" spans="31:31" ht="12.75" customHeight="1" x14ac:dyDescent="0.15">
      <c r="AE1338" s="13"/>
    </row>
    <row r="1339" spans="31:31" ht="12.75" customHeight="1" x14ac:dyDescent="0.15">
      <c r="AE1339" s="13"/>
    </row>
    <row r="1340" spans="31:31" ht="12.75" customHeight="1" x14ac:dyDescent="0.15">
      <c r="AE1340" s="13"/>
    </row>
    <row r="1341" spans="31:31" ht="12.75" customHeight="1" x14ac:dyDescent="0.15">
      <c r="AE1341" s="13"/>
    </row>
    <row r="1342" spans="31:31" ht="12.75" customHeight="1" x14ac:dyDescent="0.15">
      <c r="AE1342" s="13"/>
    </row>
    <row r="1343" spans="31:31" ht="12.75" customHeight="1" x14ac:dyDescent="0.15">
      <c r="AE1343" s="13"/>
    </row>
    <row r="1344" spans="31:31" ht="12.75" customHeight="1" x14ac:dyDescent="0.15">
      <c r="AE1344" s="13"/>
    </row>
    <row r="1345" spans="31:31" ht="12.75" customHeight="1" x14ac:dyDescent="0.15">
      <c r="AE1345" s="13"/>
    </row>
    <row r="1346" spans="31:31" ht="12.75" customHeight="1" x14ac:dyDescent="0.15">
      <c r="AE1346" s="13"/>
    </row>
    <row r="1347" spans="31:31" ht="12.75" customHeight="1" x14ac:dyDescent="0.15">
      <c r="AE1347" s="13"/>
    </row>
    <row r="1348" spans="31:31" ht="12.75" customHeight="1" x14ac:dyDescent="0.15">
      <c r="AE1348" s="13"/>
    </row>
    <row r="1349" spans="31:31" ht="12.75" customHeight="1" x14ac:dyDescent="0.15">
      <c r="AE1349" s="13"/>
    </row>
    <row r="1350" spans="31:31" ht="12.75" customHeight="1" x14ac:dyDescent="0.15">
      <c r="AE1350" s="13"/>
    </row>
    <row r="1351" spans="31:31" ht="12.75" customHeight="1" x14ac:dyDescent="0.15">
      <c r="AE1351" s="13"/>
    </row>
    <row r="1352" spans="31:31" ht="12.75" customHeight="1" x14ac:dyDescent="0.15">
      <c r="AE1352" s="13"/>
    </row>
    <row r="1353" spans="31:31" ht="12.75" customHeight="1" x14ac:dyDescent="0.15">
      <c r="AE1353" s="13"/>
    </row>
    <row r="1354" spans="31:31" ht="12.75" customHeight="1" x14ac:dyDescent="0.15">
      <c r="AE1354" s="13"/>
    </row>
    <row r="1355" spans="31:31" ht="12.75" customHeight="1" x14ac:dyDescent="0.15">
      <c r="AE1355" s="13"/>
    </row>
    <row r="1356" spans="31:31" ht="12.75" customHeight="1" x14ac:dyDescent="0.15">
      <c r="AE1356" s="13"/>
    </row>
    <row r="1357" spans="31:31" ht="12.75" customHeight="1" x14ac:dyDescent="0.15">
      <c r="AE1357" s="13"/>
    </row>
    <row r="1358" spans="31:31" ht="12.75" customHeight="1" x14ac:dyDescent="0.15">
      <c r="AE1358" s="13"/>
    </row>
    <row r="1359" spans="31:31" ht="12.75" customHeight="1" x14ac:dyDescent="0.15">
      <c r="AE1359" s="13"/>
    </row>
    <row r="1360" spans="31:31" ht="12.75" customHeight="1" x14ac:dyDescent="0.15">
      <c r="AE1360" s="13"/>
    </row>
    <row r="1361" spans="31:31" ht="12.75" customHeight="1" x14ac:dyDescent="0.15">
      <c r="AE1361" s="13"/>
    </row>
    <row r="1362" spans="31:31" ht="12.75" customHeight="1" x14ac:dyDescent="0.15">
      <c r="AE1362" s="13"/>
    </row>
    <row r="1363" spans="31:31" ht="12.75" customHeight="1" x14ac:dyDescent="0.15">
      <c r="AE1363" s="13"/>
    </row>
    <row r="1364" spans="31:31" ht="12.75" customHeight="1" x14ac:dyDescent="0.15">
      <c r="AE1364" s="13"/>
    </row>
    <row r="1365" spans="31:31" ht="12.75" customHeight="1" x14ac:dyDescent="0.15">
      <c r="AE1365" s="13"/>
    </row>
    <row r="1366" spans="31:31" ht="12.75" customHeight="1" x14ac:dyDescent="0.15">
      <c r="AE1366" s="13"/>
    </row>
    <row r="1367" spans="31:31" ht="12.75" customHeight="1" x14ac:dyDescent="0.15">
      <c r="AE1367" s="13"/>
    </row>
    <row r="1368" spans="31:31" ht="12.75" customHeight="1" x14ac:dyDescent="0.15">
      <c r="AE1368" s="13"/>
    </row>
    <row r="1369" spans="31:31" ht="12.75" customHeight="1" x14ac:dyDescent="0.15">
      <c r="AE1369" s="13"/>
    </row>
    <row r="1370" spans="31:31" ht="12.75" customHeight="1" x14ac:dyDescent="0.15">
      <c r="AE1370" s="13"/>
    </row>
    <row r="1371" spans="31:31" ht="12.75" customHeight="1" x14ac:dyDescent="0.15">
      <c r="AE1371" s="13"/>
    </row>
    <row r="1372" spans="31:31" ht="12.75" customHeight="1" x14ac:dyDescent="0.15">
      <c r="AE1372" s="13"/>
    </row>
    <row r="1373" spans="31:31" ht="12.75" customHeight="1" x14ac:dyDescent="0.15">
      <c r="AE1373" s="13"/>
    </row>
    <row r="1374" spans="31:31" ht="12.75" customHeight="1" x14ac:dyDescent="0.15">
      <c r="AE1374" s="13"/>
    </row>
    <row r="1375" spans="31:31" ht="12.75" customHeight="1" x14ac:dyDescent="0.15">
      <c r="AE1375" s="13"/>
    </row>
    <row r="1376" spans="31:31" ht="12.75" customHeight="1" x14ac:dyDescent="0.15">
      <c r="AE1376" s="13"/>
    </row>
    <row r="1377" spans="31:31" ht="12.75" customHeight="1" x14ac:dyDescent="0.15">
      <c r="AE1377" s="13"/>
    </row>
    <row r="1378" spans="31:31" ht="12.75" customHeight="1" x14ac:dyDescent="0.15">
      <c r="AE1378" s="13"/>
    </row>
    <row r="1379" spans="31:31" ht="12.75" customHeight="1" x14ac:dyDescent="0.15">
      <c r="AE1379" s="13"/>
    </row>
    <row r="1380" spans="31:31" ht="12.75" customHeight="1" x14ac:dyDescent="0.15">
      <c r="AE1380" s="13"/>
    </row>
    <row r="1381" spans="31:31" ht="12.75" customHeight="1" x14ac:dyDescent="0.15">
      <c r="AE1381" s="13"/>
    </row>
    <row r="1382" spans="31:31" ht="12.75" customHeight="1" x14ac:dyDescent="0.15">
      <c r="AE1382" s="13"/>
    </row>
    <row r="1383" spans="31:31" ht="12.75" customHeight="1" x14ac:dyDescent="0.15">
      <c r="AE1383" s="13"/>
    </row>
    <row r="1384" spans="31:31" ht="12.75" customHeight="1" x14ac:dyDescent="0.15">
      <c r="AE1384" s="13"/>
    </row>
    <row r="1385" spans="31:31" ht="12.75" customHeight="1" x14ac:dyDescent="0.15">
      <c r="AE1385" s="13"/>
    </row>
    <row r="1386" spans="31:31" ht="12.75" customHeight="1" x14ac:dyDescent="0.15">
      <c r="AE1386" s="13"/>
    </row>
    <row r="1387" spans="31:31" ht="12.75" customHeight="1" x14ac:dyDescent="0.15">
      <c r="AE1387" s="13"/>
    </row>
    <row r="1388" spans="31:31" ht="12.75" customHeight="1" x14ac:dyDescent="0.15">
      <c r="AE1388" s="13"/>
    </row>
    <row r="1389" spans="31:31" ht="12.75" customHeight="1" x14ac:dyDescent="0.15">
      <c r="AE1389" s="13"/>
    </row>
    <row r="1390" spans="31:31" ht="12.75" customHeight="1" x14ac:dyDescent="0.15">
      <c r="AE1390" s="13"/>
    </row>
    <row r="1391" spans="31:31" ht="12.75" customHeight="1" x14ac:dyDescent="0.15">
      <c r="AE1391" s="13"/>
    </row>
    <row r="1392" spans="31:31" ht="12.75" customHeight="1" x14ac:dyDescent="0.15">
      <c r="AE1392" s="13"/>
    </row>
    <row r="1393" spans="31:31" ht="12.75" customHeight="1" x14ac:dyDescent="0.15">
      <c r="AE1393" s="13"/>
    </row>
    <row r="1394" spans="31:31" ht="12.75" customHeight="1" x14ac:dyDescent="0.15">
      <c r="AE1394" s="13"/>
    </row>
    <row r="1395" spans="31:31" ht="12.75" customHeight="1" x14ac:dyDescent="0.15">
      <c r="AE1395" s="13"/>
    </row>
    <row r="1396" spans="31:31" ht="12.75" customHeight="1" x14ac:dyDescent="0.15">
      <c r="AE1396" s="13"/>
    </row>
    <row r="1397" spans="31:31" ht="12.75" customHeight="1" x14ac:dyDescent="0.15">
      <c r="AE1397" s="13"/>
    </row>
    <row r="1398" spans="31:31" ht="12.75" customHeight="1" x14ac:dyDescent="0.15">
      <c r="AE1398" s="13"/>
    </row>
    <row r="1399" spans="31:31" ht="12.75" customHeight="1" x14ac:dyDescent="0.15">
      <c r="AE1399" s="13"/>
    </row>
    <row r="1400" spans="31:31" ht="12.75" customHeight="1" x14ac:dyDescent="0.15">
      <c r="AE1400" s="13"/>
    </row>
    <row r="1401" spans="31:31" ht="12.75" customHeight="1" x14ac:dyDescent="0.15">
      <c r="AE1401" s="13"/>
    </row>
    <row r="1402" spans="31:31" ht="12.75" customHeight="1" x14ac:dyDescent="0.15">
      <c r="AE1402" s="13"/>
    </row>
    <row r="1403" spans="31:31" ht="12.75" customHeight="1" x14ac:dyDescent="0.15">
      <c r="AE1403" s="13"/>
    </row>
    <row r="1404" spans="31:31" ht="12.75" customHeight="1" x14ac:dyDescent="0.15">
      <c r="AE1404" s="13"/>
    </row>
    <row r="1405" spans="31:31" ht="12.75" customHeight="1" x14ac:dyDescent="0.15">
      <c r="AE1405" s="13"/>
    </row>
    <row r="1406" spans="31:31" ht="12.75" customHeight="1" x14ac:dyDescent="0.15">
      <c r="AE1406" s="13"/>
    </row>
    <row r="1407" spans="31:31" ht="12.75" customHeight="1" x14ac:dyDescent="0.15">
      <c r="AE1407" s="13"/>
    </row>
    <row r="1408" spans="31:31" ht="12.75" customHeight="1" x14ac:dyDescent="0.15">
      <c r="AE1408" s="13"/>
    </row>
    <row r="1409" spans="31:31" ht="12.75" customHeight="1" x14ac:dyDescent="0.15">
      <c r="AE1409" s="13"/>
    </row>
    <row r="1410" spans="31:31" ht="12.75" customHeight="1" x14ac:dyDescent="0.15">
      <c r="AE1410" s="13"/>
    </row>
    <row r="1411" spans="31:31" ht="12.75" customHeight="1" x14ac:dyDescent="0.15">
      <c r="AE1411" s="13"/>
    </row>
    <row r="1412" spans="31:31" ht="12.75" customHeight="1" x14ac:dyDescent="0.15">
      <c r="AE1412" s="13"/>
    </row>
    <row r="1413" spans="31:31" ht="12.75" customHeight="1" x14ac:dyDescent="0.15">
      <c r="AE1413" s="13"/>
    </row>
    <row r="1414" spans="31:31" ht="12.75" customHeight="1" x14ac:dyDescent="0.15">
      <c r="AE1414" s="13"/>
    </row>
    <row r="1415" spans="31:31" ht="12.75" customHeight="1" x14ac:dyDescent="0.15">
      <c r="AE1415" s="13"/>
    </row>
    <row r="1416" spans="31:31" ht="12.75" customHeight="1" x14ac:dyDescent="0.15">
      <c r="AE1416" s="13"/>
    </row>
    <row r="1417" spans="31:31" ht="12.75" customHeight="1" x14ac:dyDescent="0.15">
      <c r="AE1417" s="13"/>
    </row>
    <row r="1418" spans="31:31" ht="12.75" customHeight="1" x14ac:dyDescent="0.15">
      <c r="AE1418" s="13"/>
    </row>
    <row r="1419" spans="31:31" ht="12.75" customHeight="1" x14ac:dyDescent="0.15">
      <c r="AE1419" s="13"/>
    </row>
    <row r="1420" spans="31:31" ht="12.75" customHeight="1" x14ac:dyDescent="0.15">
      <c r="AE1420" s="13"/>
    </row>
    <row r="1421" spans="31:31" ht="12.75" customHeight="1" x14ac:dyDescent="0.15">
      <c r="AE1421" s="13"/>
    </row>
    <row r="1422" spans="31:31" ht="12.75" customHeight="1" x14ac:dyDescent="0.15">
      <c r="AE1422" s="13"/>
    </row>
    <row r="1423" spans="31:31" ht="12.75" customHeight="1" x14ac:dyDescent="0.15">
      <c r="AE1423" s="13"/>
    </row>
    <row r="1424" spans="31:31" ht="12.75" customHeight="1" x14ac:dyDescent="0.15">
      <c r="AE1424" s="13"/>
    </row>
    <row r="1425" spans="31:31" ht="12.75" customHeight="1" x14ac:dyDescent="0.15">
      <c r="AE1425" s="13"/>
    </row>
    <row r="1426" spans="31:31" ht="12.75" customHeight="1" x14ac:dyDescent="0.15">
      <c r="AE1426" s="13"/>
    </row>
    <row r="1427" spans="31:31" ht="12.75" customHeight="1" x14ac:dyDescent="0.15">
      <c r="AE1427" s="13"/>
    </row>
    <row r="1428" spans="31:31" ht="12.75" customHeight="1" x14ac:dyDescent="0.15">
      <c r="AE1428" s="13"/>
    </row>
    <row r="1429" spans="31:31" ht="12.75" customHeight="1" x14ac:dyDescent="0.15">
      <c r="AE1429" s="13"/>
    </row>
    <row r="1430" spans="31:31" ht="12.75" customHeight="1" x14ac:dyDescent="0.15">
      <c r="AE1430" s="13"/>
    </row>
    <row r="1431" spans="31:31" ht="12.75" customHeight="1" x14ac:dyDescent="0.15">
      <c r="AE1431" s="13"/>
    </row>
    <row r="1432" spans="31:31" ht="12.75" customHeight="1" x14ac:dyDescent="0.15">
      <c r="AE1432" s="13"/>
    </row>
    <row r="1433" spans="31:31" ht="12.75" customHeight="1" x14ac:dyDescent="0.15">
      <c r="AE1433" s="13"/>
    </row>
    <row r="1434" spans="31:31" ht="12.75" customHeight="1" x14ac:dyDescent="0.15">
      <c r="AE1434" s="13"/>
    </row>
    <row r="1435" spans="31:31" ht="12.75" customHeight="1" x14ac:dyDescent="0.15">
      <c r="AE1435" s="13"/>
    </row>
    <row r="1436" spans="31:31" ht="12.75" customHeight="1" x14ac:dyDescent="0.15">
      <c r="AE1436" s="13"/>
    </row>
    <row r="1437" spans="31:31" ht="12.75" customHeight="1" x14ac:dyDescent="0.15">
      <c r="AE1437" s="13"/>
    </row>
    <row r="1438" spans="31:31" ht="12.75" customHeight="1" x14ac:dyDescent="0.15">
      <c r="AE1438" s="13"/>
    </row>
    <row r="1439" spans="31:31" ht="12.75" customHeight="1" x14ac:dyDescent="0.15">
      <c r="AE1439" s="13"/>
    </row>
    <row r="1440" spans="31:31" ht="12.75" customHeight="1" x14ac:dyDescent="0.15">
      <c r="AE1440" s="13"/>
    </row>
    <row r="1441" spans="31:31" ht="12.75" customHeight="1" x14ac:dyDescent="0.15">
      <c r="AE1441" s="13"/>
    </row>
    <row r="1442" spans="31:31" ht="12.75" customHeight="1" x14ac:dyDescent="0.15">
      <c r="AE1442" s="13"/>
    </row>
    <row r="1443" spans="31:31" ht="12.75" customHeight="1" x14ac:dyDescent="0.15">
      <c r="AE1443" s="13"/>
    </row>
    <row r="1444" spans="31:31" ht="12.75" customHeight="1" x14ac:dyDescent="0.15">
      <c r="AE1444" s="13"/>
    </row>
    <row r="1445" spans="31:31" ht="12.75" customHeight="1" x14ac:dyDescent="0.15">
      <c r="AE1445" s="13"/>
    </row>
    <row r="1446" spans="31:31" ht="12.75" customHeight="1" x14ac:dyDescent="0.15">
      <c r="AE1446" s="13"/>
    </row>
    <row r="1447" spans="31:31" ht="12.75" customHeight="1" x14ac:dyDescent="0.15">
      <c r="AE1447" s="13"/>
    </row>
    <row r="1448" spans="31:31" ht="12.75" customHeight="1" x14ac:dyDescent="0.15">
      <c r="AE1448" s="13"/>
    </row>
    <row r="1449" spans="31:31" ht="12.75" customHeight="1" x14ac:dyDescent="0.15">
      <c r="AE1449" s="13"/>
    </row>
    <row r="1450" spans="31:31" ht="12.75" customHeight="1" x14ac:dyDescent="0.15">
      <c r="AE1450" s="13"/>
    </row>
    <row r="1451" spans="31:31" ht="12.75" customHeight="1" x14ac:dyDescent="0.15">
      <c r="AE1451" s="13"/>
    </row>
    <row r="1452" spans="31:31" ht="12.75" customHeight="1" x14ac:dyDescent="0.15">
      <c r="AE1452" s="13"/>
    </row>
    <row r="1453" spans="31:31" ht="12.75" customHeight="1" x14ac:dyDescent="0.15">
      <c r="AE1453" s="13"/>
    </row>
    <row r="1454" spans="31:31" ht="12.75" customHeight="1" x14ac:dyDescent="0.15">
      <c r="AE1454" s="13"/>
    </row>
    <row r="1455" spans="31:31" ht="12.75" customHeight="1" x14ac:dyDescent="0.15">
      <c r="AE1455" s="13"/>
    </row>
    <row r="1456" spans="31:31" ht="12.75" customHeight="1" x14ac:dyDescent="0.15">
      <c r="AE1456" s="13"/>
    </row>
    <row r="1457" spans="31:31" ht="12.75" customHeight="1" x14ac:dyDescent="0.15">
      <c r="AE1457" s="13"/>
    </row>
    <row r="1458" spans="31:31" ht="12.75" customHeight="1" x14ac:dyDescent="0.15">
      <c r="AE1458" s="13"/>
    </row>
    <row r="1459" spans="31:31" ht="12.75" customHeight="1" x14ac:dyDescent="0.15">
      <c r="AE1459" s="13"/>
    </row>
    <row r="1460" spans="31:31" ht="12.75" customHeight="1" x14ac:dyDescent="0.15">
      <c r="AE1460" s="13"/>
    </row>
    <row r="1461" spans="31:31" ht="12.75" customHeight="1" x14ac:dyDescent="0.15">
      <c r="AE1461" s="13"/>
    </row>
    <row r="1462" spans="31:31" ht="12.75" customHeight="1" x14ac:dyDescent="0.15">
      <c r="AE1462" s="13"/>
    </row>
    <row r="1463" spans="31:31" ht="12.75" customHeight="1" x14ac:dyDescent="0.15">
      <c r="AE1463" s="13"/>
    </row>
    <row r="1464" spans="31:31" ht="12.75" customHeight="1" x14ac:dyDescent="0.15">
      <c r="AE1464" s="13"/>
    </row>
    <row r="1465" spans="31:31" ht="12.75" customHeight="1" x14ac:dyDescent="0.15">
      <c r="AE1465" s="13"/>
    </row>
    <row r="1466" spans="31:31" ht="12.75" customHeight="1" x14ac:dyDescent="0.15">
      <c r="AE1466" s="13"/>
    </row>
    <row r="1467" spans="31:31" ht="12.75" customHeight="1" x14ac:dyDescent="0.15">
      <c r="AE1467" s="13"/>
    </row>
    <row r="1468" spans="31:31" ht="12.75" customHeight="1" x14ac:dyDescent="0.15">
      <c r="AE1468" s="13"/>
    </row>
    <row r="1469" spans="31:31" ht="12.75" customHeight="1" x14ac:dyDescent="0.15">
      <c r="AE1469" s="13"/>
    </row>
    <row r="1470" spans="31:31" ht="12.75" customHeight="1" x14ac:dyDescent="0.15">
      <c r="AE1470" s="13"/>
    </row>
    <row r="1471" spans="31:31" ht="12.75" customHeight="1" x14ac:dyDescent="0.15">
      <c r="AE1471" s="13"/>
    </row>
    <row r="1472" spans="31:31" ht="12.75" customHeight="1" x14ac:dyDescent="0.15">
      <c r="AE1472" s="13"/>
    </row>
    <row r="1473" spans="31:31" ht="12.75" customHeight="1" x14ac:dyDescent="0.15">
      <c r="AE1473" s="13"/>
    </row>
    <row r="1474" spans="31:31" ht="12.75" customHeight="1" x14ac:dyDescent="0.15">
      <c r="AE1474" s="13"/>
    </row>
    <row r="1475" spans="31:31" ht="12.75" customHeight="1" x14ac:dyDescent="0.15">
      <c r="AE1475" s="13"/>
    </row>
    <row r="1476" spans="31:31" ht="12.75" customHeight="1" x14ac:dyDescent="0.15">
      <c r="AE1476" s="13"/>
    </row>
    <row r="1477" spans="31:31" ht="12.75" customHeight="1" x14ac:dyDescent="0.15">
      <c r="AE1477" s="13"/>
    </row>
    <row r="1478" spans="31:31" ht="12.75" customHeight="1" x14ac:dyDescent="0.15">
      <c r="AE1478" s="13"/>
    </row>
    <row r="1479" spans="31:31" ht="12.75" customHeight="1" x14ac:dyDescent="0.15">
      <c r="AE1479" s="13"/>
    </row>
    <row r="1480" spans="31:31" ht="12.75" customHeight="1" x14ac:dyDescent="0.15">
      <c r="AE1480" s="13"/>
    </row>
    <row r="1481" spans="31:31" ht="12.75" customHeight="1" x14ac:dyDescent="0.15">
      <c r="AE1481" s="13"/>
    </row>
    <row r="1482" spans="31:31" ht="12.75" customHeight="1" x14ac:dyDescent="0.15">
      <c r="AE1482" s="13"/>
    </row>
    <row r="1483" spans="31:31" ht="12.75" customHeight="1" x14ac:dyDescent="0.15">
      <c r="AE1483" s="13"/>
    </row>
    <row r="1484" spans="31:31" ht="12.75" customHeight="1" x14ac:dyDescent="0.15">
      <c r="AE1484" s="13"/>
    </row>
    <row r="1485" spans="31:31" ht="12.75" customHeight="1" x14ac:dyDescent="0.15">
      <c r="AE1485" s="13"/>
    </row>
    <row r="1486" spans="31:31" ht="12.75" customHeight="1" x14ac:dyDescent="0.15">
      <c r="AE1486" s="13"/>
    </row>
    <row r="1487" spans="31:31" ht="12.75" customHeight="1" x14ac:dyDescent="0.15">
      <c r="AE1487" s="13"/>
    </row>
    <row r="1488" spans="31:31" ht="12.75" customHeight="1" x14ac:dyDescent="0.15">
      <c r="AE1488" s="13"/>
    </row>
    <row r="1489" spans="31:31" ht="12.75" customHeight="1" x14ac:dyDescent="0.15">
      <c r="AE1489" s="13"/>
    </row>
    <row r="1490" spans="31:31" ht="12.75" customHeight="1" x14ac:dyDescent="0.15">
      <c r="AE1490" s="13"/>
    </row>
    <row r="1491" spans="31:31" ht="12.75" customHeight="1" x14ac:dyDescent="0.15">
      <c r="AE1491" s="13"/>
    </row>
    <row r="1492" spans="31:31" ht="12.75" customHeight="1" x14ac:dyDescent="0.15">
      <c r="AE1492" s="13"/>
    </row>
    <row r="1493" spans="31:31" ht="12.75" customHeight="1" x14ac:dyDescent="0.15">
      <c r="AE1493" s="13"/>
    </row>
    <row r="1494" spans="31:31" ht="12.75" customHeight="1" x14ac:dyDescent="0.15">
      <c r="AE1494" s="13"/>
    </row>
    <row r="1495" spans="31:31" ht="12.75" customHeight="1" x14ac:dyDescent="0.15">
      <c r="AE1495" s="13"/>
    </row>
    <row r="1496" spans="31:31" ht="12.75" customHeight="1" x14ac:dyDescent="0.15">
      <c r="AE1496" s="13"/>
    </row>
    <row r="1497" spans="31:31" ht="12.75" customHeight="1" x14ac:dyDescent="0.15">
      <c r="AE1497" s="13"/>
    </row>
    <row r="1498" spans="31:31" ht="12.75" customHeight="1" x14ac:dyDescent="0.15">
      <c r="AE1498" s="13"/>
    </row>
    <row r="1499" spans="31:31" ht="12.75" customHeight="1" x14ac:dyDescent="0.15">
      <c r="AE1499" s="13"/>
    </row>
    <row r="1500" spans="31:31" ht="12.75" customHeight="1" x14ac:dyDescent="0.15">
      <c r="AE1500" s="13"/>
    </row>
    <row r="1501" spans="31:31" ht="12.75" customHeight="1" x14ac:dyDescent="0.15">
      <c r="AE1501" s="13"/>
    </row>
    <row r="1502" spans="31:31" ht="12.75" customHeight="1" x14ac:dyDescent="0.15">
      <c r="AE1502" s="13"/>
    </row>
    <row r="1503" spans="31:31" ht="12.75" customHeight="1" x14ac:dyDescent="0.15">
      <c r="AE1503" s="13"/>
    </row>
    <row r="1504" spans="31:31" ht="12.75" customHeight="1" x14ac:dyDescent="0.15">
      <c r="AE1504" s="13"/>
    </row>
    <row r="1505" spans="31:31" ht="12.75" customHeight="1" x14ac:dyDescent="0.15">
      <c r="AE1505" s="13"/>
    </row>
    <row r="1506" spans="31:31" ht="12.75" customHeight="1" x14ac:dyDescent="0.15">
      <c r="AE1506" s="13"/>
    </row>
    <row r="1507" spans="31:31" ht="12.75" customHeight="1" x14ac:dyDescent="0.15">
      <c r="AE1507" s="13"/>
    </row>
    <row r="1508" spans="31:31" ht="12.75" customHeight="1" x14ac:dyDescent="0.15">
      <c r="AE1508" s="13"/>
    </row>
    <row r="1509" spans="31:31" ht="12.75" customHeight="1" x14ac:dyDescent="0.15">
      <c r="AE1509" s="13"/>
    </row>
    <row r="1510" spans="31:31" ht="12.75" customHeight="1" x14ac:dyDescent="0.15">
      <c r="AE1510" s="13"/>
    </row>
    <row r="1511" spans="31:31" ht="12.75" customHeight="1" x14ac:dyDescent="0.15">
      <c r="AE1511" s="13"/>
    </row>
    <row r="1512" spans="31:31" ht="12.75" customHeight="1" x14ac:dyDescent="0.15">
      <c r="AE1512" s="13"/>
    </row>
    <row r="1513" spans="31:31" ht="12.75" customHeight="1" x14ac:dyDescent="0.15">
      <c r="AE1513" s="13"/>
    </row>
    <row r="1514" spans="31:31" ht="12.75" customHeight="1" x14ac:dyDescent="0.15">
      <c r="AE1514" s="13"/>
    </row>
    <row r="1515" spans="31:31" ht="12.75" customHeight="1" x14ac:dyDescent="0.15">
      <c r="AE1515" s="13"/>
    </row>
    <row r="1516" spans="31:31" ht="12.75" customHeight="1" x14ac:dyDescent="0.15">
      <c r="AE1516" s="13"/>
    </row>
    <row r="1517" spans="31:31" ht="12.75" customHeight="1" x14ac:dyDescent="0.15">
      <c r="AE1517" s="13"/>
    </row>
    <row r="1518" spans="31:31" ht="12.75" customHeight="1" x14ac:dyDescent="0.15">
      <c r="AE1518" s="13"/>
    </row>
    <row r="1519" spans="31:31" ht="12.75" customHeight="1" x14ac:dyDescent="0.15">
      <c r="AE1519" s="13"/>
    </row>
    <row r="1520" spans="31:31" ht="12.75" customHeight="1" x14ac:dyDescent="0.15">
      <c r="AE1520" s="13"/>
    </row>
    <row r="1521" spans="31:31" ht="12.75" customHeight="1" x14ac:dyDescent="0.15">
      <c r="AE1521" s="13"/>
    </row>
    <row r="1522" spans="31:31" ht="12.75" customHeight="1" x14ac:dyDescent="0.15">
      <c r="AE1522" s="13"/>
    </row>
    <row r="1523" spans="31:31" ht="12.75" customHeight="1" x14ac:dyDescent="0.15">
      <c r="AE1523" s="13"/>
    </row>
    <row r="1524" spans="31:31" ht="12.75" customHeight="1" x14ac:dyDescent="0.15">
      <c r="AE1524" s="13"/>
    </row>
    <row r="1525" spans="31:31" ht="12.75" customHeight="1" x14ac:dyDescent="0.15">
      <c r="AE1525" s="13"/>
    </row>
    <row r="1526" spans="31:31" ht="12.75" customHeight="1" x14ac:dyDescent="0.15">
      <c r="AE1526" s="13"/>
    </row>
    <row r="1527" spans="31:31" ht="12.75" customHeight="1" x14ac:dyDescent="0.15">
      <c r="AE1527" s="13"/>
    </row>
    <row r="1528" spans="31:31" ht="12.75" customHeight="1" x14ac:dyDescent="0.15">
      <c r="AE1528" s="13"/>
    </row>
    <row r="1529" spans="31:31" ht="12.75" customHeight="1" x14ac:dyDescent="0.15">
      <c r="AE1529" s="13"/>
    </row>
    <row r="1530" spans="31:31" ht="12.75" customHeight="1" x14ac:dyDescent="0.15">
      <c r="AE1530" s="13"/>
    </row>
    <row r="1531" spans="31:31" ht="12.75" customHeight="1" x14ac:dyDescent="0.15">
      <c r="AE1531" s="13"/>
    </row>
    <row r="1532" spans="31:31" ht="12.75" customHeight="1" x14ac:dyDescent="0.15">
      <c r="AE1532" s="13"/>
    </row>
    <row r="1533" spans="31:31" ht="12.75" customHeight="1" x14ac:dyDescent="0.15">
      <c r="AE1533" s="13"/>
    </row>
    <row r="1534" spans="31:31" ht="12.75" customHeight="1" x14ac:dyDescent="0.15">
      <c r="AE1534" s="13"/>
    </row>
    <row r="1535" spans="31:31" ht="12.75" customHeight="1" x14ac:dyDescent="0.15">
      <c r="AE1535" s="13"/>
    </row>
    <row r="1536" spans="31:31" ht="12.75" customHeight="1" x14ac:dyDescent="0.15">
      <c r="AE1536" s="13"/>
    </row>
    <row r="1537" spans="31:31" ht="12.75" customHeight="1" x14ac:dyDescent="0.15">
      <c r="AE1537" s="13"/>
    </row>
    <row r="1538" spans="31:31" ht="12.75" customHeight="1" x14ac:dyDescent="0.15">
      <c r="AE1538" s="13"/>
    </row>
    <row r="1539" spans="31:31" ht="12.75" customHeight="1" x14ac:dyDescent="0.15">
      <c r="AE1539" s="13"/>
    </row>
    <row r="1540" spans="31:31" ht="12.75" customHeight="1" x14ac:dyDescent="0.15">
      <c r="AE1540" s="13"/>
    </row>
    <row r="1541" spans="31:31" ht="12.75" customHeight="1" x14ac:dyDescent="0.15">
      <c r="AE1541" s="13"/>
    </row>
    <row r="1542" spans="31:31" ht="12.75" customHeight="1" x14ac:dyDescent="0.15">
      <c r="AE1542" s="13"/>
    </row>
    <row r="1543" spans="31:31" ht="12.75" customHeight="1" x14ac:dyDescent="0.15">
      <c r="AE1543" s="13"/>
    </row>
    <row r="1544" spans="31:31" ht="12.75" customHeight="1" x14ac:dyDescent="0.15">
      <c r="AE1544" s="13"/>
    </row>
    <row r="1545" spans="31:31" ht="12.75" customHeight="1" x14ac:dyDescent="0.15">
      <c r="AE1545" s="13"/>
    </row>
    <row r="1546" spans="31:31" ht="12.75" customHeight="1" x14ac:dyDescent="0.15">
      <c r="AE1546" s="13"/>
    </row>
    <row r="1547" spans="31:31" ht="12.75" customHeight="1" x14ac:dyDescent="0.15">
      <c r="AE1547" s="13"/>
    </row>
    <row r="1548" spans="31:31" ht="12.75" customHeight="1" x14ac:dyDescent="0.15">
      <c r="AE1548" s="13"/>
    </row>
    <row r="1549" spans="31:31" ht="12.75" customHeight="1" x14ac:dyDescent="0.15">
      <c r="AE1549" s="13"/>
    </row>
    <row r="1550" spans="31:31" ht="12.75" customHeight="1" x14ac:dyDescent="0.15">
      <c r="AE1550" s="13"/>
    </row>
    <row r="1551" spans="31:31" ht="12.75" customHeight="1" x14ac:dyDescent="0.15">
      <c r="AE1551" s="13"/>
    </row>
    <row r="1552" spans="31:31" ht="12.75" customHeight="1" x14ac:dyDescent="0.15">
      <c r="AE1552" s="13"/>
    </row>
    <row r="1553" spans="31:31" ht="12.75" customHeight="1" x14ac:dyDescent="0.15">
      <c r="AE1553" s="13"/>
    </row>
    <row r="1554" spans="31:31" ht="12.75" customHeight="1" x14ac:dyDescent="0.15">
      <c r="AE1554" s="13"/>
    </row>
    <row r="1555" spans="31:31" ht="12.75" customHeight="1" x14ac:dyDescent="0.15">
      <c r="AE1555" s="13"/>
    </row>
    <row r="1556" spans="31:31" ht="12.75" customHeight="1" x14ac:dyDescent="0.15">
      <c r="AE1556" s="13"/>
    </row>
    <row r="1557" spans="31:31" ht="12.75" customHeight="1" x14ac:dyDescent="0.15">
      <c r="AE1557" s="13"/>
    </row>
    <row r="1558" spans="31:31" ht="12.75" customHeight="1" x14ac:dyDescent="0.15">
      <c r="AE1558" s="13"/>
    </row>
    <row r="1559" spans="31:31" ht="12.75" customHeight="1" x14ac:dyDescent="0.15">
      <c r="AE1559" s="13"/>
    </row>
    <row r="1560" spans="31:31" ht="12.75" customHeight="1" x14ac:dyDescent="0.15">
      <c r="AE1560" s="13"/>
    </row>
    <row r="1561" spans="31:31" ht="12.75" customHeight="1" x14ac:dyDescent="0.15">
      <c r="AE1561" s="13"/>
    </row>
    <row r="1562" spans="31:31" ht="12.75" customHeight="1" x14ac:dyDescent="0.15">
      <c r="AE1562" s="13"/>
    </row>
    <row r="1563" spans="31:31" ht="12.75" customHeight="1" x14ac:dyDescent="0.15">
      <c r="AE1563" s="13"/>
    </row>
    <row r="1564" spans="31:31" ht="12.75" customHeight="1" x14ac:dyDescent="0.15">
      <c r="AE1564" s="13"/>
    </row>
    <row r="1565" spans="31:31" ht="12.75" customHeight="1" x14ac:dyDescent="0.15">
      <c r="AE1565" s="13"/>
    </row>
    <row r="1566" spans="31:31" ht="12.75" customHeight="1" x14ac:dyDescent="0.15">
      <c r="AE1566" s="13"/>
    </row>
    <row r="1567" spans="31:31" ht="12.75" customHeight="1" x14ac:dyDescent="0.15">
      <c r="AE1567" s="13"/>
    </row>
    <row r="1568" spans="31:31" ht="12.75" customHeight="1" x14ac:dyDescent="0.15">
      <c r="AE1568" s="13"/>
    </row>
    <row r="1569" spans="31:31" ht="12.75" customHeight="1" x14ac:dyDescent="0.15">
      <c r="AE1569" s="13"/>
    </row>
    <row r="1570" spans="31:31" ht="12.75" customHeight="1" x14ac:dyDescent="0.15">
      <c r="AE1570" s="13"/>
    </row>
    <row r="1571" spans="31:31" ht="12.75" customHeight="1" x14ac:dyDescent="0.15">
      <c r="AE1571" s="13"/>
    </row>
    <row r="1572" spans="31:31" ht="12.75" customHeight="1" x14ac:dyDescent="0.15">
      <c r="AE1572" s="13"/>
    </row>
    <row r="1573" spans="31:31" ht="12.75" customHeight="1" x14ac:dyDescent="0.15">
      <c r="AE1573" s="13"/>
    </row>
    <row r="1574" spans="31:31" ht="12.75" customHeight="1" x14ac:dyDescent="0.15">
      <c r="AE1574" s="13"/>
    </row>
    <row r="1575" spans="31:31" ht="12.75" customHeight="1" x14ac:dyDescent="0.15">
      <c r="AE1575" s="13"/>
    </row>
    <row r="1576" spans="31:31" ht="12.75" customHeight="1" x14ac:dyDescent="0.15">
      <c r="AE1576" s="13"/>
    </row>
    <row r="1577" spans="31:31" ht="12.75" customHeight="1" x14ac:dyDescent="0.15">
      <c r="AE1577" s="13"/>
    </row>
    <row r="1578" spans="31:31" ht="12.75" customHeight="1" x14ac:dyDescent="0.15">
      <c r="AE1578" s="13"/>
    </row>
    <row r="1579" spans="31:31" ht="12.75" customHeight="1" x14ac:dyDescent="0.15">
      <c r="AE1579" s="13"/>
    </row>
    <row r="1580" spans="31:31" ht="12.75" customHeight="1" x14ac:dyDescent="0.15">
      <c r="AE1580" s="13"/>
    </row>
    <row r="1581" spans="31:31" ht="12.75" customHeight="1" x14ac:dyDescent="0.15">
      <c r="AE1581" s="13"/>
    </row>
    <row r="1582" spans="31:31" ht="12.75" customHeight="1" x14ac:dyDescent="0.15">
      <c r="AE1582" s="13"/>
    </row>
    <row r="1583" spans="31:31" ht="12.75" customHeight="1" x14ac:dyDescent="0.15">
      <c r="AE1583" s="13"/>
    </row>
    <row r="1584" spans="31:31" ht="12.75" customHeight="1" x14ac:dyDescent="0.15">
      <c r="AE1584" s="13"/>
    </row>
    <row r="1585" spans="31:31" ht="12.75" customHeight="1" x14ac:dyDescent="0.15">
      <c r="AE1585" s="13"/>
    </row>
    <row r="1586" spans="31:31" ht="12.75" customHeight="1" x14ac:dyDescent="0.15">
      <c r="AE1586" s="13"/>
    </row>
    <row r="1587" spans="31:31" ht="12.75" customHeight="1" x14ac:dyDescent="0.15">
      <c r="AE1587" s="13"/>
    </row>
    <row r="1588" spans="31:31" ht="12.75" customHeight="1" x14ac:dyDescent="0.15">
      <c r="AE1588" s="13"/>
    </row>
    <row r="1589" spans="31:31" ht="12.75" customHeight="1" x14ac:dyDescent="0.15">
      <c r="AE1589" s="13"/>
    </row>
    <row r="1590" spans="31:31" ht="12.75" customHeight="1" x14ac:dyDescent="0.15">
      <c r="AE1590" s="13"/>
    </row>
    <row r="1591" spans="31:31" ht="12.75" customHeight="1" x14ac:dyDescent="0.15">
      <c r="AE1591" s="13"/>
    </row>
    <row r="1592" spans="31:31" ht="12.75" customHeight="1" x14ac:dyDescent="0.15">
      <c r="AE1592" s="13"/>
    </row>
    <row r="1593" spans="31:31" ht="12.75" customHeight="1" x14ac:dyDescent="0.15">
      <c r="AE1593" s="13"/>
    </row>
    <row r="1594" spans="31:31" ht="12.75" customHeight="1" x14ac:dyDescent="0.15">
      <c r="AE1594" s="13"/>
    </row>
    <row r="1595" spans="31:31" ht="12.75" customHeight="1" x14ac:dyDescent="0.15">
      <c r="AE1595" s="13"/>
    </row>
    <row r="1596" spans="31:31" ht="12.75" customHeight="1" x14ac:dyDescent="0.15">
      <c r="AE1596" s="13"/>
    </row>
    <row r="1597" spans="31:31" ht="12.75" customHeight="1" x14ac:dyDescent="0.15">
      <c r="AE1597" s="13"/>
    </row>
    <row r="1598" spans="31:31" ht="12.75" customHeight="1" x14ac:dyDescent="0.15">
      <c r="AE1598" s="13"/>
    </row>
    <row r="1599" spans="31:31" ht="12.75" customHeight="1" x14ac:dyDescent="0.15">
      <c r="AE1599" s="13"/>
    </row>
    <row r="1600" spans="31:31" ht="12.75" customHeight="1" x14ac:dyDescent="0.15">
      <c r="AE1600" s="13"/>
    </row>
    <row r="1601" spans="31:31" ht="12.75" customHeight="1" x14ac:dyDescent="0.15">
      <c r="AE1601" s="13"/>
    </row>
    <row r="1602" spans="31:31" ht="12.75" customHeight="1" x14ac:dyDescent="0.15">
      <c r="AE1602" s="13"/>
    </row>
    <row r="1603" spans="31:31" ht="12.75" customHeight="1" x14ac:dyDescent="0.15">
      <c r="AE1603" s="13"/>
    </row>
    <row r="1604" spans="31:31" ht="12.75" customHeight="1" x14ac:dyDescent="0.15">
      <c r="AE1604" s="13"/>
    </row>
    <row r="1605" spans="31:31" ht="12.75" customHeight="1" x14ac:dyDescent="0.15">
      <c r="AE1605" s="13"/>
    </row>
    <row r="1606" spans="31:31" ht="12.75" customHeight="1" x14ac:dyDescent="0.15">
      <c r="AE1606" s="13"/>
    </row>
    <row r="1607" spans="31:31" ht="12.75" customHeight="1" x14ac:dyDescent="0.15">
      <c r="AE1607" s="13"/>
    </row>
    <row r="1608" spans="31:31" ht="12.75" customHeight="1" x14ac:dyDescent="0.15">
      <c r="AE1608" s="13"/>
    </row>
    <row r="1609" spans="31:31" ht="12.75" customHeight="1" x14ac:dyDescent="0.15">
      <c r="AE1609" s="13"/>
    </row>
    <row r="1610" spans="31:31" ht="12.75" customHeight="1" x14ac:dyDescent="0.15">
      <c r="AE1610" s="13"/>
    </row>
    <row r="1611" spans="31:31" ht="12.75" customHeight="1" x14ac:dyDescent="0.15">
      <c r="AE1611" s="13"/>
    </row>
    <row r="1612" spans="31:31" ht="12.75" customHeight="1" x14ac:dyDescent="0.15">
      <c r="AE1612" s="13"/>
    </row>
    <row r="1613" spans="31:31" ht="12.75" customHeight="1" x14ac:dyDescent="0.15">
      <c r="AE1613" s="13"/>
    </row>
    <row r="1614" spans="31:31" ht="12.75" customHeight="1" x14ac:dyDescent="0.15">
      <c r="AE1614" s="13"/>
    </row>
    <row r="1615" spans="31:31" ht="12.75" customHeight="1" x14ac:dyDescent="0.15">
      <c r="AE1615" s="13"/>
    </row>
    <row r="1616" spans="31:31" ht="12.75" customHeight="1" x14ac:dyDescent="0.15">
      <c r="AE1616" s="13"/>
    </row>
    <row r="1617" spans="31:31" ht="12.75" customHeight="1" x14ac:dyDescent="0.15">
      <c r="AE1617" s="13"/>
    </row>
    <row r="1618" spans="31:31" ht="12.75" customHeight="1" x14ac:dyDescent="0.15">
      <c r="AE1618" s="13"/>
    </row>
    <row r="1619" spans="31:31" ht="12.75" customHeight="1" x14ac:dyDescent="0.15">
      <c r="AE1619" s="13"/>
    </row>
    <row r="1620" spans="31:31" ht="12.75" customHeight="1" x14ac:dyDescent="0.15">
      <c r="AE1620" s="13"/>
    </row>
    <row r="1621" spans="31:31" ht="12.75" customHeight="1" x14ac:dyDescent="0.15">
      <c r="AE1621" s="13"/>
    </row>
    <row r="1622" spans="31:31" ht="12.75" customHeight="1" x14ac:dyDescent="0.15">
      <c r="AE1622" s="13"/>
    </row>
    <row r="1623" spans="31:31" ht="12.75" customHeight="1" x14ac:dyDescent="0.15">
      <c r="AE1623" s="13"/>
    </row>
    <row r="1624" spans="31:31" ht="12.75" customHeight="1" x14ac:dyDescent="0.15">
      <c r="AE1624" s="13"/>
    </row>
    <row r="1625" spans="31:31" ht="12.75" customHeight="1" x14ac:dyDescent="0.15">
      <c r="AE1625" s="13"/>
    </row>
    <row r="1626" spans="31:31" ht="12.75" customHeight="1" x14ac:dyDescent="0.15">
      <c r="AE1626" s="13"/>
    </row>
    <row r="1627" spans="31:31" ht="12.75" customHeight="1" x14ac:dyDescent="0.15">
      <c r="AE1627" s="13"/>
    </row>
    <row r="1628" spans="31:31" ht="12.75" customHeight="1" x14ac:dyDescent="0.15">
      <c r="AE1628" s="13"/>
    </row>
    <row r="1629" spans="31:31" ht="12.75" customHeight="1" x14ac:dyDescent="0.15">
      <c r="AE1629" s="13"/>
    </row>
    <row r="1630" spans="31:31" ht="12.75" customHeight="1" x14ac:dyDescent="0.15">
      <c r="AE1630" s="13"/>
    </row>
    <row r="1631" spans="31:31" ht="12.75" customHeight="1" x14ac:dyDescent="0.15">
      <c r="AE1631" s="13"/>
    </row>
    <row r="1632" spans="31:31" ht="12.75" customHeight="1" x14ac:dyDescent="0.15">
      <c r="AE1632" s="13"/>
    </row>
    <row r="1633" spans="31:31" ht="12.75" customHeight="1" x14ac:dyDescent="0.15">
      <c r="AE1633" s="13"/>
    </row>
    <row r="1634" spans="31:31" ht="12.75" customHeight="1" x14ac:dyDescent="0.15">
      <c r="AE1634" s="13"/>
    </row>
    <row r="1635" spans="31:31" ht="12.75" customHeight="1" x14ac:dyDescent="0.15">
      <c r="AE1635" s="13"/>
    </row>
    <row r="1636" spans="31:31" ht="12.75" customHeight="1" x14ac:dyDescent="0.15">
      <c r="AE1636" s="13"/>
    </row>
    <row r="1637" spans="31:31" ht="12.75" customHeight="1" x14ac:dyDescent="0.15">
      <c r="AE1637" s="13"/>
    </row>
    <row r="1638" spans="31:31" ht="12.75" customHeight="1" x14ac:dyDescent="0.15">
      <c r="AE1638" s="13"/>
    </row>
    <row r="1639" spans="31:31" ht="12.75" customHeight="1" x14ac:dyDescent="0.15">
      <c r="AE1639" s="13"/>
    </row>
    <row r="1640" spans="31:31" ht="12.75" customHeight="1" x14ac:dyDescent="0.15">
      <c r="AE1640" s="13"/>
    </row>
    <row r="1641" spans="31:31" ht="12.75" customHeight="1" x14ac:dyDescent="0.15">
      <c r="AE1641" s="13"/>
    </row>
    <row r="1642" spans="31:31" ht="12.75" customHeight="1" x14ac:dyDescent="0.15">
      <c r="AE1642" s="13"/>
    </row>
    <row r="1643" spans="31:31" ht="12.75" customHeight="1" x14ac:dyDescent="0.15">
      <c r="AE1643" s="13"/>
    </row>
    <row r="1644" spans="31:31" ht="12.75" customHeight="1" x14ac:dyDescent="0.15">
      <c r="AE1644" s="13"/>
    </row>
    <row r="1645" spans="31:31" ht="12.75" customHeight="1" x14ac:dyDescent="0.15">
      <c r="AE1645" s="13"/>
    </row>
    <row r="1646" spans="31:31" ht="12.75" customHeight="1" x14ac:dyDescent="0.15">
      <c r="AE1646" s="13"/>
    </row>
    <row r="1647" spans="31:31" ht="12.75" customHeight="1" x14ac:dyDescent="0.15">
      <c r="AE1647" s="13"/>
    </row>
    <row r="1648" spans="31:31" ht="12.75" customHeight="1" x14ac:dyDescent="0.15">
      <c r="AE1648" s="13"/>
    </row>
    <row r="1649" spans="31:31" ht="12.75" customHeight="1" x14ac:dyDescent="0.15">
      <c r="AE1649" s="13"/>
    </row>
    <row r="1650" spans="31:31" ht="12.75" customHeight="1" x14ac:dyDescent="0.15">
      <c r="AE1650" s="13"/>
    </row>
    <row r="1651" spans="31:31" ht="12.75" customHeight="1" x14ac:dyDescent="0.15">
      <c r="AE1651" s="13"/>
    </row>
    <row r="1652" spans="31:31" ht="12.75" customHeight="1" x14ac:dyDescent="0.15">
      <c r="AE1652" s="13"/>
    </row>
    <row r="1653" spans="31:31" ht="12.75" customHeight="1" x14ac:dyDescent="0.15">
      <c r="AE1653" s="13"/>
    </row>
    <row r="1654" spans="31:31" ht="12.75" customHeight="1" x14ac:dyDescent="0.15">
      <c r="AE1654" s="13"/>
    </row>
    <row r="1655" spans="31:31" ht="12.75" customHeight="1" x14ac:dyDescent="0.15">
      <c r="AE1655" s="13"/>
    </row>
    <row r="1656" spans="31:31" ht="12.75" customHeight="1" x14ac:dyDescent="0.15">
      <c r="AE1656" s="13"/>
    </row>
    <row r="1657" spans="31:31" ht="12.75" customHeight="1" x14ac:dyDescent="0.15">
      <c r="AE1657" s="13"/>
    </row>
    <row r="1658" spans="31:31" ht="12.75" customHeight="1" x14ac:dyDescent="0.15">
      <c r="AE1658" s="13"/>
    </row>
    <row r="1659" spans="31:31" ht="12.75" customHeight="1" x14ac:dyDescent="0.15">
      <c r="AE1659" s="13"/>
    </row>
    <row r="1660" spans="31:31" ht="12.75" customHeight="1" x14ac:dyDescent="0.15">
      <c r="AE1660" s="13"/>
    </row>
    <row r="1661" spans="31:31" ht="12.75" customHeight="1" x14ac:dyDescent="0.15">
      <c r="AE1661" s="13"/>
    </row>
    <row r="1662" spans="31:31" ht="12.75" customHeight="1" x14ac:dyDescent="0.15">
      <c r="AE1662" s="13"/>
    </row>
    <row r="1663" spans="31:31" ht="12.75" customHeight="1" x14ac:dyDescent="0.15">
      <c r="AE1663" s="13"/>
    </row>
    <row r="1664" spans="31:31" ht="12.75" customHeight="1" x14ac:dyDescent="0.15">
      <c r="AE1664" s="13"/>
    </row>
    <row r="1665" spans="31:31" ht="12.75" customHeight="1" x14ac:dyDescent="0.15">
      <c r="AE1665" s="13"/>
    </row>
    <row r="1666" spans="31:31" ht="12.75" customHeight="1" x14ac:dyDescent="0.15">
      <c r="AE1666" s="13"/>
    </row>
    <row r="1667" spans="31:31" ht="12.75" customHeight="1" x14ac:dyDescent="0.15">
      <c r="AE1667" s="13"/>
    </row>
    <row r="1668" spans="31:31" ht="12.75" customHeight="1" x14ac:dyDescent="0.15">
      <c r="AE1668" s="13"/>
    </row>
    <row r="1669" spans="31:31" ht="12.75" customHeight="1" x14ac:dyDescent="0.15">
      <c r="AE1669" s="13"/>
    </row>
    <row r="1670" spans="31:31" ht="12.75" customHeight="1" x14ac:dyDescent="0.15">
      <c r="AE1670" s="13"/>
    </row>
    <row r="1671" spans="31:31" ht="12.75" customHeight="1" x14ac:dyDescent="0.15">
      <c r="AE1671" s="13"/>
    </row>
    <row r="1672" spans="31:31" ht="12.75" customHeight="1" x14ac:dyDescent="0.15">
      <c r="AE1672" s="13"/>
    </row>
    <row r="1673" spans="31:31" ht="12.75" customHeight="1" x14ac:dyDescent="0.15">
      <c r="AE1673" s="13"/>
    </row>
    <row r="1674" spans="31:31" ht="12.75" customHeight="1" x14ac:dyDescent="0.15">
      <c r="AE1674" s="13"/>
    </row>
    <row r="1675" spans="31:31" ht="12.75" customHeight="1" x14ac:dyDescent="0.15">
      <c r="AE1675" s="13"/>
    </row>
    <row r="1676" spans="31:31" ht="12.75" customHeight="1" x14ac:dyDescent="0.15">
      <c r="AE1676" s="13"/>
    </row>
    <row r="1677" spans="31:31" ht="12.75" customHeight="1" x14ac:dyDescent="0.15">
      <c r="AE1677" s="13"/>
    </row>
    <row r="1678" spans="31:31" ht="12.75" customHeight="1" x14ac:dyDescent="0.15">
      <c r="AE1678" s="13"/>
    </row>
    <row r="1679" spans="31:31" ht="12.75" customHeight="1" x14ac:dyDescent="0.15">
      <c r="AE1679" s="13"/>
    </row>
    <row r="1680" spans="31:31" ht="12.75" customHeight="1" x14ac:dyDescent="0.15">
      <c r="AE1680" s="13"/>
    </row>
    <row r="1681" spans="31:31" ht="12.75" customHeight="1" x14ac:dyDescent="0.15">
      <c r="AE1681" s="13"/>
    </row>
    <row r="1682" spans="31:31" ht="12.75" customHeight="1" x14ac:dyDescent="0.15">
      <c r="AE1682" s="13"/>
    </row>
    <row r="1683" spans="31:31" ht="12.75" customHeight="1" x14ac:dyDescent="0.15">
      <c r="AE1683" s="13"/>
    </row>
    <row r="1684" spans="31:31" ht="12.75" customHeight="1" x14ac:dyDescent="0.15">
      <c r="AE1684" s="13"/>
    </row>
    <row r="1685" spans="31:31" ht="12.75" customHeight="1" x14ac:dyDescent="0.15">
      <c r="AE1685" s="13"/>
    </row>
    <row r="1686" spans="31:31" ht="12.75" customHeight="1" x14ac:dyDescent="0.15">
      <c r="AE1686" s="13"/>
    </row>
    <row r="1687" spans="31:31" ht="12.75" customHeight="1" x14ac:dyDescent="0.15">
      <c r="AE1687" s="13"/>
    </row>
    <row r="1688" spans="31:31" ht="12.75" customHeight="1" x14ac:dyDescent="0.15">
      <c r="AE1688" s="13"/>
    </row>
    <row r="1689" spans="31:31" ht="12.75" customHeight="1" x14ac:dyDescent="0.15">
      <c r="AE1689" s="13"/>
    </row>
    <row r="1690" spans="31:31" ht="12.75" customHeight="1" x14ac:dyDescent="0.15">
      <c r="AE1690" s="13"/>
    </row>
    <row r="1691" spans="31:31" ht="12.75" customHeight="1" x14ac:dyDescent="0.15">
      <c r="AE1691" s="13"/>
    </row>
    <row r="1692" spans="31:31" ht="12.75" customHeight="1" x14ac:dyDescent="0.15">
      <c r="AE1692" s="13"/>
    </row>
    <row r="1693" spans="31:31" ht="12.75" customHeight="1" x14ac:dyDescent="0.15">
      <c r="AE1693" s="13"/>
    </row>
    <row r="1694" spans="31:31" ht="12.75" customHeight="1" x14ac:dyDescent="0.15">
      <c r="AE1694" s="13"/>
    </row>
    <row r="1695" spans="31:31" ht="12.75" customHeight="1" x14ac:dyDescent="0.15">
      <c r="AE1695" s="13"/>
    </row>
    <row r="1696" spans="31:31" ht="12.75" customHeight="1" x14ac:dyDescent="0.15">
      <c r="AE1696" s="13"/>
    </row>
    <row r="1697" spans="31:31" ht="12.75" customHeight="1" x14ac:dyDescent="0.15">
      <c r="AE1697" s="13"/>
    </row>
    <row r="1698" spans="31:31" ht="12.75" customHeight="1" x14ac:dyDescent="0.15">
      <c r="AE1698" s="13"/>
    </row>
    <row r="1699" spans="31:31" ht="12.75" customHeight="1" x14ac:dyDescent="0.15">
      <c r="AE1699" s="13"/>
    </row>
    <row r="1700" spans="31:31" ht="12.75" customHeight="1" x14ac:dyDescent="0.15">
      <c r="AE1700" s="13"/>
    </row>
    <row r="1701" spans="31:31" ht="12.75" customHeight="1" x14ac:dyDescent="0.15">
      <c r="AE1701" s="13"/>
    </row>
    <row r="1702" spans="31:31" ht="12.75" customHeight="1" x14ac:dyDescent="0.15">
      <c r="AE1702" s="13"/>
    </row>
    <row r="1703" spans="31:31" ht="12.75" customHeight="1" x14ac:dyDescent="0.15">
      <c r="AE1703" s="13"/>
    </row>
    <row r="1704" spans="31:31" ht="12.75" customHeight="1" x14ac:dyDescent="0.15">
      <c r="AE1704" s="13"/>
    </row>
    <row r="1705" spans="31:31" ht="12.75" customHeight="1" x14ac:dyDescent="0.15">
      <c r="AE1705" s="13"/>
    </row>
    <row r="1706" spans="31:31" ht="12.75" customHeight="1" x14ac:dyDescent="0.15">
      <c r="AE1706" s="13"/>
    </row>
    <row r="1707" spans="31:31" ht="12.75" customHeight="1" x14ac:dyDescent="0.15">
      <c r="AE1707" s="13"/>
    </row>
    <row r="1708" spans="31:31" ht="12.75" customHeight="1" x14ac:dyDescent="0.15">
      <c r="AE1708" s="13"/>
    </row>
    <row r="1709" spans="31:31" ht="12.75" customHeight="1" x14ac:dyDescent="0.15">
      <c r="AE1709" s="13"/>
    </row>
    <row r="1710" spans="31:31" ht="12.75" customHeight="1" x14ac:dyDescent="0.15">
      <c r="AE1710" s="13"/>
    </row>
    <row r="1711" spans="31:31" ht="12.75" customHeight="1" x14ac:dyDescent="0.15">
      <c r="AE1711" s="13"/>
    </row>
    <row r="1712" spans="31:31" ht="12.75" customHeight="1" x14ac:dyDescent="0.15">
      <c r="AE1712" s="13"/>
    </row>
    <row r="1713" spans="31:31" ht="12.75" customHeight="1" x14ac:dyDescent="0.15">
      <c r="AE1713" s="13"/>
    </row>
    <row r="1714" spans="31:31" ht="12.75" customHeight="1" x14ac:dyDescent="0.15">
      <c r="AE1714" s="13"/>
    </row>
    <row r="1715" spans="31:31" ht="12.75" customHeight="1" x14ac:dyDescent="0.15">
      <c r="AE1715" s="13"/>
    </row>
    <row r="1716" spans="31:31" ht="12.75" customHeight="1" x14ac:dyDescent="0.15">
      <c r="AE1716" s="13"/>
    </row>
    <row r="1717" spans="31:31" ht="12.75" customHeight="1" x14ac:dyDescent="0.15">
      <c r="AE1717" s="13"/>
    </row>
    <row r="1718" spans="31:31" ht="12.75" customHeight="1" x14ac:dyDescent="0.15">
      <c r="AE1718" s="13"/>
    </row>
    <row r="1719" spans="31:31" ht="12.75" customHeight="1" x14ac:dyDescent="0.15">
      <c r="AE1719" s="13"/>
    </row>
    <row r="1720" spans="31:31" ht="12.75" customHeight="1" x14ac:dyDescent="0.15">
      <c r="AE1720" s="13"/>
    </row>
    <row r="1721" spans="31:31" ht="12.75" customHeight="1" x14ac:dyDescent="0.15">
      <c r="AE1721" s="13"/>
    </row>
    <row r="1722" spans="31:31" ht="12.75" customHeight="1" x14ac:dyDescent="0.15">
      <c r="AE1722" s="13"/>
    </row>
    <row r="1723" spans="31:31" ht="12.75" customHeight="1" x14ac:dyDescent="0.15">
      <c r="AE1723" s="13"/>
    </row>
    <row r="1724" spans="31:31" ht="12.75" customHeight="1" x14ac:dyDescent="0.15">
      <c r="AE1724" s="13"/>
    </row>
    <row r="1725" spans="31:31" ht="12.75" customHeight="1" x14ac:dyDescent="0.15">
      <c r="AE1725" s="13"/>
    </row>
    <row r="1726" spans="31:31" ht="12.75" customHeight="1" x14ac:dyDescent="0.15">
      <c r="AE1726" s="13"/>
    </row>
    <row r="1727" spans="31:31" ht="12.75" customHeight="1" x14ac:dyDescent="0.15">
      <c r="AE1727" s="13"/>
    </row>
    <row r="1728" spans="31:31" ht="12.75" customHeight="1" x14ac:dyDescent="0.15">
      <c r="AE1728" s="13"/>
    </row>
    <row r="1729" spans="31:31" ht="12.75" customHeight="1" x14ac:dyDescent="0.15">
      <c r="AE1729" s="13"/>
    </row>
    <row r="1730" spans="31:31" ht="12.75" customHeight="1" x14ac:dyDescent="0.15">
      <c r="AE1730" s="13"/>
    </row>
    <row r="1731" spans="31:31" ht="12.75" customHeight="1" x14ac:dyDescent="0.15">
      <c r="AE1731" s="13"/>
    </row>
    <row r="1732" spans="31:31" ht="12.75" customHeight="1" x14ac:dyDescent="0.15">
      <c r="AE1732" s="13"/>
    </row>
    <row r="1733" spans="31:31" ht="12.75" customHeight="1" x14ac:dyDescent="0.15">
      <c r="AE1733" s="13"/>
    </row>
    <row r="1734" spans="31:31" ht="12.75" customHeight="1" x14ac:dyDescent="0.15">
      <c r="AE1734" s="13"/>
    </row>
    <row r="1735" spans="31:31" ht="12.75" customHeight="1" x14ac:dyDescent="0.15">
      <c r="AE1735" s="13"/>
    </row>
    <row r="1736" spans="31:31" ht="12.75" customHeight="1" x14ac:dyDescent="0.15">
      <c r="AE1736" s="13"/>
    </row>
    <row r="1737" spans="31:31" ht="12.75" customHeight="1" x14ac:dyDescent="0.15">
      <c r="AE1737" s="13"/>
    </row>
    <row r="1738" spans="31:31" ht="12.75" customHeight="1" x14ac:dyDescent="0.15">
      <c r="AE1738" s="13"/>
    </row>
    <row r="1739" spans="31:31" ht="12.75" customHeight="1" x14ac:dyDescent="0.15">
      <c r="AE1739" s="13"/>
    </row>
    <row r="1740" spans="31:31" ht="12.75" customHeight="1" x14ac:dyDescent="0.15">
      <c r="AE1740" s="13"/>
    </row>
    <row r="1741" spans="31:31" ht="12.75" customHeight="1" x14ac:dyDescent="0.15">
      <c r="AE1741" s="13"/>
    </row>
    <row r="1742" spans="31:31" ht="12.75" customHeight="1" x14ac:dyDescent="0.15">
      <c r="AE1742" s="13"/>
    </row>
    <row r="1743" spans="31:31" ht="12.75" customHeight="1" x14ac:dyDescent="0.15">
      <c r="AE1743" s="13"/>
    </row>
    <row r="1744" spans="31:31" ht="12.75" customHeight="1" x14ac:dyDescent="0.15">
      <c r="AE1744" s="13"/>
    </row>
    <row r="1745" spans="31:31" ht="12.75" customHeight="1" x14ac:dyDescent="0.15">
      <c r="AE1745" s="13"/>
    </row>
    <row r="1746" spans="31:31" ht="12.75" customHeight="1" x14ac:dyDescent="0.15">
      <c r="AE1746" s="13"/>
    </row>
    <row r="1747" spans="31:31" ht="12.75" customHeight="1" x14ac:dyDescent="0.15">
      <c r="AE1747" s="13"/>
    </row>
    <row r="1748" spans="31:31" ht="12.75" customHeight="1" x14ac:dyDescent="0.15">
      <c r="AE1748" s="13"/>
    </row>
    <row r="1749" spans="31:31" ht="12.75" customHeight="1" x14ac:dyDescent="0.15">
      <c r="AE1749" s="13"/>
    </row>
    <row r="1750" spans="31:31" ht="12.75" customHeight="1" x14ac:dyDescent="0.15">
      <c r="AE1750" s="13"/>
    </row>
    <row r="1751" spans="31:31" ht="12.75" customHeight="1" x14ac:dyDescent="0.15">
      <c r="AE1751" s="13"/>
    </row>
    <row r="1752" spans="31:31" ht="12.75" customHeight="1" x14ac:dyDescent="0.15">
      <c r="AE1752" s="13"/>
    </row>
    <row r="1753" spans="31:31" ht="12.75" customHeight="1" x14ac:dyDescent="0.15">
      <c r="AE1753" s="13"/>
    </row>
    <row r="1754" spans="31:31" ht="12.75" customHeight="1" x14ac:dyDescent="0.15">
      <c r="AE1754" s="13"/>
    </row>
    <row r="1755" spans="31:31" ht="12.75" customHeight="1" x14ac:dyDescent="0.15">
      <c r="AE1755" s="13"/>
    </row>
    <row r="1756" spans="31:31" ht="12.75" customHeight="1" x14ac:dyDescent="0.15">
      <c r="AE1756" s="13"/>
    </row>
    <row r="1757" spans="31:31" ht="12.75" customHeight="1" x14ac:dyDescent="0.15">
      <c r="AE1757" s="13"/>
    </row>
    <row r="1758" spans="31:31" ht="12.75" customHeight="1" x14ac:dyDescent="0.15">
      <c r="AE1758" s="13"/>
    </row>
    <row r="1759" spans="31:31" ht="12.75" customHeight="1" x14ac:dyDescent="0.15">
      <c r="AE1759" s="13"/>
    </row>
    <row r="1760" spans="31:31" ht="12.75" customHeight="1" x14ac:dyDescent="0.15">
      <c r="AE1760" s="13"/>
    </row>
    <row r="1761" spans="31:31" ht="12.75" customHeight="1" x14ac:dyDescent="0.15">
      <c r="AE1761" s="13"/>
    </row>
    <row r="1762" spans="31:31" ht="12.75" customHeight="1" x14ac:dyDescent="0.15">
      <c r="AE1762" s="13"/>
    </row>
    <row r="1763" spans="31:31" ht="12.75" customHeight="1" x14ac:dyDescent="0.15">
      <c r="AE1763" s="13"/>
    </row>
    <row r="1764" spans="31:31" ht="12.75" customHeight="1" x14ac:dyDescent="0.15">
      <c r="AE1764" s="13"/>
    </row>
    <row r="1765" spans="31:31" ht="12.75" customHeight="1" x14ac:dyDescent="0.15">
      <c r="AE1765" s="13"/>
    </row>
    <row r="1766" spans="31:31" ht="12.75" customHeight="1" x14ac:dyDescent="0.15">
      <c r="AE1766" s="13"/>
    </row>
    <row r="1767" spans="31:31" ht="12.75" customHeight="1" x14ac:dyDescent="0.15">
      <c r="AE1767" s="13"/>
    </row>
    <row r="1768" spans="31:31" ht="12.75" customHeight="1" x14ac:dyDescent="0.15">
      <c r="AE1768" s="13"/>
    </row>
    <row r="1769" spans="31:31" ht="12.75" customHeight="1" x14ac:dyDescent="0.15">
      <c r="AE1769" s="13"/>
    </row>
    <row r="1770" spans="31:31" ht="12.75" customHeight="1" x14ac:dyDescent="0.15">
      <c r="AE1770" s="13"/>
    </row>
    <row r="1771" spans="31:31" ht="12.75" customHeight="1" x14ac:dyDescent="0.15">
      <c r="AE1771" s="13"/>
    </row>
    <row r="1772" spans="31:31" ht="12.75" customHeight="1" x14ac:dyDescent="0.15">
      <c r="AE1772" s="13"/>
    </row>
    <row r="1773" spans="31:31" ht="12.75" customHeight="1" x14ac:dyDescent="0.15">
      <c r="AE1773" s="13"/>
    </row>
    <row r="1774" spans="31:31" ht="12.75" customHeight="1" x14ac:dyDescent="0.15">
      <c r="AE1774" s="13"/>
    </row>
    <row r="1775" spans="31:31" ht="12.75" customHeight="1" x14ac:dyDescent="0.15">
      <c r="AE1775" s="13"/>
    </row>
    <row r="1776" spans="31:31" ht="12.75" customHeight="1" x14ac:dyDescent="0.15">
      <c r="AE1776" s="13"/>
    </row>
    <row r="1777" spans="31:31" ht="12.75" customHeight="1" x14ac:dyDescent="0.15">
      <c r="AE1777" s="13"/>
    </row>
    <row r="1778" spans="31:31" ht="12.75" customHeight="1" x14ac:dyDescent="0.15">
      <c r="AE1778" s="13"/>
    </row>
    <row r="1779" spans="31:31" ht="12.75" customHeight="1" x14ac:dyDescent="0.15">
      <c r="AE1779" s="13"/>
    </row>
    <row r="1780" spans="31:31" ht="12.75" customHeight="1" x14ac:dyDescent="0.15">
      <c r="AE1780" s="13"/>
    </row>
    <row r="1781" spans="31:31" ht="12.75" customHeight="1" x14ac:dyDescent="0.15">
      <c r="AE1781" s="13"/>
    </row>
    <row r="1782" spans="31:31" ht="12.75" customHeight="1" x14ac:dyDescent="0.15">
      <c r="AE1782" s="13"/>
    </row>
    <row r="1783" spans="31:31" ht="12.75" customHeight="1" x14ac:dyDescent="0.15">
      <c r="AE1783" s="13"/>
    </row>
    <row r="1784" spans="31:31" ht="12.75" customHeight="1" x14ac:dyDescent="0.15">
      <c r="AE1784" s="13"/>
    </row>
    <row r="1785" spans="31:31" ht="12.75" customHeight="1" x14ac:dyDescent="0.15">
      <c r="AE1785" s="13"/>
    </row>
    <row r="1786" spans="31:31" ht="12.75" customHeight="1" x14ac:dyDescent="0.15">
      <c r="AE1786" s="13"/>
    </row>
    <row r="1787" spans="31:31" ht="12.75" customHeight="1" x14ac:dyDescent="0.15">
      <c r="AE1787" s="13"/>
    </row>
    <row r="1788" spans="31:31" ht="12.75" customHeight="1" x14ac:dyDescent="0.15">
      <c r="AE1788" s="13"/>
    </row>
    <row r="1789" spans="31:31" ht="12.75" customHeight="1" x14ac:dyDescent="0.15">
      <c r="AE1789" s="13"/>
    </row>
    <row r="1790" spans="31:31" ht="12.75" customHeight="1" x14ac:dyDescent="0.15">
      <c r="AE1790" s="13"/>
    </row>
    <row r="1791" spans="31:31" ht="12.75" customHeight="1" x14ac:dyDescent="0.15">
      <c r="AE1791" s="13"/>
    </row>
    <row r="1792" spans="31:31" ht="12.75" customHeight="1" x14ac:dyDescent="0.15">
      <c r="AE1792" s="13"/>
    </row>
    <row r="1793" spans="31:31" ht="12.75" customHeight="1" x14ac:dyDescent="0.15">
      <c r="AE1793" s="13"/>
    </row>
    <row r="1794" spans="31:31" ht="12.75" customHeight="1" x14ac:dyDescent="0.15">
      <c r="AE1794" s="13"/>
    </row>
    <row r="1795" spans="31:31" ht="12.75" customHeight="1" x14ac:dyDescent="0.15">
      <c r="AE1795" s="13"/>
    </row>
    <row r="1796" spans="31:31" ht="12.75" customHeight="1" x14ac:dyDescent="0.15">
      <c r="AE1796" s="13"/>
    </row>
    <row r="1797" spans="31:31" ht="12.75" customHeight="1" x14ac:dyDescent="0.15">
      <c r="AE1797" s="13"/>
    </row>
    <row r="1798" spans="31:31" ht="12.75" customHeight="1" x14ac:dyDescent="0.15">
      <c r="AE1798" s="13"/>
    </row>
    <row r="1799" spans="31:31" ht="12.75" customHeight="1" x14ac:dyDescent="0.15">
      <c r="AE1799" s="13"/>
    </row>
    <row r="1800" spans="31:31" ht="12.75" customHeight="1" x14ac:dyDescent="0.15">
      <c r="AE1800" s="13"/>
    </row>
    <row r="1801" spans="31:31" ht="12.75" customHeight="1" x14ac:dyDescent="0.15">
      <c r="AE1801" s="13"/>
    </row>
    <row r="1802" spans="31:31" ht="12.75" customHeight="1" x14ac:dyDescent="0.15">
      <c r="AE1802" s="13"/>
    </row>
    <row r="1803" spans="31:31" ht="12.75" customHeight="1" x14ac:dyDescent="0.15">
      <c r="AE1803" s="13"/>
    </row>
    <row r="1804" spans="31:31" ht="12.75" customHeight="1" x14ac:dyDescent="0.15">
      <c r="AE1804" s="13"/>
    </row>
    <row r="1805" spans="31:31" ht="12.75" customHeight="1" x14ac:dyDescent="0.15">
      <c r="AE1805" s="13"/>
    </row>
    <row r="1806" spans="31:31" ht="12.75" customHeight="1" x14ac:dyDescent="0.15">
      <c r="AE1806" s="13"/>
    </row>
    <row r="1807" spans="31:31" ht="12.75" customHeight="1" x14ac:dyDescent="0.15">
      <c r="AE1807" s="13"/>
    </row>
    <row r="1808" spans="31:31" ht="12.75" customHeight="1" x14ac:dyDescent="0.15">
      <c r="AE1808" s="13"/>
    </row>
    <row r="1809" spans="31:31" ht="12.75" customHeight="1" x14ac:dyDescent="0.15">
      <c r="AE1809" s="13"/>
    </row>
    <row r="1810" spans="31:31" ht="12.75" customHeight="1" x14ac:dyDescent="0.15">
      <c r="AE1810" s="13"/>
    </row>
    <row r="1811" spans="31:31" ht="12.75" customHeight="1" x14ac:dyDescent="0.15">
      <c r="AE1811" s="13"/>
    </row>
    <row r="1812" spans="31:31" ht="12.75" customHeight="1" x14ac:dyDescent="0.15">
      <c r="AE1812" s="13"/>
    </row>
    <row r="1813" spans="31:31" ht="12.75" customHeight="1" x14ac:dyDescent="0.15">
      <c r="AE1813" s="13"/>
    </row>
    <row r="1814" spans="31:31" ht="12.75" customHeight="1" x14ac:dyDescent="0.15">
      <c r="AE1814" s="13"/>
    </row>
    <row r="1815" spans="31:31" ht="12.75" customHeight="1" x14ac:dyDescent="0.15">
      <c r="AE1815" s="13"/>
    </row>
    <row r="1816" spans="31:31" ht="12.75" customHeight="1" x14ac:dyDescent="0.15">
      <c r="AE1816" s="13"/>
    </row>
    <row r="1817" spans="31:31" ht="12.75" customHeight="1" x14ac:dyDescent="0.15">
      <c r="AE1817" s="13"/>
    </row>
    <row r="1818" spans="31:31" ht="12.75" customHeight="1" x14ac:dyDescent="0.15">
      <c r="AE1818" s="13"/>
    </row>
    <row r="1819" spans="31:31" ht="12.75" customHeight="1" x14ac:dyDescent="0.15">
      <c r="AE1819" s="13"/>
    </row>
    <row r="1820" spans="31:31" ht="12.75" customHeight="1" x14ac:dyDescent="0.15">
      <c r="AE1820" s="13"/>
    </row>
    <row r="1821" spans="31:31" ht="12.75" customHeight="1" x14ac:dyDescent="0.15">
      <c r="AE1821" s="13"/>
    </row>
    <row r="1822" spans="31:31" ht="12.75" customHeight="1" x14ac:dyDescent="0.15">
      <c r="AE1822" s="13"/>
    </row>
    <row r="1823" spans="31:31" ht="12.75" customHeight="1" x14ac:dyDescent="0.15">
      <c r="AE1823" s="13"/>
    </row>
    <row r="1824" spans="31:31" ht="12.75" customHeight="1" x14ac:dyDescent="0.15">
      <c r="AE1824" s="13"/>
    </row>
    <row r="1825" spans="31:31" ht="12.75" customHeight="1" x14ac:dyDescent="0.15">
      <c r="AE1825" s="13"/>
    </row>
    <row r="1826" spans="31:31" ht="12.75" customHeight="1" x14ac:dyDescent="0.15">
      <c r="AE1826" s="13"/>
    </row>
    <row r="1827" spans="31:31" ht="12.75" customHeight="1" x14ac:dyDescent="0.15">
      <c r="AE1827" s="13"/>
    </row>
    <row r="1828" spans="31:31" ht="12.75" customHeight="1" x14ac:dyDescent="0.15">
      <c r="AE1828" s="13"/>
    </row>
    <row r="1829" spans="31:31" ht="12.75" customHeight="1" x14ac:dyDescent="0.15">
      <c r="AE1829" s="13"/>
    </row>
    <row r="1830" spans="31:31" ht="12.75" customHeight="1" x14ac:dyDescent="0.15">
      <c r="AE1830" s="13"/>
    </row>
    <row r="1831" spans="31:31" ht="12.75" customHeight="1" x14ac:dyDescent="0.15">
      <c r="AE1831" s="13"/>
    </row>
    <row r="1832" spans="31:31" ht="12.75" customHeight="1" x14ac:dyDescent="0.15">
      <c r="AE1832" s="13"/>
    </row>
    <row r="1833" spans="31:31" ht="12.75" customHeight="1" x14ac:dyDescent="0.15">
      <c r="AE1833" s="13"/>
    </row>
    <row r="1834" spans="31:31" ht="12.75" customHeight="1" x14ac:dyDescent="0.15">
      <c r="AE1834" s="13"/>
    </row>
    <row r="1835" spans="31:31" ht="12.75" customHeight="1" x14ac:dyDescent="0.15">
      <c r="AE1835" s="13"/>
    </row>
    <row r="1836" spans="31:31" ht="12.75" customHeight="1" x14ac:dyDescent="0.15">
      <c r="AE1836" s="13"/>
    </row>
    <row r="1837" spans="31:31" ht="12.75" customHeight="1" x14ac:dyDescent="0.15">
      <c r="AE1837" s="13"/>
    </row>
    <row r="1838" spans="31:31" ht="12.75" customHeight="1" x14ac:dyDescent="0.15">
      <c r="AE1838" s="13"/>
    </row>
    <row r="1839" spans="31:31" ht="12.75" customHeight="1" x14ac:dyDescent="0.15">
      <c r="AE1839" s="13"/>
    </row>
    <row r="1840" spans="31:31" ht="12.75" customHeight="1" x14ac:dyDescent="0.15">
      <c r="AE1840" s="13"/>
    </row>
    <row r="1841" spans="31:31" ht="12.75" customHeight="1" x14ac:dyDescent="0.15">
      <c r="AE1841" s="13"/>
    </row>
    <row r="1842" spans="31:31" ht="12.75" customHeight="1" x14ac:dyDescent="0.15">
      <c r="AE1842" s="13"/>
    </row>
    <row r="1843" spans="31:31" ht="12.75" customHeight="1" x14ac:dyDescent="0.15">
      <c r="AE1843" s="13"/>
    </row>
    <row r="1844" spans="31:31" ht="12.75" customHeight="1" x14ac:dyDescent="0.15">
      <c r="AE1844" s="13"/>
    </row>
    <row r="1845" spans="31:31" ht="12.75" customHeight="1" x14ac:dyDescent="0.15">
      <c r="AE1845" s="13"/>
    </row>
    <row r="1846" spans="31:31" ht="12.75" customHeight="1" x14ac:dyDescent="0.15">
      <c r="AE1846" s="13"/>
    </row>
    <row r="1847" spans="31:31" ht="12.75" customHeight="1" x14ac:dyDescent="0.15">
      <c r="AE1847" s="13"/>
    </row>
    <row r="1848" spans="31:31" ht="12.75" customHeight="1" x14ac:dyDescent="0.15">
      <c r="AE1848" s="13"/>
    </row>
    <row r="1849" spans="31:31" ht="12.75" customHeight="1" x14ac:dyDescent="0.15">
      <c r="AE1849" s="13"/>
    </row>
    <row r="1850" spans="31:31" ht="12.75" customHeight="1" x14ac:dyDescent="0.15">
      <c r="AE1850" s="13"/>
    </row>
    <row r="1851" spans="31:31" ht="12.75" customHeight="1" x14ac:dyDescent="0.15">
      <c r="AE1851" s="13"/>
    </row>
    <row r="1852" spans="31:31" ht="12.75" customHeight="1" x14ac:dyDescent="0.15">
      <c r="AE1852" s="13"/>
    </row>
    <row r="1853" spans="31:31" ht="12.75" customHeight="1" x14ac:dyDescent="0.15">
      <c r="AE1853" s="13"/>
    </row>
    <row r="1854" spans="31:31" ht="12.75" customHeight="1" x14ac:dyDescent="0.15">
      <c r="AE1854" s="13"/>
    </row>
    <row r="1855" spans="31:31" ht="12.75" customHeight="1" x14ac:dyDescent="0.15">
      <c r="AE1855" s="13"/>
    </row>
    <row r="1856" spans="31:31" ht="12.75" customHeight="1" x14ac:dyDescent="0.15">
      <c r="AE1856" s="13"/>
    </row>
    <row r="1857" spans="31:31" ht="12.75" customHeight="1" x14ac:dyDescent="0.15">
      <c r="AE1857" s="13"/>
    </row>
    <row r="1858" spans="31:31" ht="12.75" customHeight="1" x14ac:dyDescent="0.15">
      <c r="AE1858" s="13"/>
    </row>
    <row r="1859" spans="31:31" ht="12.75" customHeight="1" x14ac:dyDescent="0.15">
      <c r="AE1859" s="13"/>
    </row>
    <row r="1860" spans="31:31" ht="12.75" customHeight="1" x14ac:dyDescent="0.15">
      <c r="AE1860" s="13"/>
    </row>
    <row r="1861" spans="31:31" ht="12.75" customHeight="1" x14ac:dyDescent="0.15">
      <c r="AE1861" s="13"/>
    </row>
    <row r="1862" spans="31:31" ht="12.75" customHeight="1" x14ac:dyDescent="0.15">
      <c r="AE1862" s="13"/>
    </row>
    <row r="1863" spans="31:31" ht="12.75" customHeight="1" x14ac:dyDescent="0.15">
      <c r="AE1863" s="13"/>
    </row>
    <row r="1864" spans="31:31" ht="12.75" customHeight="1" x14ac:dyDescent="0.15">
      <c r="AE1864" s="13"/>
    </row>
    <row r="1865" spans="31:31" ht="12.75" customHeight="1" x14ac:dyDescent="0.15">
      <c r="AE1865" s="13"/>
    </row>
    <row r="1866" spans="31:31" ht="12.75" customHeight="1" x14ac:dyDescent="0.15">
      <c r="AE1866" s="13"/>
    </row>
    <row r="1867" spans="31:31" ht="12.75" customHeight="1" x14ac:dyDescent="0.15">
      <c r="AE1867" s="13"/>
    </row>
    <row r="1868" spans="31:31" ht="12.75" customHeight="1" x14ac:dyDescent="0.15">
      <c r="AE1868" s="13"/>
    </row>
    <row r="1869" spans="31:31" ht="12.75" customHeight="1" x14ac:dyDescent="0.15">
      <c r="AE1869" s="13"/>
    </row>
    <row r="1870" spans="31:31" ht="12.75" customHeight="1" x14ac:dyDescent="0.15">
      <c r="AE1870" s="13"/>
    </row>
    <row r="1871" spans="31:31" ht="12.75" customHeight="1" x14ac:dyDescent="0.15">
      <c r="AE1871" s="13"/>
    </row>
    <row r="1872" spans="31:31" ht="12.75" customHeight="1" x14ac:dyDescent="0.15">
      <c r="AE1872" s="13"/>
    </row>
    <row r="1873" spans="31:31" ht="12.75" customHeight="1" x14ac:dyDescent="0.15">
      <c r="AE1873" s="13"/>
    </row>
    <row r="1874" spans="31:31" ht="12.75" customHeight="1" x14ac:dyDescent="0.15">
      <c r="AE1874" s="13"/>
    </row>
    <row r="1875" spans="31:31" ht="12.75" customHeight="1" x14ac:dyDescent="0.15">
      <c r="AE1875" s="13"/>
    </row>
    <row r="1876" spans="31:31" ht="12.75" customHeight="1" x14ac:dyDescent="0.15">
      <c r="AE1876" s="13"/>
    </row>
    <row r="1877" spans="31:31" ht="12.75" customHeight="1" x14ac:dyDescent="0.15">
      <c r="AE1877" s="13"/>
    </row>
    <row r="1878" spans="31:31" ht="12.75" customHeight="1" x14ac:dyDescent="0.15">
      <c r="AE1878" s="13"/>
    </row>
    <row r="1879" spans="31:31" ht="12.75" customHeight="1" x14ac:dyDescent="0.15">
      <c r="AE1879" s="13"/>
    </row>
    <row r="1880" spans="31:31" ht="12.75" customHeight="1" x14ac:dyDescent="0.15">
      <c r="AE1880" s="13"/>
    </row>
    <row r="1881" spans="31:31" ht="12.75" customHeight="1" x14ac:dyDescent="0.15">
      <c r="AE1881" s="13"/>
    </row>
    <row r="1882" spans="31:31" ht="12.75" customHeight="1" x14ac:dyDescent="0.15">
      <c r="AE1882" s="13"/>
    </row>
    <row r="1883" spans="31:31" ht="12.75" customHeight="1" x14ac:dyDescent="0.15">
      <c r="AE1883" s="13"/>
    </row>
    <row r="1884" spans="31:31" ht="12.75" customHeight="1" x14ac:dyDescent="0.15">
      <c r="AE1884" s="13"/>
    </row>
    <row r="1885" spans="31:31" ht="12.75" customHeight="1" x14ac:dyDescent="0.15">
      <c r="AE1885" s="13"/>
    </row>
    <row r="1886" spans="31:31" ht="12.75" customHeight="1" x14ac:dyDescent="0.15">
      <c r="AE1886" s="13"/>
    </row>
    <row r="1887" spans="31:31" ht="12.75" customHeight="1" x14ac:dyDescent="0.15">
      <c r="AE1887" s="13"/>
    </row>
    <row r="1888" spans="31:31" ht="12.75" customHeight="1" x14ac:dyDescent="0.15">
      <c r="AE1888" s="13"/>
    </row>
    <row r="1889" spans="31:31" ht="12.75" customHeight="1" x14ac:dyDescent="0.15">
      <c r="AE1889" s="13"/>
    </row>
    <row r="1890" spans="31:31" ht="12.75" customHeight="1" x14ac:dyDescent="0.15">
      <c r="AE1890" s="13"/>
    </row>
    <row r="1891" spans="31:31" ht="12.75" customHeight="1" x14ac:dyDescent="0.15">
      <c r="AE1891" s="13"/>
    </row>
    <row r="1892" spans="31:31" ht="12.75" customHeight="1" x14ac:dyDescent="0.15">
      <c r="AE1892" s="13"/>
    </row>
    <row r="1893" spans="31:31" ht="12.75" customHeight="1" x14ac:dyDescent="0.15">
      <c r="AE1893" s="13"/>
    </row>
    <row r="1894" spans="31:31" ht="12.75" customHeight="1" x14ac:dyDescent="0.15">
      <c r="AE1894" s="13"/>
    </row>
    <row r="1895" spans="31:31" ht="12.75" customHeight="1" x14ac:dyDescent="0.15">
      <c r="AE1895" s="13"/>
    </row>
    <row r="1896" spans="31:31" ht="12.75" customHeight="1" x14ac:dyDescent="0.15">
      <c r="AE1896" s="13"/>
    </row>
    <row r="1897" spans="31:31" ht="12.75" customHeight="1" x14ac:dyDescent="0.15">
      <c r="AE1897" s="13"/>
    </row>
    <row r="1898" spans="31:31" ht="12.75" customHeight="1" x14ac:dyDescent="0.15">
      <c r="AE1898" s="13"/>
    </row>
    <row r="1899" spans="31:31" ht="12.75" customHeight="1" x14ac:dyDescent="0.15">
      <c r="AE1899" s="13"/>
    </row>
    <row r="1900" spans="31:31" ht="12.75" customHeight="1" x14ac:dyDescent="0.15">
      <c r="AE1900" s="13"/>
    </row>
    <row r="1901" spans="31:31" ht="12.75" customHeight="1" x14ac:dyDescent="0.15">
      <c r="AE1901" s="13"/>
    </row>
    <row r="1902" spans="31:31" ht="12.75" customHeight="1" x14ac:dyDescent="0.15">
      <c r="AE1902" s="13"/>
    </row>
    <row r="1903" spans="31:31" ht="12.75" customHeight="1" x14ac:dyDescent="0.15">
      <c r="AE1903" s="13"/>
    </row>
    <row r="1904" spans="31:31" ht="12.75" customHeight="1" x14ac:dyDescent="0.15">
      <c r="AE1904" s="13"/>
    </row>
    <row r="1905" spans="31:31" ht="12.75" customHeight="1" x14ac:dyDescent="0.15">
      <c r="AE1905" s="13"/>
    </row>
    <row r="1906" spans="31:31" ht="12.75" customHeight="1" x14ac:dyDescent="0.15">
      <c r="AE1906" s="13"/>
    </row>
    <row r="1907" spans="31:31" ht="12.75" customHeight="1" x14ac:dyDescent="0.15">
      <c r="AE1907" s="13"/>
    </row>
    <row r="1908" spans="31:31" ht="12.75" customHeight="1" x14ac:dyDescent="0.15">
      <c r="AE1908" s="13"/>
    </row>
    <row r="1909" spans="31:31" ht="12.75" customHeight="1" x14ac:dyDescent="0.15">
      <c r="AE1909" s="13"/>
    </row>
    <row r="1910" spans="31:31" ht="12.75" customHeight="1" x14ac:dyDescent="0.15">
      <c r="AE1910" s="13"/>
    </row>
    <row r="1911" spans="31:31" ht="12.75" customHeight="1" x14ac:dyDescent="0.15">
      <c r="AE1911" s="13"/>
    </row>
    <row r="1912" spans="31:31" ht="12.75" customHeight="1" x14ac:dyDescent="0.15">
      <c r="AE1912" s="13"/>
    </row>
    <row r="1913" spans="31:31" ht="12.75" customHeight="1" x14ac:dyDescent="0.15">
      <c r="AE1913" s="13"/>
    </row>
    <row r="1914" spans="31:31" ht="12.75" customHeight="1" x14ac:dyDescent="0.15">
      <c r="AE1914" s="13"/>
    </row>
    <row r="1915" spans="31:31" ht="12.75" customHeight="1" x14ac:dyDescent="0.15">
      <c r="AE1915" s="13"/>
    </row>
    <row r="1916" spans="31:31" ht="12.75" customHeight="1" x14ac:dyDescent="0.15">
      <c r="AE1916" s="13"/>
    </row>
    <row r="1917" spans="31:31" ht="12.75" customHeight="1" x14ac:dyDescent="0.15">
      <c r="AE1917" s="13"/>
    </row>
    <row r="1918" spans="31:31" ht="12.75" customHeight="1" x14ac:dyDescent="0.15">
      <c r="AE1918" s="13"/>
    </row>
    <row r="1919" spans="31:31" ht="12.75" customHeight="1" x14ac:dyDescent="0.15">
      <c r="AE1919" s="13"/>
    </row>
    <row r="1920" spans="31:31" ht="12.75" customHeight="1" x14ac:dyDescent="0.15">
      <c r="AE1920" s="13"/>
    </row>
    <row r="1921" spans="31:31" ht="12.75" customHeight="1" x14ac:dyDescent="0.15">
      <c r="AE1921" s="13"/>
    </row>
    <row r="1922" spans="31:31" ht="12.75" customHeight="1" x14ac:dyDescent="0.15">
      <c r="AE1922" s="13"/>
    </row>
    <row r="1923" spans="31:31" ht="12.75" customHeight="1" x14ac:dyDescent="0.15">
      <c r="AE1923" s="13"/>
    </row>
    <row r="1924" spans="31:31" ht="12.75" customHeight="1" x14ac:dyDescent="0.15">
      <c r="AE1924" s="13"/>
    </row>
    <row r="1925" spans="31:31" ht="12.75" customHeight="1" x14ac:dyDescent="0.15">
      <c r="AE1925" s="13"/>
    </row>
    <row r="1926" spans="31:31" ht="12.75" customHeight="1" x14ac:dyDescent="0.15">
      <c r="AE1926" s="13"/>
    </row>
    <row r="1927" spans="31:31" ht="12.75" customHeight="1" x14ac:dyDescent="0.15">
      <c r="AE1927" s="13"/>
    </row>
    <row r="1928" spans="31:31" ht="12.75" customHeight="1" x14ac:dyDescent="0.15">
      <c r="AE1928" s="13"/>
    </row>
    <row r="1929" spans="31:31" ht="12.75" customHeight="1" x14ac:dyDescent="0.15">
      <c r="AE1929" s="13"/>
    </row>
    <row r="1930" spans="31:31" ht="12.75" customHeight="1" x14ac:dyDescent="0.15">
      <c r="AE1930" s="13"/>
    </row>
    <row r="1931" spans="31:31" ht="12.75" customHeight="1" x14ac:dyDescent="0.15">
      <c r="AE1931" s="13"/>
    </row>
    <row r="1932" spans="31:31" ht="12.75" customHeight="1" x14ac:dyDescent="0.15">
      <c r="AE1932" s="13"/>
    </row>
    <row r="1933" spans="31:31" ht="12.75" customHeight="1" x14ac:dyDescent="0.15">
      <c r="AE1933" s="13"/>
    </row>
    <row r="1934" spans="31:31" ht="12.75" customHeight="1" x14ac:dyDescent="0.15">
      <c r="AE1934" s="13"/>
    </row>
    <row r="1935" spans="31:31" ht="12.75" customHeight="1" x14ac:dyDescent="0.15">
      <c r="AE1935" s="13"/>
    </row>
    <row r="1936" spans="31:31" ht="12.75" customHeight="1" x14ac:dyDescent="0.15">
      <c r="AE1936" s="13"/>
    </row>
    <row r="1937" spans="31:31" ht="12.75" customHeight="1" x14ac:dyDescent="0.15">
      <c r="AE1937" s="13"/>
    </row>
    <row r="1938" spans="31:31" ht="12.75" customHeight="1" x14ac:dyDescent="0.15">
      <c r="AE1938" s="13"/>
    </row>
    <row r="1939" spans="31:31" ht="12.75" customHeight="1" x14ac:dyDescent="0.15">
      <c r="AE1939" s="13"/>
    </row>
    <row r="1940" spans="31:31" ht="12.75" customHeight="1" x14ac:dyDescent="0.15">
      <c r="AE1940" s="13"/>
    </row>
    <row r="1941" spans="31:31" ht="12.75" customHeight="1" x14ac:dyDescent="0.15">
      <c r="AE1941" s="13"/>
    </row>
    <row r="1942" spans="31:31" ht="12.75" customHeight="1" x14ac:dyDescent="0.15">
      <c r="AE1942" s="13"/>
    </row>
    <row r="1943" spans="31:31" ht="12.75" customHeight="1" x14ac:dyDescent="0.15">
      <c r="AE1943" s="13"/>
    </row>
    <row r="1944" spans="31:31" ht="12.75" customHeight="1" x14ac:dyDescent="0.15">
      <c r="AE1944" s="13"/>
    </row>
    <row r="1945" spans="31:31" ht="12.75" customHeight="1" x14ac:dyDescent="0.15">
      <c r="AE1945" s="13"/>
    </row>
    <row r="1946" spans="31:31" ht="12.75" customHeight="1" x14ac:dyDescent="0.15">
      <c r="AE1946" s="13"/>
    </row>
    <row r="1947" spans="31:31" ht="12.75" customHeight="1" x14ac:dyDescent="0.15">
      <c r="AE1947" s="13"/>
    </row>
    <row r="1948" spans="31:31" ht="12.75" customHeight="1" x14ac:dyDescent="0.15">
      <c r="AE1948" s="13"/>
    </row>
    <row r="1949" spans="31:31" ht="12.75" customHeight="1" x14ac:dyDescent="0.15">
      <c r="AE1949" s="13"/>
    </row>
    <row r="1950" spans="31:31" ht="12.75" customHeight="1" x14ac:dyDescent="0.15">
      <c r="AE1950" s="13"/>
    </row>
    <row r="1951" spans="31:31" ht="12.75" customHeight="1" x14ac:dyDescent="0.15">
      <c r="AE1951" s="13"/>
    </row>
    <row r="1952" spans="31:31" ht="12.75" customHeight="1" x14ac:dyDescent="0.15">
      <c r="AE1952" s="13"/>
    </row>
    <row r="1953" spans="31:31" ht="12.75" customHeight="1" x14ac:dyDescent="0.15">
      <c r="AE1953" s="13"/>
    </row>
    <row r="1954" spans="31:31" ht="12.75" customHeight="1" x14ac:dyDescent="0.15">
      <c r="AE1954" s="13"/>
    </row>
    <row r="1955" spans="31:31" ht="12.75" customHeight="1" x14ac:dyDescent="0.15">
      <c r="AE1955" s="13"/>
    </row>
    <row r="1956" spans="31:31" ht="12.75" customHeight="1" x14ac:dyDescent="0.15">
      <c r="AE1956" s="13"/>
    </row>
    <row r="1957" spans="31:31" ht="12.75" customHeight="1" x14ac:dyDescent="0.15">
      <c r="AE1957" s="13"/>
    </row>
    <row r="1958" spans="31:31" ht="12.75" customHeight="1" x14ac:dyDescent="0.15">
      <c r="AE1958" s="13"/>
    </row>
    <row r="1959" spans="31:31" ht="12.75" customHeight="1" x14ac:dyDescent="0.15">
      <c r="AE1959" s="13"/>
    </row>
    <row r="1960" spans="31:31" ht="12.75" customHeight="1" x14ac:dyDescent="0.15">
      <c r="AE1960" s="13"/>
    </row>
    <row r="1961" spans="31:31" ht="12.75" customHeight="1" x14ac:dyDescent="0.15">
      <c r="AE1961" s="13"/>
    </row>
    <row r="1962" spans="31:31" ht="12.75" customHeight="1" x14ac:dyDescent="0.15">
      <c r="AE1962" s="13"/>
    </row>
    <row r="1963" spans="31:31" ht="12.75" customHeight="1" x14ac:dyDescent="0.15">
      <c r="AE1963" s="13"/>
    </row>
    <row r="1964" spans="31:31" ht="12.75" customHeight="1" x14ac:dyDescent="0.15">
      <c r="AE1964" s="13"/>
    </row>
    <row r="1965" spans="31:31" ht="12.75" customHeight="1" x14ac:dyDescent="0.15">
      <c r="AE1965" s="13"/>
    </row>
    <row r="1966" spans="31:31" ht="12.75" customHeight="1" x14ac:dyDescent="0.15">
      <c r="AE1966" s="13"/>
    </row>
    <row r="1967" spans="31:31" ht="12.75" customHeight="1" x14ac:dyDescent="0.15">
      <c r="AE1967" s="13"/>
    </row>
    <row r="1968" spans="31:31" ht="12.75" customHeight="1" x14ac:dyDescent="0.15">
      <c r="AE1968" s="13"/>
    </row>
    <row r="1969" spans="31:31" ht="12.75" customHeight="1" x14ac:dyDescent="0.15">
      <c r="AE1969" s="13"/>
    </row>
    <row r="1970" spans="31:31" ht="12.75" customHeight="1" x14ac:dyDescent="0.15">
      <c r="AE1970" s="13"/>
    </row>
    <row r="1971" spans="31:31" ht="12.75" customHeight="1" x14ac:dyDescent="0.15">
      <c r="AE1971" s="13"/>
    </row>
    <row r="1972" spans="31:31" ht="12.75" customHeight="1" x14ac:dyDescent="0.15">
      <c r="AE1972" s="13"/>
    </row>
    <row r="1973" spans="31:31" ht="12.75" customHeight="1" x14ac:dyDescent="0.15">
      <c r="AE1973" s="13"/>
    </row>
    <row r="1974" spans="31:31" ht="12.75" customHeight="1" x14ac:dyDescent="0.15">
      <c r="AE1974" s="13"/>
    </row>
    <row r="1975" spans="31:31" ht="12.75" customHeight="1" x14ac:dyDescent="0.15">
      <c r="AE1975" s="13"/>
    </row>
    <row r="1976" spans="31:31" ht="12.75" customHeight="1" x14ac:dyDescent="0.15">
      <c r="AE1976" s="13"/>
    </row>
    <row r="1977" spans="31:31" ht="12.75" customHeight="1" x14ac:dyDescent="0.15">
      <c r="AE1977" s="13"/>
    </row>
    <row r="1978" spans="31:31" ht="12.75" customHeight="1" x14ac:dyDescent="0.15">
      <c r="AE1978" s="13"/>
    </row>
    <row r="1979" spans="31:31" ht="12.75" customHeight="1" x14ac:dyDescent="0.15">
      <c r="AE1979" s="13"/>
    </row>
    <row r="1980" spans="31:31" ht="12.75" customHeight="1" x14ac:dyDescent="0.15">
      <c r="AE1980" s="13"/>
    </row>
    <row r="1981" spans="31:31" ht="12.75" customHeight="1" x14ac:dyDescent="0.15">
      <c r="AE1981" s="13"/>
    </row>
    <row r="1982" spans="31:31" ht="12.75" customHeight="1" x14ac:dyDescent="0.15">
      <c r="AE1982" s="13"/>
    </row>
    <row r="1983" spans="31:31" ht="12.75" customHeight="1" x14ac:dyDescent="0.15">
      <c r="AE1983" s="13"/>
    </row>
    <row r="1984" spans="31:31" ht="12.75" customHeight="1" x14ac:dyDescent="0.15">
      <c r="AE1984" s="13"/>
    </row>
    <row r="1985" spans="31:31" ht="12.75" customHeight="1" x14ac:dyDescent="0.15">
      <c r="AE1985" s="13"/>
    </row>
    <row r="1986" spans="31:31" ht="12.75" customHeight="1" x14ac:dyDescent="0.15">
      <c r="AE1986" s="13"/>
    </row>
    <row r="1987" spans="31:31" ht="12.75" customHeight="1" x14ac:dyDescent="0.15">
      <c r="AE1987" s="13"/>
    </row>
    <row r="1988" spans="31:31" ht="12.75" customHeight="1" x14ac:dyDescent="0.15">
      <c r="AE1988" s="13"/>
    </row>
    <row r="1989" spans="31:31" ht="12.75" customHeight="1" x14ac:dyDescent="0.15">
      <c r="AE1989" s="13"/>
    </row>
    <row r="1990" spans="31:31" ht="12.75" customHeight="1" x14ac:dyDescent="0.15">
      <c r="AE1990" s="13"/>
    </row>
    <row r="1991" spans="31:31" ht="12.75" customHeight="1" x14ac:dyDescent="0.15">
      <c r="AE1991" s="13"/>
    </row>
    <row r="1992" spans="31:31" ht="12.75" customHeight="1" x14ac:dyDescent="0.15">
      <c r="AE1992" s="13"/>
    </row>
    <row r="1993" spans="31:31" ht="12.75" customHeight="1" x14ac:dyDescent="0.15">
      <c r="AE1993" s="13"/>
    </row>
    <row r="1994" spans="31:31" ht="12.75" customHeight="1" x14ac:dyDescent="0.15">
      <c r="AE1994" s="13"/>
    </row>
    <row r="1995" spans="31:31" ht="12.75" customHeight="1" x14ac:dyDescent="0.15">
      <c r="AE1995" s="13"/>
    </row>
    <row r="1996" spans="31:31" ht="12.75" customHeight="1" x14ac:dyDescent="0.15">
      <c r="AE1996" s="13"/>
    </row>
    <row r="1997" spans="31:31" ht="12.75" customHeight="1" x14ac:dyDescent="0.15">
      <c r="AE1997" s="13"/>
    </row>
    <row r="1998" spans="31:31" ht="12.75" customHeight="1" x14ac:dyDescent="0.15">
      <c r="AE1998" s="13"/>
    </row>
    <row r="1999" spans="31:31" ht="12.75" customHeight="1" x14ac:dyDescent="0.15">
      <c r="AE1999" s="13"/>
    </row>
    <row r="2000" spans="31:31" ht="12.75" customHeight="1" x14ac:dyDescent="0.15">
      <c r="AE2000" s="13"/>
    </row>
    <row r="2001" spans="31:31" ht="12.75" customHeight="1" x14ac:dyDescent="0.15">
      <c r="AE2001" s="13"/>
    </row>
    <row r="2002" spans="31:31" ht="12.75" customHeight="1" x14ac:dyDescent="0.15">
      <c r="AE2002" s="13"/>
    </row>
    <row r="2003" spans="31:31" ht="12.75" customHeight="1" x14ac:dyDescent="0.15">
      <c r="AE2003" s="13"/>
    </row>
    <row r="2004" spans="31:31" ht="12.75" customHeight="1" x14ac:dyDescent="0.15">
      <c r="AE2004" s="13"/>
    </row>
    <row r="2005" spans="31:31" ht="12.75" customHeight="1" x14ac:dyDescent="0.15">
      <c r="AE2005" s="13"/>
    </row>
    <row r="2006" spans="31:31" ht="12.75" customHeight="1" x14ac:dyDescent="0.15">
      <c r="AE2006" s="13"/>
    </row>
    <row r="2007" spans="31:31" ht="12.75" customHeight="1" x14ac:dyDescent="0.15">
      <c r="AE2007" s="13"/>
    </row>
    <row r="2008" spans="31:31" ht="12.75" customHeight="1" x14ac:dyDescent="0.15">
      <c r="AE2008" s="13"/>
    </row>
    <row r="2009" spans="31:31" ht="12.75" customHeight="1" x14ac:dyDescent="0.15">
      <c r="AE2009" s="13"/>
    </row>
    <row r="2010" spans="31:31" ht="12.75" customHeight="1" x14ac:dyDescent="0.15">
      <c r="AE2010" s="13"/>
    </row>
    <row r="2011" spans="31:31" ht="12.75" customHeight="1" x14ac:dyDescent="0.15">
      <c r="AE2011" s="13"/>
    </row>
    <row r="2012" spans="31:31" ht="12.75" customHeight="1" x14ac:dyDescent="0.15">
      <c r="AE2012" s="13"/>
    </row>
    <row r="2013" spans="31:31" ht="12.75" customHeight="1" x14ac:dyDescent="0.15">
      <c r="AE2013" s="13"/>
    </row>
    <row r="2014" spans="31:31" ht="12.75" customHeight="1" x14ac:dyDescent="0.15">
      <c r="AE2014" s="13"/>
    </row>
    <row r="2015" spans="31:31" ht="12.75" customHeight="1" x14ac:dyDescent="0.15">
      <c r="AE2015" s="13"/>
    </row>
    <row r="2016" spans="31:31" ht="12.75" customHeight="1" x14ac:dyDescent="0.15">
      <c r="AE2016" s="13"/>
    </row>
    <row r="2017" spans="31:31" ht="12.75" customHeight="1" x14ac:dyDescent="0.15">
      <c r="AE2017" s="13"/>
    </row>
    <row r="2018" spans="31:31" ht="12.75" customHeight="1" x14ac:dyDescent="0.15">
      <c r="AE2018" s="13"/>
    </row>
    <row r="2019" spans="31:31" ht="12.75" customHeight="1" x14ac:dyDescent="0.15">
      <c r="AE2019" s="13"/>
    </row>
    <row r="2020" spans="31:31" ht="12.75" customHeight="1" x14ac:dyDescent="0.15">
      <c r="AE2020" s="13"/>
    </row>
    <row r="2021" spans="31:31" ht="12.75" customHeight="1" x14ac:dyDescent="0.15">
      <c r="AE2021" s="13"/>
    </row>
    <row r="2022" spans="31:31" ht="12.75" customHeight="1" x14ac:dyDescent="0.15">
      <c r="AE2022" s="13"/>
    </row>
    <row r="2023" spans="31:31" ht="12.75" customHeight="1" x14ac:dyDescent="0.15">
      <c r="AE2023" s="13"/>
    </row>
    <row r="2024" spans="31:31" ht="12.75" customHeight="1" x14ac:dyDescent="0.15">
      <c r="AE2024" s="13"/>
    </row>
    <row r="2025" spans="31:31" ht="12.75" customHeight="1" x14ac:dyDescent="0.15">
      <c r="AE2025" s="13"/>
    </row>
    <row r="2026" spans="31:31" ht="12.75" customHeight="1" x14ac:dyDescent="0.15">
      <c r="AE2026" s="13"/>
    </row>
    <row r="2027" spans="31:31" ht="12.75" customHeight="1" x14ac:dyDescent="0.15">
      <c r="AE2027" s="13"/>
    </row>
    <row r="2028" spans="31:31" ht="12.75" customHeight="1" x14ac:dyDescent="0.15">
      <c r="AE2028" s="13"/>
    </row>
    <row r="2029" spans="31:31" ht="12.75" customHeight="1" x14ac:dyDescent="0.15">
      <c r="AE2029" s="13"/>
    </row>
    <row r="2030" spans="31:31" ht="12.75" customHeight="1" x14ac:dyDescent="0.15">
      <c r="AE2030" s="13"/>
    </row>
    <row r="2031" spans="31:31" ht="12.75" customHeight="1" x14ac:dyDescent="0.15">
      <c r="AE2031" s="13"/>
    </row>
    <row r="2032" spans="31:31" ht="12.75" customHeight="1" x14ac:dyDescent="0.15">
      <c r="AE2032" s="13"/>
    </row>
    <row r="2033" spans="31:31" ht="12.75" customHeight="1" x14ac:dyDescent="0.15">
      <c r="AE2033" s="13"/>
    </row>
    <row r="2034" spans="31:31" ht="12.75" customHeight="1" x14ac:dyDescent="0.15">
      <c r="AE2034" s="13"/>
    </row>
    <row r="2035" spans="31:31" ht="12.75" customHeight="1" x14ac:dyDescent="0.15">
      <c r="AE2035" s="13"/>
    </row>
    <row r="2036" spans="31:31" ht="12.75" customHeight="1" x14ac:dyDescent="0.15">
      <c r="AE2036" s="13"/>
    </row>
    <row r="2037" spans="31:31" ht="12.75" customHeight="1" x14ac:dyDescent="0.15">
      <c r="AE2037" s="13"/>
    </row>
    <row r="2038" spans="31:31" ht="12.75" customHeight="1" x14ac:dyDescent="0.15">
      <c r="AE2038" s="13"/>
    </row>
    <row r="2039" spans="31:31" ht="12.75" customHeight="1" x14ac:dyDescent="0.15">
      <c r="AE2039" s="13"/>
    </row>
    <row r="2040" spans="31:31" ht="12.75" customHeight="1" x14ac:dyDescent="0.15">
      <c r="AE2040" s="13"/>
    </row>
    <row r="2041" spans="31:31" ht="12.75" customHeight="1" x14ac:dyDescent="0.15">
      <c r="AE2041" s="13"/>
    </row>
    <row r="2042" spans="31:31" ht="12.75" customHeight="1" x14ac:dyDescent="0.15">
      <c r="AE2042" s="13"/>
    </row>
    <row r="2043" spans="31:31" ht="12.75" customHeight="1" x14ac:dyDescent="0.15">
      <c r="AE2043" s="13"/>
    </row>
    <row r="2044" spans="31:31" ht="12.75" customHeight="1" x14ac:dyDescent="0.15">
      <c r="AE2044" s="13"/>
    </row>
    <row r="2045" spans="31:31" ht="12.75" customHeight="1" x14ac:dyDescent="0.15">
      <c r="AE2045" s="13"/>
    </row>
    <row r="2046" spans="31:31" ht="12.75" customHeight="1" x14ac:dyDescent="0.15">
      <c r="AE2046" s="13"/>
    </row>
    <row r="2047" spans="31:31" ht="12.75" customHeight="1" x14ac:dyDescent="0.15">
      <c r="AE2047" s="13"/>
    </row>
    <row r="2048" spans="31:31" ht="12.75" customHeight="1" x14ac:dyDescent="0.15">
      <c r="AE2048" s="13"/>
    </row>
    <row r="2049" spans="31:31" ht="12.75" customHeight="1" x14ac:dyDescent="0.15">
      <c r="AE2049" s="13"/>
    </row>
    <row r="2050" spans="31:31" ht="12.75" customHeight="1" x14ac:dyDescent="0.15">
      <c r="AE2050" s="13"/>
    </row>
    <row r="2051" spans="31:31" ht="12.75" customHeight="1" x14ac:dyDescent="0.15">
      <c r="AE2051" s="13"/>
    </row>
    <row r="2052" spans="31:31" ht="12.75" customHeight="1" x14ac:dyDescent="0.15">
      <c r="AE2052" s="13"/>
    </row>
    <row r="2053" spans="31:31" ht="12.75" customHeight="1" x14ac:dyDescent="0.15">
      <c r="AE2053" s="13"/>
    </row>
    <row r="2054" spans="31:31" ht="12.75" customHeight="1" x14ac:dyDescent="0.15">
      <c r="AE2054" s="13"/>
    </row>
    <row r="2055" spans="31:31" ht="12.75" customHeight="1" x14ac:dyDescent="0.15">
      <c r="AE2055" s="13"/>
    </row>
    <row r="2056" spans="31:31" ht="12.75" customHeight="1" x14ac:dyDescent="0.15">
      <c r="AE2056" s="13"/>
    </row>
    <row r="2057" spans="31:31" ht="12.75" customHeight="1" x14ac:dyDescent="0.15">
      <c r="AE2057" s="13"/>
    </row>
    <row r="2058" spans="31:31" ht="12.75" customHeight="1" x14ac:dyDescent="0.15">
      <c r="AE2058" s="13"/>
    </row>
    <row r="2059" spans="31:31" ht="12.75" customHeight="1" x14ac:dyDescent="0.15">
      <c r="AE2059" s="13"/>
    </row>
    <row r="2060" spans="31:31" ht="12.75" customHeight="1" x14ac:dyDescent="0.15">
      <c r="AE2060" s="13"/>
    </row>
    <row r="2061" spans="31:31" ht="12.75" customHeight="1" x14ac:dyDescent="0.15">
      <c r="AE2061" s="13"/>
    </row>
    <row r="2062" spans="31:31" ht="12.75" customHeight="1" x14ac:dyDescent="0.15">
      <c r="AE2062" s="13"/>
    </row>
    <row r="2063" spans="31:31" ht="12.75" customHeight="1" x14ac:dyDescent="0.15">
      <c r="AE2063" s="13"/>
    </row>
    <row r="2064" spans="31:31" ht="12.75" customHeight="1" x14ac:dyDescent="0.15">
      <c r="AE2064" s="13"/>
    </row>
    <row r="2065" spans="31:31" ht="12.75" customHeight="1" x14ac:dyDescent="0.15">
      <c r="AE2065" s="13"/>
    </row>
    <row r="2066" spans="31:31" ht="12.75" customHeight="1" x14ac:dyDescent="0.15">
      <c r="AE2066" s="13"/>
    </row>
    <row r="2067" spans="31:31" ht="12.75" customHeight="1" x14ac:dyDescent="0.15">
      <c r="AE2067" s="13"/>
    </row>
    <row r="2068" spans="31:31" ht="12.75" customHeight="1" x14ac:dyDescent="0.15">
      <c r="AE2068" s="13"/>
    </row>
    <row r="2069" spans="31:31" ht="12.75" customHeight="1" x14ac:dyDescent="0.15">
      <c r="AE2069" s="13"/>
    </row>
    <row r="2070" spans="31:31" ht="12.75" customHeight="1" x14ac:dyDescent="0.15">
      <c r="AE2070" s="13"/>
    </row>
    <row r="2071" spans="31:31" ht="12.75" customHeight="1" x14ac:dyDescent="0.15">
      <c r="AE2071" s="13"/>
    </row>
    <row r="2072" spans="31:31" ht="12.75" customHeight="1" x14ac:dyDescent="0.15">
      <c r="AE2072" s="13"/>
    </row>
    <row r="2073" spans="31:31" ht="12.75" customHeight="1" x14ac:dyDescent="0.15">
      <c r="AE2073" s="13"/>
    </row>
    <row r="2074" spans="31:31" ht="12.75" customHeight="1" x14ac:dyDescent="0.15">
      <c r="AE2074" s="13"/>
    </row>
    <row r="2075" spans="31:31" ht="12.75" customHeight="1" x14ac:dyDescent="0.15">
      <c r="AE2075" s="13"/>
    </row>
    <row r="2076" spans="31:31" ht="12.75" customHeight="1" x14ac:dyDescent="0.15">
      <c r="AE2076" s="13"/>
    </row>
    <row r="2077" spans="31:31" ht="12.75" customHeight="1" x14ac:dyDescent="0.15">
      <c r="AE2077" s="13"/>
    </row>
    <row r="2078" spans="31:31" ht="12.75" customHeight="1" x14ac:dyDescent="0.15">
      <c r="AE2078" s="13"/>
    </row>
    <row r="2079" spans="31:31" ht="12.75" customHeight="1" x14ac:dyDescent="0.15">
      <c r="AE2079" s="13"/>
    </row>
    <row r="2080" spans="31:31" ht="12.75" customHeight="1" x14ac:dyDescent="0.15">
      <c r="AE2080" s="13"/>
    </row>
    <row r="2081" spans="31:31" ht="12.75" customHeight="1" x14ac:dyDescent="0.15">
      <c r="AE2081" s="13"/>
    </row>
    <row r="2082" spans="31:31" ht="12.75" customHeight="1" x14ac:dyDescent="0.15">
      <c r="AE2082" s="13"/>
    </row>
    <row r="2083" spans="31:31" ht="12.75" customHeight="1" x14ac:dyDescent="0.15">
      <c r="AE2083" s="13"/>
    </row>
    <row r="2084" spans="31:31" ht="12.75" customHeight="1" x14ac:dyDescent="0.15">
      <c r="AE2084" s="13"/>
    </row>
    <row r="2085" spans="31:31" ht="12.75" customHeight="1" x14ac:dyDescent="0.15">
      <c r="AE2085" s="13"/>
    </row>
    <row r="2086" spans="31:31" ht="12.75" customHeight="1" x14ac:dyDescent="0.15">
      <c r="AE2086" s="13"/>
    </row>
    <row r="2087" spans="31:31" ht="12.75" customHeight="1" x14ac:dyDescent="0.15">
      <c r="AE2087" s="13"/>
    </row>
    <row r="2088" spans="31:31" ht="12.75" customHeight="1" x14ac:dyDescent="0.15">
      <c r="AE2088" s="13"/>
    </row>
    <row r="2089" spans="31:31" ht="12.75" customHeight="1" x14ac:dyDescent="0.15">
      <c r="AE2089" s="13"/>
    </row>
    <row r="2090" spans="31:31" ht="12.75" customHeight="1" x14ac:dyDescent="0.15">
      <c r="AE2090" s="13"/>
    </row>
    <row r="2091" spans="31:31" ht="12.75" customHeight="1" x14ac:dyDescent="0.15">
      <c r="AE2091" s="13"/>
    </row>
    <row r="2092" spans="31:31" ht="12.75" customHeight="1" x14ac:dyDescent="0.15">
      <c r="AE2092" s="13"/>
    </row>
    <row r="2093" spans="31:31" ht="12.75" customHeight="1" x14ac:dyDescent="0.15">
      <c r="AE2093" s="13"/>
    </row>
    <row r="2094" spans="31:31" ht="12.75" customHeight="1" x14ac:dyDescent="0.15">
      <c r="AE2094" s="13"/>
    </row>
    <row r="2095" spans="31:31" ht="12.75" customHeight="1" x14ac:dyDescent="0.15">
      <c r="AE2095" s="13"/>
    </row>
    <row r="2096" spans="31:31" ht="12.75" customHeight="1" x14ac:dyDescent="0.15">
      <c r="AE2096" s="13"/>
    </row>
    <row r="2097" spans="31:31" ht="12.75" customHeight="1" x14ac:dyDescent="0.15">
      <c r="AE2097" s="13"/>
    </row>
    <row r="2098" spans="31:31" ht="12.75" customHeight="1" x14ac:dyDescent="0.15">
      <c r="AE2098" s="13"/>
    </row>
    <row r="2099" spans="31:31" ht="12.75" customHeight="1" x14ac:dyDescent="0.15">
      <c r="AE2099" s="13"/>
    </row>
    <row r="2100" spans="31:31" ht="12.75" customHeight="1" x14ac:dyDescent="0.15">
      <c r="AE2100" s="13"/>
    </row>
    <row r="2101" spans="31:31" ht="12.75" customHeight="1" x14ac:dyDescent="0.15">
      <c r="AE2101" s="13"/>
    </row>
    <row r="2102" spans="31:31" ht="12.75" customHeight="1" x14ac:dyDescent="0.15">
      <c r="AE2102" s="13"/>
    </row>
    <row r="2103" spans="31:31" ht="12.75" customHeight="1" x14ac:dyDescent="0.15">
      <c r="AE2103" s="13"/>
    </row>
    <row r="2104" spans="31:31" ht="12.75" customHeight="1" x14ac:dyDescent="0.15">
      <c r="AE2104" s="13"/>
    </row>
    <row r="2105" spans="31:31" ht="12.75" customHeight="1" x14ac:dyDescent="0.15">
      <c r="AE2105" s="13"/>
    </row>
    <row r="2106" spans="31:31" ht="12.75" customHeight="1" x14ac:dyDescent="0.15">
      <c r="AE2106" s="13"/>
    </row>
    <row r="2107" spans="31:31" ht="12.75" customHeight="1" x14ac:dyDescent="0.15">
      <c r="AE2107" s="13"/>
    </row>
    <row r="2108" spans="31:31" ht="12.75" customHeight="1" x14ac:dyDescent="0.15">
      <c r="AE2108" s="13"/>
    </row>
    <row r="2109" spans="31:31" ht="12.75" customHeight="1" x14ac:dyDescent="0.15">
      <c r="AE2109" s="13"/>
    </row>
    <row r="2110" spans="31:31" ht="12.75" customHeight="1" x14ac:dyDescent="0.15">
      <c r="AE2110" s="13"/>
    </row>
    <row r="2111" spans="31:31" ht="12.75" customHeight="1" x14ac:dyDescent="0.15">
      <c r="AE2111" s="13"/>
    </row>
    <row r="2112" spans="31:31" ht="12.75" customHeight="1" x14ac:dyDescent="0.15">
      <c r="AE2112" s="13"/>
    </row>
    <row r="2113" spans="31:31" ht="12.75" customHeight="1" x14ac:dyDescent="0.15">
      <c r="AE2113" s="13"/>
    </row>
    <row r="2114" spans="31:31" ht="12.75" customHeight="1" x14ac:dyDescent="0.15">
      <c r="AE2114" s="13"/>
    </row>
    <row r="2115" spans="31:31" ht="12.75" customHeight="1" x14ac:dyDescent="0.15">
      <c r="AE2115" s="13"/>
    </row>
    <row r="2116" spans="31:31" ht="12.75" customHeight="1" x14ac:dyDescent="0.15">
      <c r="AE2116" s="13"/>
    </row>
    <row r="2117" spans="31:31" ht="12.75" customHeight="1" x14ac:dyDescent="0.15">
      <c r="AE2117" s="13"/>
    </row>
    <row r="2118" spans="31:31" ht="12.75" customHeight="1" x14ac:dyDescent="0.15">
      <c r="AE2118" s="13"/>
    </row>
    <row r="2119" spans="31:31" ht="12.75" customHeight="1" x14ac:dyDescent="0.15">
      <c r="AE2119" s="13"/>
    </row>
    <row r="2120" spans="31:31" ht="12.75" customHeight="1" x14ac:dyDescent="0.15">
      <c r="AE2120" s="13"/>
    </row>
    <row r="2121" spans="31:31" ht="12.75" customHeight="1" x14ac:dyDescent="0.15">
      <c r="AE2121" s="13"/>
    </row>
    <row r="2122" spans="31:31" ht="12.75" customHeight="1" x14ac:dyDescent="0.15">
      <c r="AE2122" s="13"/>
    </row>
    <row r="2123" spans="31:31" ht="12.75" customHeight="1" x14ac:dyDescent="0.15">
      <c r="AE2123" s="13"/>
    </row>
    <row r="2124" spans="31:31" ht="12.75" customHeight="1" x14ac:dyDescent="0.15">
      <c r="AE2124" s="13"/>
    </row>
    <row r="2125" spans="31:31" ht="12.75" customHeight="1" x14ac:dyDescent="0.15">
      <c r="AE2125" s="13"/>
    </row>
    <row r="2126" spans="31:31" ht="12.75" customHeight="1" x14ac:dyDescent="0.15">
      <c r="AE2126" s="13"/>
    </row>
    <row r="2127" spans="31:31" ht="12.75" customHeight="1" x14ac:dyDescent="0.15">
      <c r="AE2127" s="13"/>
    </row>
    <row r="2128" spans="31:31" ht="12.75" customHeight="1" x14ac:dyDescent="0.15">
      <c r="AE2128" s="13"/>
    </row>
    <row r="2129" spans="31:31" ht="12.75" customHeight="1" x14ac:dyDescent="0.15">
      <c r="AE2129" s="13"/>
    </row>
    <row r="2130" spans="31:31" ht="12.75" customHeight="1" x14ac:dyDescent="0.15">
      <c r="AE2130" s="13"/>
    </row>
    <row r="2131" spans="31:31" ht="12.75" customHeight="1" x14ac:dyDescent="0.15">
      <c r="AE2131" s="13"/>
    </row>
    <row r="2132" spans="31:31" ht="12.75" customHeight="1" x14ac:dyDescent="0.15">
      <c r="AE2132" s="13"/>
    </row>
    <row r="2133" spans="31:31" ht="12.75" customHeight="1" x14ac:dyDescent="0.15">
      <c r="AE2133" s="13"/>
    </row>
    <row r="2134" spans="31:31" ht="12.75" customHeight="1" x14ac:dyDescent="0.15">
      <c r="AE2134" s="13"/>
    </row>
    <row r="2135" spans="31:31" ht="12.75" customHeight="1" x14ac:dyDescent="0.15">
      <c r="AE2135" s="13"/>
    </row>
    <row r="2136" spans="31:31" ht="12.75" customHeight="1" x14ac:dyDescent="0.15">
      <c r="AE2136" s="13"/>
    </row>
    <row r="2137" spans="31:31" ht="12.75" customHeight="1" x14ac:dyDescent="0.15">
      <c r="AE2137" s="13"/>
    </row>
    <row r="2138" spans="31:31" ht="12.75" customHeight="1" x14ac:dyDescent="0.15">
      <c r="AE2138" s="13"/>
    </row>
    <row r="2139" spans="31:31" ht="12.75" customHeight="1" x14ac:dyDescent="0.15">
      <c r="AE2139" s="13"/>
    </row>
    <row r="2140" spans="31:31" ht="12.75" customHeight="1" x14ac:dyDescent="0.15">
      <c r="AE2140" s="13"/>
    </row>
    <row r="2141" spans="31:31" ht="12.75" customHeight="1" x14ac:dyDescent="0.15">
      <c r="AE2141" s="13"/>
    </row>
    <row r="2142" spans="31:31" ht="12.75" customHeight="1" x14ac:dyDescent="0.15">
      <c r="AE2142" s="13"/>
    </row>
    <row r="2143" spans="31:31" ht="12.75" customHeight="1" x14ac:dyDescent="0.15">
      <c r="AE2143" s="13"/>
    </row>
    <row r="2144" spans="31:31" ht="12.75" customHeight="1" x14ac:dyDescent="0.15">
      <c r="AE2144" s="13"/>
    </row>
    <row r="2145" spans="31:31" ht="12.75" customHeight="1" x14ac:dyDescent="0.15">
      <c r="AE2145" s="13"/>
    </row>
    <row r="2146" spans="31:31" ht="12.75" customHeight="1" x14ac:dyDescent="0.15">
      <c r="AE2146" s="13"/>
    </row>
    <row r="2147" spans="31:31" ht="12.75" customHeight="1" x14ac:dyDescent="0.15">
      <c r="AE2147" s="13"/>
    </row>
    <row r="2148" spans="31:31" ht="12.75" customHeight="1" x14ac:dyDescent="0.15">
      <c r="AE2148" s="13"/>
    </row>
    <row r="2149" spans="31:31" ht="12.75" customHeight="1" x14ac:dyDescent="0.15">
      <c r="AE2149" s="13"/>
    </row>
    <row r="2150" spans="31:31" ht="12.75" customHeight="1" x14ac:dyDescent="0.15">
      <c r="AE2150" s="13"/>
    </row>
    <row r="2151" spans="31:31" ht="12.75" customHeight="1" x14ac:dyDescent="0.15">
      <c r="AE2151" s="13"/>
    </row>
    <row r="2152" spans="31:31" ht="12.75" customHeight="1" x14ac:dyDescent="0.15">
      <c r="AE2152" s="13"/>
    </row>
    <row r="2153" spans="31:31" ht="12.75" customHeight="1" x14ac:dyDescent="0.15">
      <c r="AE2153" s="13"/>
    </row>
    <row r="2154" spans="31:31" ht="12.75" customHeight="1" x14ac:dyDescent="0.15">
      <c r="AE2154" s="13"/>
    </row>
    <row r="2155" spans="31:31" ht="12.75" customHeight="1" x14ac:dyDescent="0.15">
      <c r="AE2155" s="13"/>
    </row>
    <row r="2156" spans="31:31" ht="12.75" customHeight="1" x14ac:dyDescent="0.15">
      <c r="AE2156" s="13"/>
    </row>
    <row r="2157" spans="31:31" ht="12.75" customHeight="1" x14ac:dyDescent="0.15">
      <c r="AE2157" s="13"/>
    </row>
    <row r="2158" spans="31:31" ht="12.75" customHeight="1" x14ac:dyDescent="0.15">
      <c r="AE2158" s="13"/>
    </row>
    <row r="2159" spans="31:31" ht="12.75" customHeight="1" x14ac:dyDescent="0.15">
      <c r="AE2159" s="13"/>
    </row>
    <row r="2160" spans="31:31" ht="12.75" customHeight="1" x14ac:dyDescent="0.15">
      <c r="AE2160" s="13"/>
    </row>
    <row r="2161" spans="31:31" ht="12.75" customHeight="1" x14ac:dyDescent="0.15">
      <c r="AE2161" s="13"/>
    </row>
    <row r="2162" spans="31:31" ht="12.75" customHeight="1" x14ac:dyDescent="0.15">
      <c r="AE2162" s="13"/>
    </row>
    <row r="2163" spans="31:31" ht="12.75" customHeight="1" x14ac:dyDescent="0.15">
      <c r="AE2163" s="13"/>
    </row>
    <row r="2164" spans="31:31" ht="12.75" customHeight="1" x14ac:dyDescent="0.15">
      <c r="AE2164" s="13"/>
    </row>
    <row r="2165" spans="31:31" ht="12.75" customHeight="1" x14ac:dyDescent="0.15">
      <c r="AE2165" s="13"/>
    </row>
    <row r="2166" spans="31:31" ht="12.75" customHeight="1" x14ac:dyDescent="0.15">
      <c r="AE2166" s="13"/>
    </row>
    <row r="2167" spans="31:31" ht="12.75" customHeight="1" x14ac:dyDescent="0.15">
      <c r="AE2167" s="13"/>
    </row>
    <row r="2168" spans="31:31" ht="12.75" customHeight="1" x14ac:dyDescent="0.15">
      <c r="AE2168" s="13"/>
    </row>
    <row r="2169" spans="31:31" ht="12.75" customHeight="1" x14ac:dyDescent="0.15">
      <c r="AE2169" s="13"/>
    </row>
    <row r="2170" spans="31:31" ht="12.75" customHeight="1" x14ac:dyDescent="0.15">
      <c r="AE2170" s="13"/>
    </row>
    <row r="2171" spans="31:31" ht="12.75" customHeight="1" x14ac:dyDescent="0.15">
      <c r="AE2171" s="13"/>
    </row>
    <row r="2172" spans="31:31" ht="12.75" customHeight="1" x14ac:dyDescent="0.15">
      <c r="AE2172" s="13"/>
    </row>
    <row r="2173" spans="31:31" ht="12.75" customHeight="1" x14ac:dyDescent="0.15">
      <c r="AE2173" s="13"/>
    </row>
    <row r="2174" spans="31:31" ht="12.75" customHeight="1" x14ac:dyDescent="0.15">
      <c r="AE2174" s="13"/>
    </row>
    <row r="2175" spans="31:31" ht="12.75" customHeight="1" x14ac:dyDescent="0.15">
      <c r="AE2175" s="13"/>
    </row>
    <row r="2176" spans="31:31" ht="12.75" customHeight="1" x14ac:dyDescent="0.15">
      <c r="AE2176" s="13"/>
    </row>
    <row r="2177" spans="31:31" ht="12.75" customHeight="1" x14ac:dyDescent="0.15">
      <c r="AE2177" s="13"/>
    </row>
    <row r="2178" spans="31:31" ht="12.75" customHeight="1" x14ac:dyDescent="0.15">
      <c r="AE2178" s="13"/>
    </row>
    <row r="2179" spans="31:31" ht="12.75" customHeight="1" x14ac:dyDescent="0.15">
      <c r="AE2179" s="13"/>
    </row>
    <row r="2180" spans="31:31" ht="12.75" customHeight="1" x14ac:dyDescent="0.15">
      <c r="AE2180" s="13"/>
    </row>
    <row r="2181" spans="31:31" ht="12.75" customHeight="1" x14ac:dyDescent="0.15">
      <c r="AE2181" s="13"/>
    </row>
    <row r="2182" spans="31:31" ht="12.75" customHeight="1" x14ac:dyDescent="0.15">
      <c r="AE2182" s="13"/>
    </row>
    <row r="2183" spans="31:31" ht="12.75" customHeight="1" x14ac:dyDescent="0.15">
      <c r="AE2183" s="13"/>
    </row>
    <row r="2184" spans="31:31" ht="12.75" customHeight="1" x14ac:dyDescent="0.15">
      <c r="AE2184" s="13"/>
    </row>
    <row r="2185" spans="31:31" ht="12.75" customHeight="1" x14ac:dyDescent="0.15">
      <c r="AE2185" s="13"/>
    </row>
    <row r="2186" spans="31:31" ht="12.75" customHeight="1" x14ac:dyDescent="0.15">
      <c r="AE2186" s="13"/>
    </row>
    <row r="2187" spans="31:31" ht="12.75" customHeight="1" x14ac:dyDescent="0.15">
      <c r="AE2187" s="13"/>
    </row>
    <row r="2188" spans="31:31" ht="12.75" customHeight="1" x14ac:dyDescent="0.15">
      <c r="AE2188" s="13"/>
    </row>
    <row r="2189" spans="31:31" ht="12.75" customHeight="1" x14ac:dyDescent="0.15">
      <c r="AE2189" s="13"/>
    </row>
    <row r="2190" spans="31:31" ht="12.75" customHeight="1" x14ac:dyDescent="0.15">
      <c r="AE2190" s="13"/>
    </row>
    <row r="2191" spans="31:31" ht="12.75" customHeight="1" x14ac:dyDescent="0.15">
      <c r="AE2191" s="13"/>
    </row>
    <row r="2192" spans="31:31" ht="12.75" customHeight="1" x14ac:dyDescent="0.15">
      <c r="AE2192" s="13"/>
    </row>
    <row r="2193" spans="31:31" ht="12.75" customHeight="1" x14ac:dyDescent="0.15">
      <c r="AE2193" s="13"/>
    </row>
    <row r="2194" spans="31:31" ht="12.75" customHeight="1" x14ac:dyDescent="0.15">
      <c r="AE2194" s="13"/>
    </row>
    <row r="2195" spans="31:31" ht="12.75" customHeight="1" x14ac:dyDescent="0.15">
      <c r="AE2195" s="13"/>
    </row>
    <row r="2196" spans="31:31" ht="12.75" customHeight="1" x14ac:dyDescent="0.15">
      <c r="AE2196" s="13"/>
    </row>
    <row r="2197" spans="31:31" ht="12.75" customHeight="1" x14ac:dyDescent="0.15">
      <c r="AE2197" s="13"/>
    </row>
    <row r="2198" spans="31:31" ht="12.75" customHeight="1" x14ac:dyDescent="0.15">
      <c r="AE2198" s="13"/>
    </row>
    <row r="2199" spans="31:31" ht="12.75" customHeight="1" x14ac:dyDescent="0.15">
      <c r="AE2199" s="13"/>
    </row>
    <row r="2200" spans="31:31" ht="12.75" customHeight="1" x14ac:dyDescent="0.15">
      <c r="AE2200" s="13"/>
    </row>
    <row r="2201" spans="31:31" ht="12.75" customHeight="1" x14ac:dyDescent="0.15">
      <c r="AE2201" s="13"/>
    </row>
    <row r="2202" spans="31:31" ht="12.75" customHeight="1" x14ac:dyDescent="0.15">
      <c r="AE2202" s="13"/>
    </row>
    <row r="2203" spans="31:31" ht="12.75" customHeight="1" x14ac:dyDescent="0.15">
      <c r="AE2203" s="13"/>
    </row>
    <row r="2204" spans="31:31" ht="12.75" customHeight="1" x14ac:dyDescent="0.15">
      <c r="AE2204" s="13"/>
    </row>
    <row r="2205" spans="31:31" ht="12.75" customHeight="1" x14ac:dyDescent="0.15">
      <c r="AE2205" s="13"/>
    </row>
    <row r="2206" spans="31:31" ht="12.75" customHeight="1" x14ac:dyDescent="0.15">
      <c r="AE2206" s="13"/>
    </row>
    <row r="2207" spans="31:31" ht="12.75" customHeight="1" x14ac:dyDescent="0.15">
      <c r="AE2207" s="13"/>
    </row>
    <row r="2208" spans="31:31" ht="12.75" customHeight="1" x14ac:dyDescent="0.15">
      <c r="AE2208" s="13"/>
    </row>
    <row r="2209" spans="31:31" ht="12.75" customHeight="1" x14ac:dyDescent="0.15">
      <c r="AE2209" s="13"/>
    </row>
    <row r="2210" spans="31:31" ht="12.75" customHeight="1" x14ac:dyDescent="0.15">
      <c r="AE2210" s="13"/>
    </row>
    <row r="2211" spans="31:31" ht="12.75" customHeight="1" x14ac:dyDescent="0.15">
      <c r="AE2211" s="13"/>
    </row>
    <row r="2212" spans="31:31" ht="12.75" customHeight="1" x14ac:dyDescent="0.15">
      <c r="AE2212" s="13"/>
    </row>
    <row r="2213" spans="31:31" ht="12.75" customHeight="1" x14ac:dyDescent="0.15">
      <c r="AE2213" s="13"/>
    </row>
    <row r="2214" spans="31:31" ht="12.75" customHeight="1" x14ac:dyDescent="0.15">
      <c r="AE2214" s="13"/>
    </row>
    <row r="2215" spans="31:31" ht="12.75" customHeight="1" x14ac:dyDescent="0.15">
      <c r="AE2215" s="13"/>
    </row>
    <row r="2216" spans="31:31" ht="12.75" customHeight="1" x14ac:dyDescent="0.15">
      <c r="AE2216" s="13"/>
    </row>
    <row r="2217" spans="31:31" ht="12.75" customHeight="1" x14ac:dyDescent="0.15">
      <c r="AE2217" s="13"/>
    </row>
    <row r="2218" spans="31:31" ht="12.75" customHeight="1" x14ac:dyDescent="0.15">
      <c r="AE2218" s="13"/>
    </row>
    <row r="2219" spans="31:31" ht="12.75" customHeight="1" x14ac:dyDescent="0.15">
      <c r="AE2219" s="13"/>
    </row>
    <row r="2220" spans="31:31" ht="12.75" customHeight="1" x14ac:dyDescent="0.15">
      <c r="AE2220" s="13"/>
    </row>
    <row r="2221" spans="31:31" ht="12.75" customHeight="1" x14ac:dyDescent="0.15">
      <c r="AE2221" s="13"/>
    </row>
    <row r="2222" spans="31:31" ht="12.75" customHeight="1" x14ac:dyDescent="0.15">
      <c r="AE2222" s="13"/>
    </row>
    <row r="2223" spans="31:31" ht="12.75" customHeight="1" x14ac:dyDescent="0.15">
      <c r="AE2223" s="13"/>
    </row>
    <row r="2224" spans="31:31" ht="12.75" customHeight="1" x14ac:dyDescent="0.15">
      <c r="AE2224" s="13"/>
    </row>
    <row r="2225" spans="31:31" ht="12.75" customHeight="1" x14ac:dyDescent="0.15">
      <c r="AE2225" s="13"/>
    </row>
    <row r="2226" spans="31:31" ht="12.75" customHeight="1" x14ac:dyDescent="0.15">
      <c r="AE2226" s="13"/>
    </row>
    <row r="2227" spans="31:31" ht="12.75" customHeight="1" x14ac:dyDescent="0.15">
      <c r="AE2227" s="13"/>
    </row>
    <row r="2228" spans="31:31" ht="12.75" customHeight="1" x14ac:dyDescent="0.15">
      <c r="AE2228" s="13"/>
    </row>
    <row r="2229" spans="31:31" ht="12.75" customHeight="1" x14ac:dyDescent="0.15">
      <c r="AE2229" s="13"/>
    </row>
    <row r="2230" spans="31:31" ht="12.75" customHeight="1" x14ac:dyDescent="0.15">
      <c r="AE2230" s="13"/>
    </row>
    <row r="2231" spans="31:31" ht="12.75" customHeight="1" x14ac:dyDescent="0.15">
      <c r="AE2231" s="13"/>
    </row>
    <row r="2232" spans="31:31" ht="12.75" customHeight="1" x14ac:dyDescent="0.15">
      <c r="AE2232" s="13"/>
    </row>
    <row r="2233" spans="31:31" ht="12.75" customHeight="1" x14ac:dyDescent="0.15">
      <c r="AE2233" s="13"/>
    </row>
    <row r="2234" spans="31:31" ht="12.75" customHeight="1" x14ac:dyDescent="0.15">
      <c r="AE2234" s="13"/>
    </row>
    <row r="2235" spans="31:31" ht="12.75" customHeight="1" x14ac:dyDescent="0.15">
      <c r="AE2235" s="13"/>
    </row>
    <row r="2236" spans="31:31" ht="12.75" customHeight="1" x14ac:dyDescent="0.15">
      <c r="AE2236" s="13"/>
    </row>
    <row r="2237" spans="31:31" ht="12.75" customHeight="1" x14ac:dyDescent="0.15">
      <c r="AE2237" s="13"/>
    </row>
    <row r="2238" spans="31:31" ht="12.75" customHeight="1" x14ac:dyDescent="0.15">
      <c r="AE2238" s="13"/>
    </row>
    <row r="2239" spans="31:31" ht="12.75" customHeight="1" x14ac:dyDescent="0.15">
      <c r="AE2239" s="13"/>
    </row>
    <row r="2240" spans="31:31" ht="12.75" customHeight="1" x14ac:dyDescent="0.15">
      <c r="AE2240" s="13"/>
    </row>
    <row r="2241" spans="31:31" ht="12.75" customHeight="1" x14ac:dyDescent="0.15">
      <c r="AE2241" s="13"/>
    </row>
    <row r="2242" spans="31:31" ht="12.75" customHeight="1" x14ac:dyDescent="0.15">
      <c r="AE2242" s="13"/>
    </row>
    <row r="2243" spans="31:31" ht="12.75" customHeight="1" x14ac:dyDescent="0.15">
      <c r="AE2243" s="13"/>
    </row>
    <row r="2244" spans="31:31" ht="12.75" customHeight="1" x14ac:dyDescent="0.15">
      <c r="AE2244" s="13"/>
    </row>
    <row r="2245" spans="31:31" ht="12.75" customHeight="1" x14ac:dyDescent="0.15">
      <c r="AE2245" s="13"/>
    </row>
    <row r="2246" spans="31:31" ht="12.75" customHeight="1" x14ac:dyDescent="0.15">
      <c r="AE2246" s="13"/>
    </row>
    <row r="2247" spans="31:31" ht="12.75" customHeight="1" x14ac:dyDescent="0.15">
      <c r="AE2247" s="13"/>
    </row>
    <row r="2248" spans="31:31" ht="12.75" customHeight="1" x14ac:dyDescent="0.15">
      <c r="AE2248" s="13"/>
    </row>
    <row r="2249" spans="31:31" ht="12.75" customHeight="1" x14ac:dyDescent="0.15">
      <c r="AE2249" s="13"/>
    </row>
    <row r="2250" spans="31:31" ht="12.75" customHeight="1" x14ac:dyDescent="0.15">
      <c r="AE2250" s="13"/>
    </row>
    <row r="2251" spans="31:31" ht="12.75" customHeight="1" x14ac:dyDescent="0.15">
      <c r="AE2251" s="13"/>
    </row>
    <row r="2252" spans="31:31" ht="12.75" customHeight="1" x14ac:dyDescent="0.15">
      <c r="AE2252" s="13"/>
    </row>
    <row r="2253" spans="31:31" ht="12.75" customHeight="1" x14ac:dyDescent="0.15">
      <c r="AE2253" s="13"/>
    </row>
    <row r="2254" spans="31:31" ht="12.75" customHeight="1" x14ac:dyDescent="0.15">
      <c r="AE2254" s="13"/>
    </row>
    <row r="2255" spans="31:31" ht="12.75" customHeight="1" x14ac:dyDescent="0.15">
      <c r="AE2255" s="13"/>
    </row>
    <row r="2256" spans="31:31" ht="12.75" customHeight="1" x14ac:dyDescent="0.15">
      <c r="AE2256" s="13"/>
    </row>
    <row r="2257" spans="31:31" ht="12.75" customHeight="1" x14ac:dyDescent="0.15">
      <c r="AE2257" s="13"/>
    </row>
    <row r="2258" spans="31:31" ht="12.75" customHeight="1" x14ac:dyDescent="0.15">
      <c r="AE2258" s="13"/>
    </row>
    <row r="2259" spans="31:31" ht="12.75" customHeight="1" x14ac:dyDescent="0.15">
      <c r="AE2259" s="13"/>
    </row>
    <row r="2260" spans="31:31" ht="12.75" customHeight="1" x14ac:dyDescent="0.15">
      <c r="AE2260" s="13"/>
    </row>
    <row r="2261" spans="31:31" ht="12.75" customHeight="1" x14ac:dyDescent="0.15">
      <c r="AE2261" s="13"/>
    </row>
    <row r="2262" spans="31:31" ht="12.75" customHeight="1" x14ac:dyDescent="0.15">
      <c r="AE2262" s="13"/>
    </row>
    <row r="2263" spans="31:31" ht="12.75" customHeight="1" x14ac:dyDescent="0.15">
      <c r="AE2263" s="13"/>
    </row>
    <row r="2264" spans="31:31" ht="12.75" customHeight="1" x14ac:dyDescent="0.15">
      <c r="AE2264" s="13"/>
    </row>
    <row r="2265" spans="31:31" ht="12.75" customHeight="1" x14ac:dyDescent="0.15">
      <c r="AE2265" s="13"/>
    </row>
    <row r="2266" spans="31:31" ht="12.75" customHeight="1" x14ac:dyDescent="0.15">
      <c r="AE2266" s="13"/>
    </row>
    <row r="2267" spans="31:31" ht="12.75" customHeight="1" x14ac:dyDescent="0.15">
      <c r="AE2267" s="13"/>
    </row>
    <row r="2268" spans="31:31" ht="12.75" customHeight="1" x14ac:dyDescent="0.15">
      <c r="AE2268" s="13"/>
    </row>
    <row r="2269" spans="31:31" ht="12.75" customHeight="1" x14ac:dyDescent="0.15">
      <c r="AE2269" s="13"/>
    </row>
    <row r="2270" spans="31:31" ht="12.75" customHeight="1" x14ac:dyDescent="0.15">
      <c r="AE2270" s="13"/>
    </row>
    <row r="2271" spans="31:31" ht="12.75" customHeight="1" x14ac:dyDescent="0.15">
      <c r="AE2271" s="13"/>
    </row>
    <row r="2272" spans="31:31" ht="12.75" customHeight="1" x14ac:dyDescent="0.15">
      <c r="AE2272" s="13"/>
    </row>
    <row r="2273" spans="31:31" ht="12.75" customHeight="1" x14ac:dyDescent="0.15">
      <c r="AE2273" s="13"/>
    </row>
    <row r="2274" spans="31:31" ht="12.75" customHeight="1" x14ac:dyDescent="0.15">
      <c r="AE2274" s="13"/>
    </row>
    <row r="2275" spans="31:31" ht="12.75" customHeight="1" x14ac:dyDescent="0.15">
      <c r="AE2275" s="13"/>
    </row>
    <row r="2276" spans="31:31" ht="12.75" customHeight="1" x14ac:dyDescent="0.15">
      <c r="AE2276" s="13"/>
    </row>
    <row r="2277" spans="31:31" ht="12.75" customHeight="1" x14ac:dyDescent="0.15">
      <c r="AE2277" s="13"/>
    </row>
    <row r="2278" spans="31:31" ht="12.75" customHeight="1" x14ac:dyDescent="0.15">
      <c r="AE2278" s="13"/>
    </row>
    <row r="2279" spans="31:31" ht="12.75" customHeight="1" x14ac:dyDescent="0.15">
      <c r="AE2279" s="13"/>
    </row>
    <row r="2280" spans="31:31" ht="12.75" customHeight="1" x14ac:dyDescent="0.15">
      <c r="AE2280" s="13"/>
    </row>
    <row r="2281" spans="31:31" ht="12.75" customHeight="1" x14ac:dyDescent="0.15">
      <c r="AE2281" s="13"/>
    </row>
    <row r="2282" spans="31:31" ht="12.75" customHeight="1" x14ac:dyDescent="0.15">
      <c r="AE2282" s="13"/>
    </row>
    <row r="2283" spans="31:31" ht="12.75" customHeight="1" x14ac:dyDescent="0.15">
      <c r="AE2283" s="13"/>
    </row>
    <row r="2284" spans="31:31" ht="12.75" customHeight="1" x14ac:dyDescent="0.15">
      <c r="AE2284" s="13"/>
    </row>
    <row r="2285" spans="31:31" ht="12.75" customHeight="1" x14ac:dyDescent="0.15">
      <c r="AE2285" s="13"/>
    </row>
    <row r="2286" spans="31:31" ht="12.75" customHeight="1" x14ac:dyDescent="0.15">
      <c r="AE2286" s="13"/>
    </row>
    <row r="2287" spans="31:31" ht="12.75" customHeight="1" x14ac:dyDescent="0.15">
      <c r="AE2287" s="13"/>
    </row>
    <row r="2288" spans="31:31" ht="12.75" customHeight="1" x14ac:dyDescent="0.15">
      <c r="AE2288" s="13"/>
    </row>
    <row r="2289" spans="31:31" ht="12.75" customHeight="1" x14ac:dyDescent="0.15">
      <c r="AE2289" s="13"/>
    </row>
    <row r="2290" spans="31:31" ht="12.75" customHeight="1" x14ac:dyDescent="0.15">
      <c r="AE2290" s="13"/>
    </row>
    <row r="2291" spans="31:31" ht="12.75" customHeight="1" x14ac:dyDescent="0.15">
      <c r="AE2291" s="13"/>
    </row>
    <row r="2292" spans="31:31" ht="12.75" customHeight="1" x14ac:dyDescent="0.15">
      <c r="AE2292" s="13"/>
    </row>
    <row r="2293" spans="31:31" ht="12.75" customHeight="1" x14ac:dyDescent="0.15">
      <c r="AE2293" s="13"/>
    </row>
    <row r="2294" spans="31:31" ht="12.75" customHeight="1" x14ac:dyDescent="0.15">
      <c r="AE2294" s="13"/>
    </row>
    <row r="2295" spans="31:31" ht="12.75" customHeight="1" x14ac:dyDescent="0.15">
      <c r="AE2295" s="13"/>
    </row>
    <row r="2296" spans="31:31" ht="12.75" customHeight="1" x14ac:dyDescent="0.15">
      <c r="AE2296" s="13"/>
    </row>
    <row r="2297" spans="31:31" ht="12.75" customHeight="1" x14ac:dyDescent="0.15">
      <c r="AE2297" s="13"/>
    </row>
    <row r="2298" spans="31:31" ht="12.75" customHeight="1" x14ac:dyDescent="0.15">
      <c r="AE2298" s="13"/>
    </row>
    <row r="2299" spans="31:31" ht="12.75" customHeight="1" x14ac:dyDescent="0.15">
      <c r="AE2299" s="13"/>
    </row>
    <row r="2300" spans="31:31" ht="12.75" customHeight="1" x14ac:dyDescent="0.15">
      <c r="AE2300" s="13"/>
    </row>
    <row r="2301" spans="31:31" ht="12.75" customHeight="1" x14ac:dyDescent="0.15">
      <c r="AE2301" s="13"/>
    </row>
    <row r="2302" spans="31:31" ht="12.75" customHeight="1" x14ac:dyDescent="0.15">
      <c r="AE2302" s="13"/>
    </row>
    <row r="2303" spans="31:31" ht="12.75" customHeight="1" x14ac:dyDescent="0.15">
      <c r="AE2303" s="13"/>
    </row>
    <row r="2304" spans="31:31" ht="12.75" customHeight="1" x14ac:dyDescent="0.15">
      <c r="AE2304" s="13"/>
    </row>
    <row r="2305" spans="31:31" ht="12.75" customHeight="1" x14ac:dyDescent="0.15">
      <c r="AE2305" s="13"/>
    </row>
    <row r="2306" spans="31:31" ht="12.75" customHeight="1" x14ac:dyDescent="0.15">
      <c r="AE2306" s="13"/>
    </row>
    <row r="2307" spans="31:31" ht="12.75" customHeight="1" x14ac:dyDescent="0.15">
      <c r="AE2307" s="13"/>
    </row>
    <row r="2308" spans="31:31" ht="12.75" customHeight="1" x14ac:dyDescent="0.15">
      <c r="AE2308" s="13"/>
    </row>
    <row r="2309" spans="31:31" ht="12.75" customHeight="1" x14ac:dyDescent="0.15">
      <c r="AE2309" s="13"/>
    </row>
    <row r="2310" spans="31:31" ht="12.75" customHeight="1" x14ac:dyDescent="0.15">
      <c r="AE2310" s="13"/>
    </row>
    <row r="2311" spans="31:31" ht="12.75" customHeight="1" x14ac:dyDescent="0.15">
      <c r="AE2311" s="13"/>
    </row>
    <row r="2312" spans="31:31" ht="12.75" customHeight="1" x14ac:dyDescent="0.15">
      <c r="AE2312" s="13"/>
    </row>
    <row r="2313" spans="31:31" ht="12.75" customHeight="1" x14ac:dyDescent="0.15">
      <c r="AE2313" s="13"/>
    </row>
    <row r="2314" spans="31:31" ht="12.75" customHeight="1" x14ac:dyDescent="0.15">
      <c r="AE2314" s="13"/>
    </row>
    <row r="2315" spans="31:31" ht="12.75" customHeight="1" x14ac:dyDescent="0.15">
      <c r="AE2315" s="13"/>
    </row>
    <row r="2316" spans="31:31" ht="12.75" customHeight="1" x14ac:dyDescent="0.15">
      <c r="AE2316" s="13"/>
    </row>
    <row r="2317" spans="31:31" ht="12.75" customHeight="1" x14ac:dyDescent="0.15">
      <c r="AE2317" s="13"/>
    </row>
    <row r="2318" spans="31:31" ht="12.75" customHeight="1" x14ac:dyDescent="0.15">
      <c r="AE2318" s="13"/>
    </row>
    <row r="2319" spans="31:31" ht="12.75" customHeight="1" x14ac:dyDescent="0.15">
      <c r="AE2319" s="13"/>
    </row>
    <row r="2320" spans="31:31" ht="12.75" customHeight="1" x14ac:dyDescent="0.15">
      <c r="AE2320" s="13"/>
    </row>
    <row r="2321" spans="31:31" ht="12.75" customHeight="1" x14ac:dyDescent="0.15">
      <c r="AE2321" s="13"/>
    </row>
    <row r="2322" spans="31:31" ht="12.75" customHeight="1" x14ac:dyDescent="0.15">
      <c r="AE2322" s="13"/>
    </row>
    <row r="2323" spans="31:31" ht="12.75" customHeight="1" x14ac:dyDescent="0.15">
      <c r="AE2323" s="13"/>
    </row>
    <row r="2324" spans="31:31" ht="12.75" customHeight="1" x14ac:dyDescent="0.15">
      <c r="AE2324" s="13"/>
    </row>
    <row r="2325" spans="31:31" ht="12.75" customHeight="1" x14ac:dyDescent="0.15">
      <c r="AE2325" s="13"/>
    </row>
    <row r="2326" spans="31:31" ht="12.75" customHeight="1" x14ac:dyDescent="0.15">
      <c r="AE2326" s="13"/>
    </row>
    <row r="2327" spans="31:31" ht="12.75" customHeight="1" x14ac:dyDescent="0.15">
      <c r="AE2327" s="13"/>
    </row>
    <row r="2328" spans="31:31" ht="12.75" customHeight="1" x14ac:dyDescent="0.15">
      <c r="AE2328" s="13"/>
    </row>
    <row r="2329" spans="31:31" ht="12.75" customHeight="1" x14ac:dyDescent="0.15">
      <c r="AE2329" s="13"/>
    </row>
    <row r="2330" spans="31:31" ht="12.75" customHeight="1" x14ac:dyDescent="0.15">
      <c r="AE2330" s="13"/>
    </row>
    <row r="2331" spans="31:31" ht="12.75" customHeight="1" x14ac:dyDescent="0.15">
      <c r="AE2331" s="13"/>
    </row>
    <row r="2332" spans="31:31" ht="12.75" customHeight="1" x14ac:dyDescent="0.15">
      <c r="AE2332" s="13"/>
    </row>
    <row r="2333" spans="31:31" ht="12.75" customHeight="1" x14ac:dyDescent="0.15">
      <c r="AE2333" s="13"/>
    </row>
    <row r="2334" spans="31:31" ht="12.75" customHeight="1" x14ac:dyDescent="0.15">
      <c r="AE2334" s="13"/>
    </row>
    <row r="2335" spans="31:31" ht="12.75" customHeight="1" x14ac:dyDescent="0.15">
      <c r="AE2335" s="13"/>
    </row>
    <row r="2336" spans="31:31" ht="12.75" customHeight="1" x14ac:dyDescent="0.15">
      <c r="AE2336" s="13"/>
    </row>
    <row r="2337" spans="31:31" ht="12.75" customHeight="1" x14ac:dyDescent="0.15">
      <c r="AE2337" s="13"/>
    </row>
    <row r="2338" spans="31:31" ht="12.75" customHeight="1" x14ac:dyDescent="0.15">
      <c r="AE2338" s="13"/>
    </row>
    <row r="2339" spans="31:31" ht="12.75" customHeight="1" x14ac:dyDescent="0.15">
      <c r="AE2339" s="13"/>
    </row>
    <row r="2340" spans="31:31" ht="12.75" customHeight="1" x14ac:dyDescent="0.15">
      <c r="AE2340" s="13"/>
    </row>
    <row r="2341" spans="31:31" ht="12.75" customHeight="1" x14ac:dyDescent="0.15">
      <c r="AE2341" s="13"/>
    </row>
    <row r="2342" spans="31:31" ht="12.75" customHeight="1" x14ac:dyDescent="0.15">
      <c r="AE2342" s="13"/>
    </row>
    <row r="2343" spans="31:31" ht="12.75" customHeight="1" x14ac:dyDescent="0.15">
      <c r="AE2343" s="13"/>
    </row>
    <row r="2344" spans="31:31" ht="12.75" customHeight="1" x14ac:dyDescent="0.15">
      <c r="AE2344" s="13"/>
    </row>
    <row r="2345" spans="31:31" ht="12.75" customHeight="1" x14ac:dyDescent="0.15">
      <c r="AE2345" s="13"/>
    </row>
    <row r="2346" spans="31:31" ht="12.75" customHeight="1" x14ac:dyDescent="0.15">
      <c r="AE2346" s="13"/>
    </row>
    <row r="2347" spans="31:31" ht="12.75" customHeight="1" x14ac:dyDescent="0.15">
      <c r="AE2347" s="13"/>
    </row>
    <row r="2348" spans="31:31" ht="12.75" customHeight="1" x14ac:dyDescent="0.15">
      <c r="AE2348" s="13"/>
    </row>
    <row r="2349" spans="31:31" ht="12.75" customHeight="1" x14ac:dyDescent="0.15">
      <c r="AE2349" s="13"/>
    </row>
    <row r="2350" spans="31:31" ht="12.75" customHeight="1" x14ac:dyDescent="0.15">
      <c r="AE2350" s="13"/>
    </row>
    <row r="2351" spans="31:31" ht="12.75" customHeight="1" x14ac:dyDescent="0.15">
      <c r="AE2351" s="13"/>
    </row>
    <row r="2352" spans="31:31" ht="12.75" customHeight="1" x14ac:dyDescent="0.15">
      <c r="AE2352" s="13"/>
    </row>
    <row r="2353" spans="31:31" ht="12.75" customHeight="1" x14ac:dyDescent="0.15">
      <c r="AE2353" s="13"/>
    </row>
    <row r="2354" spans="31:31" ht="12.75" customHeight="1" x14ac:dyDescent="0.15">
      <c r="AE2354" s="13"/>
    </row>
    <row r="2355" spans="31:31" ht="12.75" customHeight="1" x14ac:dyDescent="0.15">
      <c r="AE2355" s="13"/>
    </row>
    <row r="2356" spans="31:31" ht="12.75" customHeight="1" x14ac:dyDescent="0.15">
      <c r="AE2356" s="13"/>
    </row>
    <row r="2357" spans="31:31" ht="12.75" customHeight="1" x14ac:dyDescent="0.15">
      <c r="AE2357" s="13"/>
    </row>
    <row r="2358" spans="31:31" ht="12.75" customHeight="1" x14ac:dyDescent="0.15">
      <c r="AE2358" s="13"/>
    </row>
    <row r="2359" spans="31:31" ht="12.75" customHeight="1" x14ac:dyDescent="0.15">
      <c r="AE2359" s="13"/>
    </row>
    <row r="2360" spans="31:31" ht="12.75" customHeight="1" x14ac:dyDescent="0.15">
      <c r="AE2360" s="13"/>
    </row>
    <row r="2361" spans="31:31" ht="12.75" customHeight="1" x14ac:dyDescent="0.15">
      <c r="AE2361" s="13"/>
    </row>
    <row r="2362" spans="31:31" ht="12.75" customHeight="1" x14ac:dyDescent="0.15">
      <c r="AE2362" s="13"/>
    </row>
    <row r="2363" spans="31:31" ht="12.75" customHeight="1" x14ac:dyDescent="0.15">
      <c r="AE2363" s="13"/>
    </row>
    <row r="2364" spans="31:31" ht="12.75" customHeight="1" x14ac:dyDescent="0.15">
      <c r="AE2364" s="13"/>
    </row>
    <row r="2365" spans="31:31" ht="12.75" customHeight="1" x14ac:dyDescent="0.15">
      <c r="AE2365" s="13"/>
    </row>
    <row r="2366" spans="31:31" ht="12.75" customHeight="1" x14ac:dyDescent="0.15">
      <c r="AE2366" s="13"/>
    </row>
    <row r="2367" spans="31:31" ht="12.75" customHeight="1" x14ac:dyDescent="0.15">
      <c r="AE2367" s="13"/>
    </row>
    <row r="2368" spans="31:31" ht="12.75" customHeight="1" x14ac:dyDescent="0.15">
      <c r="AE2368" s="13"/>
    </row>
    <row r="2369" spans="31:31" ht="12.75" customHeight="1" x14ac:dyDescent="0.15">
      <c r="AE2369" s="13"/>
    </row>
    <row r="2370" spans="31:31" ht="12.75" customHeight="1" x14ac:dyDescent="0.15">
      <c r="AE2370" s="13"/>
    </row>
    <row r="2371" spans="31:31" ht="12.75" customHeight="1" x14ac:dyDescent="0.15">
      <c r="AE2371" s="13"/>
    </row>
    <row r="2372" spans="31:31" ht="12.75" customHeight="1" x14ac:dyDescent="0.15">
      <c r="AE2372" s="13"/>
    </row>
    <row r="2373" spans="31:31" ht="12.75" customHeight="1" x14ac:dyDescent="0.15">
      <c r="AE2373" s="13"/>
    </row>
    <row r="2374" spans="31:31" ht="12.75" customHeight="1" x14ac:dyDescent="0.15">
      <c r="AE2374" s="13"/>
    </row>
    <row r="2375" spans="31:31" ht="12.75" customHeight="1" x14ac:dyDescent="0.15">
      <c r="AE2375" s="13"/>
    </row>
    <row r="2376" spans="31:31" ht="12.75" customHeight="1" x14ac:dyDescent="0.15">
      <c r="AE2376" s="13"/>
    </row>
    <row r="2377" spans="31:31" ht="12.75" customHeight="1" x14ac:dyDescent="0.15">
      <c r="AE2377" s="13"/>
    </row>
    <row r="2378" spans="31:31" ht="12.75" customHeight="1" x14ac:dyDescent="0.15">
      <c r="AE2378" s="13"/>
    </row>
    <row r="2379" spans="31:31" ht="12.75" customHeight="1" x14ac:dyDescent="0.15">
      <c r="AE2379" s="13"/>
    </row>
    <row r="2380" spans="31:31" ht="12.75" customHeight="1" x14ac:dyDescent="0.15">
      <c r="AE2380" s="13"/>
    </row>
    <row r="2381" spans="31:31" ht="12.75" customHeight="1" x14ac:dyDescent="0.15">
      <c r="AE2381" s="13"/>
    </row>
    <row r="2382" spans="31:31" ht="12.75" customHeight="1" x14ac:dyDescent="0.15">
      <c r="AE2382" s="13"/>
    </row>
    <row r="2383" spans="31:31" ht="12.75" customHeight="1" x14ac:dyDescent="0.15">
      <c r="AE2383" s="13"/>
    </row>
    <row r="2384" spans="31:31" ht="12.75" customHeight="1" x14ac:dyDescent="0.15">
      <c r="AE2384" s="13"/>
    </row>
    <row r="2385" spans="31:31" ht="12.75" customHeight="1" x14ac:dyDescent="0.15">
      <c r="AE2385" s="13"/>
    </row>
    <row r="2386" spans="31:31" ht="12.75" customHeight="1" x14ac:dyDescent="0.15">
      <c r="AE2386" s="13"/>
    </row>
    <row r="2387" spans="31:31" ht="12.75" customHeight="1" x14ac:dyDescent="0.15">
      <c r="AE2387" s="13"/>
    </row>
    <row r="2388" spans="31:31" ht="12.75" customHeight="1" x14ac:dyDescent="0.15">
      <c r="AE2388" s="13"/>
    </row>
    <row r="2389" spans="31:31" ht="12.75" customHeight="1" x14ac:dyDescent="0.15">
      <c r="AE2389" s="13"/>
    </row>
    <row r="2390" spans="31:31" ht="12.75" customHeight="1" x14ac:dyDescent="0.15">
      <c r="AE2390" s="13"/>
    </row>
    <row r="2391" spans="31:31" ht="12.75" customHeight="1" x14ac:dyDescent="0.15">
      <c r="AE2391" s="13"/>
    </row>
    <row r="2392" spans="31:31" ht="12.75" customHeight="1" x14ac:dyDescent="0.15">
      <c r="AE2392" s="13"/>
    </row>
    <row r="2393" spans="31:31" ht="12.75" customHeight="1" x14ac:dyDescent="0.15">
      <c r="AE2393" s="13"/>
    </row>
    <row r="2394" spans="31:31" ht="12.75" customHeight="1" x14ac:dyDescent="0.15">
      <c r="AE2394" s="13"/>
    </row>
    <row r="2395" spans="31:31" ht="12.75" customHeight="1" x14ac:dyDescent="0.15">
      <c r="AE2395" s="13"/>
    </row>
    <row r="2396" spans="31:31" ht="12.75" customHeight="1" x14ac:dyDescent="0.15">
      <c r="AE2396" s="13"/>
    </row>
    <row r="2397" spans="31:31" ht="12.75" customHeight="1" x14ac:dyDescent="0.15">
      <c r="AE2397" s="13"/>
    </row>
    <row r="2398" spans="31:31" ht="12.75" customHeight="1" x14ac:dyDescent="0.15">
      <c r="AE2398" s="13"/>
    </row>
    <row r="2399" spans="31:31" ht="12.75" customHeight="1" x14ac:dyDescent="0.15">
      <c r="AE2399" s="13"/>
    </row>
    <row r="2400" spans="31:31" ht="12.75" customHeight="1" x14ac:dyDescent="0.15">
      <c r="AE2400" s="13"/>
    </row>
    <row r="2401" spans="31:31" ht="12.75" customHeight="1" x14ac:dyDescent="0.15">
      <c r="AE2401" s="13"/>
    </row>
    <row r="2402" spans="31:31" ht="12.75" customHeight="1" x14ac:dyDescent="0.15">
      <c r="AE2402" s="13"/>
    </row>
    <row r="2403" spans="31:31" ht="12.75" customHeight="1" x14ac:dyDescent="0.15">
      <c r="AE2403" s="13"/>
    </row>
    <row r="2404" spans="31:31" ht="12.75" customHeight="1" x14ac:dyDescent="0.15">
      <c r="AE2404" s="13"/>
    </row>
    <row r="2405" spans="31:31" ht="12.75" customHeight="1" x14ac:dyDescent="0.15">
      <c r="AE2405" s="13"/>
    </row>
    <row r="2406" spans="31:31" ht="12.75" customHeight="1" x14ac:dyDescent="0.15">
      <c r="AE2406" s="13"/>
    </row>
    <row r="2407" spans="31:31" ht="12.75" customHeight="1" x14ac:dyDescent="0.15">
      <c r="AE2407" s="13"/>
    </row>
    <row r="2408" spans="31:31" ht="12.75" customHeight="1" x14ac:dyDescent="0.15">
      <c r="AE2408" s="13"/>
    </row>
    <row r="2409" spans="31:31" ht="12.75" customHeight="1" x14ac:dyDescent="0.15">
      <c r="AE2409" s="13"/>
    </row>
    <row r="2410" spans="31:31" ht="12.75" customHeight="1" x14ac:dyDescent="0.15">
      <c r="AE2410" s="13"/>
    </row>
    <row r="2411" spans="31:31" ht="12.75" customHeight="1" x14ac:dyDescent="0.15">
      <c r="AE2411" s="13"/>
    </row>
    <row r="2412" spans="31:31" ht="12.75" customHeight="1" x14ac:dyDescent="0.15">
      <c r="AE2412" s="13"/>
    </row>
    <row r="2413" spans="31:31" ht="12.75" customHeight="1" x14ac:dyDescent="0.15">
      <c r="AE2413" s="13"/>
    </row>
    <row r="2414" spans="31:31" ht="12.75" customHeight="1" x14ac:dyDescent="0.15">
      <c r="AE2414" s="13"/>
    </row>
    <row r="2415" spans="31:31" ht="12.75" customHeight="1" x14ac:dyDescent="0.15">
      <c r="AE2415" s="13"/>
    </row>
    <row r="2416" spans="31:31" ht="12.75" customHeight="1" x14ac:dyDescent="0.15">
      <c r="AE2416" s="13"/>
    </row>
    <row r="2417" spans="31:31" ht="12.75" customHeight="1" x14ac:dyDescent="0.15">
      <c r="AE2417" s="13"/>
    </row>
    <row r="2418" spans="31:31" ht="12.75" customHeight="1" x14ac:dyDescent="0.15">
      <c r="AE2418" s="13"/>
    </row>
    <row r="2419" spans="31:31" ht="12.75" customHeight="1" x14ac:dyDescent="0.15">
      <c r="AE2419" s="13"/>
    </row>
    <row r="2420" spans="31:31" ht="12.75" customHeight="1" x14ac:dyDescent="0.15">
      <c r="AE2420" s="13"/>
    </row>
    <row r="2421" spans="31:31" ht="12.75" customHeight="1" x14ac:dyDescent="0.15">
      <c r="AE2421" s="13"/>
    </row>
    <row r="2422" spans="31:31" ht="12.75" customHeight="1" x14ac:dyDescent="0.15">
      <c r="AE2422" s="13"/>
    </row>
    <row r="2423" spans="31:31" ht="12.75" customHeight="1" x14ac:dyDescent="0.15">
      <c r="AE2423" s="13"/>
    </row>
    <row r="2424" spans="31:31" ht="12.75" customHeight="1" x14ac:dyDescent="0.15">
      <c r="AE2424" s="13"/>
    </row>
    <row r="2425" spans="31:31" ht="12.75" customHeight="1" x14ac:dyDescent="0.15">
      <c r="AE2425" s="13"/>
    </row>
    <row r="2426" spans="31:31" ht="12.75" customHeight="1" x14ac:dyDescent="0.15">
      <c r="AE2426" s="13"/>
    </row>
    <row r="2427" spans="31:31" ht="12.75" customHeight="1" x14ac:dyDescent="0.15">
      <c r="AE2427" s="13"/>
    </row>
    <row r="2428" spans="31:31" ht="12.75" customHeight="1" x14ac:dyDescent="0.15">
      <c r="AE2428" s="13"/>
    </row>
    <row r="2429" spans="31:31" ht="12.75" customHeight="1" x14ac:dyDescent="0.15">
      <c r="AE2429" s="13"/>
    </row>
    <row r="2430" spans="31:31" ht="12.75" customHeight="1" x14ac:dyDescent="0.15">
      <c r="AE2430" s="13"/>
    </row>
    <row r="2431" spans="31:31" ht="12.75" customHeight="1" x14ac:dyDescent="0.15">
      <c r="AE2431" s="13"/>
    </row>
    <row r="2432" spans="31:31" ht="12.75" customHeight="1" x14ac:dyDescent="0.15">
      <c r="AE2432" s="13"/>
    </row>
    <row r="2433" spans="31:31" ht="12.75" customHeight="1" x14ac:dyDescent="0.15">
      <c r="AE2433" s="13"/>
    </row>
    <row r="2434" spans="31:31" ht="12.75" customHeight="1" x14ac:dyDescent="0.15">
      <c r="AE2434" s="13"/>
    </row>
    <row r="2435" spans="31:31" ht="12.75" customHeight="1" x14ac:dyDescent="0.15">
      <c r="AE2435" s="13"/>
    </row>
    <row r="2436" spans="31:31" ht="12.75" customHeight="1" x14ac:dyDescent="0.15">
      <c r="AE2436" s="13"/>
    </row>
    <row r="2437" spans="31:31" ht="12.75" customHeight="1" x14ac:dyDescent="0.15">
      <c r="AE2437" s="13"/>
    </row>
    <row r="2438" spans="31:31" ht="12.75" customHeight="1" x14ac:dyDescent="0.15">
      <c r="AE2438" s="13"/>
    </row>
    <row r="2439" spans="31:31" ht="12.75" customHeight="1" x14ac:dyDescent="0.15">
      <c r="AE2439" s="13"/>
    </row>
    <row r="2440" spans="31:31" ht="12.75" customHeight="1" x14ac:dyDescent="0.15">
      <c r="AE2440" s="13"/>
    </row>
    <row r="2441" spans="31:31" ht="12.75" customHeight="1" x14ac:dyDescent="0.15">
      <c r="AE2441" s="13"/>
    </row>
    <row r="2442" spans="31:31" ht="12.75" customHeight="1" x14ac:dyDescent="0.15">
      <c r="AE2442" s="13"/>
    </row>
    <row r="2443" spans="31:31" ht="12.75" customHeight="1" x14ac:dyDescent="0.15">
      <c r="AE2443" s="13"/>
    </row>
    <row r="2444" spans="31:31" ht="12.75" customHeight="1" x14ac:dyDescent="0.15">
      <c r="AE2444" s="13"/>
    </row>
    <row r="2445" spans="31:31" ht="12.75" customHeight="1" x14ac:dyDescent="0.15">
      <c r="AE2445" s="13"/>
    </row>
    <row r="2446" spans="31:31" ht="12.75" customHeight="1" x14ac:dyDescent="0.15">
      <c r="AE2446" s="13"/>
    </row>
    <row r="2447" spans="31:31" ht="12.75" customHeight="1" x14ac:dyDescent="0.15">
      <c r="AE2447" s="13"/>
    </row>
    <row r="2448" spans="31:31" ht="12.75" customHeight="1" x14ac:dyDescent="0.15">
      <c r="AE2448" s="13"/>
    </row>
    <row r="2449" spans="31:31" ht="12.75" customHeight="1" x14ac:dyDescent="0.15">
      <c r="AE2449" s="13"/>
    </row>
    <row r="2450" spans="31:31" ht="12.75" customHeight="1" x14ac:dyDescent="0.15">
      <c r="AE2450" s="13"/>
    </row>
    <row r="2451" spans="31:31" ht="12.75" customHeight="1" x14ac:dyDescent="0.15">
      <c r="AE2451" s="13"/>
    </row>
    <row r="2452" spans="31:31" ht="12.75" customHeight="1" x14ac:dyDescent="0.15">
      <c r="AE2452" s="13"/>
    </row>
    <row r="2453" spans="31:31" ht="12.75" customHeight="1" x14ac:dyDescent="0.15">
      <c r="AE2453" s="13"/>
    </row>
    <row r="2454" spans="31:31" ht="12.75" customHeight="1" x14ac:dyDescent="0.15">
      <c r="AE2454" s="13"/>
    </row>
    <row r="2455" spans="31:31" ht="12.75" customHeight="1" x14ac:dyDescent="0.15">
      <c r="AE2455" s="13"/>
    </row>
    <row r="2456" spans="31:31" ht="12.75" customHeight="1" x14ac:dyDescent="0.15">
      <c r="AE2456" s="13"/>
    </row>
    <row r="2457" spans="31:31" ht="12.75" customHeight="1" x14ac:dyDescent="0.15">
      <c r="AE2457" s="13"/>
    </row>
    <row r="2458" spans="31:31" ht="12.75" customHeight="1" x14ac:dyDescent="0.15">
      <c r="AE2458" s="13"/>
    </row>
    <row r="2459" spans="31:31" ht="12.75" customHeight="1" x14ac:dyDescent="0.15">
      <c r="AE2459" s="13"/>
    </row>
    <row r="2460" spans="31:31" ht="12.75" customHeight="1" x14ac:dyDescent="0.15">
      <c r="AE2460" s="13"/>
    </row>
    <row r="2461" spans="31:31" ht="12.75" customHeight="1" x14ac:dyDescent="0.15">
      <c r="AE2461" s="13"/>
    </row>
    <row r="2462" spans="31:31" ht="12.75" customHeight="1" x14ac:dyDescent="0.15">
      <c r="AE2462" s="13"/>
    </row>
    <row r="2463" spans="31:31" ht="12.75" customHeight="1" x14ac:dyDescent="0.15">
      <c r="AE2463" s="13"/>
    </row>
    <row r="2464" spans="31:31" ht="12.75" customHeight="1" x14ac:dyDescent="0.15">
      <c r="AE2464" s="13"/>
    </row>
    <row r="2465" spans="31:31" ht="12.75" customHeight="1" x14ac:dyDescent="0.15">
      <c r="AE2465" s="13"/>
    </row>
    <row r="2466" spans="31:31" ht="12.75" customHeight="1" x14ac:dyDescent="0.15">
      <c r="AE2466" s="13"/>
    </row>
    <row r="2467" spans="31:31" ht="12.75" customHeight="1" x14ac:dyDescent="0.15">
      <c r="AE2467" s="13"/>
    </row>
    <row r="2468" spans="31:31" ht="12.75" customHeight="1" x14ac:dyDescent="0.15">
      <c r="AE2468" s="13"/>
    </row>
    <row r="2469" spans="31:31" ht="12.75" customHeight="1" x14ac:dyDescent="0.15">
      <c r="AE2469" s="13"/>
    </row>
    <row r="2470" spans="31:31" ht="12.75" customHeight="1" x14ac:dyDescent="0.15">
      <c r="AE2470" s="13"/>
    </row>
    <row r="2471" spans="31:31" ht="12.75" customHeight="1" x14ac:dyDescent="0.15">
      <c r="AE2471" s="13"/>
    </row>
    <row r="2472" spans="31:31" ht="12.75" customHeight="1" x14ac:dyDescent="0.15">
      <c r="AE2472" s="13"/>
    </row>
    <row r="2473" spans="31:31" ht="12.75" customHeight="1" x14ac:dyDescent="0.15">
      <c r="AE2473" s="13"/>
    </row>
    <row r="2474" spans="31:31" ht="12.75" customHeight="1" x14ac:dyDescent="0.15">
      <c r="AE2474" s="13"/>
    </row>
    <row r="2475" spans="31:31" ht="12.75" customHeight="1" x14ac:dyDescent="0.15">
      <c r="AE2475" s="13"/>
    </row>
    <row r="2476" spans="31:31" ht="12.75" customHeight="1" x14ac:dyDescent="0.15">
      <c r="AE2476" s="13"/>
    </row>
    <row r="2477" spans="31:31" ht="12.75" customHeight="1" x14ac:dyDescent="0.15">
      <c r="AE2477" s="13"/>
    </row>
    <row r="2478" spans="31:31" ht="12.75" customHeight="1" x14ac:dyDescent="0.15">
      <c r="AE2478" s="13"/>
    </row>
    <row r="2479" spans="31:31" ht="12.75" customHeight="1" x14ac:dyDescent="0.15">
      <c r="AE2479" s="13"/>
    </row>
    <row r="2480" spans="31:31" ht="12.75" customHeight="1" x14ac:dyDescent="0.15">
      <c r="AE2480" s="13"/>
    </row>
    <row r="2481" spans="31:31" ht="12.75" customHeight="1" x14ac:dyDescent="0.15">
      <c r="AE2481" s="13"/>
    </row>
    <row r="2482" spans="31:31" ht="12.75" customHeight="1" x14ac:dyDescent="0.15">
      <c r="AE2482" s="13"/>
    </row>
    <row r="2483" spans="31:31" ht="12.75" customHeight="1" x14ac:dyDescent="0.15">
      <c r="AE2483" s="13"/>
    </row>
    <row r="2484" spans="31:31" ht="12.75" customHeight="1" x14ac:dyDescent="0.15">
      <c r="AE2484" s="13"/>
    </row>
    <row r="2485" spans="31:31" ht="12.75" customHeight="1" x14ac:dyDescent="0.15">
      <c r="AE2485" s="13"/>
    </row>
    <row r="2486" spans="31:31" ht="12.75" customHeight="1" x14ac:dyDescent="0.15">
      <c r="AE2486" s="13"/>
    </row>
    <row r="2487" spans="31:31" ht="12.75" customHeight="1" x14ac:dyDescent="0.15">
      <c r="AE2487" s="13"/>
    </row>
    <row r="2488" spans="31:31" ht="12.75" customHeight="1" x14ac:dyDescent="0.15">
      <c r="AE2488" s="13"/>
    </row>
    <row r="2489" spans="31:31" ht="12.75" customHeight="1" x14ac:dyDescent="0.15">
      <c r="AE2489" s="13"/>
    </row>
    <row r="2490" spans="31:31" ht="12.75" customHeight="1" x14ac:dyDescent="0.15">
      <c r="AE2490" s="13"/>
    </row>
    <row r="2491" spans="31:31" ht="12.75" customHeight="1" x14ac:dyDescent="0.15">
      <c r="AE2491" s="13"/>
    </row>
    <row r="2492" spans="31:31" ht="12.75" customHeight="1" x14ac:dyDescent="0.15">
      <c r="AE2492" s="13"/>
    </row>
    <row r="2493" spans="31:31" ht="12.75" customHeight="1" x14ac:dyDescent="0.15">
      <c r="AE2493" s="13"/>
    </row>
    <row r="2494" spans="31:31" ht="12.75" customHeight="1" x14ac:dyDescent="0.15">
      <c r="AE2494" s="13"/>
    </row>
    <row r="2495" spans="31:31" ht="12.75" customHeight="1" x14ac:dyDescent="0.15">
      <c r="AE2495" s="13"/>
    </row>
    <row r="2496" spans="31:31" ht="12.75" customHeight="1" x14ac:dyDescent="0.15">
      <c r="AE2496" s="13"/>
    </row>
    <row r="2497" spans="31:31" ht="12.75" customHeight="1" x14ac:dyDescent="0.15">
      <c r="AE2497" s="13"/>
    </row>
    <row r="2498" spans="31:31" ht="12.75" customHeight="1" x14ac:dyDescent="0.15">
      <c r="AE2498" s="13"/>
    </row>
    <row r="2499" spans="31:31" ht="12.75" customHeight="1" x14ac:dyDescent="0.15">
      <c r="AE2499" s="13"/>
    </row>
    <row r="2500" spans="31:31" ht="12.75" customHeight="1" x14ac:dyDescent="0.15">
      <c r="AE2500" s="13"/>
    </row>
    <row r="2501" spans="31:31" ht="12.75" customHeight="1" x14ac:dyDescent="0.15">
      <c r="AE2501" s="13"/>
    </row>
    <row r="2502" spans="31:31" ht="12.75" customHeight="1" x14ac:dyDescent="0.15">
      <c r="AE2502" s="13"/>
    </row>
    <row r="2503" spans="31:31" ht="12.75" customHeight="1" x14ac:dyDescent="0.15">
      <c r="AE2503" s="13"/>
    </row>
    <row r="2504" spans="31:31" ht="12.75" customHeight="1" x14ac:dyDescent="0.15">
      <c r="AE2504" s="13"/>
    </row>
    <row r="2505" spans="31:31" ht="12.75" customHeight="1" x14ac:dyDescent="0.15">
      <c r="AE2505" s="13"/>
    </row>
    <row r="2506" spans="31:31" ht="12.75" customHeight="1" x14ac:dyDescent="0.15">
      <c r="AE2506" s="13"/>
    </row>
    <row r="2507" spans="31:31" ht="12.75" customHeight="1" x14ac:dyDescent="0.15">
      <c r="AE2507" s="13"/>
    </row>
    <row r="2508" spans="31:31" ht="12.75" customHeight="1" x14ac:dyDescent="0.15">
      <c r="AE2508" s="13"/>
    </row>
    <row r="2509" spans="31:31" ht="12.75" customHeight="1" x14ac:dyDescent="0.15">
      <c r="AE2509" s="13"/>
    </row>
    <row r="2510" spans="31:31" ht="12.75" customHeight="1" x14ac:dyDescent="0.15">
      <c r="AE2510" s="13"/>
    </row>
    <row r="2511" spans="31:31" ht="12.75" customHeight="1" x14ac:dyDescent="0.15">
      <c r="AE2511" s="13"/>
    </row>
    <row r="2512" spans="31:31" ht="12.75" customHeight="1" x14ac:dyDescent="0.15">
      <c r="AE2512" s="13"/>
    </row>
    <row r="2513" spans="31:31" ht="12.75" customHeight="1" x14ac:dyDescent="0.15">
      <c r="AE2513" s="13"/>
    </row>
    <row r="2514" spans="31:31" ht="12.75" customHeight="1" x14ac:dyDescent="0.15">
      <c r="AE2514" s="13"/>
    </row>
    <row r="2515" spans="31:31" ht="12.75" customHeight="1" x14ac:dyDescent="0.15">
      <c r="AE2515" s="13"/>
    </row>
    <row r="2516" spans="31:31" ht="12.75" customHeight="1" x14ac:dyDescent="0.15">
      <c r="AE2516" s="13"/>
    </row>
    <row r="2517" spans="31:31" ht="12.75" customHeight="1" x14ac:dyDescent="0.15">
      <c r="AE2517" s="13"/>
    </row>
    <row r="2518" spans="31:31" ht="12.75" customHeight="1" x14ac:dyDescent="0.15">
      <c r="AE2518" s="13"/>
    </row>
    <row r="2519" spans="31:31" ht="12.75" customHeight="1" x14ac:dyDescent="0.15">
      <c r="AE2519" s="13"/>
    </row>
    <row r="2520" spans="31:31" ht="12.75" customHeight="1" x14ac:dyDescent="0.15">
      <c r="AE2520" s="13"/>
    </row>
    <row r="2521" spans="31:31" ht="12.75" customHeight="1" x14ac:dyDescent="0.15">
      <c r="AE2521" s="13"/>
    </row>
    <row r="2522" spans="31:31" ht="12.75" customHeight="1" x14ac:dyDescent="0.15">
      <c r="AE2522" s="13"/>
    </row>
    <row r="2523" spans="31:31" ht="12.75" customHeight="1" x14ac:dyDescent="0.15">
      <c r="AE2523" s="13"/>
    </row>
    <row r="2524" spans="31:31" ht="12.75" customHeight="1" x14ac:dyDescent="0.15">
      <c r="AE2524" s="13"/>
    </row>
    <row r="2525" spans="31:31" ht="12.75" customHeight="1" x14ac:dyDescent="0.15">
      <c r="AE2525" s="13"/>
    </row>
    <row r="2526" spans="31:31" ht="12.75" customHeight="1" x14ac:dyDescent="0.15">
      <c r="AE2526" s="13"/>
    </row>
    <row r="2527" spans="31:31" ht="12.75" customHeight="1" x14ac:dyDescent="0.15">
      <c r="AE2527" s="13"/>
    </row>
    <row r="2528" spans="31:31" ht="12.75" customHeight="1" x14ac:dyDescent="0.15">
      <c r="AE2528" s="13"/>
    </row>
    <row r="2529" spans="31:31" ht="12.75" customHeight="1" x14ac:dyDescent="0.15">
      <c r="AE2529" s="13"/>
    </row>
    <row r="2530" spans="31:31" ht="12.75" customHeight="1" x14ac:dyDescent="0.15">
      <c r="AE2530" s="13"/>
    </row>
    <row r="2531" spans="31:31" ht="12.75" customHeight="1" x14ac:dyDescent="0.15">
      <c r="AE2531" s="13"/>
    </row>
    <row r="2532" spans="31:31" ht="12.75" customHeight="1" x14ac:dyDescent="0.15">
      <c r="AE2532" s="13"/>
    </row>
    <row r="2533" spans="31:31" ht="12.75" customHeight="1" x14ac:dyDescent="0.15">
      <c r="AE2533" s="13"/>
    </row>
    <row r="2534" spans="31:31" ht="12.75" customHeight="1" x14ac:dyDescent="0.15">
      <c r="AE2534" s="13"/>
    </row>
    <row r="2535" spans="31:31" ht="12.75" customHeight="1" x14ac:dyDescent="0.15">
      <c r="AE2535" s="13"/>
    </row>
    <row r="2536" spans="31:31" ht="12.75" customHeight="1" x14ac:dyDescent="0.15">
      <c r="AE2536" s="13"/>
    </row>
    <row r="2537" spans="31:31" ht="12.75" customHeight="1" x14ac:dyDescent="0.15">
      <c r="AE2537" s="13"/>
    </row>
    <row r="2538" spans="31:31" ht="12.75" customHeight="1" x14ac:dyDescent="0.15">
      <c r="AE2538" s="13"/>
    </row>
    <row r="2539" spans="31:31" ht="12.75" customHeight="1" x14ac:dyDescent="0.15">
      <c r="AE2539" s="13"/>
    </row>
    <row r="2540" spans="31:31" ht="12.75" customHeight="1" x14ac:dyDescent="0.15">
      <c r="AE2540" s="13"/>
    </row>
    <row r="2541" spans="31:31" ht="12.75" customHeight="1" x14ac:dyDescent="0.15">
      <c r="AE2541" s="13"/>
    </row>
    <row r="2542" spans="31:31" ht="12.75" customHeight="1" x14ac:dyDescent="0.15">
      <c r="AE2542" s="13"/>
    </row>
    <row r="2543" spans="31:31" ht="12.75" customHeight="1" x14ac:dyDescent="0.15">
      <c r="AE2543" s="13"/>
    </row>
    <row r="2544" spans="31:31" ht="12.75" customHeight="1" x14ac:dyDescent="0.15">
      <c r="AE2544" s="13"/>
    </row>
    <row r="2545" spans="31:31" ht="12.75" customHeight="1" x14ac:dyDescent="0.15">
      <c r="AE2545" s="13"/>
    </row>
    <row r="2546" spans="31:31" ht="12.75" customHeight="1" x14ac:dyDescent="0.15">
      <c r="AE2546" s="13"/>
    </row>
    <row r="2547" spans="31:31" ht="12.75" customHeight="1" x14ac:dyDescent="0.15">
      <c r="AE2547" s="13"/>
    </row>
    <row r="2548" spans="31:31" ht="12.75" customHeight="1" x14ac:dyDescent="0.15">
      <c r="AE2548" s="13"/>
    </row>
    <row r="2549" spans="31:31" ht="12.75" customHeight="1" x14ac:dyDescent="0.15">
      <c r="AE2549" s="13"/>
    </row>
    <row r="2550" spans="31:31" ht="12.75" customHeight="1" x14ac:dyDescent="0.15">
      <c r="AE2550" s="13"/>
    </row>
    <row r="2551" spans="31:31" ht="12.75" customHeight="1" x14ac:dyDescent="0.15">
      <c r="AE2551" s="13"/>
    </row>
    <row r="2552" spans="31:31" ht="12.75" customHeight="1" x14ac:dyDescent="0.15">
      <c r="AE2552" s="13"/>
    </row>
    <row r="2553" spans="31:31" ht="12.75" customHeight="1" x14ac:dyDescent="0.15">
      <c r="AE2553" s="13"/>
    </row>
    <row r="2554" spans="31:31" ht="12.75" customHeight="1" x14ac:dyDescent="0.15">
      <c r="AE2554" s="13"/>
    </row>
    <row r="2555" spans="31:31" ht="12.75" customHeight="1" x14ac:dyDescent="0.15">
      <c r="AE2555" s="13"/>
    </row>
    <row r="2556" spans="31:31" ht="12.75" customHeight="1" x14ac:dyDescent="0.15">
      <c r="AE2556" s="13"/>
    </row>
    <row r="2557" spans="31:31" ht="12.75" customHeight="1" x14ac:dyDescent="0.15">
      <c r="AE2557" s="13"/>
    </row>
    <row r="2558" spans="31:31" ht="12.75" customHeight="1" x14ac:dyDescent="0.15">
      <c r="AE2558" s="13"/>
    </row>
    <row r="2559" spans="31:31" ht="12.75" customHeight="1" x14ac:dyDescent="0.15">
      <c r="AE2559" s="13"/>
    </row>
    <row r="2560" spans="31:31" ht="12.75" customHeight="1" x14ac:dyDescent="0.15">
      <c r="AE2560" s="13"/>
    </row>
    <row r="2561" spans="31:31" ht="12.75" customHeight="1" x14ac:dyDescent="0.15">
      <c r="AE2561" s="13"/>
    </row>
    <row r="2562" spans="31:31" ht="12.75" customHeight="1" x14ac:dyDescent="0.15">
      <c r="AE2562" s="13"/>
    </row>
    <row r="2563" spans="31:31" ht="12.75" customHeight="1" x14ac:dyDescent="0.15">
      <c r="AE2563" s="13"/>
    </row>
    <row r="2564" spans="31:31" ht="12.75" customHeight="1" x14ac:dyDescent="0.15">
      <c r="AE2564" s="13"/>
    </row>
    <row r="2565" spans="31:31" ht="12.75" customHeight="1" x14ac:dyDescent="0.15">
      <c r="AE2565" s="13"/>
    </row>
    <row r="2566" spans="31:31" ht="12.75" customHeight="1" x14ac:dyDescent="0.15">
      <c r="AE2566" s="13"/>
    </row>
    <row r="2567" spans="31:31" ht="12.75" customHeight="1" x14ac:dyDescent="0.15">
      <c r="AE2567" s="13"/>
    </row>
    <row r="2568" spans="31:31" ht="12.75" customHeight="1" x14ac:dyDescent="0.15">
      <c r="AE2568" s="13"/>
    </row>
    <row r="2569" spans="31:31" ht="12.75" customHeight="1" x14ac:dyDescent="0.15">
      <c r="AE2569" s="13"/>
    </row>
    <row r="2570" spans="31:31" ht="12.75" customHeight="1" x14ac:dyDescent="0.15">
      <c r="AE2570" s="13"/>
    </row>
    <row r="2571" spans="31:31" ht="12.75" customHeight="1" x14ac:dyDescent="0.15">
      <c r="AE2571" s="13"/>
    </row>
    <row r="2572" spans="31:31" ht="12.75" customHeight="1" x14ac:dyDescent="0.15">
      <c r="AE2572" s="13"/>
    </row>
    <row r="2573" spans="31:31" ht="12.75" customHeight="1" x14ac:dyDescent="0.15">
      <c r="AE2573" s="13"/>
    </row>
    <row r="2574" spans="31:31" ht="12.75" customHeight="1" x14ac:dyDescent="0.15">
      <c r="AE2574" s="13"/>
    </row>
    <row r="2575" spans="31:31" ht="12.75" customHeight="1" x14ac:dyDescent="0.15">
      <c r="AE2575" s="13"/>
    </row>
    <row r="2576" spans="31:31" ht="12.75" customHeight="1" x14ac:dyDescent="0.15">
      <c r="AE2576" s="13"/>
    </row>
    <row r="2577" spans="31:31" ht="12.75" customHeight="1" x14ac:dyDescent="0.15">
      <c r="AE2577" s="13"/>
    </row>
    <row r="2578" spans="31:31" ht="12.75" customHeight="1" x14ac:dyDescent="0.15">
      <c r="AE2578" s="13"/>
    </row>
    <row r="2579" spans="31:31" ht="12.75" customHeight="1" x14ac:dyDescent="0.15">
      <c r="AE2579" s="13"/>
    </row>
    <row r="2580" spans="31:31" ht="12.75" customHeight="1" x14ac:dyDescent="0.15">
      <c r="AE2580" s="13"/>
    </row>
    <row r="2581" spans="31:31" ht="12.75" customHeight="1" x14ac:dyDescent="0.15">
      <c r="AE2581" s="13"/>
    </row>
    <row r="2582" spans="31:31" ht="12.75" customHeight="1" x14ac:dyDescent="0.15">
      <c r="AE2582" s="13"/>
    </row>
    <row r="2583" spans="31:31" ht="12.75" customHeight="1" x14ac:dyDescent="0.15">
      <c r="AE2583" s="13"/>
    </row>
    <row r="2584" spans="31:31" ht="12.75" customHeight="1" x14ac:dyDescent="0.15">
      <c r="AE2584" s="13"/>
    </row>
    <row r="2585" spans="31:31" ht="12.75" customHeight="1" x14ac:dyDescent="0.15">
      <c r="AE2585" s="13"/>
    </row>
    <row r="2586" spans="31:31" ht="12.75" customHeight="1" x14ac:dyDescent="0.15">
      <c r="AE2586" s="13"/>
    </row>
    <row r="2587" spans="31:31" ht="12.75" customHeight="1" x14ac:dyDescent="0.15">
      <c r="AE2587" s="13"/>
    </row>
    <row r="2588" spans="31:31" ht="12.75" customHeight="1" x14ac:dyDescent="0.15">
      <c r="AE2588" s="13"/>
    </row>
    <row r="2589" spans="31:31" ht="12.75" customHeight="1" x14ac:dyDescent="0.15">
      <c r="AE2589" s="13"/>
    </row>
    <row r="2590" spans="31:31" ht="12.75" customHeight="1" x14ac:dyDescent="0.15">
      <c r="AE2590" s="13"/>
    </row>
    <row r="2591" spans="31:31" ht="12.75" customHeight="1" x14ac:dyDescent="0.15">
      <c r="AE2591" s="13"/>
    </row>
    <row r="2592" spans="31:31" ht="12.75" customHeight="1" x14ac:dyDescent="0.15">
      <c r="AE2592" s="13"/>
    </row>
    <row r="2593" spans="31:31" ht="12.75" customHeight="1" x14ac:dyDescent="0.15">
      <c r="AE2593" s="13"/>
    </row>
    <row r="2594" spans="31:31" ht="12.75" customHeight="1" x14ac:dyDescent="0.15">
      <c r="AE2594" s="13"/>
    </row>
    <row r="2595" spans="31:31" ht="12.75" customHeight="1" x14ac:dyDescent="0.15">
      <c r="AE2595" s="13"/>
    </row>
    <row r="2596" spans="31:31" ht="12.75" customHeight="1" x14ac:dyDescent="0.15">
      <c r="AE2596" s="13"/>
    </row>
    <row r="2597" spans="31:31" ht="12.75" customHeight="1" x14ac:dyDescent="0.15">
      <c r="AE2597" s="13"/>
    </row>
    <row r="2598" spans="31:31" ht="12.75" customHeight="1" x14ac:dyDescent="0.15">
      <c r="AE2598" s="13"/>
    </row>
    <row r="2599" spans="31:31" ht="12.75" customHeight="1" x14ac:dyDescent="0.15">
      <c r="AE2599" s="13"/>
    </row>
    <row r="2600" spans="31:31" ht="12.75" customHeight="1" x14ac:dyDescent="0.15">
      <c r="AE2600" s="13"/>
    </row>
    <row r="2601" spans="31:31" ht="12.75" customHeight="1" x14ac:dyDescent="0.15">
      <c r="AE2601" s="13"/>
    </row>
    <row r="2602" spans="31:31" ht="12.75" customHeight="1" x14ac:dyDescent="0.15">
      <c r="AE2602" s="13"/>
    </row>
    <row r="2603" spans="31:31" ht="12.75" customHeight="1" x14ac:dyDescent="0.15">
      <c r="AE2603" s="13"/>
    </row>
    <row r="2604" spans="31:31" ht="12.75" customHeight="1" x14ac:dyDescent="0.15">
      <c r="AE2604" s="13"/>
    </row>
    <row r="2605" spans="31:31" ht="12.75" customHeight="1" x14ac:dyDescent="0.15">
      <c r="AE2605" s="13"/>
    </row>
    <row r="2606" spans="31:31" ht="12.75" customHeight="1" x14ac:dyDescent="0.15">
      <c r="AE2606" s="13"/>
    </row>
    <row r="2607" spans="31:31" ht="12.75" customHeight="1" x14ac:dyDescent="0.15">
      <c r="AE2607" s="13"/>
    </row>
    <row r="2608" spans="31:31" ht="12.75" customHeight="1" x14ac:dyDescent="0.15">
      <c r="AE2608" s="13"/>
    </row>
    <row r="2609" spans="31:31" ht="12.75" customHeight="1" x14ac:dyDescent="0.15">
      <c r="AE2609" s="13"/>
    </row>
    <row r="2610" spans="31:31" ht="12.75" customHeight="1" x14ac:dyDescent="0.15">
      <c r="AE2610" s="13"/>
    </row>
    <row r="2611" spans="31:31" ht="12.75" customHeight="1" x14ac:dyDescent="0.15">
      <c r="AE2611" s="13"/>
    </row>
    <row r="2612" spans="31:31" ht="12.75" customHeight="1" x14ac:dyDescent="0.15">
      <c r="AE2612" s="13"/>
    </row>
    <row r="2613" spans="31:31" ht="12.75" customHeight="1" x14ac:dyDescent="0.15">
      <c r="AE2613" s="13"/>
    </row>
    <row r="2614" spans="31:31" ht="12.75" customHeight="1" x14ac:dyDescent="0.15">
      <c r="AE2614" s="13"/>
    </row>
    <row r="2615" spans="31:31" ht="12.75" customHeight="1" x14ac:dyDescent="0.15">
      <c r="AE2615" s="13"/>
    </row>
    <row r="2616" spans="31:31" ht="12.75" customHeight="1" x14ac:dyDescent="0.15">
      <c r="AE2616" s="13"/>
    </row>
    <row r="2617" spans="31:31" ht="12.75" customHeight="1" x14ac:dyDescent="0.15">
      <c r="AE2617" s="13"/>
    </row>
    <row r="2618" spans="31:31" ht="12.75" customHeight="1" x14ac:dyDescent="0.15">
      <c r="AE2618" s="13"/>
    </row>
    <row r="2619" spans="31:31" ht="12.75" customHeight="1" x14ac:dyDescent="0.15">
      <c r="AE2619" s="13"/>
    </row>
    <row r="2620" spans="31:31" ht="12.75" customHeight="1" x14ac:dyDescent="0.15">
      <c r="AE2620" s="13"/>
    </row>
    <row r="2621" spans="31:31" ht="12.75" customHeight="1" x14ac:dyDescent="0.15">
      <c r="AE2621" s="13"/>
    </row>
    <row r="2622" spans="31:31" ht="12.75" customHeight="1" x14ac:dyDescent="0.15">
      <c r="AE2622" s="13"/>
    </row>
    <row r="2623" spans="31:31" ht="12.75" customHeight="1" x14ac:dyDescent="0.15">
      <c r="AE2623" s="13"/>
    </row>
    <row r="2624" spans="31:31" ht="12.75" customHeight="1" x14ac:dyDescent="0.15">
      <c r="AE2624" s="13"/>
    </row>
    <row r="2625" spans="31:31" ht="12.75" customHeight="1" x14ac:dyDescent="0.15">
      <c r="AE2625" s="13"/>
    </row>
    <row r="2626" spans="31:31" ht="12.75" customHeight="1" x14ac:dyDescent="0.15">
      <c r="AE2626" s="13"/>
    </row>
    <row r="2627" spans="31:31" ht="12.75" customHeight="1" x14ac:dyDescent="0.15">
      <c r="AE2627" s="13"/>
    </row>
    <row r="2628" spans="31:31" ht="12.75" customHeight="1" x14ac:dyDescent="0.15">
      <c r="AE2628" s="13"/>
    </row>
    <row r="2629" spans="31:31" ht="12.75" customHeight="1" x14ac:dyDescent="0.15">
      <c r="AE2629" s="13"/>
    </row>
    <row r="2630" spans="31:31" ht="12.75" customHeight="1" x14ac:dyDescent="0.15">
      <c r="AE2630" s="13"/>
    </row>
    <row r="2631" spans="31:31" ht="12.75" customHeight="1" x14ac:dyDescent="0.15">
      <c r="AE2631" s="13"/>
    </row>
    <row r="2632" spans="31:31" ht="12.75" customHeight="1" x14ac:dyDescent="0.15">
      <c r="AE2632" s="13"/>
    </row>
    <row r="2633" spans="31:31" ht="12.75" customHeight="1" x14ac:dyDescent="0.15">
      <c r="AE2633" s="13"/>
    </row>
    <row r="2634" spans="31:31" ht="12.75" customHeight="1" x14ac:dyDescent="0.15">
      <c r="AE2634" s="13"/>
    </row>
    <row r="2635" spans="31:31" ht="12.75" customHeight="1" x14ac:dyDescent="0.15">
      <c r="AE2635" s="13"/>
    </row>
    <row r="2636" spans="31:31" ht="12.75" customHeight="1" x14ac:dyDescent="0.15">
      <c r="AE2636" s="13"/>
    </row>
    <row r="2637" spans="31:31" ht="12.75" customHeight="1" x14ac:dyDescent="0.15">
      <c r="AE2637" s="13"/>
    </row>
    <row r="2638" spans="31:31" ht="12.75" customHeight="1" x14ac:dyDescent="0.15">
      <c r="AE2638" s="13"/>
    </row>
    <row r="2639" spans="31:31" ht="12.75" customHeight="1" x14ac:dyDescent="0.15">
      <c r="AE2639" s="13"/>
    </row>
    <row r="2640" spans="31:31" ht="12.75" customHeight="1" x14ac:dyDescent="0.15">
      <c r="AE2640" s="13"/>
    </row>
    <row r="2641" spans="31:31" ht="12.75" customHeight="1" x14ac:dyDescent="0.15">
      <c r="AE2641" s="13"/>
    </row>
    <row r="2642" spans="31:31" ht="12.75" customHeight="1" x14ac:dyDescent="0.15">
      <c r="AE2642" s="13"/>
    </row>
    <row r="2643" spans="31:31" ht="12.75" customHeight="1" x14ac:dyDescent="0.15">
      <c r="AE2643" s="13"/>
    </row>
    <row r="2644" spans="31:31" ht="12.75" customHeight="1" x14ac:dyDescent="0.15">
      <c r="AE2644" s="13"/>
    </row>
    <row r="2645" spans="31:31" ht="12.75" customHeight="1" x14ac:dyDescent="0.15">
      <c r="AE2645" s="13"/>
    </row>
    <row r="2646" spans="31:31" ht="12.75" customHeight="1" x14ac:dyDescent="0.15">
      <c r="AE2646" s="13"/>
    </row>
    <row r="2647" spans="31:31" ht="12.75" customHeight="1" x14ac:dyDescent="0.15">
      <c r="AE2647" s="13"/>
    </row>
    <row r="2648" spans="31:31" ht="12.75" customHeight="1" x14ac:dyDescent="0.15">
      <c r="AE2648" s="13"/>
    </row>
    <row r="2649" spans="31:31" ht="12.75" customHeight="1" x14ac:dyDescent="0.15">
      <c r="AE2649" s="13"/>
    </row>
    <row r="2650" spans="31:31" ht="12.75" customHeight="1" x14ac:dyDescent="0.15">
      <c r="AE2650" s="13"/>
    </row>
    <row r="2651" spans="31:31" ht="12.75" customHeight="1" x14ac:dyDescent="0.15">
      <c r="AE2651" s="13"/>
    </row>
    <row r="2652" spans="31:31" ht="12.75" customHeight="1" x14ac:dyDescent="0.15">
      <c r="AE2652" s="13"/>
    </row>
    <row r="2653" spans="31:31" ht="12.75" customHeight="1" x14ac:dyDescent="0.15">
      <c r="AE2653" s="13"/>
    </row>
    <row r="2654" spans="31:31" ht="12.75" customHeight="1" x14ac:dyDescent="0.15">
      <c r="AE2654" s="13"/>
    </row>
    <row r="2655" spans="31:31" ht="12.75" customHeight="1" x14ac:dyDescent="0.15">
      <c r="AE2655" s="13"/>
    </row>
    <row r="2656" spans="31:31" ht="12.75" customHeight="1" x14ac:dyDescent="0.15">
      <c r="AE2656" s="13"/>
    </row>
    <row r="2657" spans="31:31" ht="12.75" customHeight="1" x14ac:dyDescent="0.15">
      <c r="AE2657" s="13"/>
    </row>
    <row r="2658" spans="31:31" ht="12.75" customHeight="1" x14ac:dyDescent="0.15">
      <c r="AE2658" s="13"/>
    </row>
    <row r="2659" spans="31:31" ht="12.75" customHeight="1" x14ac:dyDescent="0.15">
      <c r="AE2659" s="13"/>
    </row>
    <row r="2660" spans="31:31" ht="12.75" customHeight="1" x14ac:dyDescent="0.15">
      <c r="AE2660" s="13"/>
    </row>
    <row r="2661" spans="31:31" ht="12.75" customHeight="1" x14ac:dyDescent="0.15">
      <c r="AE2661" s="13"/>
    </row>
    <row r="2662" spans="31:31" ht="12.75" customHeight="1" x14ac:dyDescent="0.15">
      <c r="AE2662" s="13"/>
    </row>
    <row r="2663" spans="31:31" ht="12.75" customHeight="1" x14ac:dyDescent="0.15">
      <c r="AE2663" s="13"/>
    </row>
    <row r="2664" spans="31:31" ht="12.75" customHeight="1" x14ac:dyDescent="0.15">
      <c r="AE2664" s="13"/>
    </row>
    <row r="2665" spans="31:31" ht="12.75" customHeight="1" x14ac:dyDescent="0.15">
      <c r="AE2665" s="13"/>
    </row>
    <row r="2666" spans="31:31" ht="12.75" customHeight="1" x14ac:dyDescent="0.15">
      <c r="AE2666" s="13"/>
    </row>
    <row r="2667" spans="31:31" ht="12.75" customHeight="1" x14ac:dyDescent="0.15">
      <c r="AE2667" s="13"/>
    </row>
    <row r="2668" spans="31:31" ht="12.75" customHeight="1" x14ac:dyDescent="0.15">
      <c r="AE2668" s="13"/>
    </row>
    <row r="2669" spans="31:31" ht="12.75" customHeight="1" x14ac:dyDescent="0.15">
      <c r="AE2669" s="13"/>
    </row>
    <row r="2670" spans="31:31" ht="12.75" customHeight="1" x14ac:dyDescent="0.15">
      <c r="AE2670" s="13"/>
    </row>
    <row r="2671" spans="31:31" ht="12.75" customHeight="1" x14ac:dyDescent="0.15">
      <c r="AE2671" s="13"/>
    </row>
    <row r="2672" spans="31:31" ht="12.75" customHeight="1" x14ac:dyDescent="0.15">
      <c r="AE2672" s="13"/>
    </row>
    <row r="2673" spans="31:31" ht="12.75" customHeight="1" x14ac:dyDescent="0.15">
      <c r="AE2673" s="13"/>
    </row>
    <row r="2674" spans="31:31" ht="12.75" customHeight="1" x14ac:dyDescent="0.15">
      <c r="AE2674" s="13"/>
    </row>
    <row r="2675" spans="31:31" ht="12.75" customHeight="1" x14ac:dyDescent="0.15">
      <c r="AE2675" s="13"/>
    </row>
    <row r="2676" spans="31:31" ht="12.75" customHeight="1" x14ac:dyDescent="0.15">
      <c r="AE2676" s="13"/>
    </row>
    <row r="2677" spans="31:31" ht="12.75" customHeight="1" x14ac:dyDescent="0.15">
      <c r="AE2677" s="13"/>
    </row>
    <row r="2678" spans="31:31" ht="12.75" customHeight="1" x14ac:dyDescent="0.15">
      <c r="AE2678" s="13"/>
    </row>
    <row r="2679" spans="31:31" ht="12.75" customHeight="1" x14ac:dyDescent="0.15">
      <c r="AE2679" s="13"/>
    </row>
    <row r="2680" spans="31:31" ht="12.75" customHeight="1" x14ac:dyDescent="0.15">
      <c r="AE2680" s="13"/>
    </row>
    <row r="2681" spans="31:31" ht="12.75" customHeight="1" x14ac:dyDescent="0.15">
      <c r="AE2681" s="13"/>
    </row>
    <row r="2682" spans="31:31" ht="12.75" customHeight="1" x14ac:dyDescent="0.15">
      <c r="AE2682" s="13"/>
    </row>
    <row r="2683" spans="31:31" ht="12.75" customHeight="1" x14ac:dyDescent="0.15">
      <c r="AE2683" s="13"/>
    </row>
    <row r="2684" spans="31:31" ht="12.75" customHeight="1" x14ac:dyDescent="0.15">
      <c r="AE2684" s="13"/>
    </row>
    <row r="2685" spans="31:31" ht="12.75" customHeight="1" x14ac:dyDescent="0.15">
      <c r="AE2685" s="13"/>
    </row>
    <row r="2686" spans="31:31" ht="12.75" customHeight="1" x14ac:dyDescent="0.15">
      <c r="AE2686" s="13"/>
    </row>
    <row r="2687" spans="31:31" ht="12.75" customHeight="1" x14ac:dyDescent="0.15">
      <c r="AE2687" s="13"/>
    </row>
    <row r="2688" spans="31:31" ht="12.75" customHeight="1" x14ac:dyDescent="0.15">
      <c r="AE2688" s="13"/>
    </row>
    <row r="2689" spans="31:31" ht="12.75" customHeight="1" x14ac:dyDescent="0.15">
      <c r="AE2689" s="13"/>
    </row>
    <row r="2690" spans="31:31" ht="12.75" customHeight="1" x14ac:dyDescent="0.15">
      <c r="AE2690" s="13"/>
    </row>
    <row r="2691" spans="31:31" ht="12.75" customHeight="1" x14ac:dyDescent="0.15">
      <c r="AE2691" s="13"/>
    </row>
    <row r="2692" spans="31:31" ht="12.75" customHeight="1" x14ac:dyDescent="0.15">
      <c r="AE2692" s="13"/>
    </row>
    <row r="2693" spans="31:31" ht="12.75" customHeight="1" x14ac:dyDescent="0.15">
      <c r="AE2693" s="13"/>
    </row>
    <row r="2694" spans="31:31" ht="12.75" customHeight="1" x14ac:dyDescent="0.15">
      <c r="AE2694" s="13"/>
    </row>
    <row r="2695" spans="31:31" ht="12.75" customHeight="1" x14ac:dyDescent="0.15">
      <c r="AE2695" s="13"/>
    </row>
    <row r="2696" spans="31:31" ht="12.75" customHeight="1" x14ac:dyDescent="0.15">
      <c r="AE2696" s="13"/>
    </row>
    <row r="2697" spans="31:31" ht="12.75" customHeight="1" x14ac:dyDescent="0.15">
      <c r="AE2697" s="13"/>
    </row>
    <row r="2698" spans="31:31" ht="12.75" customHeight="1" x14ac:dyDescent="0.15">
      <c r="AE2698" s="13"/>
    </row>
    <row r="2699" spans="31:31" ht="12.75" customHeight="1" x14ac:dyDescent="0.15">
      <c r="AE2699" s="13"/>
    </row>
    <row r="2700" spans="31:31" ht="12.75" customHeight="1" x14ac:dyDescent="0.15">
      <c r="AE2700" s="13"/>
    </row>
    <row r="2701" spans="31:31" ht="12.75" customHeight="1" x14ac:dyDescent="0.15">
      <c r="AE2701" s="13"/>
    </row>
    <row r="2702" spans="31:31" ht="12.75" customHeight="1" x14ac:dyDescent="0.15">
      <c r="AE2702" s="13"/>
    </row>
    <row r="2703" spans="31:31" ht="12.75" customHeight="1" x14ac:dyDescent="0.15">
      <c r="AE2703" s="13"/>
    </row>
    <row r="2704" spans="31:31" ht="12.75" customHeight="1" x14ac:dyDescent="0.15">
      <c r="AE2704" s="13"/>
    </row>
    <row r="2705" spans="31:31" ht="12.75" customHeight="1" x14ac:dyDescent="0.15">
      <c r="AE2705" s="13"/>
    </row>
    <row r="2706" spans="31:31" ht="12.75" customHeight="1" x14ac:dyDescent="0.15">
      <c r="AE2706" s="13"/>
    </row>
    <row r="2707" spans="31:31" ht="12.75" customHeight="1" x14ac:dyDescent="0.15">
      <c r="AE2707" s="13"/>
    </row>
    <row r="2708" spans="31:31" ht="12.75" customHeight="1" x14ac:dyDescent="0.15">
      <c r="AE2708" s="13"/>
    </row>
    <row r="2709" spans="31:31" ht="12.75" customHeight="1" x14ac:dyDescent="0.15">
      <c r="AE2709" s="13"/>
    </row>
    <row r="2710" spans="31:31" ht="12.75" customHeight="1" x14ac:dyDescent="0.15">
      <c r="AE2710" s="13"/>
    </row>
    <row r="2711" spans="31:31" ht="12.75" customHeight="1" x14ac:dyDescent="0.15">
      <c r="AE2711" s="13"/>
    </row>
    <row r="2712" spans="31:31" ht="12.75" customHeight="1" x14ac:dyDescent="0.15">
      <c r="AE2712" s="13"/>
    </row>
    <row r="2713" spans="31:31" ht="12.75" customHeight="1" x14ac:dyDescent="0.15">
      <c r="AE2713" s="13"/>
    </row>
    <row r="2714" spans="31:31" ht="12.75" customHeight="1" x14ac:dyDescent="0.15">
      <c r="AE2714" s="13"/>
    </row>
    <row r="2715" spans="31:31" ht="12.75" customHeight="1" x14ac:dyDescent="0.15">
      <c r="AE2715" s="13"/>
    </row>
    <row r="2716" spans="31:31" ht="12.75" customHeight="1" x14ac:dyDescent="0.15">
      <c r="AE2716" s="13"/>
    </row>
    <row r="2717" spans="31:31" ht="12.75" customHeight="1" x14ac:dyDescent="0.15">
      <c r="AE2717" s="13"/>
    </row>
    <row r="2718" spans="31:31" ht="12.75" customHeight="1" x14ac:dyDescent="0.15">
      <c r="AE2718" s="13"/>
    </row>
    <row r="2719" spans="31:31" ht="12.75" customHeight="1" x14ac:dyDescent="0.15">
      <c r="AE2719" s="13"/>
    </row>
    <row r="2720" spans="31:31" ht="12.75" customHeight="1" x14ac:dyDescent="0.15">
      <c r="AE2720" s="13"/>
    </row>
    <row r="2721" spans="31:31" ht="12.75" customHeight="1" x14ac:dyDescent="0.15">
      <c r="AE2721" s="13"/>
    </row>
    <row r="2722" spans="31:31" ht="12.75" customHeight="1" x14ac:dyDescent="0.15">
      <c r="AE2722" s="13"/>
    </row>
    <row r="2723" spans="31:31" ht="12.75" customHeight="1" x14ac:dyDescent="0.15">
      <c r="AE2723" s="13"/>
    </row>
    <row r="2724" spans="31:31" ht="12.75" customHeight="1" x14ac:dyDescent="0.15">
      <c r="AE2724" s="13"/>
    </row>
    <row r="2725" spans="31:31" ht="12.75" customHeight="1" x14ac:dyDescent="0.15">
      <c r="AE2725" s="13"/>
    </row>
    <row r="2726" spans="31:31" ht="12.75" customHeight="1" x14ac:dyDescent="0.15">
      <c r="AE2726" s="13"/>
    </row>
    <row r="2727" spans="31:31" ht="12.75" customHeight="1" x14ac:dyDescent="0.15">
      <c r="AE2727" s="13"/>
    </row>
    <row r="2728" spans="31:31" ht="12.75" customHeight="1" x14ac:dyDescent="0.15">
      <c r="AE2728" s="13"/>
    </row>
    <row r="2729" spans="31:31" ht="12.75" customHeight="1" x14ac:dyDescent="0.15">
      <c r="AE2729" s="13"/>
    </row>
    <row r="2730" spans="31:31" ht="12.75" customHeight="1" x14ac:dyDescent="0.15">
      <c r="AE2730" s="13"/>
    </row>
    <row r="2731" spans="31:31" ht="12.75" customHeight="1" x14ac:dyDescent="0.15">
      <c r="AE2731" s="13"/>
    </row>
    <row r="2732" spans="31:31" ht="12.75" customHeight="1" x14ac:dyDescent="0.15">
      <c r="AE2732" s="13"/>
    </row>
    <row r="2733" spans="31:31" ht="12.75" customHeight="1" x14ac:dyDescent="0.15">
      <c r="AE2733" s="13"/>
    </row>
    <row r="2734" spans="31:31" ht="12.75" customHeight="1" x14ac:dyDescent="0.15">
      <c r="AE2734" s="13"/>
    </row>
    <row r="2735" spans="31:31" ht="12.75" customHeight="1" x14ac:dyDescent="0.15">
      <c r="AE2735" s="13"/>
    </row>
    <row r="2736" spans="31:31" ht="12.75" customHeight="1" x14ac:dyDescent="0.15">
      <c r="AE2736" s="13"/>
    </row>
    <row r="2737" spans="31:31" ht="12.75" customHeight="1" x14ac:dyDescent="0.15">
      <c r="AE2737" s="13"/>
    </row>
    <row r="2738" spans="31:31" ht="12.75" customHeight="1" x14ac:dyDescent="0.15">
      <c r="AE2738" s="13"/>
    </row>
    <row r="2739" spans="31:31" ht="12.75" customHeight="1" x14ac:dyDescent="0.15">
      <c r="AE2739" s="13"/>
    </row>
    <row r="2740" spans="31:31" ht="12.75" customHeight="1" x14ac:dyDescent="0.15">
      <c r="AE2740" s="13"/>
    </row>
    <row r="2741" spans="31:31" ht="12.75" customHeight="1" x14ac:dyDescent="0.15">
      <c r="AE2741" s="13"/>
    </row>
    <row r="2742" spans="31:31" ht="12.75" customHeight="1" x14ac:dyDescent="0.15">
      <c r="AE2742" s="13"/>
    </row>
    <row r="2743" spans="31:31" ht="12.75" customHeight="1" x14ac:dyDescent="0.15">
      <c r="AE2743" s="13"/>
    </row>
    <row r="2744" spans="31:31" ht="12.75" customHeight="1" x14ac:dyDescent="0.15">
      <c r="AE2744" s="13"/>
    </row>
    <row r="2745" spans="31:31" ht="12.75" customHeight="1" x14ac:dyDescent="0.15">
      <c r="AE2745" s="13"/>
    </row>
    <row r="2746" spans="31:31" ht="12.75" customHeight="1" x14ac:dyDescent="0.15">
      <c r="AE2746" s="13"/>
    </row>
    <row r="2747" spans="31:31" ht="12.75" customHeight="1" x14ac:dyDescent="0.15">
      <c r="AE2747" s="13"/>
    </row>
    <row r="2748" spans="31:31" ht="12.75" customHeight="1" x14ac:dyDescent="0.15">
      <c r="AE2748" s="13"/>
    </row>
    <row r="2749" spans="31:31" ht="12.75" customHeight="1" x14ac:dyDescent="0.15">
      <c r="AE2749" s="13"/>
    </row>
    <row r="2750" spans="31:31" ht="12.75" customHeight="1" x14ac:dyDescent="0.15">
      <c r="AE2750" s="13"/>
    </row>
    <row r="2751" spans="31:31" ht="12.75" customHeight="1" x14ac:dyDescent="0.15">
      <c r="AE2751" s="13"/>
    </row>
    <row r="2752" spans="31:31" ht="12.75" customHeight="1" x14ac:dyDescent="0.15">
      <c r="AE2752" s="13"/>
    </row>
    <row r="2753" spans="31:31" ht="12.75" customHeight="1" x14ac:dyDescent="0.15">
      <c r="AE2753" s="13"/>
    </row>
    <row r="2754" spans="31:31" ht="12.75" customHeight="1" x14ac:dyDescent="0.15">
      <c r="AE2754" s="13"/>
    </row>
    <row r="2755" spans="31:31" ht="12.75" customHeight="1" x14ac:dyDescent="0.15">
      <c r="AE2755" s="13"/>
    </row>
    <row r="2756" spans="31:31" ht="12.75" customHeight="1" x14ac:dyDescent="0.15">
      <c r="AE2756" s="13"/>
    </row>
    <row r="2757" spans="31:31" ht="12.75" customHeight="1" x14ac:dyDescent="0.15">
      <c r="AE2757" s="13"/>
    </row>
    <row r="2758" spans="31:31" ht="12.75" customHeight="1" x14ac:dyDescent="0.15">
      <c r="AE2758" s="13"/>
    </row>
    <row r="2759" spans="31:31" ht="12.75" customHeight="1" x14ac:dyDescent="0.15">
      <c r="AE2759" s="13"/>
    </row>
    <row r="2760" spans="31:31" ht="12.75" customHeight="1" x14ac:dyDescent="0.15">
      <c r="AE2760" s="13"/>
    </row>
    <row r="2761" spans="31:31" ht="12.75" customHeight="1" x14ac:dyDescent="0.15">
      <c r="AE2761" s="13"/>
    </row>
    <row r="2762" spans="31:31" ht="12.75" customHeight="1" x14ac:dyDescent="0.15">
      <c r="AE2762" s="13"/>
    </row>
    <row r="2763" spans="31:31" ht="12.75" customHeight="1" x14ac:dyDescent="0.15">
      <c r="AE2763" s="13"/>
    </row>
    <row r="2764" spans="31:31" ht="12.75" customHeight="1" x14ac:dyDescent="0.15">
      <c r="AE2764" s="13"/>
    </row>
    <row r="2765" spans="31:31" ht="12.75" customHeight="1" x14ac:dyDescent="0.15">
      <c r="AE2765" s="13"/>
    </row>
    <row r="2766" spans="31:31" ht="12.75" customHeight="1" x14ac:dyDescent="0.15">
      <c r="AE2766" s="13"/>
    </row>
    <row r="2767" spans="31:31" ht="12.75" customHeight="1" x14ac:dyDescent="0.15">
      <c r="AE2767" s="13"/>
    </row>
    <row r="2768" spans="31:31" ht="12.75" customHeight="1" x14ac:dyDescent="0.15">
      <c r="AE2768" s="13"/>
    </row>
    <row r="2769" spans="31:31" ht="12.75" customHeight="1" x14ac:dyDescent="0.15">
      <c r="AE2769" s="13"/>
    </row>
    <row r="2770" spans="31:31" ht="12.75" customHeight="1" x14ac:dyDescent="0.15">
      <c r="AE2770" s="13"/>
    </row>
    <row r="2771" spans="31:31" ht="12.75" customHeight="1" x14ac:dyDescent="0.15">
      <c r="AE2771" s="13"/>
    </row>
    <row r="2772" spans="31:31" ht="12.75" customHeight="1" x14ac:dyDescent="0.15">
      <c r="AE2772" s="13"/>
    </row>
    <row r="2773" spans="31:31" ht="12.75" customHeight="1" x14ac:dyDescent="0.15">
      <c r="AE2773" s="13"/>
    </row>
    <row r="2774" spans="31:31" ht="12.75" customHeight="1" x14ac:dyDescent="0.15">
      <c r="AE2774" s="13"/>
    </row>
    <row r="2775" spans="31:31" ht="12.75" customHeight="1" x14ac:dyDescent="0.15">
      <c r="AE2775" s="13"/>
    </row>
    <row r="2776" spans="31:31" ht="12.75" customHeight="1" x14ac:dyDescent="0.15">
      <c r="AE2776" s="13"/>
    </row>
    <row r="2777" spans="31:31" ht="12.75" customHeight="1" x14ac:dyDescent="0.15">
      <c r="AE2777" s="13"/>
    </row>
    <row r="2778" spans="31:31" ht="12.75" customHeight="1" x14ac:dyDescent="0.15">
      <c r="AE2778" s="13"/>
    </row>
    <row r="2779" spans="31:31" ht="12.75" customHeight="1" x14ac:dyDescent="0.15">
      <c r="AE2779" s="13"/>
    </row>
    <row r="2780" spans="31:31" ht="12.75" customHeight="1" x14ac:dyDescent="0.15">
      <c r="AE2780" s="13"/>
    </row>
    <row r="2781" spans="31:31" ht="12.75" customHeight="1" x14ac:dyDescent="0.15">
      <c r="AE2781" s="13"/>
    </row>
    <row r="2782" spans="31:31" ht="12.75" customHeight="1" x14ac:dyDescent="0.15">
      <c r="AE2782" s="13"/>
    </row>
    <row r="2783" spans="31:31" ht="12.75" customHeight="1" x14ac:dyDescent="0.15">
      <c r="AE2783" s="13"/>
    </row>
    <row r="2784" spans="31:31" ht="12.75" customHeight="1" x14ac:dyDescent="0.15">
      <c r="AE2784" s="13"/>
    </row>
    <row r="2785" spans="31:31" ht="12.75" customHeight="1" x14ac:dyDescent="0.15">
      <c r="AE2785" s="13"/>
    </row>
    <row r="2786" spans="31:31" ht="12.75" customHeight="1" x14ac:dyDescent="0.15">
      <c r="AE2786" s="13"/>
    </row>
    <row r="2787" spans="31:31" ht="12.75" customHeight="1" x14ac:dyDescent="0.15">
      <c r="AE2787" s="13"/>
    </row>
    <row r="2788" spans="31:31" ht="12.75" customHeight="1" x14ac:dyDescent="0.15">
      <c r="AE2788" s="13"/>
    </row>
    <row r="2789" spans="31:31" ht="12.75" customHeight="1" x14ac:dyDescent="0.15">
      <c r="AE2789" s="13"/>
    </row>
    <row r="2790" spans="31:31" ht="12.75" customHeight="1" x14ac:dyDescent="0.15">
      <c r="AE2790" s="13"/>
    </row>
    <row r="2791" spans="31:31" ht="12.75" customHeight="1" x14ac:dyDescent="0.15">
      <c r="AE2791" s="13"/>
    </row>
    <row r="2792" spans="31:31" ht="12.75" customHeight="1" x14ac:dyDescent="0.15">
      <c r="AE2792" s="13"/>
    </row>
    <row r="2793" spans="31:31" ht="12.75" customHeight="1" x14ac:dyDescent="0.15">
      <c r="AE2793" s="13"/>
    </row>
    <row r="2794" spans="31:31" ht="12.75" customHeight="1" x14ac:dyDescent="0.15">
      <c r="AE2794" s="13"/>
    </row>
    <row r="2795" spans="31:31" ht="12.75" customHeight="1" x14ac:dyDescent="0.15">
      <c r="AE2795" s="13"/>
    </row>
    <row r="2796" spans="31:31" ht="12.75" customHeight="1" x14ac:dyDescent="0.15">
      <c r="AE2796" s="13"/>
    </row>
    <row r="2797" spans="31:31" ht="12.75" customHeight="1" x14ac:dyDescent="0.15">
      <c r="AE2797" s="13"/>
    </row>
    <row r="2798" spans="31:31" ht="12.75" customHeight="1" x14ac:dyDescent="0.15">
      <c r="AE2798" s="13"/>
    </row>
    <row r="2799" spans="31:31" ht="12.75" customHeight="1" x14ac:dyDescent="0.15">
      <c r="AE2799" s="13"/>
    </row>
    <row r="2800" spans="31:31" ht="12.75" customHeight="1" x14ac:dyDescent="0.15">
      <c r="AE2800" s="13"/>
    </row>
    <row r="2801" spans="31:31" ht="12.75" customHeight="1" x14ac:dyDescent="0.15">
      <c r="AE2801" s="13"/>
    </row>
    <row r="2802" spans="31:31" ht="12.75" customHeight="1" x14ac:dyDescent="0.15">
      <c r="AE2802" s="13"/>
    </row>
    <row r="2803" spans="31:31" ht="12.75" customHeight="1" x14ac:dyDescent="0.15">
      <c r="AE2803" s="13"/>
    </row>
    <row r="2804" spans="31:31" ht="12.75" customHeight="1" x14ac:dyDescent="0.15">
      <c r="AE2804" s="13"/>
    </row>
    <row r="2805" spans="31:31" ht="12.75" customHeight="1" x14ac:dyDescent="0.15">
      <c r="AE2805" s="13"/>
    </row>
    <row r="2806" spans="31:31" ht="12.75" customHeight="1" x14ac:dyDescent="0.15">
      <c r="AE2806" s="13"/>
    </row>
    <row r="2807" spans="31:31" ht="12.75" customHeight="1" x14ac:dyDescent="0.15">
      <c r="AE2807" s="13"/>
    </row>
    <row r="2808" spans="31:31" ht="12.75" customHeight="1" x14ac:dyDescent="0.15">
      <c r="AE2808" s="13"/>
    </row>
    <row r="2809" spans="31:31" ht="12.75" customHeight="1" x14ac:dyDescent="0.15">
      <c r="AE2809" s="13"/>
    </row>
    <row r="2810" spans="31:31" ht="12.75" customHeight="1" x14ac:dyDescent="0.15">
      <c r="AE2810" s="13"/>
    </row>
    <row r="2811" spans="31:31" ht="12.75" customHeight="1" x14ac:dyDescent="0.15">
      <c r="AE2811" s="13"/>
    </row>
    <row r="2812" spans="31:31" ht="12.75" customHeight="1" x14ac:dyDescent="0.15">
      <c r="AE2812" s="13"/>
    </row>
    <row r="2813" spans="31:31" ht="12.75" customHeight="1" x14ac:dyDescent="0.15">
      <c r="AE2813" s="13"/>
    </row>
    <row r="2814" spans="31:31" ht="12.75" customHeight="1" x14ac:dyDescent="0.15">
      <c r="AE2814" s="13"/>
    </row>
    <row r="2815" spans="31:31" ht="12.75" customHeight="1" x14ac:dyDescent="0.15">
      <c r="AE2815" s="13"/>
    </row>
    <row r="2816" spans="31:31" ht="12.75" customHeight="1" x14ac:dyDescent="0.15">
      <c r="AE2816" s="13"/>
    </row>
    <row r="2817" spans="31:31" ht="12.75" customHeight="1" x14ac:dyDescent="0.15">
      <c r="AE2817" s="13"/>
    </row>
    <row r="2818" spans="31:31" ht="12.75" customHeight="1" x14ac:dyDescent="0.15">
      <c r="AE2818" s="13"/>
    </row>
    <row r="2819" spans="31:31" ht="12.75" customHeight="1" x14ac:dyDescent="0.15">
      <c r="AE2819" s="13"/>
    </row>
    <row r="2820" spans="31:31" ht="12.75" customHeight="1" x14ac:dyDescent="0.15">
      <c r="AE2820" s="13"/>
    </row>
    <row r="2821" spans="31:31" ht="12.75" customHeight="1" x14ac:dyDescent="0.15">
      <c r="AE2821" s="13"/>
    </row>
    <row r="2822" spans="31:31" ht="12.75" customHeight="1" x14ac:dyDescent="0.15">
      <c r="AE2822" s="13"/>
    </row>
    <row r="2823" spans="31:31" ht="12.75" customHeight="1" x14ac:dyDescent="0.15">
      <c r="AE2823" s="13"/>
    </row>
    <row r="2824" spans="31:31" ht="12.75" customHeight="1" x14ac:dyDescent="0.15">
      <c r="AE2824" s="13"/>
    </row>
    <row r="2825" spans="31:31" ht="12.75" customHeight="1" x14ac:dyDescent="0.15">
      <c r="AE2825" s="13"/>
    </row>
    <row r="2826" spans="31:31" ht="12.75" customHeight="1" x14ac:dyDescent="0.15">
      <c r="AE2826" s="13"/>
    </row>
    <row r="2827" spans="31:31" ht="12.75" customHeight="1" x14ac:dyDescent="0.15">
      <c r="AE2827" s="13"/>
    </row>
    <row r="2828" spans="31:31" ht="12.75" customHeight="1" x14ac:dyDescent="0.15">
      <c r="AE2828" s="13"/>
    </row>
    <row r="2829" spans="31:31" ht="12.75" customHeight="1" x14ac:dyDescent="0.15">
      <c r="AE2829" s="13"/>
    </row>
    <row r="2830" spans="31:31" ht="12.75" customHeight="1" x14ac:dyDescent="0.15">
      <c r="AE2830" s="13"/>
    </row>
    <row r="2831" spans="31:31" ht="12.75" customHeight="1" x14ac:dyDescent="0.15">
      <c r="AE2831" s="13"/>
    </row>
    <row r="2832" spans="31:31" ht="12.75" customHeight="1" x14ac:dyDescent="0.15">
      <c r="AE2832" s="13"/>
    </row>
    <row r="2833" spans="31:31" ht="12.75" customHeight="1" x14ac:dyDescent="0.15">
      <c r="AE2833" s="13"/>
    </row>
    <row r="2834" spans="31:31" ht="12.75" customHeight="1" x14ac:dyDescent="0.15">
      <c r="AE2834" s="13"/>
    </row>
    <row r="2835" spans="31:31" ht="12.75" customHeight="1" x14ac:dyDescent="0.15">
      <c r="AE2835" s="13"/>
    </row>
    <row r="2836" spans="31:31" ht="12.75" customHeight="1" x14ac:dyDescent="0.15">
      <c r="AE2836" s="13"/>
    </row>
    <row r="2837" spans="31:31" ht="12.75" customHeight="1" x14ac:dyDescent="0.15">
      <c r="AE2837" s="13"/>
    </row>
    <row r="2838" spans="31:31" ht="12.75" customHeight="1" x14ac:dyDescent="0.15">
      <c r="AE2838" s="13"/>
    </row>
    <row r="2839" spans="31:31" ht="12.75" customHeight="1" x14ac:dyDescent="0.15">
      <c r="AE2839" s="13"/>
    </row>
    <row r="2840" spans="31:31" ht="12.75" customHeight="1" x14ac:dyDescent="0.15">
      <c r="AE2840" s="13"/>
    </row>
    <row r="2841" spans="31:31" ht="12.75" customHeight="1" x14ac:dyDescent="0.15">
      <c r="AE2841" s="13"/>
    </row>
    <row r="2842" spans="31:31" ht="12.75" customHeight="1" x14ac:dyDescent="0.15">
      <c r="AE2842" s="13"/>
    </row>
    <row r="2843" spans="31:31" ht="12.75" customHeight="1" x14ac:dyDescent="0.15">
      <c r="AE2843" s="13"/>
    </row>
    <row r="2844" spans="31:31" ht="12.75" customHeight="1" x14ac:dyDescent="0.15">
      <c r="AE2844" s="13"/>
    </row>
    <row r="2845" spans="31:31" ht="12.75" customHeight="1" x14ac:dyDescent="0.15">
      <c r="AE2845" s="13"/>
    </row>
    <row r="2846" spans="31:31" ht="12.75" customHeight="1" x14ac:dyDescent="0.15">
      <c r="AE2846" s="13"/>
    </row>
    <row r="2847" spans="31:31" ht="12.75" customHeight="1" x14ac:dyDescent="0.15">
      <c r="AE2847" s="13"/>
    </row>
    <row r="2848" spans="31:31" ht="12.75" customHeight="1" x14ac:dyDescent="0.15">
      <c r="AE2848" s="13"/>
    </row>
    <row r="2849" spans="31:31" ht="12.75" customHeight="1" x14ac:dyDescent="0.15">
      <c r="AE2849" s="13"/>
    </row>
    <row r="2850" spans="31:31" ht="12.75" customHeight="1" x14ac:dyDescent="0.15">
      <c r="AE2850" s="13"/>
    </row>
    <row r="2851" spans="31:31" ht="12.75" customHeight="1" x14ac:dyDescent="0.15">
      <c r="AE2851" s="13"/>
    </row>
    <row r="2852" spans="31:31" ht="12.75" customHeight="1" x14ac:dyDescent="0.15">
      <c r="AE2852" s="13"/>
    </row>
    <row r="2853" spans="31:31" ht="12.75" customHeight="1" x14ac:dyDescent="0.15">
      <c r="AE2853" s="13"/>
    </row>
    <row r="2854" spans="31:31" ht="12.75" customHeight="1" x14ac:dyDescent="0.15">
      <c r="AE2854" s="13"/>
    </row>
    <row r="2855" spans="31:31" ht="12.75" customHeight="1" x14ac:dyDescent="0.15">
      <c r="AE2855" s="13"/>
    </row>
    <row r="2856" spans="31:31" ht="12.75" customHeight="1" x14ac:dyDescent="0.15">
      <c r="AE2856" s="13"/>
    </row>
    <row r="2857" spans="31:31" ht="12.75" customHeight="1" x14ac:dyDescent="0.15">
      <c r="AE2857" s="13"/>
    </row>
    <row r="2858" spans="31:31" ht="12.75" customHeight="1" x14ac:dyDescent="0.15">
      <c r="AE2858" s="13"/>
    </row>
    <row r="2859" spans="31:31" ht="12.75" customHeight="1" x14ac:dyDescent="0.15">
      <c r="AE2859" s="13"/>
    </row>
    <row r="2860" spans="31:31" ht="12.75" customHeight="1" x14ac:dyDescent="0.15">
      <c r="AE2860" s="13"/>
    </row>
    <row r="2861" spans="31:31" ht="12.75" customHeight="1" x14ac:dyDescent="0.15">
      <c r="AE2861" s="13"/>
    </row>
    <row r="2862" spans="31:31" ht="12.75" customHeight="1" x14ac:dyDescent="0.15">
      <c r="AE2862" s="13"/>
    </row>
    <row r="2863" spans="31:31" ht="12.75" customHeight="1" x14ac:dyDescent="0.15">
      <c r="AE2863" s="13"/>
    </row>
    <row r="2864" spans="31:31" ht="12.75" customHeight="1" x14ac:dyDescent="0.15">
      <c r="AE2864" s="13"/>
    </row>
    <row r="2865" spans="31:31" ht="12.75" customHeight="1" x14ac:dyDescent="0.15">
      <c r="AE2865" s="13"/>
    </row>
    <row r="2866" spans="31:31" ht="12.75" customHeight="1" x14ac:dyDescent="0.15">
      <c r="AE2866" s="13"/>
    </row>
    <row r="2867" spans="31:31" ht="12.75" customHeight="1" x14ac:dyDescent="0.15">
      <c r="AE2867" s="13"/>
    </row>
    <row r="2868" spans="31:31" ht="12.75" customHeight="1" x14ac:dyDescent="0.15">
      <c r="AE2868" s="13"/>
    </row>
    <row r="2869" spans="31:31" ht="12.75" customHeight="1" x14ac:dyDescent="0.15">
      <c r="AE2869" s="13"/>
    </row>
    <row r="2870" spans="31:31" ht="12.75" customHeight="1" x14ac:dyDescent="0.15">
      <c r="AE2870" s="13"/>
    </row>
    <row r="2871" spans="31:31" ht="12.75" customHeight="1" x14ac:dyDescent="0.15">
      <c r="AE2871" s="13"/>
    </row>
    <row r="2872" spans="31:31" ht="12.75" customHeight="1" x14ac:dyDescent="0.15">
      <c r="AE2872" s="13"/>
    </row>
    <row r="2873" spans="31:31" ht="12.75" customHeight="1" x14ac:dyDescent="0.15">
      <c r="AE2873" s="13"/>
    </row>
    <row r="2874" spans="31:31" ht="12.75" customHeight="1" x14ac:dyDescent="0.15">
      <c r="AE2874" s="13"/>
    </row>
    <row r="2875" spans="31:31" ht="12.75" customHeight="1" x14ac:dyDescent="0.15">
      <c r="AE2875" s="13"/>
    </row>
    <row r="2876" spans="31:31" ht="12.75" customHeight="1" x14ac:dyDescent="0.15">
      <c r="AE2876" s="13"/>
    </row>
    <row r="2877" spans="31:31" ht="12.75" customHeight="1" x14ac:dyDescent="0.15">
      <c r="AE2877" s="13"/>
    </row>
    <row r="2878" spans="31:31" ht="12.75" customHeight="1" x14ac:dyDescent="0.15">
      <c r="AE2878" s="13"/>
    </row>
    <row r="2879" spans="31:31" ht="12.75" customHeight="1" x14ac:dyDescent="0.15">
      <c r="AE2879" s="13"/>
    </row>
    <row r="2880" spans="31:31" ht="12.75" customHeight="1" x14ac:dyDescent="0.15">
      <c r="AE2880" s="13"/>
    </row>
    <row r="2881" spans="31:31" ht="12.75" customHeight="1" x14ac:dyDescent="0.15">
      <c r="AE2881" s="13"/>
    </row>
    <row r="2882" spans="31:31" ht="12.75" customHeight="1" x14ac:dyDescent="0.15">
      <c r="AE2882" s="13"/>
    </row>
    <row r="2883" spans="31:31" ht="12.75" customHeight="1" x14ac:dyDescent="0.15">
      <c r="AE2883" s="13"/>
    </row>
    <row r="2884" spans="31:31" ht="12.75" customHeight="1" x14ac:dyDescent="0.15">
      <c r="AE2884" s="13"/>
    </row>
    <row r="2885" spans="31:31" ht="12.75" customHeight="1" x14ac:dyDescent="0.15">
      <c r="AE2885" s="13"/>
    </row>
    <row r="2886" spans="31:31" ht="12.75" customHeight="1" x14ac:dyDescent="0.15">
      <c r="AE2886" s="13"/>
    </row>
    <row r="2887" spans="31:31" ht="12.75" customHeight="1" x14ac:dyDescent="0.15">
      <c r="AE2887" s="13"/>
    </row>
    <row r="2888" spans="31:31" ht="12.75" customHeight="1" x14ac:dyDescent="0.15">
      <c r="AE2888" s="13"/>
    </row>
    <row r="2889" spans="31:31" ht="12.75" customHeight="1" x14ac:dyDescent="0.15">
      <c r="AE2889" s="13"/>
    </row>
    <row r="2890" spans="31:31" ht="12.75" customHeight="1" x14ac:dyDescent="0.15">
      <c r="AE2890" s="13"/>
    </row>
    <row r="2891" spans="31:31" ht="12.75" customHeight="1" x14ac:dyDescent="0.15">
      <c r="AE2891" s="13"/>
    </row>
    <row r="2892" spans="31:31" ht="12.75" customHeight="1" x14ac:dyDescent="0.15">
      <c r="AE2892" s="13"/>
    </row>
    <row r="2893" spans="31:31" ht="12.75" customHeight="1" x14ac:dyDescent="0.15">
      <c r="AE2893" s="13"/>
    </row>
    <row r="2894" spans="31:31" ht="12.75" customHeight="1" x14ac:dyDescent="0.15">
      <c r="AE2894" s="13"/>
    </row>
    <row r="2895" spans="31:31" ht="12.75" customHeight="1" x14ac:dyDescent="0.15">
      <c r="AE2895" s="13"/>
    </row>
    <row r="2896" spans="31:31" ht="12.75" customHeight="1" x14ac:dyDescent="0.15">
      <c r="AE2896" s="13"/>
    </row>
    <row r="2897" spans="31:31" ht="12.75" customHeight="1" x14ac:dyDescent="0.15">
      <c r="AE2897" s="13"/>
    </row>
    <row r="2898" spans="31:31" ht="12.75" customHeight="1" x14ac:dyDescent="0.15">
      <c r="AE2898" s="13"/>
    </row>
    <row r="2899" spans="31:31" ht="12.75" customHeight="1" x14ac:dyDescent="0.15">
      <c r="AE2899" s="13"/>
    </row>
    <row r="2900" spans="31:31" ht="12.75" customHeight="1" x14ac:dyDescent="0.15">
      <c r="AE2900" s="13"/>
    </row>
    <row r="2901" spans="31:31" ht="12.75" customHeight="1" x14ac:dyDescent="0.15">
      <c r="AE2901" s="13"/>
    </row>
    <row r="2902" spans="31:31" ht="12.75" customHeight="1" x14ac:dyDescent="0.15">
      <c r="AE2902" s="13"/>
    </row>
    <row r="2903" spans="31:31" ht="12.75" customHeight="1" x14ac:dyDescent="0.15">
      <c r="AE2903" s="13"/>
    </row>
    <row r="2904" spans="31:31" ht="12.75" customHeight="1" x14ac:dyDescent="0.15">
      <c r="AE2904" s="13"/>
    </row>
    <row r="2905" spans="31:31" ht="12.75" customHeight="1" x14ac:dyDescent="0.15">
      <c r="AE2905" s="13"/>
    </row>
    <row r="2906" spans="31:31" ht="12.75" customHeight="1" x14ac:dyDescent="0.15">
      <c r="AE2906" s="13"/>
    </row>
    <row r="2907" spans="31:31" ht="12.75" customHeight="1" x14ac:dyDescent="0.15">
      <c r="AE2907" s="13"/>
    </row>
    <row r="2908" spans="31:31" ht="12.75" customHeight="1" x14ac:dyDescent="0.15">
      <c r="AE2908" s="13"/>
    </row>
    <row r="2909" spans="31:31" ht="12.75" customHeight="1" x14ac:dyDescent="0.15">
      <c r="AE2909" s="13"/>
    </row>
    <row r="2910" spans="31:31" ht="12.75" customHeight="1" x14ac:dyDescent="0.15">
      <c r="AE2910" s="13"/>
    </row>
    <row r="2911" spans="31:31" ht="12.75" customHeight="1" x14ac:dyDescent="0.15">
      <c r="AE2911" s="13"/>
    </row>
    <row r="2912" spans="31:31" ht="12.75" customHeight="1" x14ac:dyDescent="0.15">
      <c r="AE2912" s="13"/>
    </row>
    <row r="2913" spans="31:31" ht="12.75" customHeight="1" x14ac:dyDescent="0.15">
      <c r="AE2913" s="13"/>
    </row>
    <row r="2914" spans="31:31" ht="12.75" customHeight="1" x14ac:dyDescent="0.15">
      <c r="AE2914" s="13"/>
    </row>
    <row r="2915" spans="31:31" ht="12.75" customHeight="1" x14ac:dyDescent="0.15">
      <c r="AE2915" s="13"/>
    </row>
    <row r="2916" spans="31:31" ht="12.75" customHeight="1" x14ac:dyDescent="0.15">
      <c r="AE2916" s="13"/>
    </row>
    <row r="2917" spans="31:31" ht="12.75" customHeight="1" x14ac:dyDescent="0.15">
      <c r="AE2917" s="13"/>
    </row>
    <row r="2918" spans="31:31" ht="12.75" customHeight="1" x14ac:dyDescent="0.15">
      <c r="AE2918" s="13"/>
    </row>
    <row r="2919" spans="31:31" ht="12.75" customHeight="1" x14ac:dyDescent="0.15">
      <c r="AE2919" s="13"/>
    </row>
    <row r="2920" spans="31:31" ht="12.75" customHeight="1" x14ac:dyDescent="0.15">
      <c r="AE2920" s="13"/>
    </row>
    <row r="2921" spans="31:31" ht="12.75" customHeight="1" x14ac:dyDescent="0.15">
      <c r="AE2921" s="13"/>
    </row>
    <row r="2922" spans="31:31" ht="12.75" customHeight="1" x14ac:dyDescent="0.15">
      <c r="AE2922" s="13"/>
    </row>
    <row r="2923" spans="31:31" ht="12.75" customHeight="1" x14ac:dyDescent="0.15">
      <c r="AE2923" s="13"/>
    </row>
    <row r="2924" spans="31:31" ht="12.75" customHeight="1" x14ac:dyDescent="0.15">
      <c r="AE2924" s="13"/>
    </row>
    <row r="2925" spans="31:31" ht="12.75" customHeight="1" x14ac:dyDescent="0.15">
      <c r="AE2925" s="13"/>
    </row>
    <row r="2926" spans="31:31" ht="12.75" customHeight="1" x14ac:dyDescent="0.15">
      <c r="AE2926" s="13"/>
    </row>
    <row r="2927" spans="31:31" ht="12.75" customHeight="1" x14ac:dyDescent="0.15">
      <c r="AE2927" s="13"/>
    </row>
    <row r="2928" spans="31:31" ht="12.75" customHeight="1" x14ac:dyDescent="0.15">
      <c r="AE2928" s="13"/>
    </row>
    <row r="2929" spans="31:31" ht="12.75" customHeight="1" x14ac:dyDescent="0.15">
      <c r="AE2929" s="13"/>
    </row>
    <row r="2930" spans="31:31" ht="12.75" customHeight="1" x14ac:dyDescent="0.15">
      <c r="AE2930" s="13"/>
    </row>
    <row r="2931" spans="31:31" ht="12.75" customHeight="1" x14ac:dyDescent="0.15">
      <c r="AE2931" s="13"/>
    </row>
    <row r="2932" spans="31:31" ht="12.75" customHeight="1" x14ac:dyDescent="0.15">
      <c r="AE2932" s="13"/>
    </row>
    <row r="2933" spans="31:31" ht="12.75" customHeight="1" x14ac:dyDescent="0.15">
      <c r="AE2933" s="13"/>
    </row>
    <row r="2934" spans="31:31" ht="12.75" customHeight="1" x14ac:dyDescent="0.15">
      <c r="AE2934" s="13"/>
    </row>
    <row r="2935" spans="31:31" ht="12.75" customHeight="1" x14ac:dyDescent="0.15">
      <c r="AE2935" s="13"/>
    </row>
    <row r="2936" spans="31:31" ht="12.75" customHeight="1" x14ac:dyDescent="0.15">
      <c r="AE2936" s="13"/>
    </row>
    <row r="2937" spans="31:31" ht="12.75" customHeight="1" x14ac:dyDescent="0.15">
      <c r="AE2937" s="13"/>
    </row>
    <row r="2938" spans="31:31" ht="12.75" customHeight="1" x14ac:dyDescent="0.15">
      <c r="AE2938" s="13"/>
    </row>
    <row r="2939" spans="31:31" ht="12.75" customHeight="1" x14ac:dyDescent="0.15">
      <c r="AE2939" s="13"/>
    </row>
    <row r="2940" spans="31:31" ht="12.75" customHeight="1" x14ac:dyDescent="0.15">
      <c r="AE2940" s="13"/>
    </row>
    <row r="2941" spans="31:31" ht="12.75" customHeight="1" x14ac:dyDescent="0.15">
      <c r="AE2941" s="13"/>
    </row>
    <row r="2942" spans="31:31" ht="12.75" customHeight="1" x14ac:dyDescent="0.15">
      <c r="AE2942" s="13"/>
    </row>
    <row r="2943" spans="31:31" ht="12.75" customHeight="1" x14ac:dyDescent="0.15">
      <c r="AE2943" s="13"/>
    </row>
    <row r="2944" spans="31:31" ht="12.75" customHeight="1" x14ac:dyDescent="0.15">
      <c r="AE2944" s="13"/>
    </row>
    <row r="2945" spans="31:31" ht="12.75" customHeight="1" x14ac:dyDescent="0.15">
      <c r="AE2945" s="13"/>
    </row>
    <row r="2946" spans="31:31" ht="12.75" customHeight="1" x14ac:dyDescent="0.15">
      <c r="AE2946" s="13"/>
    </row>
    <row r="2947" spans="31:31" ht="12.75" customHeight="1" x14ac:dyDescent="0.15">
      <c r="AE2947" s="13"/>
    </row>
    <row r="2948" spans="31:31" ht="12.75" customHeight="1" x14ac:dyDescent="0.15">
      <c r="AE2948" s="13"/>
    </row>
    <row r="2949" spans="31:31" ht="12.75" customHeight="1" x14ac:dyDescent="0.15">
      <c r="AE2949" s="13"/>
    </row>
    <row r="2950" spans="31:31" ht="12.75" customHeight="1" x14ac:dyDescent="0.15">
      <c r="AE2950" s="13"/>
    </row>
    <row r="2951" spans="31:31" ht="12.75" customHeight="1" x14ac:dyDescent="0.15">
      <c r="AE2951" s="13"/>
    </row>
    <row r="2952" spans="31:31" ht="12.75" customHeight="1" x14ac:dyDescent="0.15">
      <c r="AE2952" s="13"/>
    </row>
    <row r="2953" spans="31:31" ht="12.75" customHeight="1" x14ac:dyDescent="0.15">
      <c r="AE2953" s="13"/>
    </row>
    <row r="2954" spans="31:31" ht="12.75" customHeight="1" x14ac:dyDescent="0.15">
      <c r="AE2954" s="13"/>
    </row>
    <row r="2955" spans="31:31" ht="12.75" customHeight="1" x14ac:dyDescent="0.15">
      <c r="AE2955" s="13"/>
    </row>
    <row r="2956" spans="31:31" ht="12.75" customHeight="1" x14ac:dyDescent="0.15">
      <c r="AE2956" s="13"/>
    </row>
    <row r="2957" spans="31:31" ht="12.75" customHeight="1" x14ac:dyDescent="0.15">
      <c r="AE2957" s="13"/>
    </row>
    <row r="2958" spans="31:31" ht="12.75" customHeight="1" x14ac:dyDescent="0.15">
      <c r="AE2958" s="13"/>
    </row>
    <row r="2959" spans="31:31" ht="12.75" customHeight="1" x14ac:dyDescent="0.15">
      <c r="AE2959" s="13"/>
    </row>
    <row r="2960" spans="31:31" ht="12.75" customHeight="1" x14ac:dyDescent="0.15">
      <c r="AE2960" s="13"/>
    </row>
    <row r="2961" spans="31:31" ht="12.75" customHeight="1" x14ac:dyDescent="0.15">
      <c r="AE2961" s="13"/>
    </row>
    <row r="2962" spans="31:31" ht="12.75" customHeight="1" x14ac:dyDescent="0.15">
      <c r="AE2962" s="13"/>
    </row>
    <row r="2963" spans="31:31" ht="12.75" customHeight="1" x14ac:dyDescent="0.15">
      <c r="AE2963" s="13"/>
    </row>
    <row r="2964" spans="31:31" ht="12.75" customHeight="1" x14ac:dyDescent="0.15">
      <c r="AE2964" s="13"/>
    </row>
    <row r="2965" spans="31:31" ht="12.75" customHeight="1" x14ac:dyDescent="0.15">
      <c r="AE2965" s="13"/>
    </row>
    <row r="2966" spans="31:31" ht="12.75" customHeight="1" x14ac:dyDescent="0.15">
      <c r="AE2966" s="13"/>
    </row>
    <row r="2967" spans="31:31" ht="12.75" customHeight="1" x14ac:dyDescent="0.15">
      <c r="AE2967" s="13"/>
    </row>
    <row r="2968" spans="31:31" ht="12.75" customHeight="1" x14ac:dyDescent="0.15">
      <c r="AE2968" s="13"/>
    </row>
    <row r="2969" spans="31:31" ht="12.75" customHeight="1" x14ac:dyDescent="0.15">
      <c r="AE2969" s="13"/>
    </row>
    <row r="2970" spans="31:31" ht="12.75" customHeight="1" x14ac:dyDescent="0.15">
      <c r="AE2970" s="13"/>
    </row>
    <row r="2971" spans="31:31" ht="12.75" customHeight="1" x14ac:dyDescent="0.15">
      <c r="AE2971" s="13"/>
    </row>
    <row r="2972" spans="31:31" ht="12.75" customHeight="1" x14ac:dyDescent="0.15">
      <c r="AE2972" s="13"/>
    </row>
    <row r="2973" spans="31:31" ht="12.75" customHeight="1" x14ac:dyDescent="0.15">
      <c r="AE2973" s="13"/>
    </row>
    <row r="2974" spans="31:31" ht="12.75" customHeight="1" x14ac:dyDescent="0.15">
      <c r="AE2974" s="13"/>
    </row>
    <row r="2975" spans="31:31" ht="12.75" customHeight="1" x14ac:dyDescent="0.15">
      <c r="AE2975" s="13"/>
    </row>
    <row r="2976" spans="31:31" ht="12.75" customHeight="1" x14ac:dyDescent="0.15">
      <c r="AE2976" s="13"/>
    </row>
    <row r="2977" spans="31:31" ht="12.75" customHeight="1" x14ac:dyDescent="0.15">
      <c r="AE2977" s="13"/>
    </row>
    <row r="2978" spans="31:31" ht="12.75" customHeight="1" x14ac:dyDescent="0.15">
      <c r="AE2978" s="13"/>
    </row>
    <row r="2979" spans="31:31" ht="12.75" customHeight="1" x14ac:dyDescent="0.15">
      <c r="AE2979" s="13"/>
    </row>
    <row r="2980" spans="31:31" ht="12.75" customHeight="1" x14ac:dyDescent="0.15">
      <c r="AE2980" s="13"/>
    </row>
    <row r="2981" spans="31:31" ht="12.75" customHeight="1" x14ac:dyDescent="0.15">
      <c r="AE2981" s="13"/>
    </row>
    <row r="2982" spans="31:31" ht="12.75" customHeight="1" x14ac:dyDescent="0.15">
      <c r="AE2982" s="13"/>
    </row>
    <row r="2983" spans="31:31" ht="12.75" customHeight="1" x14ac:dyDescent="0.15">
      <c r="AE2983" s="13"/>
    </row>
    <row r="2984" spans="31:31" ht="12.75" customHeight="1" x14ac:dyDescent="0.15">
      <c r="AE2984" s="13"/>
    </row>
    <row r="2985" spans="31:31" ht="12.75" customHeight="1" x14ac:dyDescent="0.15">
      <c r="AE2985" s="13"/>
    </row>
    <row r="2986" spans="31:31" ht="12.75" customHeight="1" x14ac:dyDescent="0.15">
      <c r="AE2986" s="13"/>
    </row>
    <row r="2987" spans="31:31" ht="12.75" customHeight="1" x14ac:dyDescent="0.15">
      <c r="AE2987" s="13"/>
    </row>
    <row r="2988" spans="31:31" ht="12.75" customHeight="1" x14ac:dyDescent="0.15">
      <c r="AE2988" s="13"/>
    </row>
    <row r="2989" spans="31:31" ht="12.75" customHeight="1" x14ac:dyDescent="0.15">
      <c r="AE2989" s="13"/>
    </row>
    <row r="2990" spans="31:31" ht="12.75" customHeight="1" x14ac:dyDescent="0.15">
      <c r="AE2990" s="13"/>
    </row>
    <row r="2991" spans="31:31" ht="12.75" customHeight="1" x14ac:dyDescent="0.15">
      <c r="AE2991" s="13"/>
    </row>
    <row r="2992" spans="31:31" ht="12.75" customHeight="1" x14ac:dyDescent="0.15">
      <c r="AE2992" s="13"/>
    </row>
    <row r="2993" spans="31:31" ht="12.75" customHeight="1" x14ac:dyDescent="0.15">
      <c r="AE2993" s="13"/>
    </row>
    <row r="2994" spans="31:31" ht="12.75" customHeight="1" x14ac:dyDescent="0.15">
      <c r="AE2994" s="13"/>
    </row>
    <row r="2995" spans="31:31" ht="12.75" customHeight="1" x14ac:dyDescent="0.15">
      <c r="AE2995" s="13"/>
    </row>
    <row r="2996" spans="31:31" ht="12.75" customHeight="1" x14ac:dyDescent="0.15">
      <c r="AE2996" s="13"/>
    </row>
    <row r="2997" spans="31:31" ht="12.75" customHeight="1" x14ac:dyDescent="0.15">
      <c r="AE2997" s="13"/>
    </row>
    <row r="2998" spans="31:31" ht="12.75" customHeight="1" x14ac:dyDescent="0.15">
      <c r="AE2998" s="13"/>
    </row>
    <row r="2999" spans="31:31" ht="12.75" customHeight="1" x14ac:dyDescent="0.15">
      <c r="AE2999" s="13"/>
    </row>
    <row r="3000" spans="31:31" ht="12.75" customHeight="1" x14ac:dyDescent="0.15">
      <c r="AE3000" s="13"/>
    </row>
    <row r="3001" spans="31:31" ht="12.75" customHeight="1" x14ac:dyDescent="0.15">
      <c r="AE3001" s="13"/>
    </row>
    <row r="3002" spans="31:31" ht="12.75" customHeight="1" x14ac:dyDescent="0.15">
      <c r="AE3002" s="13"/>
    </row>
    <row r="3003" spans="31:31" ht="12.75" customHeight="1" x14ac:dyDescent="0.15">
      <c r="AE3003" s="13"/>
    </row>
    <row r="3004" spans="31:31" ht="12.75" customHeight="1" x14ac:dyDescent="0.15">
      <c r="AE3004" s="13"/>
    </row>
    <row r="3005" spans="31:31" ht="12.75" customHeight="1" x14ac:dyDescent="0.15">
      <c r="AE3005" s="13"/>
    </row>
    <row r="3006" spans="31:31" ht="12.75" customHeight="1" x14ac:dyDescent="0.15">
      <c r="AE3006" s="13"/>
    </row>
    <row r="3007" spans="31:31" ht="12.75" customHeight="1" x14ac:dyDescent="0.15">
      <c r="AE3007" s="13"/>
    </row>
    <row r="3008" spans="31:31" ht="12.75" customHeight="1" x14ac:dyDescent="0.15">
      <c r="AE3008" s="13"/>
    </row>
    <row r="3009" spans="31:31" ht="12.75" customHeight="1" x14ac:dyDescent="0.15">
      <c r="AE3009" s="13"/>
    </row>
    <row r="3010" spans="31:31" ht="12.75" customHeight="1" x14ac:dyDescent="0.15">
      <c r="AE3010" s="13"/>
    </row>
    <row r="3011" spans="31:31" ht="12.75" customHeight="1" x14ac:dyDescent="0.15">
      <c r="AE3011" s="13"/>
    </row>
    <row r="3012" spans="31:31" ht="12.75" customHeight="1" x14ac:dyDescent="0.15">
      <c r="AE3012" s="13"/>
    </row>
    <row r="3013" spans="31:31" ht="12.75" customHeight="1" x14ac:dyDescent="0.15">
      <c r="AE3013" s="13"/>
    </row>
    <row r="3014" spans="31:31" ht="12.75" customHeight="1" x14ac:dyDescent="0.15">
      <c r="AE3014" s="13"/>
    </row>
    <row r="3015" spans="31:31" ht="12.75" customHeight="1" x14ac:dyDescent="0.15">
      <c r="AE3015" s="13"/>
    </row>
    <row r="3016" spans="31:31" ht="12.75" customHeight="1" x14ac:dyDescent="0.15">
      <c r="AE3016" s="13"/>
    </row>
    <row r="3017" spans="31:31" ht="12.75" customHeight="1" x14ac:dyDescent="0.15">
      <c r="AE3017" s="13"/>
    </row>
    <row r="3018" spans="31:31" ht="12.75" customHeight="1" x14ac:dyDescent="0.15">
      <c r="AE3018" s="13"/>
    </row>
    <row r="3019" spans="31:31" ht="12.75" customHeight="1" x14ac:dyDescent="0.15">
      <c r="AE3019" s="13"/>
    </row>
    <row r="3020" spans="31:31" ht="12.75" customHeight="1" x14ac:dyDescent="0.15">
      <c r="AE3020" s="13"/>
    </row>
    <row r="3021" spans="31:31" ht="12.75" customHeight="1" x14ac:dyDescent="0.15">
      <c r="AE3021" s="13"/>
    </row>
    <row r="3022" spans="31:31" ht="12.75" customHeight="1" x14ac:dyDescent="0.15">
      <c r="AE3022" s="13"/>
    </row>
    <row r="3023" spans="31:31" ht="12.75" customHeight="1" x14ac:dyDescent="0.15">
      <c r="AE3023" s="13"/>
    </row>
    <row r="3024" spans="31:31" ht="12.75" customHeight="1" x14ac:dyDescent="0.15">
      <c r="AE3024" s="13"/>
    </row>
    <row r="3025" spans="31:31" ht="12.75" customHeight="1" x14ac:dyDescent="0.15">
      <c r="AE3025" s="13"/>
    </row>
    <row r="3026" spans="31:31" ht="12.75" customHeight="1" x14ac:dyDescent="0.15">
      <c r="AE3026" s="13"/>
    </row>
    <row r="3027" spans="31:31" ht="12.75" customHeight="1" x14ac:dyDescent="0.15">
      <c r="AE3027" s="13"/>
    </row>
    <row r="3028" spans="31:31" ht="12.75" customHeight="1" x14ac:dyDescent="0.15">
      <c r="AE3028" s="13"/>
    </row>
    <row r="3029" spans="31:31" ht="12.75" customHeight="1" x14ac:dyDescent="0.15">
      <c r="AE3029" s="13"/>
    </row>
    <row r="3030" spans="31:31" ht="12.75" customHeight="1" x14ac:dyDescent="0.15">
      <c r="AE3030" s="13"/>
    </row>
    <row r="3031" spans="31:31" ht="12.75" customHeight="1" x14ac:dyDescent="0.15">
      <c r="AE3031" s="13"/>
    </row>
    <row r="3032" spans="31:31" ht="12.75" customHeight="1" x14ac:dyDescent="0.15">
      <c r="AE3032" s="13"/>
    </row>
    <row r="3033" spans="31:31" ht="12.75" customHeight="1" x14ac:dyDescent="0.15">
      <c r="AE3033" s="13"/>
    </row>
    <row r="3034" spans="31:31" ht="12.75" customHeight="1" x14ac:dyDescent="0.15">
      <c r="AE3034" s="13"/>
    </row>
    <row r="3035" spans="31:31" ht="12.75" customHeight="1" x14ac:dyDescent="0.15">
      <c r="AE3035" s="13"/>
    </row>
    <row r="3036" spans="31:31" ht="12.75" customHeight="1" x14ac:dyDescent="0.15">
      <c r="AE3036" s="13"/>
    </row>
    <row r="3037" spans="31:31" ht="12.75" customHeight="1" x14ac:dyDescent="0.15">
      <c r="AE3037" s="13"/>
    </row>
    <row r="3038" spans="31:31" ht="12.75" customHeight="1" x14ac:dyDescent="0.15">
      <c r="AE3038" s="13"/>
    </row>
    <row r="3039" spans="31:31" ht="12.75" customHeight="1" x14ac:dyDescent="0.15">
      <c r="AE3039" s="13"/>
    </row>
    <row r="3040" spans="31:31" ht="12.75" customHeight="1" x14ac:dyDescent="0.15">
      <c r="AE3040" s="13"/>
    </row>
    <row r="3041" spans="31:31" ht="12.75" customHeight="1" x14ac:dyDescent="0.15">
      <c r="AE3041" s="13"/>
    </row>
    <row r="3042" spans="31:31" ht="12.75" customHeight="1" x14ac:dyDescent="0.15">
      <c r="AE3042" s="13"/>
    </row>
    <row r="3043" spans="31:31" ht="12.75" customHeight="1" x14ac:dyDescent="0.15">
      <c r="AE3043" s="13"/>
    </row>
    <row r="3044" spans="31:31" ht="12.75" customHeight="1" x14ac:dyDescent="0.15">
      <c r="AE3044" s="13"/>
    </row>
    <row r="3045" spans="31:31" ht="12.75" customHeight="1" x14ac:dyDescent="0.15">
      <c r="AE3045" s="13"/>
    </row>
    <row r="3046" spans="31:31" ht="12.75" customHeight="1" x14ac:dyDescent="0.15">
      <c r="AE3046" s="13"/>
    </row>
    <row r="3047" spans="31:31" ht="12.75" customHeight="1" x14ac:dyDescent="0.15">
      <c r="AE3047" s="13"/>
    </row>
    <row r="3048" spans="31:31" ht="12.75" customHeight="1" x14ac:dyDescent="0.15">
      <c r="AE3048" s="13"/>
    </row>
    <row r="3049" spans="31:31" ht="12.75" customHeight="1" x14ac:dyDescent="0.15">
      <c r="AE3049" s="13"/>
    </row>
    <row r="3050" spans="31:31" ht="12.75" customHeight="1" x14ac:dyDescent="0.15">
      <c r="AE3050" s="13"/>
    </row>
    <row r="3051" spans="31:31" ht="12.75" customHeight="1" x14ac:dyDescent="0.15">
      <c r="AE3051" s="13"/>
    </row>
    <row r="3052" spans="31:31" ht="12.75" customHeight="1" x14ac:dyDescent="0.15">
      <c r="AE3052" s="13"/>
    </row>
    <row r="3053" spans="31:31" ht="12.75" customHeight="1" x14ac:dyDescent="0.15">
      <c r="AE3053" s="13"/>
    </row>
    <row r="3054" spans="31:31" ht="12.75" customHeight="1" x14ac:dyDescent="0.15">
      <c r="AE3054" s="13"/>
    </row>
    <row r="3055" spans="31:31" ht="12.75" customHeight="1" x14ac:dyDescent="0.15">
      <c r="AE3055" s="13"/>
    </row>
    <row r="3056" spans="31:31" ht="12.75" customHeight="1" x14ac:dyDescent="0.15">
      <c r="AE3056" s="13"/>
    </row>
    <row r="3057" spans="31:31" ht="12.75" customHeight="1" x14ac:dyDescent="0.15">
      <c r="AE3057" s="13"/>
    </row>
    <row r="3058" spans="31:31" ht="12.75" customHeight="1" x14ac:dyDescent="0.15">
      <c r="AE3058" s="13"/>
    </row>
    <row r="3059" spans="31:31" ht="12.75" customHeight="1" x14ac:dyDescent="0.15">
      <c r="AE3059" s="13"/>
    </row>
    <row r="3060" spans="31:31" ht="12.75" customHeight="1" x14ac:dyDescent="0.15">
      <c r="AE3060" s="13"/>
    </row>
    <row r="3061" spans="31:31" ht="12.75" customHeight="1" x14ac:dyDescent="0.15">
      <c r="AE3061" s="13"/>
    </row>
    <row r="3062" spans="31:31" ht="12.75" customHeight="1" x14ac:dyDescent="0.15">
      <c r="AE3062" s="13"/>
    </row>
    <row r="3063" spans="31:31" ht="12.75" customHeight="1" x14ac:dyDescent="0.15">
      <c r="AE3063" s="13"/>
    </row>
    <row r="3064" spans="31:31" ht="12.75" customHeight="1" x14ac:dyDescent="0.15">
      <c r="AE3064" s="13"/>
    </row>
    <row r="3065" spans="31:31" ht="12.75" customHeight="1" x14ac:dyDescent="0.15">
      <c r="AE3065" s="13"/>
    </row>
    <row r="3066" spans="31:31" ht="12.75" customHeight="1" x14ac:dyDescent="0.15">
      <c r="AE3066" s="13"/>
    </row>
    <row r="3067" spans="31:31" ht="12.75" customHeight="1" x14ac:dyDescent="0.15">
      <c r="AE3067" s="13"/>
    </row>
    <row r="3068" spans="31:31" ht="12.75" customHeight="1" x14ac:dyDescent="0.15">
      <c r="AE3068" s="13"/>
    </row>
    <row r="3069" spans="31:31" ht="12.75" customHeight="1" x14ac:dyDescent="0.15">
      <c r="AE3069" s="13"/>
    </row>
    <row r="3070" spans="31:31" ht="12.75" customHeight="1" x14ac:dyDescent="0.15">
      <c r="AE3070" s="13"/>
    </row>
    <row r="3071" spans="31:31" ht="12.75" customHeight="1" x14ac:dyDescent="0.15">
      <c r="AE3071" s="13"/>
    </row>
    <row r="3072" spans="31:31" ht="12.75" customHeight="1" x14ac:dyDescent="0.15">
      <c r="AE3072" s="13"/>
    </row>
    <row r="3073" spans="31:31" ht="12.75" customHeight="1" x14ac:dyDescent="0.15">
      <c r="AE3073" s="13"/>
    </row>
    <row r="3074" spans="31:31" ht="12.75" customHeight="1" x14ac:dyDescent="0.15">
      <c r="AE3074" s="13"/>
    </row>
    <row r="3075" spans="31:31" ht="12.75" customHeight="1" x14ac:dyDescent="0.15">
      <c r="AE3075" s="13"/>
    </row>
    <row r="3076" spans="31:31" ht="12.75" customHeight="1" x14ac:dyDescent="0.15">
      <c r="AE3076" s="13"/>
    </row>
    <row r="3077" spans="31:31" ht="12.75" customHeight="1" x14ac:dyDescent="0.15">
      <c r="AE3077" s="13"/>
    </row>
    <row r="3078" spans="31:31" ht="12.75" customHeight="1" x14ac:dyDescent="0.15">
      <c r="AE3078" s="13"/>
    </row>
    <row r="3079" spans="31:31" ht="12.75" customHeight="1" x14ac:dyDescent="0.15">
      <c r="AE3079" s="13"/>
    </row>
    <row r="3080" spans="31:31" ht="12.75" customHeight="1" x14ac:dyDescent="0.15">
      <c r="AE3080" s="13"/>
    </row>
    <row r="3081" spans="31:31" ht="12.75" customHeight="1" x14ac:dyDescent="0.15">
      <c r="AE3081" s="13"/>
    </row>
    <row r="3082" spans="31:31" ht="12.75" customHeight="1" x14ac:dyDescent="0.15">
      <c r="AE3082" s="13"/>
    </row>
    <row r="3083" spans="31:31" ht="12.75" customHeight="1" x14ac:dyDescent="0.15">
      <c r="AE3083" s="13"/>
    </row>
    <row r="3084" spans="31:31" ht="12.75" customHeight="1" x14ac:dyDescent="0.15">
      <c r="AE3084" s="13"/>
    </row>
    <row r="3085" spans="31:31" ht="12.75" customHeight="1" x14ac:dyDescent="0.15">
      <c r="AE3085" s="13"/>
    </row>
    <row r="3086" spans="31:31" ht="12.75" customHeight="1" x14ac:dyDescent="0.15">
      <c r="AE3086" s="13"/>
    </row>
    <row r="3087" spans="31:31" ht="12.75" customHeight="1" x14ac:dyDescent="0.15">
      <c r="AE3087" s="13"/>
    </row>
    <row r="3088" spans="31:31" ht="12.75" customHeight="1" x14ac:dyDescent="0.15">
      <c r="AE3088" s="13"/>
    </row>
    <row r="3089" spans="31:31" ht="12.75" customHeight="1" x14ac:dyDescent="0.15">
      <c r="AE3089" s="13"/>
    </row>
    <row r="3090" spans="31:31" ht="12.75" customHeight="1" x14ac:dyDescent="0.15">
      <c r="AE3090" s="13"/>
    </row>
    <row r="3091" spans="31:31" ht="12.75" customHeight="1" x14ac:dyDescent="0.15">
      <c r="AE3091" s="13"/>
    </row>
    <row r="3092" spans="31:31" ht="12.75" customHeight="1" x14ac:dyDescent="0.15">
      <c r="AE3092" s="13"/>
    </row>
    <row r="3093" spans="31:31" ht="12.75" customHeight="1" x14ac:dyDescent="0.15">
      <c r="AE3093" s="13"/>
    </row>
    <row r="3094" spans="31:31" ht="12.75" customHeight="1" x14ac:dyDescent="0.15">
      <c r="AE3094" s="13"/>
    </row>
    <row r="3095" spans="31:31" ht="12.75" customHeight="1" x14ac:dyDescent="0.15">
      <c r="AE3095" s="13"/>
    </row>
    <row r="3096" spans="31:31" ht="12.75" customHeight="1" x14ac:dyDescent="0.15">
      <c r="AE3096" s="13"/>
    </row>
    <row r="3097" spans="31:31" ht="12.75" customHeight="1" x14ac:dyDescent="0.15">
      <c r="AE3097" s="13"/>
    </row>
    <row r="3098" spans="31:31" ht="12.75" customHeight="1" x14ac:dyDescent="0.15">
      <c r="AE3098" s="13"/>
    </row>
    <row r="3099" spans="31:31" ht="12.75" customHeight="1" x14ac:dyDescent="0.15">
      <c r="AE3099" s="13"/>
    </row>
    <row r="3100" spans="31:31" ht="12.75" customHeight="1" x14ac:dyDescent="0.15">
      <c r="AE3100" s="13"/>
    </row>
    <row r="3101" spans="31:31" ht="12.75" customHeight="1" x14ac:dyDescent="0.15">
      <c r="AE3101" s="13"/>
    </row>
    <row r="3102" spans="31:31" ht="12.75" customHeight="1" x14ac:dyDescent="0.15">
      <c r="AE3102" s="13"/>
    </row>
    <row r="3103" spans="31:31" ht="12.75" customHeight="1" x14ac:dyDescent="0.15">
      <c r="AE3103" s="13"/>
    </row>
    <row r="3104" spans="31:31" ht="12.75" customHeight="1" x14ac:dyDescent="0.15">
      <c r="AE3104" s="13"/>
    </row>
    <row r="3105" spans="31:31" ht="12.75" customHeight="1" x14ac:dyDescent="0.15">
      <c r="AE3105" s="13"/>
    </row>
    <row r="3106" spans="31:31" ht="12.75" customHeight="1" x14ac:dyDescent="0.15">
      <c r="AE3106" s="13"/>
    </row>
    <row r="3107" spans="31:31" ht="12.75" customHeight="1" x14ac:dyDescent="0.15">
      <c r="AE3107" s="13"/>
    </row>
    <row r="3108" spans="31:31" ht="12.75" customHeight="1" x14ac:dyDescent="0.15">
      <c r="AE3108" s="13"/>
    </row>
    <row r="3109" spans="31:31" ht="12.75" customHeight="1" x14ac:dyDescent="0.15">
      <c r="AE3109" s="13"/>
    </row>
    <row r="3110" spans="31:31" ht="12.75" customHeight="1" x14ac:dyDescent="0.15">
      <c r="AE3110" s="13"/>
    </row>
    <row r="3111" spans="31:31" ht="12.75" customHeight="1" x14ac:dyDescent="0.15">
      <c r="AE3111" s="13"/>
    </row>
    <row r="3112" spans="31:31" ht="12.75" customHeight="1" x14ac:dyDescent="0.15">
      <c r="AE3112" s="13"/>
    </row>
    <row r="3113" spans="31:31" ht="12.75" customHeight="1" x14ac:dyDescent="0.15">
      <c r="AE3113" s="13"/>
    </row>
    <row r="3114" spans="31:31" ht="12.75" customHeight="1" x14ac:dyDescent="0.15">
      <c r="AE3114" s="13"/>
    </row>
    <row r="3115" spans="31:31" ht="12.75" customHeight="1" x14ac:dyDescent="0.15">
      <c r="AE3115" s="13"/>
    </row>
    <row r="3116" spans="31:31" ht="12.75" customHeight="1" x14ac:dyDescent="0.15">
      <c r="AE3116" s="13"/>
    </row>
    <row r="3117" spans="31:31" ht="12.75" customHeight="1" x14ac:dyDescent="0.15">
      <c r="AE3117" s="13"/>
    </row>
    <row r="3118" spans="31:31" ht="12.75" customHeight="1" x14ac:dyDescent="0.15">
      <c r="AE3118" s="13"/>
    </row>
    <row r="3119" spans="31:31" ht="12.75" customHeight="1" x14ac:dyDescent="0.15">
      <c r="AE3119" s="13"/>
    </row>
    <row r="3120" spans="31:31" ht="12.75" customHeight="1" x14ac:dyDescent="0.15">
      <c r="AE3120" s="13"/>
    </row>
    <row r="3121" spans="31:31" ht="12.75" customHeight="1" x14ac:dyDescent="0.15">
      <c r="AE3121" s="13"/>
    </row>
    <row r="3122" spans="31:31" ht="12.75" customHeight="1" x14ac:dyDescent="0.15">
      <c r="AE3122" s="13"/>
    </row>
    <row r="3123" spans="31:31" ht="12.75" customHeight="1" x14ac:dyDescent="0.15">
      <c r="AE3123" s="13"/>
    </row>
    <row r="3124" spans="31:31" ht="12.75" customHeight="1" x14ac:dyDescent="0.15">
      <c r="AE3124" s="13"/>
    </row>
    <row r="3125" spans="31:31" ht="12.75" customHeight="1" x14ac:dyDescent="0.15">
      <c r="AE3125" s="13"/>
    </row>
    <row r="3126" spans="31:31" ht="12.75" customHeight="1" x14ac:dyDescent="0.15">
      <c r="AE3126" s="13"/>
    </row>
    <row r="3127" spans="31:31" ht="12.75" customHeight="1" x14ac:dyDescent="0.15">
      <c r="AE3127" s="13"/>
    </row>
    <row r="3128" spans="31:31" ht="12.75" customHeight="1" x14ac:dyDescent="0.15">
      <c r="AE3128" s="13"/>
    </row>
    <row r="3129" spans="31:31" ht="12.75" customHeight="1" x14ac:dyDescent="0.15">
      <c r="AE3129" s="13"/>
    </row>
    <row r="3130" spans="31:31" ht="12.75" customHeight="1" x14ac:dyDescent="0.15">
      <c r="AE3130" s="13"/>
    </row>
    <row r="3131" spans="31:31" ht="12.75" customHeight="1" x14ac:dyDescent="0.15">
      <c r="AE3131" s="13"/>
    </row>
    <row r="3132" spans="31:31" ht="12.75" customHeight="1" x14ac:dyDescent="0.15">
      <c r="AE3132" s="13"/>
    </row>
    <row r="3133" spans="31:31" ht="12.75" customHeight="1" x14ac:dyDescent="0.15">
      <c r="AE3133" s="13"/>
    </row>
    <row r="3134" spans="31:31" ht="12.75" customHeight="1" x14ac:dyDescent="0.15">
      <c r="AE3134" s="13"/>
    </row>
    <row r="3135" spans="31:31" ht="12.75" customHeight="1" x14ac:dyDescent="0.15">
      <c r="AE3135" s="13"/>
    </row>
    <row r="3136" spans="31:31" ht="12.75" customHeight="1" x14ac:dyDescent="0.15">
      <c r="AE3136" s="13"/>
    </row>
    <row r="3137" spans="31:31" ht="12.75" customHeight="1" x14ac:dyDescent="0.15">
      <c r="AE3137" s="13"/>
    </row>
    <row r="3138" spans="31:31" ht="12.75" customHeight="1" x14ac:dyDescent="0.15">
      <c r="AE3138" s="13"/>
    </row>
    <row r="3139" spans="31:31" ht="12.75" customHeight="1" x14ac:dyDescent="0.15">
      <c r="AE3139" s="13"/>
    </row>
    <row r="3140" spans="31:31" ht="12.75" customHeight="1" x14ac:dyDescent="0.15">
      <c r="AE3140" s="13"/>
    </row>
    <row r="3141" spans="31:31" ht="12.75" customHeight="1" x14ac:dyDescent="0.15">
      <c r="AE3141" s="13"/>
    </row>
    <row r="3142" spans="31:31" ht="12.75" customHeight="1" x14ac:dyDescent="0.15">
      <c r="AE3142" s="13"/>
    </row>
    <row r="3143" spans="31:31" ht="12.75" customHeight="1" x14ac:dyDescent="0.15">
      <c r="AE3143" s="13"/>
    </row>
    <row r="3144" spans="31:31" ht="12.75" customHeight="1" x14ac:dyDescent="0.15">
      <c r="AE3144" s="13"/>
    </row>
    <row r="3145" spans="31:31" ht="12.75" customHeight="1" x14ac:dyDescent="0.15">
      <c r="AE3145" s="13"/>
    </row>
    <row r="3146" spans="31:31" ht="12.75" customHeight="1" x14ac:dyDescent="0.15">
      <c r="AE3146" s="13"/>
    </row>
    <row r="3147" spans="31:31" ht="12.75" customHeight="1" x14ac:dyDescent="0.15">
      <c r="AE3147" s="13"/>
    </row>
    <row r="3148" spans="31:31" ht="12.75" customHeight="1" x14ac:dyDescent="0.15">
      <c r="AE3148" s="13"/>
    </row>
    <row r="3149" spans="31:31" ht="12.75" customHeight="1" x14ac:dyDescent="0.15">
      <c r="AE3149" s="13"/>
    </row>
    <row r="3150" spans="31:31" ht="12.75" customHeight="1" x14ac:dyDescent="0.15">
      <c r="AE3150" s="13"/>
    </row>
    <row r="3151" spans="31:31" ht="12.75" customHeight="1" x14ac:dyDescent="0.15">
      <c r="AE3151" s="13"/>
    </row>
    <row r="3152" spans="31:31" ht="12.75" customHeight="1" x14ac:dyDescent="0.15">
      <c r="AE3152" s="13"/>
    </row>
    <row r="3153" spans="31:31" ht="12.75" customHeight="1" x14ac:dyDescent="0.15">
      <c r="AE3153" s="13"/>
    </row>
    <row r="3154" spans="31:31" ht="12.75" customHeight="1" x14ac:dyDescent="0.15">
      <c r="AE3154" s="13"/>
    </row>
    <row r="3155" spans="31:31" ht="12.75" customHeight="1" x14ac:dyDescent="0.15">
      <c r="AE3155" s="13"/>
    </row>
    <row r="3156" spans="31:31" ht="12.75" customHeight="1" x14ac:dyDescent="0.15">
      <c r="AE3156" s="13"/>
    </row>
    <row r="3157" spans="31:31" ht="12.75" customHeight="1" x14ac:dyDescent="0.15">
      <c r="AE3157" s="13"/>
    </row>
    <row r="3158" spans="31:31" ht="12.75" customHeight="1" x14ac:dyDescent="0.15">
      <c r="AE3158" s="13"/>
    </row>
    <row r="3159" spans="31:31" ht="12.75" customHeight="1" x14ac:dyDescent="0.15">
      <c r="AE3159" s="13"/>
    </row>
    <row r="3160" spans="31:31" ht="12.75" customHeight="1" x14ac:dyDescent="0.15">
      <c r="AE3160" s="13"/>
    </row>
    <row r="3161" spans="31:31" ht="12.75" customHeight="1" x14ac:dyDescent="0.15">
      <c r="AE3161" s="13"/>
    </row>
    <row r="3162" spans="31:31" ht="12.75" customHeight="1" x14ac:dyDescent="0.15">
      <c r="AE3162" s="13"/>
    </row>
    <row r="3163" spans="31:31" ht="12.75" customHeight="1" x14ac:dyDescent="0.15">
      <c r="AE3163" s="13"/>
    </row>
    <row r="3164" spans="31:31" ht="12.75" customHeight="1" x14ac:dyDescent="0.15">
      <c r="AE3164" s="13"/>
    </row>
    <row r="3165" spans="31:31" ht="12.75" customHeight="1" x14ac:dyDescent="0.15">
      <c r="AE3165" s="13"/>
    </row>
    <row r="3166" spans="31:31" ht="12.75" customHeight="1" x14ac:dyDescent="0.15">
      <c r="AE3166" s="13"/>
    </row>
    <row r="3167" spans="31:31" ht="12.75" customHeight="1" x14ac:dyDescent="0.15">
      <c r="AE3167" s="13"/>
    </row>
    <row r="3168" spans="31:31" ht="12.75" customHeight="1" x14ac:dyDescent="0.15">
      <c r="AE3168" s="13"/>
    </row>
    <row r="3169" spans="31:31" ht="12.75" customHeight="1" x14ac:dyDescent="0.15">
      <c r="AE3169" s="13"/>
    </row>
    <row r="3170" spans="31:31" ht="12.75" customHeight="1" x14ac:dyDescent="0.15">
      <c r="AE3170" s="13"/>
    </row>
    <row r="3171" spans="31:31" ht="12.75" customHeight="1" x14ac:dyDescent="0.15">
      <c r="AE3171" s="13"/>
    </row>
    <row r="3172" spans="31:31" ht="12.75" customHeight="1" x14ac:dyDescent="0.15">
      <c r="AE3172" s="13"/>
    </row>
    <row r="3173" spans="31:31" ht="12.75" customHeight="1" x14ac:dyDescent="0.15">
      <c r="AE3173" s="13"/>
    </row>
    <row r="3174" spans="31:31" ht="12.75" customHeight="1" x14ac:dyDescent="0.15">
      <c r="AE3174" s="13"/>
    </row>
    <row r="3175" spans="31:31" ht="12.75" customHeight="1" x14ac:dyDescent="0.15">
      <c r="AE3175" s="13"/>
    </row>
    <row r="3176" spans="31:31" ht="12.75" customHeight="1" x14ac:dyDescent="0.15">
      <c r="AE3176" s="13"/>
    </row>
    <row r="3177" spans="31:31" ht="12.75" customHeight="1" x14ac:dyDescent="0.15">
      <c r="AE3177" s="13"/>
    </row>
    <row r="3178" spans="31:31" ht="12.75" customHeight="1" x14ac:dyDescent="0.15">
      <c r="AE3178" s="13"/>
    </row>
    <row r="3179" spans="31:31" ht="12.75" customHeight="1" x14ac:dyDescent="0.15">
      <c r="AE3179" s="13"/>
    </row>
    <row r="3180" spans="31:31" ht="12.75" customHeight="1" x14ac:dyDescent="0.15">
      <c r="AE3180" s="13"/>
    </row>
    <row r="3181" spans="31:31" ht="12.75" customHeight="1" x14ac:dyDescent="0.15">
      <c r="AE3181" s="13"/>
    </row>
    <row r="3182" spans="31:31" ht="12.75" customHeight="1" x14ac:dyDescent="0.15">
      <c r="AE3182" s="13"/>
    </row>
    <row r="3183" spans="31:31" ht="12.75" customHeight="1" x14ac:dyDescent="0.15">
      <c r="AE3183" s="13"/>
    </row>
    <row r="3184" spans="31:31" ht="12.75" customHeight="1" x14ac:dyDescent="0.15">
      <c r="AE3184" s="13"/>
    </row>
    <row r="3185" spans="31:31" ht="12.75" customHeight="1" x14ac:dyDescent="0.15">
      <c r="AE3185" s="13"/>
    </row>
    <row r="3186" spans="31:31" ht="12.75" customHeight="1" x14ac:dyDescent="0.15">
      <c r="AE3186" s="13"/>
    </row>
    <row r="3187" spans="31:31" ht="12.75" customHeight="1" x14ac:dyDescent="0.15">
      <c r="AE3187" s="13"/>
    </row>
    <row r="3188" spans="31:31" ht="12.75" customHeight="1" x14ac:dyDescent="0.15">
      <c r="AE3188" s="13"/>
    </row>
    <row r="3189" spans="31:31" ht="12.75" customHeight="1" x14ac:dyDescent="0.15">
      <c r="AE3189" s="13"/>
    </row>
    <row r="3190" spans="31:31" ht="12.75" customHeight="1" x14ac:dyDescent="0.15">
      <c r="AE3190" s="13"/>
    </row>
    <row r="3191" spans="31:31" ht="12.75" customHeight="1" x14ac:dyDescent="0.15">
      <c r="AE3191" s="13"/>
    </row>
    <row r="3192" spans="31:31" ht="12.75" customHeight="1" x14ac:dyDescent="0.15">
      <c r="AE3192" s="13"/>
    </row>
    <row r="3193" spans="31:31" ht="12.75" customHeight="1" x14ac:dyDescent="0.15">
      <c r="AE3193" s="13"/>
    </row>
    <row r="3194" spans="31:31" ht="12.75" customHeight="1" x14ac:dyDescent="0.15">
      <c r="AE3194" s="13"/>
    </row>
    <row r="3195" spans="31:31" ht="12.75" customHeight="1" x14ac:dyDescent="0.15">
      <c r="AE3195" s="13"/>
    </row>
    <row r="3196" spans="31:31" ht="12.75" customHeight="1" x14ac:dyDescent="0.15">
      <c r="AE3196" s="13"/>
    </row>
    <row r="3197" spans="31:31" ht="12.75" customHeight="1" x14ac:dyDescent="0.15">
      <c r="AE3197" s="13"/>
    </row>
    <row r="3198" spans="31:31" ht="12.75" customHeight="1" x14ac:dyDescent="0.15">
      <c r="AE3198" s="13"/>
    </row>
    <row r="3199" spans="31:31" ht="12.75" customHeight="1" x14ac:dyDescent="0.15">
      <c r="AE3199" s="13"/>
    </row>
    <row r="3200" spans="31:31" ht="12.75" customHeight="1" x14ac:dyDescent="0.15">
      <c r="AE3200" s="13"/>
    </row>
    <row r="3201" spans="31:31" ht="12.75" customHeight="1" x14ac:dyDescent="0.15">
      <c r="AE3201" s="13"/>
    </row>
    <row r="3202" spans="31:31" ht="12.75" customHeight="1" x14ac:dyDescent="0.15">
      <c r="AE3202" s="13"/>
    </row>
    <row r="3203" spans="31:31" ht="12.75" customHeight="1" x14ac:dyDescent="0.15">
      <c r="AE3203" s="13"/>
    </row>
    <row r="3204" spans="31:31" ht="12.75" customHeight="1" x14ac:dyDescent="0.15">
      <c r="AE3204" s="13"/>
    </row>
    <row r="3205" spans="31:31" ht="12.75" customHeight="1" x14ac:dyDescent="0.15">
      <c r="AE3205" s="13"/>
    </row>
    <row r="3206" spans="31:31" ht="12.75" customHeight="1" x14ac:dyDescent="0.15">
      <c r="AE3206" s="13"/>
    </row>
    <row r="3207" spans="31:31" ht="12.75" customHeight="1" x14ac:dyDescent="0.15">
      <c r="AE3207" s="13"/>
    </row>
    <row r="3208" spans="31:31" ht="12.75" customHeight="1" x14ac:dyDescent="0.15">
      <c r="AE3208" s="13"/>
    </row>
    <row r="3209" spans="31:31" ht="12.75" customHeight="1" x14ac:dyDescent="0.15">
      <c r="AE3209" s="13"/>
    </row>
    <row r="3210" spans="31:31" ht="12.75" customHeight="1" x14ac:dyDescent="0.15">
      <c r="AE3210" s="13"/>
    </row>
    <row r="3211" spans="31:31" ht="12.75" customHeight="1" x14ac:dyDescent="0.15">
      <c r="AE3211" s="13"/>
    </row>
    <row r="3212" spans="31:31" ht="12.75" customHeight="1" x14ac:dyDescent="0.15">
      <c r="AE3212" s="13"/>
    </row>
    <row r="3213" spans="31:31" ht="12.75" customHeight="1" x14ac:dyDescent="0.15">
      <c r="AE3213" s="13"/>
    </row>
    <row r="3214" spans="31:31" ht="12.75" customHeight="1" x14ac:dyDescent="0.15">
      <c r="AE3214" s="13"/>
    </row>
    <row r="3215" spans="31:31" ht="12.75" customHeight="1" x14ac:dyDescent="0.15">
      <c r="AE3215" s="13"/>
    </row>
    <row r="3216" spans="31:31" ht="12.75" customHeight="1" x14ac:dyDescent="0.15">
      <c r="AE3216" s="13"/>
    </row>
    <row r="3217" spans="31:31" ht="12.75" customHeight="1" x14ac:dyDescent="0.15">
      <c r="AE3217" s="13"/>
    </row>
    <row r="3218" spans="31:31" ht="12.75" customHeight="1" x14ac:dyDescent="0.15">
      <c r="AE3218" s="13"/>
    </row>
    <row r="3219" spans="31:31" ht="12.75" customHeight="1" x14ac:dyDescent="0.15">
      <c r="AE3219" s="13"/>
    </row>
    <row r="3220" spans="31:31" ht="12.75" customHeight="1" x14ac:dyDescent="0.15">
      <c r="AE3220" s="13"/>
    </row>
    <row r="3221" spans="31:31" ht="12.75" customHeight="1" x14ac:dyDescent="0.15">
      <c r="AE3221" s="13"/>
    </row>
    <row r="3222" spans="31:31" ht="12.75" customHeight="1" x14ac:dyDescent="0.15">
      <c r="AE3222" s="13"/>
    </row>
    <row r="3223" spans="31:31" ht="12.75" customHeight="1" x14ac:dyDescent="0.15">
      <c r="AE3223" s="13"/>
    </row>
    <row r="3224" spans="31:31" ht="12.75" customHeight="1" x14ac:dyDescent="0.15">
      <c r="AE3224" s="13"/>
    </row>
    <row r="3225" spans="31:31" ht="12.75" customHeight="1" x14ac:dyDescent="0.15">
      <c r="AE3225" s="13"/>
    </row>
    <row r="3226" spans="31:31" ht="12.75" customHeight="1" x14ac:dyDescent="0.15">
      <c r="AE3226" s="13"/>
    </row>
    <row r="3227" spans="31:31" ht="12.75" customHeight="1" x14ac:dyDescent="0.15">
      <c r="AE3227" s="13"/>
    </row>
    <row r="3228" spans="31:31" ht="12.75" customHeight="1" x14ac:dyDescent="0.15">
      <c r="AE3228" s="13"/>
    </row>
    <row r="3229" spans="31:31" ht="12.75" customHeight="1" x14ac:dyDescent="0.15">
      <c r="AE3229" s="13"/>
    </row>
    <row r="3230" spans="31:31" ht="12.75" customHeight="1" x14ac:dyDescent="0.15">
      <c r="AE3230" s="13"/>
    </row>
    <row r="3231" spans="31:31" ht="12.75" customHeight="1" x14ac:dyDescent="0.15">
      <c r="AE3231" s="13"/>
    </row>
    <row r="3232" spans="31:31" ht="12.75" customHeight="1" x14ac:dyDescent="0.15">
      <c r="AE3232" s="13"/>
    </row>
    <row r="3233" spans="31:31" ht="12.75" customHeight="1" x14ac:dyDescent="0.15">
      <c r="AE3233" s="13"/>
    </row>
    <row r="3234" spans="31:31" ht="12.75" customHeight="1" x14ac:dyDescent="0.15">
      <c r="AE3234" s="13"/>
    </row>
    <row r="3235" spans="31:31" ht="12.75" customHeight="1" x14ac:dyDescent="0.15">
      <c r="AE3235" s="13"/>
    </row>
    <row r="3236" spans="31:31" ht="12.75" customHeight="1" x14ac:dyDescent="0.15">
      <c r="AE3236" s="13"/>
    </row>
    <row r="3237" spans="31:31" ht="12.75" customHeight="1" x14ac:dyDescent="0.15">
      <c r="AE3237" s="13"/>
    </row>
    <row r="3238" spans="31:31" ht="12.75" customHeight="1" x14ac:dyDescent="0.15">
      <c r="AE3238" s="13"/>
    </row>
    <row r="3239" spans="31:31" ht="12.75" customHeight="1" x14ac:dyDescent="0.15">
      <c r="AE3239" s="13"/>
    </row>
    <row r="3240" spans="31:31" ht="12.75" customHeight="1" x14ac:dyDescent="0.15">
      <c r="AE3240" s="13"/>
    </row>
    <row r="3241" spans="31:31" ht="12.75" customHeight="1" x14ac:dyDescent="0.15">
      <c r="AE3241" s="13"/>
    </row>
    <row r="3242" spans="31:31" ht="12.75" customHeight="1" x14ac:dyDescent="0.15">
      <c r="AE3242" s="13"/>
    </row>
    <row r="3243" spans="31:31" ht="12.75" customHeight="1" x14ac:dyDescent="0.15">
      <c r="AE3243" s="13"/>
    </row>
    <row r="3244" spans="31:31" ht="12.75" customHeight="1" x14ac:dyDescent="0.15">
      <c r="AE3244" s="13"/>
    </row>
    <row r="3245" spans="31:31" ht="12.75" customHeight="1" x14ac:dyDescent="0.15">
      <c r="AE3245" s="13"/>
    </row>
    <row r="3246" spans="31:31" ht="12.75" customHeight="1" x14ac:dyDescent="0.15">
      <c r="AE3246" s="13"/>
    </row>
    <row r="3247" spans="31:31" ht="12.75" customHeight="1" x14ac:dyDescent="0.15">
      <c r="AE3247" s="13"/>
    </row>
    <row r="3248" spans="31:31" ht="12.75" customHeight="1" x14ac:dyDescent="0.15">
      <c r="AE3248" s="13"/>
    </row>
    <row r="3249" spans="31:31" ht="12.75" customHeight="1" x14ac:dyDescent="0.15">
      <c r="AE3249" s="13"/>
    </row>
    <row r="3250" spans="31:31" ht="12.75" customHeight="1" x14ac:dyDescent="0.15">
      <c r="AE3250" s="13"/>
    </row>
    <row r="3251" spans="31:31" ht="12.75" customHeight="1" x14ac:dyDescent="0.15">
      <c r="AE3251" s="13"/>
    </row>
    <row r="3252" spans="31:31" ht="12.75" customHeight="1" x14ac:dyDescent="0.15">
      <c r="AE3252" s="13"/>
    </row>
    <row r="3253" spans="31:31" ht="12.75" customHeight="1" x14ac:dyDescent="0.15">
      <c r="AE3253" s="13"/>
    </row>
    <row r="3254" spans="31:31" ht="12.75" customHeight="1" x14ac:dyDescent="0.15">
      <c r="AE3254" s="13"/>
    </row>
    <row r="3255" spans="31:31" ht="12.75" customHeight="1" x14ac:dyDescent="0.15">
      <c r="AE3255" s="13"/>
    </row>
    <row r="3256" spans="31:31" ht="12.75" customHeight="1" x14ac:dyDescent="0.15">
      <c r="AE3256" s="13"/>
    </row>
    <row r="3257" spans="31:31" ht="12.75" customHeight="1" x14ac:dyDescent="0.15">
      <c r="AE3257" s="13"/>
    </row>
    <row r="3258" spans="31:31" ht="12.75" customHeight="1" x14ac:dyDescent="0.15">
      <c r="AE3258" s="13"/>
    </row>
    <row r="3259" spans="31:31" ht="12.75" customHeight="1" x14ac:dyDescent="0.15">
      <c r="AE3259" s="13"/>
    </row>
    <row r="3260" spans="31:31" ht="12.75" customHeight="1" x14ac:dyDescent="0.15">
      <c r="AE3260" s="13"/>
    </row>
    <row r="3261" spans="31:31" ht="12.75" customHeight="1" x14ac:dyDescent="0.15">
      <c r="AE3261" s="13"/>
    </row>
    <row r="3262" spans="31:31" ht="12.75" customHeight="1" x14ac:dyDescent="0.15">
      <c r="AE3262" s="13"/>
    </row>
    <row r="3263" spans="31:31" ht="12.75" customHeight="1" x14ac:dyDescent="0.15">
      <c r="AE3263" s="13"/>
    </row>
    <row r="3264" spans="31:31" ht="12.75" customHeight="1" x14ac:dyDescent="0.15">
      <c r="AE3264" s="13"/>
    </row>
    <row r="3265" spans="31:31" ht="12.75" customHeight="1" x14ac:dyDescent="0.15">
      <c r="AE3265" s="13"/>
    </row>
    <row r="3266" spans="31:31" ht="12.75" customHeight="1" x14ac:dyDescent="0.15">
      <c r="AE3266" s="13"/>
    </row>
    <row r="3267" spans="31:31" ht="12.75" customHeight="1" x14ac:dyDescent="0.15">
      <c r="AE3267" s="13"/>
    </row>
    <row r="3268" spans="31:31" ht="12.75" customHeight="1" x14ac:dyDescent="0.15">
      <c r="AE3268" s="13"/>
    </row>
    <row r="3269" spans="31:31" ht="12.75" customHeight="1" x14ac:dyDescent="0.15">
      <c r="AE3269" s="13"/>
    </row>
    <row r="3270" spans="31:31" ht="12.75" customHeight="1" x14ac:dyDescent="0.15">
      <c r="AE3270" s="13"/>
    </row>
    <row r="3271" spans="31:31" ht="12.75" customHeight="1" x14ac:dyDescent="0.15">
      <c r="AE3271" s="13"/>
    </row>
    <row r="3272" spans="31:31" ht="12.75" customHeight="1" x14ac:dyDescent="0.15">
      <c r="AE3272" s="13"/>
    </row>
    <row r="3273" spans="31:31" ht="12.75" customHeight="1" x14ac:dyDescent="0.15">
      <c r="AE3273" s="13"/>
    </row>
    <row r="3274" spans="31:31" ht="12.75" customHeight="1" x14ac:dyDescent="0.15">
      <c r="AE3274" s="13"/>
    </row>
    <row r="3275" spans="31:31" ht="12.75" customHeight="1" x14ac:dyDescent="0.15">
      <c r="AE3275" s="13"/>
    </row>
    <row r="3276" spans="31:31" ht="12.75" customHeight="1" x14ac:dyDescent="0.15">
      <c r="AE3276" s="13"/>
    </row>
    <row r="3277" spans="31:31" ht="12.75" customHeight="1" x14ac:dyDescent="0.15">
      <c r="AE3277" s="13"/>
    </row>
    <row r="3278" spans="31:31" ht="12.75" customHeight="1" x14ac:dyDescent="0.15">
      <c r="AE3278" s="13"/>
    </row>
    <row r="3279" spans="31:31" ht="12.75" customHeight="1" x14ac:dyDescent="0.15">
      <c r="AE3279" s="13"/>
    </row>
    <row r="3280" spans="31:31" ht="12.75" customHeight="1" x14ac:dyDescent="0.15">
      <c r="AE3280" s="13"/>
    </row>
    <row r="3281" spans="31:31" ht="12.75" customHeight="1" x14ac:dyDescent="0.15">
      <c r="AE3281" s="13"/>
    </row>
    <row r="3282" spans="31:31" ht="12.75" customHeight="1" x14ac:dyDescent="0.15">
      <c r="AE3282" s="13"/>
    </row>
    <row r="3283" spans="31:31" ht="12.75" customHeight="1" x14ac:dyDescent="0.15">
      <c r="AE3283" s="13"/>
    </row>
    <row r="3284" spans="31:31" ht="12.75" customHeight="1" x14ac:dyDescent="0.15">
      <c r="AE3284" s="13"/>
    </row>
    <row r="3285" spans="31:31" ht="12.75" customHeight="1" x14ac:dyDescent="0.15">
      <c r="AE3285" s="13"/>
    </row>
    <row r="3286" spans="31:31" ht="12.75" customHeight="1" x14ac:dyDescent="0.15">
      <c r="AE3286" s="13"/>
    </row>
    <row r="3287" spans="31:31" ht="12.75" customHeight="1" x14ac:dyDescent="0.15">
      <c r="AE3287" s="13"/>
    </row>
    <row r="3288" spans="31:31" ht="12.75" customHeight="1" x14ac:dyDescent="0.15">
      <c r="AE3288" s="13"/>
    </row>
    <row r="3289" spans="31:31" ht="12.75" customHeight="1" x14ac:dyDescent="0.15">
      <c r="AE3289" s="13"/>
    </row>
    <row r="3290" spans="31:31" ht="12.75" customHeight="1" x14ac:dyDescent="0.15">
      <c r="AE3290" s="13"/>
    </row>
    <row r="3291" spans="31:31" ht="12.75" customHeight="1" x14ac:dyDescent="0.15">
      <c r="AE3291" s="13"/>
    </row>
    <row r="3292" spans="31:31" ht="12.75" customHeight="1" x14ac:dyDescent="0.15">
      <c r="AE3292" s="13"/>
    </row>
    <row r="3293" spans="31:31" ht="12.75" customHeight="1" x14ac:dyDescent="0.15">
      <c r="AE3293" s="13"/>
    </row>
    <row r="3294" spans="31:31" ht="12.75" customHeight="1" x14ac:dyDescent="0.15">
      <c r="AE3294" s="13"/>
    </row>
    <row r="3295" spans="31:31" ht="12.75" customHeight="1" x14ac:dyDescent="0.15">
      <c r="AE3295" s="13"/>
    </row>
    <row r="3296" spans="31:31" ht="12.75" customHeight="1" x14ac:dyDescent="0.15">
      <c r="AE3296" s="13"/>
    </row>
    <row r="3297" spans="31:31" ht="12.75" customHeight="1" x14ac:dyDescent="0.15">
      <c r="AE3297" s="13"/>
    </row>
    <row r="3298" spans="31:31" ht="12.75" customHeight="1" x14ac:dyDescent="0.15">
      <c r="AE3298" s="13"/>
    </row>
    <row r="3299" spans="31:31" ht="12.75" customHeight="1" x14ac:dyDescent="0.15">
      <c r="AE3299" s="13"/>
    </row>
    <row r="3300" spans="31:31" ht="12.75" customHeight="1" x14ac:dyDescent="0.15">
      <c r="AE3300" s="13"/>
    </row>
    <row r="3301" spans="31:31" ht="12.75" customHeight="1" x14ac:dyDescent="0.15">
      <c r="AE3301" s="13"/>
    </row>
    <row r="3302" spans="31:31" ht="12.75" customHeight="1" x14ac:dyDescent="0.15">
      <c r="AE3302" s="13"/>
    </row>
    <row r="3303" spans="31:31" ht="12.75" customHeight="1" x14ac:dyDescent="0.15">
      <c r="AE3303" s="13"/>
    </row>
    <row r="3304" spans="31:31" ht="12.75" customHeight="1" x14ac:dyDescent="0.15">
      <c r="AE3304" s="13"/>
    </row>
    <row r="3305" spans="31:31" ht="12.75" customHeight="1" x14ac:dyDescent="0.15">
      <c r="AE3305" s="13"/>
    </row>
    <row r="3306" spans="31:31" ht="12.75" customHeight="1" x14ac:dyDescent="0.15">
      <c r="AE3306" s="13"/>
    </row>
    <row r="3307" spans="31:31" ht="12.75" customHeight="1" x14ac:dyDescent="0.15">
      <c r="AE3307" s="13"/>
    </row>
    <row r="3308" spans="31:31" ht="12.75" customHeight="1" x14ac:dyDescent="0.15">
      <c r="AE3308" s="13"/>
    </row>
    <row r="3309" spans="31:31" ht="12.75" customHeight="1" x14ac:dyDescent="0.15">
      <c r="AE3309" s="13"/>
    </row>
    <row r="3310" spans="31:31" ht="12.75" customHeight="1" x14ac:dyDescent="0.15">
      <c r="AE3310" s="13"/>
    </row>
    <row r="3311" spans="31:31" ht="12.75" customHeight="1" x14ac:dyDescent="0.15">
      <c r="AE3311" s="13"/>
    </row>
    <row r="3312" spans="31:31" ht="12.75" customHeight="1" x14ac:dyDescent="0.15">
      <c r="AE3312" s="13"/>
    </row>
    <row r="3313" spans="31:31" ht="12.75" customHeight="1" x14ac:dyDescent="0.15">
      <c r="AE3313" s="13"/>
    </row>
    <row r="3314" spans="31:31" ht="12.75" customHeight="1" x14ac:dyDescent="0.15">
      <c r="AE3314" s="13"/>
    </row>
    <row r="3315" spans="31:31" ht="12.75" customHeight="1" x14ac:dyDescent="0.15">
      <c r="AE3315" s="13"/>
    </row>
    <row r="3316" spans="31:31" ht="12.75" customHeight="1" x14ac:dyDescent="0.15">
      <c r="AE3316" s="13"/>
    </row>
    <row r="3317" spans="31:31" ht="12.75" customHeight="1" x14ac:dyDescent="0.15">
      <c r="AE3317" s="13"/>
    </row>
    <row r="3318" spans="31:31" ht="12.75" customHeight="1" x14ac:dyDescent="0.15">
      <c r="AE3318" s="13"/>
    </row>
    <row r="3319" spans="31:31" ht="12.75" customHeight="1" x14ac:dyDescent="0.15">
      <c r="AE3319" s="13"/>
    </row>
    <row r="3320" spans="31:31" ht="12.75" customHeight="1" x14ac:dyDescent="0.15">
      <c r="AE3320" s="13"/>
    </row>
    <row r="3321" spans="31:31" ht="12.75" customHeight="1" x14ac:dyDescent="0.15">
      <c r="AE3321" s="13"/>
    </row>
    <row r="3322" spans="31:31" ht="12.75" customHeight="1" x14ac:dyDescent="0.15">
      <c r="AE3322" s="13"/>
    </row>
    <row r="3323" spans="31:31" ht="12.75" customHeight="1" x14ac:dyDescent="0.15">
      <c r="AE3323" s="13"/>
    </row>
    <row r="3324" spans="31:31" ht="12.75" customHeight="1" x14ac:dyDescent="0.15">
      <c r="AE3324" s="13"/>
    </row>
    <row r="3325" spans="31:31" ht="12.75" customHeight="1" x14ac:dyDescent="0.15">
      <c r="AE3325" s="13"/>
    </row>
    <row r="3326" spans="31:31" ht="12.75" customHeight="1" x14ac:dyDescent="0.15">
      <c r="AE3326" s="13"/>
    </row>
    <row r="3327" spans="31:31" ht="12.75" customHeight="1" x14ac:dyDescent="0.15">
      <c r="AE3327" s="13"/>
    </row>
    <row r="3328" spans="31:31" ht="12.75" customHeight="1" x14ac:dyDescent="0.15">
      <c r="AE3328" s="13"/>
    </row>
    <row r="3329" spans="31:31" ht="12.75" customHeight="1" x14ac:dyDescent="0.15">
      <c r="AE3329" s="13"/>
    </row>
    <row r="3330" spans="31:31" ht="12.75" customHeight="1" x14ac:dyDescent="0.15">
      <c r="AE3330" s="13"/>
    </row>
    <row r="3331" spans="31:31" ht="12.75" customHeight="1" x14ac:dyDescent="0.15">
      <c r="AE3331" s="13"/>
    </row>
    <row r="3332" spans="31:31" ht="12.75" customHeight="1" x14ac:dyDescent="0.15">
      <c r="AE3332" s="13"/>
    </row>
    <row r="3333" spans="31:31" ht="12.75" customHeight="1" x14ac:dyDescent="0.15">
      <c r="AE3333" s="13"/>
    </row>
    <row r="3334" spans="31:31" ht="12.75" customHeight="1" x14ac:dyDescent="0.15">
      <c r="AE3334" s="13"/>
    </row>
    <row r="3335" spans="31:31" ht="12.75" customHeight="1" x14ac:dyDescent="0.15">
      <c r="AE3335" s="13"/>
    </row>
    <row r="3336" spans="31:31" ht="12.75" customHeight="1" x14ac:dyDescent="0.15">
      <c r="AE3336" s="13"/>
    </row>
    <row r="3337" spans="31:31" ht="12.75" customHeight="1" x14ac:dyDescent="0.15">
      <c r="AE3337" s="13"/>
    </row>
    <row r="3338" spans="31:31" ht="12.75" customHeight="1" x14ac:dyDescent="0.15">
      <c r="AE3338" s="13"/>
    </row>
    <row r="3339" spans="31:31" ht="12.75" customHeight="1" x14ac:dyDescent="0.15">
      <c r="AE3339" s="13"/>
    </row>
    <row r="3340" spans="31:31" ht="12.75" customHeight="1" x14ac:dyDescent="0.15">
      <c r="AE3340" s="13"/>
    </row>
    <row r="3341" spans="31:31" ht="12.75" customHeight="1" x14ac:dyDescent="0.15">
      <c r="AE3341" s="13"/>
    </row>
    <row r="3342" spans="31:31" ht="12.75" customHeight="1" x14ac:dyDescent="0.15">
      <c r="AE3342" s="13"/>
    </row>
    <row r="3343" spans="31:31" ht="12.75" customHeight="1" x14ac:dyDescent="0.15">
      <c r="AE3343" s="13"/>
    </row>
    <row r="3344" spans="31:31" ht="12.75" customHeight="1" x14ac:dyDescent="0.15">
      <c r="AE3344" s="13"/>
    </row>
    <row r="3345" spans="31:31" ht="12.75" customHeight="1" x14ac:dyDescent="0.15">
      <c r="AE3345" s="13"/>
    </row>
    <row r="3346" spans="31:31" ht="12.75" customHeight="1" x14ac:dyDescent="0.15">
      <c r="AE3346" s="13"/>
    </row>
    <row r="3347" spans="31:31" ht="12.75" customHeight="1" x14ac:dyDescent="0.15">
      <c r="AE3347" s="13"/>
    </row>
    <row r="3348" spans="31:31" ht="12.75" customHeight="1" x14ac:dyDescent="0.15">
      <c r="AE3348" s="13"/>
    </row>
    <row r="3349" spans="31:31" ht="12.75" customHeight="1" x14ac:dyDescent="0.15">
      <c r="AE3349" s="13"/>
    </row>
    <row r="3350" spans="31:31" ht="12.75" customHeight="1" x14ac:dyDescent="0.15">
      <c r="AE3350" s="13"/>
    </row>
    <row r="3351" spans="31:31" ht="12.75" customHeight="1" x14ac:dyDescent="0.15">
      <c r="AE3351" s="13"/>
    </row>
    <row r="3352" spans="31:31" ht="12.75" customHeight="1" x14ac:dyDescent="0.15">
      <c r="AE3352" s="13"/>
    </row>
    <row r="3353" spans="31:31" ht="12.75" customHeight="1" x14ac:dyDescent="0.15">
      <c r="AE3353" s="13"/>
    </row>
    <row r="3354" spans="31:31" ht="12.75" customHeight="1" x14ac:dyDescent="0.15">
      <c r="AE3354" s="13"/>
    </row>
    <row r="3355" spans="31:31" ht="12.75" customHeight="1" x14ac:dyDescent="0.15">
      <c r="AE3355" s="13"/>
    </row>
    <row r="3356" spans="31:31" ht="12.75" customHeight="1" x14ac:dyDescent="0.15">
      <c r="AE3356" s="13"/>
    </row>
    <row r="3357" spans="31:31" ht="12.75" customHeight="1" x14ac:dyDescent="0.15">
      <c r="AE3357" s="13"/>
    </row>
    <row r="3358" spans="31:31" ht="12.75" customHeight="1" x14ac:dyDescent="0.15">
      <c r="AE3358" s="13"/>
    </row>
    <row r="3359" spans="31:31" ht="12.75" customHeight="1" x14ac:dyDescent="0.15">
      <c r="AE3359" s="13"/>
    </row>
    <row r="3360" spans="31:31" ht="12.75" customHeight="1" x14ac:dyDescent="0.15">
      <c r="AE3360" s="13"/>
    </row>
    <row r="3361" spans="31:31" ht="12.75" customHeight="1" x14ac:dyDescent="0.15">
      <c r="AE3361" s="13"/>
    </row>
    <row r="3362" spans="31:31" ht="12.75" customHeight="1" x14ac:dyDescent="0.15">
      <c r="AE3362" s="13"/>
    </row>
    <row r="3363" spans="31:31" ht="12.75" customHeight="1" x14ac:dyDescent="0.15">
      <c r="AE3363" s="13"/>
    </row>
    <row r="3364" spans="31:31" ht="12.75" customHeight="1" x14ac:dyDescent="0.15">
      <c r="AE3364" s="13"/>
    </row>
    <row r="3365" spans="31:31" ht="12.75" customHeight="1" x14ac:dyDescent="0.15">
      <c r="AE3365" s="13"/>
    </row>
    <row r="3366" spans="31:31" ht="12.75" customHeight="1" x14ac:dyDescent="0.15">
      <c r="AE3366" s="13"/>
    </row>
    <row r="3367" spans="31:31" ht="12.75" customHeight="1" x14ac:dyDescent="0.15">
      <c r="AE3367" s="13"/>
    </row>
    <row r="3368" spans="31:31" ht="12.75" customHeight="1" x14ac:dyDescent="0.15">
      <c r="AE3368" s="13"/>
    </row>
    <row r="3369" spans="31:31" ht="12.75" customHeight="1" x14ac:dyDescent="0.15">
      <c r="AE3369" s="13"/>
    </row>
    <row r="3370" spans="31:31" ht="12.75" customHeight="1" x14ac:dyDescent="0.15">
      <c r="AE3370" s="13"/>
    </row>
    <row r="3371" spans="31:31" ht="12.75" customHeight="1" x14ac:dyDescent="0.15">
      <c r="AE3371" s="13"/>
    </row>
    <row r="3372" spans="31:31" ht="12.75" customHeight="1" x14ac:dyDescent="0.15">
      <c r="AE3372" s="13"/>
    </row>
    <row r="3373" spans="31:31" ht="12.75" customHeight="1" x14ac:dyDescent="0.15">
      <c r="AE3373" s="13"/>
    </row>
    <row r="3374" spans="31:31" ht="12.75" customHeight="1" x14ac:dyDescent="0.15">
      <c r="AE3374" s="13"/>
    </row>
    <row r="3375" spans="31:31" ht="12.75" customHeight="1" x14ac:dyDescent="0.15">
      <c r="AE3375" s="13"/>
    </row>
    <row r="3376" spans="31:31" ht="12.75" customHeight="1" x14ac:dyDescent="0.15">
      <c r="AE3376" s="13"/>
    </row>
    <row r="3377" spans="31:31" ht="12.75" customHeight="1" x14ac:dyDescent="0.15">
      <c r="AE3377" s="13"/>
    </row>
    <row r="3378" spans="31:31" ht="12.75" customHeight="1" x14ac:dyDescent="0.15">
      <c r="AE3378" s="13"/>
    </row>
    <row r="3379" spans="31:31" ht="12.75" customHeight="1" x14ac:dyDescent="0.15">
      <c r="AE3379" s="13"/>
    </row>
    <row r="3380" spans="31:31" ht="12.75" customHeight="1" x14ac:dyDescent="0.15">
      <c r="AE3380" s="13"/>
    </row>
    <row r="3381" spans="31:31" ht="12.75" customHeight="1" x14ac:dyDescent="0.15">
      <c r="AE3381" s="13"/>
    </row>
    <row r="3382" spans="31:31" ht="12.75" customHeight="1" x14ac:dyDescent="0.15">
      <c r="AE3382" s="13"/>
    </row>
    <row r="3383" spans="31:31" ht="12.75" customHeight="1" x14ac:dyDescent="0.15">
      <c r="AE3383" s="13"/>
    </row>
    <row r="3384" spans="31:31" ht="12.75" customHeight="1" x14ac:dyDescent="0.15">
      <c r="AE3384" s="13"/>
    </row>
    <row r="3385" spans="31:31" ht="12.75" customHeight="1" x14ac:dyDescent="0.15">
      <c r="AE3385" s="13"/>
    </row>
    <row r="3386" spans="31:31" ht="12.75" customHeight="1" x14ac:dyDescent="0.15">
      <c r="AE3386" s="13"/>
    </row>
    <row r="3387" spans="31:31" ht="12.75" customHeight="1" x14ac:dyDescent="0.15">
      <c r="AE3387" s="13"/>
    </row>
    <row r="3388" spans="31:31" ht="12.75" customHeight="1" x14ac:dyDescent="0.15">
      <c r="AE3388" s="13"/>
    </row>
    <row r="3389" spans="31:31" ht="12.75" customHeight="1" x14ac:dyDescent="0.15">
      <c r="AE3389" s="13"/>
    </row>
    <row r="3390" spans="31:31" ht="12.75" customHeight="1" x14ac:dyDescent="0.15">
      <c r="AE3390" s="13"/>
    </row>
    <row r="3391" spans="31:31" ht="12.75" customHeight="1" x14ac:dyDescent="0.15">
      <c r="AE3391" s="13"/>
    </row>
    <row r="3392" spans="31:31" ht="12.75" customHeight="1" x14ac:dyDescent="0.15">
      <c r="AE3392" s="13"/>
    </row>
    <row r="3393" spans="31:31" ht="12.75" customHeight="1" x14ac:dyDescent="0.15">
      <c r="AE3393" s="13"/>
    </row>
    <row r="3394" spans="31:31" ht="12.75" customHeight="1" x14ac:dyDescent="0.15">
      <c r="AE3394" s="13"/>
    </row>
    <row r="3395" spans="31:31" ht="12.75" customHeight="1" x14ac:dyDescent="0.15">
      <c r="AE3395" s="13"/>
    </row>
    <row r="3396" spans="31:31" ht="12.75" customHeight="1" x14ac:dyDescent="0.15">
      <c r="AE3396" s="13"/>
    </row>
    <row r="3397" spans="31:31" ht="12.75" customHeight="1" x14ac:dyDescent="0.15">
      <c r="AE3397" s="13"/>
    </row>
    <row r="3398" spans="31:31" ht="12.75" customHeight="1" x14ac:dyDescent="0.15">
      <c r="AE3398" s="13"/>
    </row>
    <row r="3399" spans="31:31" ht="12.75" customHeight="1" x14ac:dyDescent="0.15">
      <c r="AE3399" s="13"/>
    </row>
    <row r="3400" spans="31:31" ht="12.75" customHeight="1" x14ac:dyDescent="0.15">
      <c r="AE3400" s="13"/>
    </row>
    <row r="3401" spans="31:31" ht="12.75" customHeight="1" x14ac:dyDescent="0.15">
      <c r="AE3401" s="13"/>
    </row>
    <row r="3402" spans="31:31" ht="12.75" customHeight="1" x14ac:dyDescent="0.15">
      <c r="AE3402" s="13"/>
    </row>
    <row r="3403" spans="31:31" ht="12.75" customHeight="1" x14ac:dyDescent="0.15">
      <c r="AE3403" s="13"/>
    </row>
    <row r="3404" spans="31:31" ht="12.75" customHeight="1" x14ac:dyDescent="0.15">
      <c r="AE3404" s="13"/>
    </row>
    <row r="3405" spans="31:31" ht="12.75" customHeight="1" x14ac:dyDescent="0.15">
      <c r="AE3405" s="13"/>
    </row>
    <row r="3406" spans="31:31" ht="12.75" customHeight="1" x14ac:dyDescent="0.15">
      <c r="AE3406" s="13"/>
    </row>
    <row r="3407" spans="31:31" ht="12.75" customHeight="1" x14ac:dyDescent="0.15">
      <c r="AE3407" s="13"/>
    </row>
    <row r="3408" spans="31:31" ht="12.75" customHeight="1" x14ac:dyDescent="0.15">
      <c r="AE3408" s="13"/>
    </row>
    <row r="3409" spans="31:31" ht="12.75" customHeight="1" x14ac:dyDescent="0.15">
      <c r="AE3409" s="13"/>
    </row>
    <row r="3410" spans="31:31" ht="12.75" customHeight="1" x14ac:dyDescent="0.15">
      <c r="AE3410" s="13"/>
    </row>
    <row r="3411" spans="31:31" ht="12.75" customHeight="1" x14ac:dyDescent="0.15">
      <c r="AE3411" s="13"/>
    </row>
    <row r="3412" spans="31:31" ht="12.75" customHeight="1" x14ac:dyDescent="0.15">
      <c r="AE3412" s="13"/>
    </row>
    <row r="3413" spans="31:31" ht="12.75" customHeight="1" x14ac:dyDescent="0.15">
      <c r="AE3413" s="13"/>
    </row>
    <row r="3414" spans="31:31" ht="12.75" customHeight="1" x14ac:dyDescent="0.15">
      <c r="AE3414" s="13"/>
    </row>
    <row r="3415" spans="31:31" ht="12.75" customHeight="1" x14ac:dyDescent="0.15">
      <c r="AE3415" s="13"/>
    </row>
    <row r="3416" spans="31:31" ht="12.75" customHeight="1" x14ac:dyDescent="0.15">
      <c r="AE3416" s="13"/>
    </row>
    <row r="3417" spans="31:31" ht="12.75" customHeight="1" x14ac:dyDescent="0.15">
      <c r="AE3417" s="13"/>
    </row>
    <row r="3418" spans="31:31" ht="12.75" customHeight="1" x14ac:dyDescent="0.15">
      <c r="AE3418" s="13"/>
    </row>
    <row r="3419" spans="31:31" ht="12.75" customHeight="1" x14ac:dyDescent="0.15">
      <c r="AE3419" s="13"/>
    </row>
    <row r="3420" spans="31:31" ht="12.75" customHeight="1" x14ac:dyDescent="0.15">
      <c r="AE3420" s="13"/>
    </row>
    <row r="3421" spans="31:31" ht="12.75" customHeight="1" x14ac:dyDescent="0.15">
      <c r="AE3421" s="13"/>
    </row>
    <row r="3422" spans="31:31" ht="12.75" customHeight="1" x14ac:dyDescent="0.15">
      <c r="AE3422" s="13"/>
    </row>
    <row r="3423" spans="31:31" ht="12.75" customHeight="1" x14ac:dyDescent="0.15">
      <c r="AE3423" s="13"/>
    </row>
    <row r="3424" spans="31:31" ht="12.75" customHeight="1" x14ac:dyDescent="0.15">
      <c r="AE3424" s="13"/>
    </row>
    <row r="3425" spans="31:31" ht="12.75" customHeight="1" x14ac:dyDescent="0.15">
      <c r="AE3425" s="13"/>
    </row>
    <row r="3426" spans="31:31" ht="12.75" customHeight="1" x14ac:dyDescent="0.15">
      <c r="AE3426" s="13"/>
    </row>
    <row r="3427" spans="31:31" ht="12.75" customHeight="1" x14ac:dyDescent="0.15">
      <c r="AE3427" s="13"/>
    </row>
    <row r="3428" spans="31:31" ht="12.75" customHeight="1" x14ac:dyDescent="0.15">
      <c r="AE3428" s="13"/>
    </row>
    <row r="3429" spans="31:31" ht="12.75" customHeight="1" x14ac:dyDescent="0.15">
      <c r="AE3429" s="13"/>
    </row>
    <row r="3430" spans="31:31" ht="12.75" customHeight="1" x14ac:dyDescent="0.15">
      <c r="AE3430" s="13"/>
    </row>
    <row r="3431" spans="31:31" ht="12.75" customHeight="1" x14ac:dyDescent="0.15">
      <c r="AE3431" s="13"/>
    </row>
    <row r="3432" spans="31:31" ht="12.75" customHeight="1" x14ac:dyDescent="0.15">
      <c r="AE3432" s="13"/>
    </row>
    <row r="3433" spans="31:31" ht="12.75" customHeight="1" x14ac:dyDescent="0.15">
      <c r="AE3433" s="13"/>
    </row>
    <row r="3434" spans="31:31" ht="12.75" customHeight="1" x14ac:dyDescent="0.15">
      <c r="AE3434" s="13"/>
    </row>
    <row r="3435" spans="31:31" ht="12.75" customHeight="1" x14ac:dyDescent="0.15">
      <c r="AE3435" s="13"/>
    </row>
    <row r="3436" spans="31:31" ht="12.75" customHeight="1" x14ac:dyDescent="0.15">
      <c r="AE3436" s="13"/>
    </row>
    <row r="3437" spans="31:31" ht="12.75" customHeight="1" x14ac:dyDescent="0.15">
      <c r="AE3437" s="13"/>
    </row>
    <row r="3438" spans="31:31" ht="12.75" customHeight="1" x14ac:dyDescent="0.15">
      <c r="AE3438" s="13"/>
    </row>
    <row r="3439" spans="31:31" ht="12.75" customHeight="1" x14ac:dyDescent="0.15">
      <c r="AE3439" s="13"/>
    </row>
    <row r="3440" spans="31:31" ht="12.75" customHeight="1" x14ac:dyDescent="0.15">
      <c r="AE3440" s="13"/>
    </row>
    <row r="3441" spans="31:31" ht="12.75" customHeight="1" x14ac:dyDescent="0.15">
      <c r="AE3441" s="13"/>
    </row>
    <row r="3442" spans="31:31" ht="12.75" customHeight="1" x14ac:dyDescent="0.15">
      <c r="AE3442" s="13"/>
    </row>
    <row r="3443" spans="31:31" ht="12.75" customHeight="1" x14ac:dyDescent="0.15">
      <c r="AE3443" s="13"/>
    </row>
    <row r="3444" spans="31:31" ht="12.75" customHeight="1" x14ac:dyDescent="0.15">
      <c r="AE3444" s="13"/>
    </row>
    <row r="3445" spans="31:31" ht="12.75" customHeight="1" x14ac:dyDescent="0.15">
      <c r="AE3445" s="13"/>
    </row>
    <row r="3446" spans="31:31" ht="12.75" customHeight="1" x14ac:dyDescent="0.15">
      <c r="AE3446" s="13"/>
    </row>
    <row r="3447" spans="31:31" ht="12.75" customHeight="1" x14ac:dyDescent="0.15">
      <c r="AE3447" s="13"/>
    </row>
    <row r="3448" spans="31:31" ht="12.75" customHeight="1" x14ac:dyDescent="0.15">
      <c r="AE3448" s="13"/>
    </row>
    <row r="3449" spans="31:31" ht="12.75" customHeight="1" x14ac:dyDescent="0.15">
      <c r="AE3449" s="13"/>
    </row>
    <row r="3450" spans="31:31" ht="12.75" customHeight="1" x14ac:dyDescent="0.15">
      <c r="AE3450" s="13"/>
    </row>
    <row r="3451" spans="31:31" ht="12.75" customHeight="1" x14ac:dyDescent="0.15">
      <c r="AE3451" s="13"/>
    </row>
    <row r="3452" spans="31:31" ht="12.75" customHeight="1" x14ac:dyDescent="0.15">
      <c r="AE3452" s="13"/>
    </row>
    <row r="3453" spans="31:31" ht="12.75" customHeight="1" x14ac:dyDescent="0.15">
      <c r="AE3453" s="13"/>
    </row>
    <row r="3454" spans="31:31" ht="12.75" customHeight="1" x14ac:dyDescent="0.15">
      <c r="AE3454" s="13"/>
    </row>
    <row r="3455" spans="31:31" ht="12.75" customHeight="1" x14ac:dyDescent="0.15">
      <c r="AE3455" s="13"/>
    </row>
    <row r="3456" spans="31:31" ht="12.75" customHeight="1" x14ac:dyDescent="0.15">
      <c r="AE3456" s="13"/>
    </row>
    <row r="3457" spans="31:31" ht="12.75" customHeight="1" x14ac:dyDescent="0.15">
      <c r="AE3457" s="13"/>
    </row>
    <row r="3458" spans="31:31" ht="12.75" customHeight="1" x14ac:dyDescent="0.15">
      <c r="AE3458" s="13"/>
    </row>
    <row r="3459" spans="31:31" ht="12.75" customHeight="1" x14ac:dyDescent="0.15">
      <c r="AE3459" s="13"/>
    </row>
    <row r="3460" spans="31:31" ht="12.75" customHeight="1" x14ac:dyDescent="0.15">
      <c r="AE3460" s="13"/>
    </row>
    <row r="3461" spans="31:31" ht="12.75" customHeight="1" x14ac:dyDescent="0.15">
      <c r="AE3461" s="13"/>
    </row>
    <row r="3462" spans="31:31" ht="12.75" customHeight="1" x14ac:dyDescent="0.15">
      <c r="AE3462" s="13"/>
    </row>
    <row r="3463" spans="31:31" ht="12.75" customHeight="1" x14ac:dyDescent="0.15">
      <c r="AE3463" s="13"/>
    </row>
    <row r="3464" spans="31:31" ht="12.75" customHeight="1" x14ac:dyDescent="0.15">
      <c r="AE3464" s="13"/>
    </row>
    <row r="3465" spans="31:31" ht="12.75" customHeight="1" x14ac:dyDescent="0.15">
      <c r="AE3465" s="13"/>
    </row>
    <row r="3466" spans="31:31" ht="12.75" customHeight="1" x14ac:dyDescent="0.15">
      <c r="AE3466" s="13"/>
    </row>
    <row r="3467" spans="31:31" ht="12.75" customHeight="1" x14ac:dyDescent="0.15">
      <c r="AE3467" s="13"/>
    </row>
    <row r="3468" spans="31:31" ht="12.75" customHeight="1" x14ac:dyDescent="0.15">
      <c r="AE3468" s="13"/>
    </row>
    <row r="3469" spans="31:31" ht="12.75" customHeight="1" x14ac:dyDescent="0.15">
      <c r="AE3469" s="13"/>
    </row>
    <row r="3470" spans="31:31" ht="12.75" customHeight="1" x14ac:dyDescent="0.15">
      <c r="AE3470" s="13"/>
    </row>
    <row r="3471" spans="31:31" ht="12.75" customHeight="1" x14ac:dyDescent="0.15">
      <c r="AE3471" s="13"/>
    </row>
    <row r="3472" spans="31:31" ht="12.75" customHeight="1" x14ac:dyDescent="0.15">
      <c r="AE3472" s="13"/>
    </row>
    <row r="3473" spans="31:31" ht="12.75" customHeight="1" x14ac:dyDescent="0.15">
      <c r="AE3473" s="13"/>
    </row>
    <row r="3474" spans="31:31" ht="12.75" customHeight="1" x14ac:dyDescent="0.15">
      <c r="AE3474" s="13"/>
    </row>
    <row r="3475" spans="31:31" ht="12.75" customHeight="1" x14ac:dyDescent="0.15">
      <c r="AE3475" s="13"/>
    </row>
    <row r="3476" spans="31:31" ht="12.75" customHeight="1" x14ac:dyDescent="0.15">
      <c r="AE3476" s="13"/>
    </row>
    <row r="3477" spans="31:31" ht="12.75" customHeight="1" x14ac:dyDescent="0.15">
      <c r="AE3477" s="13"/>
    </row>
    <row r="3478" spans="31:31" ht="12.75" customHeight="1" x14ac:dyDescent="0.15">
      <c r="AE3478" s="13"/>
    </row>
    <row r="3479" spans="31:31" ht="12.75" customHeight="1" x14ac:dyDescent="0.15">
      <c r="AE3479" s="13"/>
    </row>
    <row r="3480" spans="31:31" ht="12.75" customHeight="1" x14ac:dyDescent="0.15">
      <c r="AE3480" s="13"/>
    </row>
    <row r="3481" spans="31:31" ht="12.75" customHeight="1" x14ac:dyDescent="0.15">
      <c r="AE3481" s="13"/>
    </row>
    <row r="3482" spans="31:31" ht="12.75" customHeight="1" x14ac:dyDescent="0.15">
      <c r="AE3482" s="13"/>
    </row>
    <row r="3483" spans="31:31" ht="12.75" customHeight="1" x14ac:dyDescent="0.15">
      <c r="AE3483" s="13"/>
    </row>
    <row r="3484" spans="31:31" ht="12.75" customHeight="1" x14ac:dyDescent="0.15">
      <c r="AE3484" s="13"/>
    </row>
    <row r="3485" spans="31:31" ht="12.75" customHeight="1" x14ac:dyDescent="0.15">
      <c r="AE3485" s="13"/>
    </row>
    <row r="3486" spans="31:31" ht="12.75" customHeight="1" x14ac:dyDescent="0.15">
      <c r="AE3486" s="13"/>
    </row>
    <row r="3487" spans="31:31" ht="12.75" customHeight="1" x14ac:dyDescent="0.15">
      <c r="AE3487" s="13"/>
    </row>
    <row r="3488" spans="31:31" ht="12.75" customHeight="1" x14ac:dyDescent="0.15">
      <c r="AE3488" s="13"/>
    </row>
    <row r="3489" spans="31:31" ht="12.75" customHeight="1" x14ac:dyDescent="0.15">
      <c r="AE3489" s="13"/>
    </row>
    <row r="3490" spans="31:31" ht="12.75" customHeight="1" x14ac:dyDescent="0.15">
      <c r="AE3490" s="13"/>
    </row>
    <row r="3491" spans="31:31" ht="12.75" customHeight="1" x14ac:dyDescent="0.15">
      <c r="AE3491" s="13"/>
    </row>
    <row r="3492" spans="31:31" ht="12.75" customHeight="1" x14ac:dyDescent="0.15">
      <c r="AE3492" s="13"/>
    </row>
    <row r="3493" spans="31:31" ht="12.75" customHeight="1" x14ac:dyDescent="0.15">
      <c r="AE3493" s="13"/>
    </row>
    <row r="3494" spans="31:31" ht="12.75" customHeight="1" x14ac:dyDescent="0.15">
      <c r="AE3494" s="13"/>
    </row>
    <row r="3495" spans="31:31" ht="12.75" customHeight="1" x14ac:dyDescent="0.15">
      <c r="AE3495" s="13"/>
    </row>
    <row r="3496" spans="31:31" ht="12.75" customHeight="1" x14ac:dyDescent="0.15">
      <c r="AE3496" s="13"/>
    </row>
    <row r="3497" spans="31:31" ht="12.75" customHeight="1" x14ac:dyDescent="0.15">
      <c r="AE3497" s="13"/>
    </row>
    <row r="3498" spans="31:31" ht="12.75" customHeight="1" x14ac:dyDescent="0.15">
      <c r="AE3498" s="13"/>
    </row>
    <row r="3499" spans="31:31" ht="12.75" customHeight="1" x14ac:dyDescent="0.15">
      <c r="AE3499" s="13"/>
    </row>
    <row r="3500" spans="31:31" ht="12.75" customHeight="1" x14ac:dyDescent="0.15">
      <c r="AE3500" s="13"/>
    </row>
    <row r="3501" spans="31:31" ht="12.75" customHeight="1" x14ac:dyDescent="0.15">
      <c r="AE3501" s="13"/>
    </row>
    <row r="3502" spans="31:31" ht="12.75" customHeight="1" x14ac:dyDescent="0.15">
      <c r="AE3502" s="13"/>
    </row>
    <row r="3503" spans="31:31" ht="12.75" customHeight="1" x14ac:dyDescent="0.15">
      <c r="AE3503" s="13"/>
    </row>
    <row r="3504" spans="31:31" ht="12.75" customHeight="1" x14ac:dyDescent="0.15">
      <c r="AE3504" s="13"/>
    </row>
    <row r="3505" spans="31:31" ht="12.75" customHeight="1" x14ac:dyDescent="0.15">
      <c r="AE3505" s="13"/>
    </row>
    <row r="3506" spans="31:31" ht="12.75" customHeight="1" x14ac:dyDescent="0.15">
      <c r="AE3506" s="13"/>
    </row>
    <row r="3507" spans="31:31" ht="12.75" customHeight="1" x14ac:dyDescent="0.15">
      <c r="AE3507" s="13"/>
    </row>
    <row r="3508" spans="31:31" ht="12.75" customHeight="1" x14ac:dyDescent="0.15">
      <c r="AE3508" s="13"/>
    </row>
    <row r="3509" spans="31:31" ht="12.75" customHeight="1" x14ac:dyDescent="0.15">
      <c r="AE3509" s="13"/>
    </row>
    <row r="3510" spans="31:31" ht="12.75" customHeight="1" x14ac:dyDescent="0.15">
      <c r="AE3510" s="13"/>
    </row>
    <row r="3511" spans="31:31" ht="12.75" customHeight="1" x14ac:dyDescent="0.15">
      <c r="AE3511" s="13"/>
    </row>
    <row r="3512" spans="31:31" ht="12.75" customHeight="1" x14ac:dyDescent="0.15">
      <c r="AE3512" s="13"/>
    </row>
    <row r="3513" spans="31:31" ht="12.75" customHeight="1" x14ac:dyDescent="0.15">
      <c r="AE3513" s="13"/>
    </row>
    <row r="3514" spans="31:31" ht="12.75" customHeight="1" x14ac:dyDescent="0.15">
      <c r="AE3514" s="13"/>
    </row>
    <row r="3515" spans="31:31" ht="12.75" customHeight="1" x14ac:dyDescent="0.15">
      <c r="AE3515" s="13"/>
    </row>
    <row r="3516" spans="31:31" ht="12.75" customHeight="1" x14ac:dyDescent="0.15">
      <c r="AE3516" s="13"/>
    </row>
    <row r="3517" spans="31:31" ht="12.75" customHeight="1" x14ac:dyDescent="0.15">
      <c r="AE3517" s="13"/>
    </row>
    <row r="3518" spans="31:31" ht="12.75" customHeight="1" x14ac:dyDescent="0.15">
      <c r="AE3518" s="13"/>
    </row>
    <row r="3519" spans="31:31" ht="12.75" customHeight="1" x14ac:dyDescent="0.15">
      <c r="AE3519" s="13"/>
    </row>
    <row r="3520" spans="31:31" ht="12.75" customHeight="1" x14ac:dyDescent="0.15">
      <c r="AE3520" s="13"/>
    </row>
    <row r="3521" spans="31:31" ht="12.75" customHeight="1" x14ac:dyDescent="0.15">
      <c r="AE3521" s="13"/>
    </row>
    <row r="3522" spans="31:31" ht="12.75" customHeight="1" x14ac:dyDescent="0.15">
      <c r="AE3522" s="13"/>
    </row>
    <row r="3523" spans="31:31" ht="12.75" customHeight="1" x14ac:dyDescent="0.15">
      <c r="AE3523" s="13"/>
    </row>
    <row r="3524" spans="31:31" ht="12.75" customHeight="1" x14ac:dyDescent="0.15">
      <c r="AE3524" s="13"/>
    </row>
    <row r="3525" spans="31:31" ht="12.75" customHeight="1" x14ac:dyDescent="0.15">
      <c r="AE3525" s="13"/>
    </row>
    <row r="3526" spans="31:31" ht="12.75" customHeight="1" x14ac:dyDescent="0.15">
      <c r="AE3526" s="13"/>
    </row>
    <row r="3527" spans="31:31" ht="12.75" customHeight="1" x14ac:dyDescent="0.15">
      <c r="AE3527" s="13"/>
    </row>
    <row r="3528" spans="31:31" ht="12.75" customHeight="1" x14ac:dyDescent="0.15">
      <c r="AE3528" s="13"/>
    </row>
    <row r="3529" spans="31:31" ht="12.75" customHeight="1" x14ac:dyDescent="0.15">
      <c r="AE3529" s="13"/>
    </row>
    <row r="3530" spans="31:31" ht="12.75" customHeight="1" x14ac:dyDescent="0.15">
      <c r="AE3530" s="13"/>
    </row>
    <row r="3531" spans="31:31" ht="12.75" customHeight="1" x14ac:dyDescent="0.15">
      <c r="AE3531" s="13"/>
    </row>
    <row r="3532" spans="31:31" ht="12.75" customHeight="1" x14ac:dyDescent="0.15">
      <c r="AE3532" s="13"/>
    </row>
    <row r="3533" spans="31:31" ht="12.75" customHeight="1" x14ac:dyDescent="0.15">
      <c r="AE3533" s="13"/>
    </row>
    <row r="3534" spans="31:31" ht="12.75" customHeight="1" x14ac:dyDescent="0.15">
      <c r="AE3534" s="13"/>
    </row>
    <row r="3535" spans="31:31" ht="12.75" customHeight="1" x14ac:dyDescent="0.15">
      <c r="AE3535" s="13"/>
    </row>
    <row r="3536" spans="31:31" ht="12.75" customHeight="1" x14ac:dyDescent="0.15">
      <c r="AE3536" s="13"/>
    </row>
    <row r="3537" spans="31:31" ht="12.75" customHeight="1" x14ac:dyDescent="0.15">
      <c r="AE3537" s="13"/>
    </row>
    <row r="3538" spans="31:31" ht="12.75" customHeight="1" x14ac:dyDescent="0.15">
      <c r="AE3538" s="13"/>
    </row>
    <row r="3539" spans="31:31" ht="12.75" customHeight="1" x14ac:dyDescent="0.15">
      <c r="AE3539" s="13"/>
    </row>
    <row r="3540" spans="31:31" ht="12.75" customHeight="1" x14ac:dyDescent="0.15">
      <c r="AE3540" s="13"/>
    </row>
    <row r="3541" spans="31:31" ht="12.75" customHeight="1" x14ac:dyDescent="0.15">
      <c r="AE3541" s="13"/>
    </row>
    <row r="3542" spans="31:31" ht="12.75" customHeight="1" x14ac:dyDescent="0.15">
      <c r="AE3542" s="13"/>
    </row>
    <row r="3543" spans="31:31" ht="12.75" customHeight="1" x14ac:dyDescent="0.15">
      <c r="AE3543" s="13"/>
    </row>
    <row r="3544" spans="31:31" ht="12.75" customHeight="1" x14ac:dyDescent="0.15">
      <c r="AE3544" s="13"/>
    </row>
    <row r="3545" spans="31:31" ht="12.75" customHeight="1" x14ac:dyDescent="0.15">
      <c r="AE3545" s="13"/>
    </row>
    <row r="3546" spans="31:31" ht="12.75" customHeight="1" x14ac:dyDescent="0.15">
      <c r="AE3546" s="13"/>
    </row>
    <row r="3547" spans="31:31" ht="12.75" customHeight="1" x14ac:dyDescent="0.15">
      <c r="AE3547" s="13"/>
    </row>
    <row r="3548" spans="31:31" ht="12.75" customHeight="1" x14ac:dyDescent="0.15">
      <c r="AE3548" s="13"/>
    </row>
    <row r="3549" spans="31:31" ht="12.75" customHeight="1" x14ac:dyDescent="0.15">
      <c r="AE3549" s="13"/>
    </row>
    <row r="3550" spans="31:31" ht="12.75" customHeight="1" x14ac:dyDescent="0.15">
      <c r="AE3550" s="13"/>
    </row>
    <row r="3551" spans="31:31" ht="12.75" customHeight="1" x14ac:dyDescent="0.15">
      <c r="AE3551" s="13"/>
    </row>
    <row r="3552" spans="31:31" ht="12.75" customHeight="1" x14ac:dyDescent="0.15">
      <c r="AE3552" s="13"/>
    </row>
    <row r="3553" spans="31:31" ht="12.75" customHeight="1" x14ac:dyDescent="0.15">
      <c r="AE3553" s="13"/>
    </row>
    <row r="3554" spans="31:31" ht="12.75" customHeight="1" x14ac:dyDescent="0.15">
      <c r="AE3554" s="13"/>
    </row>
    <row r="3555" spans="31:31" ht="12.75" customHeight="1" x14ac:dyDescent="0.15">
      <c r="AE3555" s="13"/>
    </row>
    <row r="3556" spans="31:31" ht="12.75" customHeight="1" x14ac:dyDescent="0.15">
      <c r="AE3556" s="13"/>
    </row>
    <row r="3557" spans="31:31" ht="12.75" customHeight="1" x14ac:dyDescent="0.15">
      <c r="AE3557" s="13"/>
    </row>
    <row r="3558" spans="31:31" ht="12.75" customHeight="1" x14ac:dyDescent="0.15">
      <c r="AE3558" s="13"/>
    </row>
    <row r="3559" spans="31:31" ht="12.75" customHeight="1" x14ac:dyDescent="0.15">
      <c r="AE3559" s="13"/>
    </row>
    <row r="3560" spans="31:31" ht="12.75" customHeight="1" x14ac:dyDescent="0.15">
      <c r="AE3560" s="13"/>
    </row>
    <row r="3561" spans="31:31" ht="12.75" customHeight="1" x14ac:dyDescent="0.15">
      <c r="AE3561" s="13"/>
    </row>
    <row r="3562" spans="31:31" ht="12.75" customHeight="1" x14ac:dyDescent="0.15">
      <c r="AE3562" s="13"/>
    </row>
    <row r="3563" spans="31:31" ht="12.75" customHeight="1" x14ac:dyDescent="0.15">
      <c r="AE3563" s="13"/>
    </row>
    <row r="3564" spans="31:31" ht="12.75" customHeight="1" x14ac:dyDescent="0.15">
      <c r="AE3564" s="13"/>
    </row>
    <row r="3565" spans="31:31" ht="12.75" customHeight="1" x14ac:dyDescent="0.15">
      <c r="AE3565" s="13"/>
    </row>
    <row r="3566" spans="31:31" ht="12.75" customHeight="1" x14ac:dyDescent="0.15">
      <c r="AE3566" s="13"/>
    </row>
    <row r="3567" spans="31:31" ht="12.75" customHeight="1" x14ac:dyDescent="0.15">
      <c r="AE3567" s="13"/>
    </row>
    <row r="3568" spans="31:31" ht="12.75" customHeight="1" x14ac:dyDescent="0.15">
      <c r="AE3568" s="13"/>
    </row>
    <row r="3569" spans="31:31" ht="12.75" customHeight="1" x14ac:dyDescent="0.15">
      <c r="AE3569" s="13"/>
    </row>
    <row r="3570" spans="31:31" ht="12.75" customHeight="1" x14ac:dyDescent="0.15">
      <c r="AE3570" s="13"/>
    </row>
    <row r="3571" spans="31:31" ht="12.75" customHeight="1" x14ac:dyDescent="0.15">
      <c r="AE3571" s="13"/>
    </row>
    <row r="3572" spans="31:31" ht="12.75" customHeight="1" x14ac:dyDescent="0.15">
      <c r="AE3572" s="13"/>
    </row>
    <row r="3573" spans="31:31" ht="12.75" customHeight="1" x14ac:dyDescent="0.15">
      <c r="AE3573" s="13"/>
    </row>
    <row r="3574" spans="31:31" ht="12.75" customHeight="1" x14ac:dyDescent="0.15">
      <c r="AE3574" s="13"/>
    </row>
    <row r="3575" spans="31:31" ht="12.75" customHeight="1" x14ac:dyDescent="0.15">
      <c r="AE3575" s="13"/>
    </row>
    <row r="3576" spans="31:31" ht="12.75" customHeight="1" x14ac:dyDescent="0.15">
      <c r="AE3576" s="13"/>
    </row>
    <row r="3577" spans="31:31" ht="12.75" customHeight="1" x14ac:dyDescent="0.15">
      <c r="AE3577" s="13"/>
    </row>
    <row r="3578" spans="31:31" ht="12.75" customHeight="1" x14ac:dyDescent="0.15">
      <c r="AE3578" s="13"/>
    </row>
    <row r="3579" spans="31:31" ht="12.75" customHeight="1" x14ac:dyDescent="0.15">
      <c r="AE3579" s="13"/>
    </row>
    <row r="3580" spans="31:31" ht="12.75" customHeight="1" x14ac:dyDescent="0.15">
      <c r="AE3580" s="13"/>
    </row>
    <row r="3581" spans="31:31" ht="12.75" customHeight="1" x14ac:dyDescent="0.15">
      <c r="AE3581" s="13"/>
    </row>
    <row r="3582" spans="31:31" ht="12.75" customHeight="1" x14ac:dyDescent="0.15">
      <c r="AE3582" s="13"/>
    </row>
    <row r="3583" spans="31:31" ht="12.75" customHeight="1" x14ac:dyDescent="0.15">
      <c r="AE3583" s="13"/>
    </row>
    <row r="3584" spans="31:31" ht="12.75" customHeight="1" x14ac:dyDescent="0.15">
      <c r="AE3584" s="13"/>
    </row>
    <row r="3585" spans="31:31" ht="12.75" customHeight="1" x14ac:dyDescent="0.15">
      <c r="AE3585" s="13"/>
    </row>
    <row r="3586" spans="31:31" ht="12.75" customHeight="1" x14ac:dyDescent="0.15">
      <c r="AE3586" s="13"/>
    </row>
    <row r="3587" spans="31:31" ht="12.75" customHeight="1" x14ac:dyDescent="0.15">
      <c r="AE3587" s="13"/>
    </row>
    <row r="3588" spans="31:31" ht="12.75" customHeight="1" x14ac:dyDescent="0.15">
      <c r="AE3588" s="13"/>
    </row>
    <row r="3589" spans="31:31" ht="12.75" customHeight="1" x14ac:dyDescent="0.15">
      <c r="AE3589" s="13"/>
    </row>
    <row r="3590" spans="31:31" ht="12.75" customHeight="1" x14ac:dyDescent="0.15">
      <c r="AE3590" s="13"/>
    </row>
    <row r="3591" spans="31:31" ht="12.75" customHeight="1" x14ac:dyDescent="0.15">
      <c r="AE3591" s="13"/>
    </row>
    <row r="3592" spans="31:31" ht="12.75" customHeight="1" x14ac:dyDescent="0.15">
      <c r="AE3592" s="13"/>
    </row>
    <row r="3593" spans="31:31" ht="12.75" customHeight="1" x14ac:dyDescent="0.15">
      <c r="AE3593" s="13"/>
    </row>
    <row r="3594" spans="31:31" ht="12.75" customHeight="1" x14ac:dyDescent="0.15">
      <c r="AE3594" s="13"/>
    </row>
    <row r="3595" spans="31:31" ht="12.75" customHeight="1" x14ac:dyDescent="0.15">
      <c r="AE3595" s="13"/>
    </row>
    <row r="3596" spans="31:31" ht="12.75" customHeight="1" x14ac:dyDescent="0.15">
      <c r="AE3596" s="13"/>
    </row>
    <row r="3597" spans="31:31" ht="12.75" customHeight="1" x14ac:dyDescent="0.15">
      <c r="AE3597" s="13"/>
    </row>
    <row r="3598" spans="31:31" ht="12.75" customHeight="1" x14ac:dyDescent="0.15">
      <c r="AE3598" s="13"/>
    </row>
    <row r="3599" spans="31:31" ht="12.75" customHeight="1" x14ac:dyDescent="0.15">
      <c r="AE3599" s="13"/>
    </row>
    <row r="3600" spans="31:31" ht="12.75" customHeight="1" x14ac:dyDescent="0.15">
      <c r="AE3600" s="13"/>
    </row>
    <row r="3601" spans="31:31" ht="12.75" customHeight="1" x14ac:dyDescent="0.15">
      <c r="AE3601" s="13"/>
    </row>
    <row r="3602" spans="31:31" ht="12.75" customHeight="1" x14ac:dyDescent="0.15">
      <c r="AE3602" s="13"/>
    </row>
    <row r="3603" spans="31:31" ht="12.75" customHeight="1" x14ac:dyDescent="0.15">
      <c r="AE3603" s="13"/>
    </row>
    <row r="3604" spans="31:31" ht="12.75" customHeight="1" x14ac:dyDescent="0.15">
      <c r="AE3604" s="13"/>
    </row>
    <row r="3605" spans="31:31" ht="12.75" customHeight="1" x14ac:dyDescent="0.15">
      <c r="AE3605" s="13"/>
    </row>
    <row r="3606" spans="31:31" ht="12.75" customHeight="1" x14ac:dyDescent="0.15">
      <c r="AE3606" s="13"/>
    </row>
    <row r="3607" spans="31:31" ht="12.75" customHeight="1" x14ac:dyDescent="0.15">
      <c r="AE3607" s="13"/>
    </row>
    <row r="3608" spans="31:31" ht="12.75" customHeight="1" x14ac:dyDescent="0.15">
      <c r="AE3608" s="13"/>
    </row>
    <row r="3609" spans="31:31" ht="12.75" customHeight="1" x14ac:dyDescent="0.15">
      <c r="AE3609" s="13"/>
    </row>
    <row r="3610" spans="31:31" ht="12.75" customHeight="1" x14ac:dyDescent="0.15">
      <c r="AE3610" s="13"/>
    </row>
    <row r="3611" spans="31:31" ht="12.75" customHeight="1" x14ac:dyDescent="0.15">
      <c r="AE3611" s="13"/>
    </row>
    <row r="3612" spans="31:31" ht="12.75" customHeight="1" x14ac:dyDescent="0.15">
      <c r="AE3612" s="13"/>
    </row>
    <row r="3613" spans="31:31" ht="12.75" customHeight="1" x14ac:dyDescent="0.15">
      <c r="AE3613" s="13"/>
    </row>
    <row r="3614" spans="31:31" ht="12.75" customHeight="1" x14ac:dyDescent="0.15">
      <c r="AE3614" s="13"/>
    </row>
    <row r="3615" spans="31:31" ht="12.75" customHeight="1" x14ac:dyDescent="0.15">
      <c r="AE3615" s="13"/>
    </row>
    <row r="3616" spans="31:31" ht="12.75" customHeight="1" x14ac:dyDescent="0.15">
      <c r="AE3616" s="13"/>
    </row>
    <row r="3617" spans="31:31" ht="12.75" customHeight="1" x14ac:dyDescent="0.15">
      <c r="AE3617" s="13"/>
    </row>
    <row r="3618" spans="31:31" ht="12.75" customHeight="1" x14ac:dyDescent="0.15">
      <c r="AE3618" s="13"/>
    </row>
    <row r="3619" spans="31:31" ht="12.75" customHeight="1" x14ac:dyDescent="0.15">
      <c r="AE3619" s="13"/>
    </row>
    <row r="3620" spans="31:31" ht="12.75" customHeight="1" x14ac:dyDescent="0.15">
      <c r="AE3620" s="13"/>
    </row>
    <row r="3621" spans="31:31" ht="12.75" customHeight="1" x14ac:dyDescent="0.15">
      <c r="AE3621" s="13"/>
    </row>
    <row r="3622" spans="31:31" ht="12.75" customHeight="1" x14ac:dyDescent="0.15">
      <c r="AE3622" s="13"/>
    </row>
    <row r="3623" spans="31:31" ht="12.75" customHeight="1" x14ac:dyDescent="0.15">
      <c r="AE3623" s="13"/>
    </row>
    <row r="3624" spans="31:31" ht="12.75" customHeight="1" x14ac:dyDescent="0.15">
      <c r="AE3624" s="13"/>
    </row>
    <row r="3625" spans="31:31" ht="12.75" customHeight="1" x14ac:dyDescent="0.15">
      <c r="AE3625" s="13"/>
    </row>
    <row r="3626" spans="31:31" ht="12.75" customHeight="1" x14ac:dyDescent="0.15">
      <c r="AE3626" s="13"/>
    </row>
    <row r="3627" spans="31:31" ht="12.75" customHeight="1" x14ac:dyDescent="0.15">
      <c r="AE3627" s="13"/>
    </row>
    <row r="3628" spans="31:31" ht="12.75" customHeight="1" x14ac:dyDescent="0.15">
      <c r="AE3628" s="13"/>
    </row>
    <row r="3629" spans="31:31" ht="12.75" customHeight="1" x14ac:dyDescent="0.15">
      <c r="AE3629" s="13"/>
    </row>
    <row r="3630" spans="31:31" ht="12.75" customHeight="1" x14ac:dyDescent="0.15">
      <c r="AE3630" s="13"/>
    </row>
    <row r="3631" spans="31:31" ht="12.75" customHeight="1" x14ac:dyDescent="0.15">
      <c r="AE3631" s="13"/>
    </row>
    <row r="3632" spans="31:31" ht="12.75" customHeight="1" x14ac:dyDescent="0.15">
      <c r="AE3632" s="13"/>
    </row>
    <row r="3633" spans="31:31" ht="12.75" customHeight="1" x14ac:dyDescent="0.15">
      <c r="AE3633" s="13"/>
    </row>
    <row r="3634" spans="31:31" ht="12.75" customHeight="1" x14ac:dyDescent="0.15">
      <c r="AE3634" s="13"/>
    </row>
    <row r="3635" spans="31:31" ht="12.75" customHeight="1" x14ac:dyDescent="0.15">
      <c r="AE3635" s="13"/>
    </row>
    <row r="3636" spans="31:31" ht="12.75" customHeight="1" x14ac:dyDescent="0.15">
      <c r="AE3636" s="13"/>
    </row>
    <row r="3637" spans="31:31" ht="12.75" customHeight="1" x14ac:dyDescent="0.15">
      <c r="AE3637" s="13"/>
    </row>
    <row r="3638" spans="31:31" ht="12.75" customHeight="1" x14ac:dyDescent="0.15">
      <c r="AE3638" s="13"/>
    </row>
    <row r="3639" spans="31:31" ht="12.75" customHeight="1" x14ac:dyDescent="0.15">
      <c r="AE3639" s="13"/>
    </row>
    <row r="3640" spans="31:31" ht="12.75" customHeight="1" x14ac:dyDescent="0.15">
      <c r="AE3640" s="13"/>
    </row>
    <row r="3641" spans="31:31" ht="12.75" customHeight="1" x14ac:dyDescent="0.15">
      <c r="AE3641" s="13"/>
    </row>
    <row r="3642" spans="31:31" ht="12.75" customHeight="1" x14ac:dyDescent="0.15">
      <c r="AE3642" s="13"/>
    </row>
    <row r="3643" spans="31:31" ht="12.75" customHeight="1" x14ac:dyDescent="0.15">
      <c r="AE3643" s="13"/>
    </row>
    <row r="3644" spans="31:31" ht="12.75" customHeight="1" x14ac:dyDescent="0.15">
      <c r="AE3644" s="13"/>
    </row>
    <row r="3645" spans="31:31" ht="12.75" customHeight="1" x14ac:dyDescent="0.15">
      <c r="AE3645" s="13"/>
    </row>
    <row r="3646" spans="31:31" ht="12.75" customHeight="1" x14ac:dyDescent="0.15">
      <c r="AE3646" s="13"/>
    </row>
    <row r="3647" spans="31:31" ht="12.75" customHeight="1" x14ac:dyDescent="0.15">
      <c r="AE3647" s="13"/>
    </row>
    <row r="3648" spans="31:31" ht="12.75" customHeight="1" x14ac:dyDescent="0.15">
      <c r="AE3648" s="13"/>
    </row>
    <row r="3649" spans="31:31" ht="12.75" customHeight="1" x14ac:dyDescent="0.15">
      <c r="AE3649" s="13"/>
    </row>
    <row r="3650" spans="31:31" ht="12.75" customHeight="1" x14ac:dyDescent="0.15">
      <c r="AE3650" s="13"/>
    </row>
    <row r="3651" spans="31:31" ht="12.75" customHeight="1" x14ac:dyDescent="0.15">
      <c r="AE3651" s="13"/>
    </row>
    <row r="3652" spans="31:31" ht="12.75" customHeight="1" x14ac:dyDescent="0.15">
      <c r="AE3652" s="13"/>
    </row>
    <row r="3653" spans="31:31" ht="12.75" customHeight="1" x14ac:dyDescent="0.15">
      <c r="AE3653" s="13"/>
    </row>
    <row r="3654" spans="31:31" ht="12.75" customHeight="1" x14ac:dyDescent="0.15">
      <c r="AE3654" s="13"/>
    </row>
    <row r="3655" spans="31:31" ht="12.75" customHeight="1" x14ac:dyDescent="0.15">
      <c r="AE3655" s="13"/>
    </row>
    <row r="3656" spans="31:31" ht="12.75" customHeight="1" x14ac:dyDescent="0.15">
      <c r="AE3656" s="13"/>
    </row>
    <row r="3657" spans="31:31" ht="12.75" customHeight="1" x14ac:dyDescent="0.15">
      <c r="AE3657" s="13"/>
    </row>
    <row r="3658" spans="31:31" ht="12.75" customHeight="1" x14ac:dyDescent="0.15">
      <c r="AE3658" s="13"/>
    </row>
    <row r="3659" spans="31:31" ht="12.75" customHeight="1" x14ac:dyDescent="0.15">
      <c r="AE3659" s="13"/>
    </row>
    <row r="3660" spans="31:31" ht="12.75" customHeight="1" x14ac:dyDescent="0.15">
      <c r="AE3660" s="13"/>
    </row>
    <row r="3661" spans="31:31" ht="12.75" customHeight="1" x14ac:dyDescent="0.15">
      <c r="AE3661" s="13"/>
    </row>
    <row r="3662" spans="31:31" ht="12.75" customHeight="1" x14ac:dyDescent="0.15">
      <c r="AE3662" s="13"/>
    </row>
    <row r="3663" spans="31:31" ht="12.75" customHeight="1" x14ac:dyDescent="0.15">
      <c r="AE3663" s="13"/>
    </row>
    <row r="3664" spans="31:31" ht="12.75" customHeight="1" x14ac:dyDescent="0.15">
      <c r="AE3664" s="13"/>
    </row>
    <row r="3665" spans="31:31" ht="12.75" customHeight="1" x14ac:dyDescent="0.15">
      <c r="AE3665" s="13"/>
    </row>
    <row r="3666" spans="31:31" ht="12.75" customHeight="1" x14ac:dyDescent="0.15">
      <c r="AE3666" s="13"/>
    </row>
    <row r="3667" spans="31:31" ht="12.75" customHeight="1" x14ac:dyDescent="0.15">
      <c r="AE3667" s="13"/>
    </row>
    <row r="3668" spans="31:31" ht="12.75" customHeight="1" x14ac:dyDescent="0.15">
      <c r="AE3668" s="13"/>
    </row>
    <row r="3669" spans="31:31" ht="12.75" customHeight="1" x14ac:dyDescent="0.15">
      <c r="AE3669" s="13"/>
    </row>
    <row r="3670" spans="31:31" ht="12.75" customHeight="1" x14ac:dyDescent="0.15">
      <c r="AE3670" s="13"/>
    </row>
    <row r="3671" spans="31:31" ht="12.75" customHeight="1" x14ac:dyDescent="0.15">
      <c r="AE3671" s="13"/>
    </row>
    <row r="3672" spans="31:31" ht="12.75" customHeight="1" x14ac:dyDescent="0.15">
      <c r="AE3672" s="13"/>
    </row>
    <row r="3673" spans="31:31" ht="12.75" customHeight="1" x14ac:dyDescent="0.15">
      <c r="AE3673" s="13"/>
    </row>
    <row r="3674" spans="31:31" ht="12.75" customHeight="1" x14ac:dyDescent="0.15">
      <c r="AE3674" s="13"/>
    </row>
    <row r="3675" spans="31:31" ht="12.75" customHeight="1" x14ac:dyDescent="0.15">
      <c r="AE3675" s="13"/>
    </row>
    <row r="3676" spans="31:31" ht="12.75" customHeight="1" x14ac:dyDescent="0.15">
      <c r="AE3676" s="13"/>
    </row>
    <row r="3677" spans="31:31" ht="12.75" customHeight="1" x14ac:dyDescent="0.15">
      <c r="AE3677" s="13"/>
    </row>
    <row r="3678" spans="31:31" ht="12.75" customHeight="1" x14ac:dyDescent="0.15">
      <c r="AE3678" s="13"/>
    </row>
    <row r="3679" spans="31:31" ht="12.75" customHeight="1" x14ac:dyDescent="0.15">
      <c r="AE3679" s="13"/>
    </row>
    <row r="3680" spans="31:31" ht="12.75" customHeight="1" x14ac:dyDescent="0.15">
      <c r="AE3680" s="13"/>
    </row>
    <row r="3681" spans="31:31" ht="12.75" customHeight="1" x14ac:dyDescent="0.15">
      <c r="AE3681" s="13"/>
    </row>
    <row r="3682" spans="31:31" ht="12.75" customHeight="1" x14ac:dyDescent="0.15">
      <c r="AE3682" s="13"/>
    </row>
    <row r="3683" spans="31:31" ht="12.75" customHeight="1" x14ac:dyDescent="0.15">
      <c r="AE3683" s="13"/>
    </row>
    <row r="3684" spans="31:31" ht="12.75" customHeight="1" x14ac:dyDescent="0.15">
      <c r="AE3684" s="13"/>
    </row>
    <row r="3685" spans="31:31" ht="12.75" customHeight="1" x14ac:dyDescent="0.15">
      <c r="AE3685" s="13"/>
    </row>
    <row r="3686" spans="31:31" ht="12.75" customHeight="1" x14ac:dyDescent="0.15">
      <c r="AE3686" s="13"/>
    </row>
    <row r="3687" spans="31:31" ht="12.75" customHeight="1" x14ac:dyDescent="0.15">
      <c r="AE3687" s="13"/>
    </row>
    <row r="3688" spans="31:31" ht="12.75" customHeight="1" x14ac:dyDescent="0.15">
      <c r="AE3688" s="13"/>
    </row>
    <row r="3689" spans="31:31" ht="12.75" customHeight="1" x14ac:dyDescent="0.15">
      <c r="AE3689" s="13"/>
    </row>
    <row r="3690" spans="31:31" ht="12.75" customHeight="1" x14ac:dyDescent="0.15">
      <c r="AE3690" s="13"/>
    </row>
    <row r="3691" spans="31:31" ht="12.75" customHeight="1" x14ac:dyDescent="0.15">
      <c r="AE3691" s="13"/>
    </row>
    <row r="3692" spans="31:31" ht="12.75" customHeight="1" x14ac:dyDescent="0.15">
      <c r="AE3692" s="13"/>
    </row>
    <row r="3693" spans="31:31" ht="12.75" customHeight="1" x14ac:dyDescent="0.15">
      <c r="AE3693" s="13"/>
    </row>
    <row r="3694" spans="31:31" ht="12.75" customHeight="1" x14ac:dyDescent="0.15">
      <c r="AE3694" s="13"/>
    </row>
    <row r="3695" spans="31:31" ht="12.75" customHeight="1" x14ac:dyDescent="0.15">
      <c r="AE3695" s="13"/>
    </row>
    <row r="3696" spans="31:31" ht="12.75" customHeight="1" x14ac:dyDescent="0.15">
      <c r="AE3696" s="13"/>
    </row>
    <row r="3697" spans="31:31" ht="12.75" customHeight="1" x14ac:dyDescent="0.15">
      <c r="AE3697" s="13"/>
    </row>
    <row r="3698" spans="31:31" ht="12.75" customHeight="1" x14ac:dyDescent="0.15">
      <c r="AE3698" s="13"/>
    </row>
    <row r="3699" spans="31:31" ht="12.75" customHeight="1" x14ac:dyDescent="0.15">
      <c r="AE3699" s="13"/>
    </row>
    <row r="3700" spans="31:31" ht="12.75" customHeight="1" x14ac:dyDescent="0.15">
      <c r="AE3700" s="13"/>
    </row>
    <row r="3701" spans="31:31" ht="12.75" customHeight="1" x14ac:dyDescent="0.15">
      <c r="AE3701" s="13"/>
    </row>
    <row r="3702" spans="31:31" ht="12.75" customHeight="1" x14ac:dyDescent="0.15">
      <c r="AE3702" s="13"/>
    </row>
    <row r="3703" spans="31:31" ht="12.75" customHeight="1" x14ac:dyDescent="0.15">
      <c r="AE3703" s="13"/>
    </row>
    <row r="3704" spans="31:31" ht="12.75" customHeight="1" x14ac:dyDescent="0.15">
      <c r="AE3704" s="13"/>
    </row>
    <row r="3705" spans="31:31" ht="12.75" customHeight="1" x14ac:dyDescent="0.15">
      <c r="AE3705" s="13"/>
    </row>
    <row r="3706" spans="31:31" ht="12.75" customHeight="1" x14ac:dyDescent="0.15">
      <c r="AE3706" s="13"/>
    </row>
    <row r="3707" spans="31:31" ht="12.75" customHeight="1" x14ac:dyDescent="0.15">
      <c r="AE3707" s="13"/>
    </row>
    <row r="3708" spans="31:31" ht="12.75" customHeight="1" x14ac:dyDescent="0.15">
      <c r="AE3708" s="13"/>
    </row>
    <row r="3709" spans="31:31" ht="12.75" customHeight="1" x14ac:dyDescent="0.15">
      <c r="AE3709" s="13"/>
    </row>
    <row r="3710" spans="31:31" ht="12.75" customHeight="1" x14ac:dyDescent="0.15">
      <c r="AE3710" s="13"/>
    </row>
    <row r="3711" spans="31:31" ht="12.75" customHeight="1" x14ac:dyDescent="0.15">
      <c r="AE3711" s="13"/>
    </row>
    <row r="3712" spans="31:31" ht="12.75" customHeight="1" x14ac:dyDescent="0.15">
      <c r="AE3712" s="13"/>
    </row>
    <row r="3713" spans="31:31" ht="12.75" customHeight="1" x14ac:dyDescent="0.15">
      <c r="AE3713" s="13"/>
    </row>
    <row r="3714" spans="31:31" ht="12.75" customHeight="1" x14ac:dyDescent="0.15">
      <c r="AE3714" s="13"/>
    </row>
    <row r="3715" spans="31:31" ht="12.75" customHeight="1" x14ac:dyDescent="0.15">
      <c r="AE3715" s="13"/>
    </row>
    <row r="3716" spans="31:31" ht="12.75" customHeight="1" x14ac:dyDescent="0.15">
      <c r="AE3716" s="13"/>
    </row>
    <row r="3717" spans="31:31" ht="12.75" customHeight="1" x14ac:dyDescent="0.15">
      <c r="AE3717" s="13"/>
    </row>
    <row r="3718" spans="31:31" ht="12.75" customHeight="1" x14ac:dyDescent="0.15">
      <c r="AE3718" s="13"/>
    </row>
    <row r="3719" spans="31:31" ht="12.75" customHeight="1" x14ac:dyDescent="0.15">
      <c r="AE3719" s="13"/>
    </row>
    <row r="3720" spans="31:31" ht="12.75" customHeight="1" x14ac:dyDescent="0.15">
      <c r="AE3720" s="13"/>
    </row>
    <row r="3721" spans="31:31" ht="12.75" customHeight="1" x14ac:dyDescent="0.15">
      <c r="AE3721" s="13"/>
    </row>
    <row r="3722" spans="31:31" ht="12.75" customHeight="1" x14ac:dyDescent="0.15">
      <c r="AE3722" s="13"/>
    </row>
    <row r="3723" spans="31:31" ht="12.75" customHeight="1" x14ac:dyDescent="0.15">
      <c r="AE3723" s="13"/>
    </row>
    <row r="3724" spans="31:31" ht="12.75" customHeight="1" x14ac:dyDescent="0.15">
      <c r="AE3724" s="13"/>
    </row>
    <row r="3725" spans="31:31" ht="12.75" customHeight="1" x14ac:dyDescent="0.15">
      <c r="AE3725" s="13"/>
    </row>
    <row r="3726" spans="31:31" ht="12.75" customHeight="1" x14ac:dyDescent="0.15">
      <c r="AE3726" s="13"/>
    </row>
    <row r="3727" spans="31:31" ht="12.75" customHeight="1" x14ac:dyDescent="0.15">
      <c r="AE3727" s="13"/>
    </row>
    <row r="3728" spans="31:31" ht="12.75" customHeight="1" x14ac:dyDescent="0.15">
      <c r="AE3728" s="13"/>
    </row>
    <row r="3729" spans="31:31" ht="12.75" customHeight="1" x14ac:dyDescent="0.15">
      <c r="AE3729" s="13"/>
    </row>
    <row r="3730" spans="31:31" ht="12.75" customHeight="1" x14ac:dyDescent="0.15">
      <c r="AE3730" s="13"/>
    </row>
    <row r="3731" spans="31:31" ht="12.75" customHeight="1" x14ac:dyDescent="0.15">
      <c r="AE3731" s="13"/>
    </row>
    <row r="3732" spans="31:31" ht="12.75" customHeight="1" x14ac:dyDescent="0.15">
      <c r="AE3732" s="13"/>
    </row>
    <row r="3733" spans="31:31" ht="12.75" customHeight="1" x14ac:dyDescent="0.15">
      <c r="AE3733" s="13"/>
    </row>
    <row r="3734" spans="31:31" ht="12.75" customHeight="1" x14ac:dyDescent="0.15">
      <c r="AE3734" s="13"/>
    </row>
    <row r="3735" spans="31:31" ht="12.75" customHeight="1" x14ac:dyDescent="0.15">
      <c r="AE3735" s="13"/>
    </row>
    <row r="3736" spans="31:31" ht="12.75" customHeight="1" x14ac:dyDescent="0.15">
      <c r="AE3736" s="13"/>
    </row>
    <row r="3737" spans="31:31" ht="12.75" customHeight="1" x14ac:dyDescent="0.15">
      <c r="AE3737" s="13"/>
    </row>
    <row r="3738" spans="31:31" ht="12.75" customHeight="1" x14ac:dyDescent="0.15">
      <c r="AE3738" s="13"/>
    </row>
    <row r="3739" spans="31:31" ht="12.75" customHeight="1" x14ac:dyDescent="0.15">
      <c r="AE3739" s="13"/>
    </row>
    <row r="3740" spans="31:31" ht="12.75" customHeight="1" x14ac:dyDescent="0.15">
      <c r="AE3740" s="13"/>
    </row>
    <row r="3741" spans="31:31" ht="12.75" customHeight="1" x14ac:dyDescent="0.15">
      <c r="AE3741" s="13"/>
    </row>
    <row r="3742" spans="31:31" ht="12.75" customHeight="1" x14ac:dyDescent="0.15">
      <c r="AE3742" s="13"/>
    </row>
    <row r="3743" spans="31:31" ht="12.75" customHeight="1" x14ac:dyDescent="0.15">
      <c r="AE3743" s="13"/>
    </row>
    <row r="3744" spans="31:31" ht="12.75" customHeight="1" x14ac:dyDescent="0.15">
      <c r="AE3744" s="13"/>
    </row>
    <row r="3745" spans="31:31" ht="12.75" customHeight="1" x14ac:dyDescent="0.15">
      <c r="AE3745" s="13"/>
    </row>
    <row r="3746" spans="31:31" ht="12.75" customHeight="1" x14ac:dyDescent="0.15">
      <c r="AE3746" s="13"/>
    </row>
    <row r="3747" spans="31:31" ht="12.75" customHeight="1" x14ac:dyDescent="0.15">
      <c r="AE3747" s="13"/>
    </row>
    <row r="3748" spans="31:31" ht="12.75" customHeight="1" x14ac:dyDescent="0.15">
      <c r="AE3748" s="13"/>
    </row>
    <row r="3749" spans="31:31" ht="12.75" customHeight="1" x14ac:dyDescent="0.15">
      <c r="AE3749" s="13"/>
    </row>
    <row r="3750" spans="31:31" ht="12.75" customHeight="1" x14ac:dyDescent="0.15">
      <c r="AE3750" s="13"/>
    </row>
    <row r="3751" spans="31:31" ht="12.75" customHeight="1" x14ac:dyDescent="0.15">
      <c r="AE3751" s="13"/>
    </row>
    <row r="3752" spans="31:31" ht="12.75" customHeight="1" x14ac:dyDescent="0.15">
      <c r="AE3752" s="13"/>
    </row>
    <row r="3753" spans="31:31" ht="12.75" customHeight="1" x14ac:dyDescent="0.15">
      <c r="AE3753" s="13"/>
    </row>
    <row r="3754" spans="31:31" ht="12.75" customHeight="1" x14ac:dyDescent="0.15">
      <c r="AE3754" s="13"/>
    </row>
    <row r="3755" spans="31:31" ht="12.75" customHeight="1" x14ac:dyDescent="0.15">
      <c r="AE3755" s="13"/>
    </row>
    <row r="3756" spans="31:31" ht="12.75" customHeight="1" x14ac:dyDescent="0.15">
      <c r="AE3756" s="13"/>
    </row>
    <row r="3757" spans="31:31" ht="12.75" customHeight="1" x14ac:dyDescent="0.15">
      <c r="AE3757" s="13"/>
    </row>
    <row r="3758" spans="31:31" ht="12.75" customHeight="1" x14ac:dyDescent="0.15">
      <c r="AE3758" s="13"/>
    </row>
    <row r="3759" spans="31:31" ht="12.75" customHeight="1" x14ac:dyDescent="0.15">
      <c r="AE3759" s="13"/>
    </row>
    <row r="3760" spans="31:31" ht="12.75" customHeight="1" x14ac:dyDescent="0.15">
      <c r="AE3760" s="13"/>
    </row>
    <row r="3761" spans="31:31" ht="12.75" customHeight="1" x14ac:dyDescent="0.15">
      <c r="AE3761" s="13"/>
    </row>
    <row r="3762" spans="31:31" ht="12.75" customHeight="1" x14ac:dyDescent="0.15">
      <c r="AE3762" s="13"/>
    </row>
    <row r="3763" spans="31:31" ht="12.75" customHeight="1" x14ac:dyDescent="0.15">
      <c r="AE3763" s="13"/>
    </row>
    <row r="3764" spans="31:31" ht="12.75" customHeight="1" x14ac:dyDescent="0.15">
      <c r="AE3764" s="13"/>
    </row>
    <row r="3765" spans="31:31" ht="12.75" customHeight="1" x14ac:dyDescent="0.15">
      <c r="AE3765" s="13"/>
    </row>
    <row r="3766" spans="31:31" ht="12.75" customHeight="1" x14ac:dyDescent="0.15">
      <c r="AE3766" s="13"/>
    </row>
    <row r="3767" spans="31:31" ht="12.75" customHeight="1" x14ac:dyDescent="0.15">
      <c r="AE3767" s="13"/>
    </row>
    <row r="3768" spans="31:31" ht="12.75" customHeight="1" x14ac:dyDescent="0.15">
      <c r="AE3768" s="13"/>
    </row>
    <row r="3769" spans="31:31" ht="12.75" customHeight="1" x14ac:dyDescent="0.15">
      <c r="AE3769" s="13"/>
    </row>
    <row r="3770" spans="31:31" ht="12.75" customHeight="1" x14ac:dyDescent="0.15">
      <c r="AE3770" s="13"/>
    </row>
    <row r="3771" spans="31:31" ht="12.75" customHeight="1" x14ac:dyDescent="0.15">
      <c r="AE3771" s="13"/>
    </row>
    <row r="3772" spans="31:31" ht="12.75" customHeight="1" x14ac:dyDescent="0.15">
      <c r="AE3772" s="13"/>
    </row>
    <row r="3773" spans="31:31" ht="12.75" customHeight="1" x14ac:dyDescent="0.15">
      <c r="AE3773" s="13"/>
    </row>
    <row r="3774" spans="31:31" ht="12.75" customHeight="1" x14ac:dyDescent="0.15">
      <c r="AE3774" s="13"/>
    </row>
    <row r="3775" spans="31:31" ht="12.75" customHeight="1" x14ac:dyDescent="0.15">
      <c r="AE3775" s="13"/>
    </row>
    <row r="3776" spans="31:31" ht="12.75" customHeight="1" x14ac:dyDescent="0.15">
      <c r="AE3776" s="13"/>
    </row>
    <row r="3777" spans="31:31" ht="12.75" customHeight="1" x14ac:dyDescent="0.15">
      <c r="AE3777" s="13"/>
    </row>
    <row r="3778" spans="31:31" ht="12.75" customHeight="1" x14ac:dyDescent="0.15">
      <c r="AE3778" s="13"/>
    </row>
    <row r="3779" spans="31:31" ht="12.75" customHeight="1" x14ac:dyDescent="0.15">
      <c r="AE3779" s="13"/>
    </row>
    <row r="3780" spans="31:31" ht="12.75" customHeight="1" x14ac:dyDescent="0.15">
      <c r="AE3780" s="13"/>
    </row>
    <row r="3781" spans="31:31" ht="12.75" customHeight="1" x14ac:dyDescent="0.15">
      <c r="AE3781" s="13"/>
    </row>
    <row r="3782" spans="31:31" ht="12.75" customHeight="1" x14ac:dyDescent="0.15">
      <c r="AE3782" s="13"/>
    </row>
    <row r="3783" spans="31:31" ht="12.75" customHeight="1" x14ac:dyDescent="0.15">
      <c r="AE3783" s="13"/>
    </row>
    <row r="3784" spans="31:31" ht="12.75" customHeight="1" x14ac:dyDescent="0.15">
      <c r="AE3784" s="13"/>
    </row>
    <row r="3785" spans="31:31" ht="12.75" customHeight="1" x14ac:dyDescent="0.15">
      <c r="AE3785" s="13"/>
    </row>
    <row r="3786" spans="31:31" ht="12.75" customHeight="1" x14ac:dyDescent="0.15">
      <c r="AE3786" s="13"/>
    </row>
    <row r="3787" spans="31:31" ht="12.75" customHeight="1" x14ac:dyDescent="0.15">
      <c r="AE3787" s="13"/>
    </row>
    <row r="3788" spans="31:31" ht="12.75" customHeight="1" x14ac:dyDescent="0.15">
      <c r="AE3788" s="13"/>
    </row>
    <row r="3789" spans="31:31" ht="12.75" customHeight="1" x14ac:dyDescent="0.15">
      <c r="AE3789" s="13"/>
    </row>
    <row r="3790" spans="31:31" ht="12.75" customHeight="1" x14ac:dyDescent="0.15">
      <c r="AE3790" s="13"/>
    </row>
    <row r="3791" spans="31:31" ht="12.75" customHeight="1" x14ac:dyDescent="0.15">
      <c r="AE3791" s="13"/>
    </row>
    <row r="3792" spans="31:31" ht="12.75" customHeight="1" x14ac:dyDescent="0.15">
      <c r="AE3792" s="13"/>
    </row>
    <row r="3793" spans="31:31" ht="12.75" customHeight="1" x14ac:dyDescent="0.15">
      <c r="AE3793" s="13"/>
    </row>
    <row r="3794" spans="31:31" ht="12.75" customHeight="1" x14ac:dyDescent="0.15">
      <c r="AE3794" s="13"/>
    </row>
    <row r="3795" spans="31:31" ht="12.75" customHeight="1" x14ac:dyDescent="0.15">
      <c r="AE3795" s="13"/>
    </row>
    <row r="3796" spans="31:31" ht="12.75" customHeight="1" x14ac:dyDescent="0.15">
      <c r="AE3796" s="13"/>
    </row>
    <row r="3797" spans="31:31" ht="12.75" customHeight="1" x14ac:dyDescent="0.15">
      <c r="AE3797" s="13"/>
    </row>
    <row r="3798" spans="31:31" ht="12.75" customHeight="1" x14ac:dyDescent="0.15">
      <c r="AE3798" s="13"/>
    </row>
    <row r="3799" spans="31:31" ht="12.75" customHeight="1" x14ac:dyDescent="0.15">
      <c r="AE3799" s="13"/>
    </row>
    <row r="3800" spans="31:31" ht="12.75" customHeight="1" x14ac:dyDescent="0.15">
      <c r="AE3800" s="13"/>
    </row>
    <row r="3801" spans="31:31" ht="12.75" customHeight="1" x14ac:dyDescent="0.15">
      <c r="AE3801" s="13"/>
    </row>
    <row r="3802" spans="31:31" ht="12.75" customHeight="1" x14ac:dyDescent="0.15">
      <c r="AE3802" s="13"/>
    </row>
    <row r="3803" spans="31:31" ht="12.75" customHeight="1" x14ac:dyDescent="0.15">
      <c r="AE3803" s="13"/>
    </row>
    <row r="3804" spans="31:31" ht="12.75" customHeight="1" x14ac:dyDescent="0.15">
      <c r="AE3804" s="13"/>
    </row>
    <row r="3805" spans="31:31" ht="12.75" customHeight="1" x14ac:dyDescent="0.15">
      <c r="AE3805" s="13"/>
    </row>
    <row r="3806" spans="31:31" ht="12.75" customHeight="1" x14ac:dyDescent="0.15">
      <c r="AE3806" s="13"/>
    </row>
    <row r="3807" spans="31:31" ht="12.75" customHeight="1" x14ac:dyDescent="0.15">
      <c r="AE3807" s="13"/>
    </row>
    <row r="3808" spans="31:31" ht="12.75" customHeight="1" x14ac:dyDescent="0.15">
      <c r="AE3808" s="13"/>
    </row>
    <row r="3809" spans="31:31" ht="12.75" customHeight="1" x14ac:dyDescent="0.15">
      <c r="AE3809" s="13"/>
    </row>
    <row r="3810" spans="31:31" ht="12.75" customHeight="1" x14ac:dyDescent="0.15">
      <c r="AE3810" s="13"/>
    </row>
    <row r="3811" spans="31:31" ht="12.75" customHeight="1" x14ac:dyDescent="0.15">
      <c r="AE3811" s="13"/>
    </row>
    <row r="3812" spans="31:31" ht="12.75" customHeight="1" x14ac:dyDescent="0.15">
      <c r="AE3812" s="13"/>
    </row>
    <row r="3813" spans="31:31" ht="12.75" customHeight="1" x14ac:dyDescent="0.15">
      <c r="AE3813" s="13"/>
    </row>
    <row r="3814" spans="31:31" ht="12.75" customHeight="1" x14ac:dyDescent="0.15">
      <c r="AE3814" s="13"/>
    </row>
    <row r="3815" spans="31:31" ht="12.75" customHeight="1" x14ac:dyDescent="0.15">
      <c r="AE3815" s="13"/>
    </row>
    <row r="3816" spans="31:31" ht="12.75" customHeight="1" x14ac:dyDescent="0.15">
      <c r="AE3816" s="13"/>
    </row>
    <row r="3817" spans="31:31" ht="12.75" customHeight="1" x14ac:dyDescent="0.15">
      <c r="AE3817" s="13"/>
    </row>
    <row r="3818" spans="31:31" ht="12.75" customHeight="1" x14ac:dyDescent="0.15">
      <c r="AE3818" s="13"/>
    </row>
    <row r="3819" spans="31:31" ht="12.75" customHeight="1" x14ac:dyDescent="0.15">
      <c r="AE3819" s="13"/>
    </row>
    <row r="3820" spans="31:31" ht="12.75" customHeight="1" x14ac:dyDescent="0.15">
      <c r="AE3820" s="13"/>
    </row>
    <row r="3821" spans="31:31" ht="12.75" customHeight="1" x14ac:dyDescent="0.15">
      <c r="AE3821" s="13"/>
    </row>
    <row r="3822" spans="31:31" ht="12.75" customHeight="1" x14ac:dyDescent="0.15">
      <c r="AE3822" s="13"/>
    </row>
    <row r="3823" spans="31:31" ht="12.75" customHeight="1" x14ac:dyDescent="0.15">
      <c r="AE3823" s="13"/>
    </row>
    <row r="3824" spans="31:31" ht="12.75" customHeight="1" x14ac:dyDescent="0.15">
      <c r="AE3824" s="13"/>
    </row>
    <row r="3825" spans="31:31" ht="12.75" customHeight="1" x14ac:dyDescent="0.15">
      <c r="AE3825" s="13"/>
    </row>
    <row r="3826" spans="31:31" ht="12.75" customHeight="1" x14ac:dyDescent="0.15">
      <c r="AE3826" s="13"/>
    </row>
    <row r="3827" spans="31:31" ht="12.75" customHeight="1" x14ac:dyDescent="0.15">
      <c r="AE3827" s="13"/>
    </row>
    <row r="3828" spans="31:31" ht="12.75" customHeight="1" x14ac:dyDescent="0.15">
      <c r="AE3828" s="13"/>
    </row>
    <row r="3829" spans="31:31" ht="12.75" customHeight="1" x14ac:dyDescent="0.15">
      <c r="AE3829" s="13"/>
    </row>
    <row r="3830" spans="31:31" ht="12.75" customHeight="1" x14ac:dyDescent="0.15">
      <c r="AE3830" s="13"/>
    </row>
    <row r="3831" spans="31:31" ht="12.75" customHeight="1" x14ac:dyDescent="0.15">
      <c r="AE3831" s="13"/>
    </row>
    <row r="3832" spans="31:31" ht="12.75" customHeight="1" x14ac:dyDescent="0.15">
      <c r="AE3832" s="13"/>
    </row>
    <row r="3833" spans="31:31" ht="12.75" customHeight="1" x14ac:dyDescent="0.15">
      <c r="AE3833" s="13"/>
    </row>
    <row r="3834" spans="31:31" ht="12.75" customHeight="1" x14ac:dyDescent="0.15">
      <c r="AE3834" s="13"/>
    </row>
    <row r="3835" spans="31:31" ht="12.75" customHeight="1" x14ac:dyDescent="0.15">
      <c r="AE3835" s="13"/>
    </row>
    <row r="3836" spans="31:31" ht="12.75" customHeight="1" x14ac:dyDescent="0.15">
      <c r="AE3836" s="13"/>
    </row>
    <row r="3837" spans="31:31" ht="12.75" customHeight="1" x14ac:dyDescent="0.15">
      <c r="AE3837" s="13"/>
    </row>
    <row r="3838" spans="31:31" ht="12.75" customHeight="1" x14ac:dyDescent="0.15">
      <c r="AE3838" s="13"/>
    </row>
    <row r="3839" spans="31:31" ht="12.75" customHeight="1" x14ac:dyDescent="0.15">
      <c r="AE3839" s="13"/>
    </row>
    <row r="3840" spans="31:31" ht="12.75" customHeight="1" x14ac:dyDescent="0.15">
      <c r="AE3840" s="13"/>
    </row>
    <row r="3841" spans="31:31" ht="12.75" customHeight="1" x14ac:dyDescent="0.15">
      <c r="AE3841" s="13"/>
    </row>
    <row r="3842" spans="31:31" ht="12.75" customHeight="1" x14ac:dyDescent="0.15">
      <c r="AE3842" s="13"/>
    </row>
    <row r="3843" spans="31:31" ht="12.75" customHeight="1" x14ac:dyDescent="0.15">
      <c r="AE3843" s="13"/>
    </row>
    <row r="3844" spans="31:31" ht="12.75" customHeight="1" x14ac:dyDescent="0.15">
      <c r="AE3844" s="13"/>
    </row>
    <row r="3845" spans="31:31" ht="12.75" customHeight="1" x14ac:dyDescent="0.15">
      <c r="AE3845" s="13"/>
    </row>
    <row r="3846" spans="31:31" ht="12.75" customHeight="1" x14ac:dyDescent="0.15">
      <c r="AE3846" s="13"/>
    </row>
    <row r="3847" spans="31:31" ht="12.75" customHeight="1" x14ac:dyDescent="0.15">
      <c r="AE3847" s="13"/>
    </row>
    <row r="3848" spans="31:31" ht="12.75" customHeight="1" x14ac:dyDescent="0.15">
      <c r="AE3848" s="13"/>
    </row>
    <row r="3849" spans="31:31" ht="12.75" customHeight="1" x14ac:dyDescent="0.15">
      <c r="AE3849" s="13"/>
    </row>
    <row r="3850" spans="31:31" ht="12.75" customHeight="1" x14ac:dyDescent="0.15">
      <c r="AE3850" s="13"/>
    </row>
    <row r="3851" spans="31:31" ht="12.75" customHeight="1" x14ac:dyDescent="0.15">
      <c r="AE3851" s="13"/>
    </row>
    <row r="3852" spans="31:31" ht="12.75" customHeight="1" x14ac:dyDescent="0.15">
      <c r="AE3852" s="13"/>
    </row>
    <row r="3853" spans="31:31" ht="12.75" customHeight="1" x14ac:dyDescent="0.15">
      <c r="AE3853" s="13"/>
    </row>
    <row r="3854" spans="31:31" ht="12.75" customHeight="1" x14ac:dyDescent="0.15">
      <c r="AE3854" s="13"/>
    </row>
    <row r="3855" spans="31:31" ht="12.75" customHeight="1" x14ac:dyDescent="0.15">
      <c r="AE3855" s="13"/>
    </row>
    <row r="3856" spans="31:31" ht="12.75" customHeight="1" x14ac:dyDescent="0.15">
      <c r="AE3856" s="13"/>
    </row>
    <row r="3857" spans="31:31" ht="12.75" customHeight="1" x14ac:dyDescent="0.15">
      <c r="AE3857" s="13"/>
    </row>
    <row r="3858" spans="31:31" ht="12.75" customHeight="1" x14ac:dyDescent="0.15">
      <c r="AE3858" s="13"/>
    </row>
    <row r="3859" spans="31:31" ht="12.75" customHeight="1" x14ac:dyDescent="0.15">
      <c r="AE3859" s="13"/>
    </row>
    <row r="3860" spans="31:31" ht="12.75" customHeight="1" x14ac:dyDescent="0.15">
      <c r="AE3860" s="13"/>
    </row>
    <row r="3861" spans="31:31" ht="12.75" customHeight="1" x14ac:dyDescent="0.15">
      <c r="AE3861" s="13"/>
    </row>
    <row r="3862" spans="31:31" ht="12.75" customHeight="1" x14ac:dyDescent="0.15">
      <c r="AE3862" s="13"/>
    </row>
    <row r="3863" spans="31:31" ht="12.75" customHeight="1" x14ac:dyDescent="0.15">
      <c r="AE3863" s="13"/>
    </row>
    <row r="3864" spans="31:31" ht="12.75" customHeight="1" x14ac:dyDescent="0.15">
      <c r="AE3864" s="13"/>
    </row>
    <row r="3865" spans="31:31" ht="12.75" customHeight="1" x14ac:dyDescent="0.15">
      <c r="AE3865" s="13"/>
    </row>
    <row r="3866" spans="31:31" ht="12.75" customHeight="1" x14ac:dyDescent="0.15">
      <c r="AE3866" s="13"/>
    </row>
    <row r="3867" spans="31:31" ht="12.75" customHeight="1" x14ac:dyDescent="0.15">
      <c r="AE3867" s="13"/>
    </row>
    <row r="3868" spans="31:31" ht="12.75" customHeight="1" x14ac:dyDescent="0.15">
      <c r="AE3868" s="13"/>
    </row>
    <row r="3869" spans="31:31" ht="12.75" customHeight="1" x14ac:dyDescent="0.15">
      <c r="AE3869" s="13"/>
    </row>
    <row r="3870" spans="31:31" ht="12.75" customHeight="1" x14ac:dyDescent="0.15">
      <c r="AE3870" s="13"/>
    </row>
    <row r="3871" spans="31:31" ht="12.75" customHeight="1" x14ac:dyDescent="0.15">
      <c r="AE3871" s="13"/>
    </row>
    <row r="3872" spans="31:31" ht="12.75" customHeight="1" x14ac:dyDescent="0.15">
      <c r="AE3872" s="13"/>
    </row>
    <row r="3873" spans="31:31" ht="12.75" customHeight="1" x14ac:dyDescent="0.15">
      <c r="AE3873" s="13"/>
    </row>
    <row r="3874" spans="31:31" ht="12.75" customHeight="1" x14ac:dyDescent="0.15">
      <c r="AE3874" s="13"/>
    </row>
    <row r="3875" spans="31:31" ht="12.75" customHeight="1" x14ac:dyDescent="0.15">
      <c r="AE3875" s="13"/>
    </row>
    <row r="3876" spans="31:31" ht="12.75" customHeight="1" x14ac:dyDescent="0.15">
      <c r="AE3876" s="13"/>
    </row>
    <row r="3877" spans="31:31" ht="12.75" customHeight="1" x14ac:dyDescent="0.15">
      <c r="AE3877" s="13"/>
    </row>
    <row r="3878" spans="31:31" ht="12.75" customHeight="1" x14ac:dyDescent="0.15">
      <c r="AE3878" s="13"/>
    </row>
    <row r="3879" spans="31:31" ht="12.75" customHeight="1" x14ac:dyDescent="0.15">
      <c r="AE3879" s="13"/>
    </row>
    <row r="3880" spans="31:31" ht="12.75" customHeight="1" x14ac:dyDescent="0.15">
      <c r="AE3880" s="13"/>
    </row>
    <row r="3881" spans="31:31" ht="12.75" customHeight="1" x14ac:dyDescent="0.15">
      <c r="AE3881" s="13"/>
    </row>
    <row r="3882" spans="31:31" ht="12.75" customHeight="1" x14ac:dyDescent="0.15">
      <c r="AE3882" s="13"/>
    </row>
    <row r="3883" spans="31:31" ht="12.75" customHeight="1" x14ac:dyDescent="0.15">
      <c r="AE3883" s="13"/>
    </row>
    <row r="3884" spans="31:31" ht="12.75" customHeight="1" x14ac:dyDescent="0.15">
      <c r="AE3884" s="13"/>
    </row>
    <row r="3885" spans="31:31" ht="12.75" customHeight="1" x14ac:dyDescent="0.15">
      <c r="AE3885" s="13"/>
    </row>
    <row r="3886" spans="31:31" ht="12.75" customHeight="1" x14ac:dyDescent="0.15">
      <c r="AE3886" s="13"/>
    </row>
    <row r="3887" spans="31:31" ht="12.75" customHeight="1" x14ac:dyDescent="0.15">
      <c r="AE3887" s="13"/>
    </row>
    <row r="3888" spans="31:31" ht="12.75" customHeight="1" x14ac:dyDescent="0.15">
      <c r="AE3888" s="13"/>
    </row>
    <row r="3889" spans="31:31" ht="12.75" customHeight="1" x14ac:dyDescent="0.15">
      <c r="AE3889" s="13"/>
    </row>
    <row r="3890" spans="31:31" ht="12.75" customHeight="1" x14ac:dyDescent="0.15">
      <c r="AE3890" s="13"/>
    </row>
    <row r="3891" spans="31:31" ht="12.75" customHeight="1" x14ac:dyDescent="0.15">
      <c r="AE3891" s="13"/>
    </row>
    <row r="3892" spans="31:31" ht="12.75" customHeight="1" x14ac:dyDescent="0.15">
      <c r="AE3892" s="13"/>
    </row>
    <row r="3893" spans="31:31" ht="12.75" customHeight="1" x14ac:dyDescent="0.15">
      <c r="AE3893" s="13"/>
    </row>
    <row r="3894" spans="31:31" ht="12.75" customHeight="1" x14ac:dyDescent="0.15">
      <c r="AE3894" s="13"/>
    </row>
    <row r="3895" spans="31:31" ht="12.75" customHeight="1" x14ac:dyDescent="0.15">
      <c r="AE3895" s="13"/>
    </row>
    <row r="3896" spans="31:31" ht="12.75" customHeight="1" x14ac:dyDescent="0.15">
      <c r="AE3896" s="13"/>
    </row>
    <row r="3897" spans="31:31" ht="12.75" customHeight="1" x14ac:dyDescent="0.15">
      <c r="AE3897" s="13"/>
    </row>
    <row r="3898" spans="31:31" ht="12.75" customHeight="1" x14ac:dyDescent="0.15">
      <c r="AE3898" s="13"/>
    </row>
    <row r="3899" spans="31:31" ht="12.75" customHeight="1" x14ac:dyDescent="0.15">
      <c r="AE3899" s="13"/>
    </row>
    <row r="3900" spans="31:31" ht="12.75" customHeight="1" x14ac:dyDescent="0.15">
      <c r="AE3900" s="13"/>
    </row>
    <row r="3901" spans="31:31" ht="12.75" customHeight="1" x14ac:dyDescent="0.15">
      <c r="AE3901" s="13"/>
    </row>
    <row r="3902" spans="31:31" ht="12.75" customHeight="1" x14ac:dyDescent="0.15">
      <c r="AE3902" s="13"/>
    </row>
    <row r="3903" spans="31:31" ht="12.75" customHeight="1" x14ac:dyDescent="0.15">
      <c r="AE3903" s="13"/>
    </row>
    <row r="3904" spans="31:31" ht="12.75" customHeight="1" x14ac:dyDescent="0.15">
      <c r="AE3904" s="13"/>
    </row>
    <row r="3905" spans="31:31" ht="12.75" customHeight="1" x14ac:dyDescent="0.15">
      <c r="AE3905" s="13"/>
    </row>
    <row r="3906" spans="31:31" ht="12.75" customHeight="1" x14ac:dyDescent="0.15">
      <c r="AE3906" s="13"/>
    </row>
    <row r="3907" spans="31:31" ht="12.75" customHeight="1" x14ac:dyDescent="0.15">
      <c r="AE3907" s="13"/>
    </row>
    <row r="3908" spans="31:31" ht="12.75" customHeight="1" x14ac:dyDescent="0.15">
      <c r="AE3908" s="13"/>
    </row>
    <row r="3909" spans="31:31" ht="12.75" customHeight="1" x14ac:dyDescent="0.15">
      <c r="AE3909" s="13"/>
    </row>
    <row r="3910" spans="31:31" ht="12.75" customHeight="1" x14ac:dyDescent="0.15">
      <c r="AE3910" s="13"/>
    </row>
    <row r="3911" spans="31:31" ht="12.75" customHeight="1" x14ac:dyDescent="0.15">
      <c r="AE3911" s="13"/>
    </row>
    <row r="3912" spans="31:31" ht="12.75" customHeight="1" x14ac:dyDescent="0.15">
      <c r="AE3912" s="13"/>
    </row>
    <row r="3913" spans="31:31" ht="12.75" customHeight="1" x14ac:dyDescent="0.15">
      <c r="AE3913" s="13"/>
    </row>
    <row r="3914" spans="31:31" ht="12.75" customHeight="1" x14ac:dyDescent="0.15">
      <c r="AE3914" s="13"/>
    </row>
    <row r="3915" spans="31:31" ht="12.75" customHeight="1" x14ac:dyDescent="0.15">
      <c r="AE3915" s="13"/>
    </row>
    <row r="3916" spans="31:31" ht="12.75" customHeight="1" x14ac:dyDescent="0.15">
      <c r="AE3916" s="13"/>
    </row>
    <row r="3917" spans="31:31" ht="12.75" customHeight="1" x14ac:dyDescent="0.15">
      <c r="AE3917" s="13"/>
    </row>
    <row r="3918" spans="31:31" ht="12.75" customHeight="1" x14ac:dyDescent="0.15">
      <c r="AE3918" s="13"/>
    </row>
    <row r="3919" spans="31:31" ht="12.75" customHeight="1" x14ac:dyDescent="0.15">
      <c r="AE3919" s="13"/>
    </row>
    <row r="3920" spans="31:31" ht="12.75" customHeight="1" x14ac:dyDescent="0.15">
      <c r="AE3920" s="13"/>
    </row>
    <row r="3921" spans="31:31" ht="12.75" customHeight="1" x14ac:dyDescent="0.15">
      <c r="AE3921" s="13"/>
    </row>
    <row r="3922" spans="31:31" ht="12.75" customHeight="1" x14ac:dyDescent="0.15">
      <c r="AE3922" s="13"/>
    </row>
    <row r="3923" spans="31:31" ht="12.75" customHeight="1" x14ac:dyDescent="0.15">
      <c r="AE3923" s="13"/>
    </row>
    <row r="3924" spans="31:31" ht="12.75" customHeight="1" x14ac:dyDescent="0.15">
      <c r="AE3924" s="13"/>
    </row>
    <row r="3925" spans="31:31" ht="12.75" customHeight="1" x14ac:dyDescent="0.15">
      <c r="AE3925" s="13"/>
    </row>
    <row r="3926" spans="31:31" ht="12.75" customHeight="1" x14ac:dyDescent="0.15">
      <c r="AE3926" s="13"/>
    </row>
    <row r="3927" spans="31:31" ht="12.75" customHeight="1" x14ac:dyDescent="0.15">
      <c r="AE3927" s="13"/>
    </row>
    <row r="3928" spans="31:31" ht="12.75" customHeight="1" x14ac:dyDescent="0.15">
      <c r="AE3928" s="13"/>
    </row>
    <row r="3929" spans="31:31" ht="12.75" customHeight="1" x14ac:dyDescent="0.15">
      <c r="AE3929" s="13"/>
    </row>
    <row r="3930" spans="31:31" ht="12.75" customHeight="1" x14ac:dyDescent="0.15">
      <c r="AE3930" s="13"/>
    </row>
    <row r="3931" spans="31:31" ht="12.75" customHeight="1" x14ac:dyDescent="0.15">
      <c r="AE3931" s="13"/>
    </row>
    <row r="3932" spans="31:31" ht="12.75" customHeight="1" x14ac:dyDescent="0.15">
      <c r="AE3932" s="13"/>
    </row>
    <row r="3933" spans="31:31" ht="12.75" customHeight="1" x14ac:dyDescent="0.15">
      <c r="AE3933" s="13"/>
    </row>
    <row r="3934" spans="31:31" ht="12.75" customHeight="1" x14ac:dyDescent="0.15">
      <c r="AE3934" s="13"/>
    </row>
    <row r="3935" spans="31:31" ht="12.75" customHeight="1" x14ac:dyDescent="0.15">
      <c r="AE3935" s="13"/>
    </row>
    <row r="3936" spans="31:31" ht="12.75" customHeight="1" x14ac:dyDescent="0.15">
      <c r="AE3936" s="13"/>
    </row>
    <row r="3937" spans="31:31" ht="12.75" customHeight="1" x14ac:dyDescent="0.15">
      <c r="AE3937" s="13"/>
    </row>
    <row r="3938" spans="31:31" ht="12.75" customHeight="1" x14ac:dyDescent="0.15">
      <c r="AE3938" s="13"/>
    </row>
    <row r="3939" spans="31:31" ht="12.75" customHeight="1" x14ac:dyDescent="0.15">
      <c r="AE3939" s="13"/>
    </row>
    <row r="3940" spans="31:31" ht="12.75" customHeight="1" x14ac:dyDescent="0.15">
      <c r="AE3940" s="13"/>
    </row>
    <row r="3941" spans="31:31" ht="12.75" customHeight="1" x14ac:dyDescent="0.15">
      <c r="AE3941" s="13"/>
    </row>
    <row r="3942" spans="31:31" ht="12.75" customHeight="1" x14ac:dyDescent="0.15">
      <c r="AE3942" s="13"/>
    </row>
    <row r="3943" spans="31:31" ht="12.75" customHeight="1" x14ac:dyDescent="0.15">
      <c r="AE3943" s="13"/>
    </row>
    <row r="3944" spans="31:31" ht="12.75" customHeight="1" x14ac:dyDescent="0.15">
      <c r="AE3944" s="13"/>
    </row>
    <row r="3945" spans="31:31" ht="12.75" customHeight="1" x14ac:dyDescent="0.15">
      <c r="AE3945" s="13"/>
    </row>
    <row r="3946" spans="31:31" ht="12.75" customHeight="1" x14ac:dyDescent="0.15">
      <c r="AE3946" s="13"/>
    </row>
    <row r="3947" spans="31:31" ht="12.75" customHeight="1" x14ac:dyDescent="0.15">
      <c r="AE3947" s="13"/>
    </row>
    <row r="3948" spans="31:31" ht="12.75" customHeight="1" x14ac:dyDescent="0.15">
      <c r="AE3948" s="13"/>
    </row>
    <row r="3949" spans="31:31" ht="12.75" customHeight="1" x14ac:dyDescent="0.15">
      <c r="AE3949" s="13"/>
    </row>
    <row r="3950" spans="31:31" ht="12.75" customHeight="1" x14ac:dyDescent="0.15">
      <c r="AE3950" s="13"/>
    </row>
    <row r="3951" spans="31:31" ht="12.75" customHeight="1" x14ac:dyDescent="0.15">
      <c r="AE3951" s="13"/>
    </row>
    <row r="3952" spans="31:31" ht="12.75" customHeight="1" x14ac:dyDescent="0.15">
      <c r="AE3952" s="13"/>
    </row>
    <row r="3953" spans="31:31" ht="12.75" customHeight="1" x14ac:dyDescent="0.15">
      <c r="AE3953" s="13"/>
    </row>
    <row r="3954" spans="31:31" ht="12.75" customHeight="1" x14ac:dyDescent="0.15">
      <c r="AE3954" s="13"/>
    </row>
    <row r="3955" spans="31:31" ht="12.75" customHeight="1" x14ac:dyDescent="0.15">
      <c r="AE3955" s="13"/>
    </row>
    <row r="3956" spans="31:31" ht="12.75" customHeight="1" x14ac:dyDescent="0.15">
      <c r="AE3956" s="13"/>
    </row>
    <row r="3957" spans="31:31" ht="12.75" customHeight="1" x14ac:dyDescent="0.15">
      <c r="AE3957" s="13"/>
    </row>
    <row r="3958" spans="31:31" ht="12.75" customHeight="1" x14ac:dyDescent="0.15">
      <c r="AE3958" s="13"/>
    </row>
    <row r="3959" spans="31:31" ht="12.75" customHeight="1" x14ac:dyDescent="0.15">
      <c r="AE3959" s="13"/>
    </row>
    <row r="3960" spans="31:31" ht="12.75" customHeight="1" x14ac:dyDescent="0.15">
      <c r="AE3960" s="13"/>
    </row>
    <row r="3961" spans="31:31" ht="12.75" customHeight="1" x14ac:dyDescent="0.15">
      <c r="AE3961" s="13"/>
    </row>
    <row r="3962" spans="31:31" ht="12.75" customHeight="1" x14ac:dyDescent="0.15">
      <c r="AE3962" s="13"/>
    </row>
    <row r="3963" spans="31:31" ht="12.75" customHeight="1" x14ac:dyDescent="0.15">
      <c r="AE3963" s="13"/>
    </row>
    <row r="3964" spans="31:31" ht="12.75" customHeight="1" x14ac:dyDescent="0.15">
      <c r="AE3964" s="13"/>
    </row>
    <row r="3965" spans="31:31" ht="12.75" customHeight="1" x14ac:dyDescent="0.15">
      <c r="AE3965" s="13"/>
    </row>
    <row r="3966" spans="31:31" ht="12.75" customHeight="1" x14ac:dyDescent="0.15">
      <c r="AE3966" s="13"/>
    </row>
    <row r="3967" spans="31:31" ht="12.75" customHeight="1" x14ac:dyDescent="0.15">
      <c r="AE3967" s="13"/>
    </row>
    <row r="3968" spans="31:31" ht="12.75" customHeight="1" x14ac:dyDescent="0.15">
      <c r="AE3968" s="13"/>
    </row>
    <row r="3969" spans="31:31" ht="12.75" customHeight="1" x14ac:dyDescent="0.15">
      <c r="AE3969" s="13"/>
    </row>
    <row r="3970" spans="31:31" ht="12.75" customHeight="1" x14ac:dyDescent="0.15">
      <c r="AE3970" s="13"/>
    </row>
    <row r="3971" spans="31:31" ht="12.75" customHeight="1" x14ac:dyDescent="0.15">
      <c r="AE3971" s="13"/>
    </row>
    <row r="3972" spans="31:31" ht="12.75" customHeight="1" x14ac:dyDescent="0.15">
      <c r="AE3972" s="13"/>
    </row>
    <row r="3973" spans="31:31" ht="12.75" customHeight="1" x14ac:dyDescent="0.15">
      <c r="AE3973" s="13"/>
    </row>
    <row r="3974" spans="31:31" ht="12.75" customHeight="1" x14ac:dyDescent="0.15">
      <c r="AE3974" s="13"/>
    </row>
    <row r="3975" spans="31:31" ht="12.75" customHeight="1" x14ac:dyDescent="0.15">
      <c r="AE3975" s="13"/>
    </row>
    <row r="3976" spans="31:31" ht="12.75" customHeight="1" x14ac:dyDescent="0.15">
      <c r="AE3976" s="13"/>
    </row>
    <row r="3977" spans="31:31" ht="12.75" customHeight="1" x14ac:dyDescent="0.15">
      <c r="AE3977" s="13"/>
    </row>
    <row r="3978" spans="31:31" ht="12.75" customHeight="1" x14ac:dyDescent="0.15">
      <c r="AE3978" s="13"/>
    </row>
    <row r="3979" spans="31:31" ht="12.75" customHeight="1" x14ac:dyDescent="0.15">
      <c r="AE3979" s="13"/>
    </row>
    <row r="3980" spans="31:31" ht="12.75" customHeight="1" x14ac:dyDescent="0.15">
      <c r="AE3980" s="13"/>
    </row>
    <row r="3981" spans="31:31" ht="12.75" customHeight="1" x14ac:dyDescent="0.15">
      <c r="AE3981" s="13"/>
    </row>
    <row r="3982" spans="31:31" ht="12.75" customHeight="1" x14ac:dyDescent="0.15">
      <c r="AE3982" s="13"/>
    </row>
    <row r="3983" spans="31:31" ht="12.75" customHeight="1" x14ac:dyDescent="0.15">
      <c r="AE3983" s="13"/>
    </row>
    <row r="3984" spans="31:31" ht="12.75" customHeight="1" x14ac:dyDescent="0.15">
      <c r="AE3984" s="13"/>
    </row>
    <row r="3985" spans="31:31" ht="12.75" customHeight="1" x14ac:dyDescent="0.15">
      <c r="AE3985" s="13"/>
    </row>
    <row r="3986" spans="31:31" ht="12.75" customHeight="1" x14ac:dyDescent="0.15">
      <c r="AE3986" s="13"/>
    </row>
    <row r="3987" spans="31:31" ht="12.75" customHeight="1" x14ac:dyDescent="0.15">
      <c r="AE3987" s="13"/>
    </row>
    <row r="3988" spans="31:31" ht="12.75" customHeight="1" x14ac:dyDescent="0.15">
      <c r="AE3988" s="13"/>
    </row>
    <row r="3989" spans="31:31" ht="12.75" customHeight="1" x14ac:dyDescent="0.15">
      <c r="AE3989" s="13"/>
    </row>
    <row r="3990" spans="31:31" ht="12.75" customHeight="1" x14ac:dyDescent="0.15">
      <c r="AE3990" s="13"/>
    </row>
    <row r="3991" spans="31:31" ht="12.75" customHeight="1" x14ac:dyDescent="0.15">
      <c r="AE3991" s="13"/>
    </row>
    <row r="3992" spans="31:31" ht="12.75" customHeight="1" x14ac:dyDescent="0.15">
      <c r="AE3992" s="13"/>
    </row>
    <row r="3993" spans="31:31" ht="12.75" customHeight="1" x14ac:dyDescent="0.15">
      <c r="AE3993" s="13"/>
    </row>
    <row r="3994" spans="31:31" ht="12.75" customHeight="1" x14ac:dyDescent="0.15">
      <c r="AE3994" s="13"/>
    </row>
    <row r="3995" spans="31:31" ht="12.75" customHeight="1" x14ac:dyDescent="0.15">
      <c r="AE3995" s="13"/>
    </row>
    <row r="3996" spans="31:31" ht="12.75" customHeight="1" x14ac:dyDescent="0.15">
      <c r="AE3996" s="13"/>
    </row>
    <row r="3997" spans="31:31" ht="12.75" customHeight="1" x14ac:dyDescent="0.15">
      <c r="AE3997" s="13"/>
    </row>
    <row r="3998" spans="31:31" ht="12.75" customHeight="1" x14ac:dyDescent="0.15">
      <c r="AE3998" s="13"/>
    </row>
    <row r="3999" spans="31:31" ht="12.75" customHeight="1" x14ac:dyDescent="0.15">
      <c r="AE3999" s="13"/>
    </row>
    <row r="4000" spans="31:31" ht="12.75" customHeight="1" x14ac:dyDescent="0.15">
      <c r="AE4000" s="13"/>
    </row>
    <row r="4001" spans="31:31" ht="12.75" customHeight="1" x14ac:dyDescent="0.15">
      <c r="AE4001" s="13"/>
    </row>
    <row r="4002" spans="31:31" ht="12.75" customHeight="1" x14ac:dyDescent="0.15">
      <c r="AE4002" s="13"/>
    </row>
    <row r="4003" spans="31:31" ht="12.75" customHeight="1" x14ac:dyDescent="0.15">
      <c r="AE4003" s="13"/>
    </row>
    <row r="4004" spans="31:31" ht="12.75" customHeight="1" x14ac:dyDescent="0.15">
      <c r="AE4004" s="13"/>
    </row>
    <row r="4005" spans="31:31" ht="12.75" customHeight="1" x14ac:dyDescent="0.15">
      <c r="AE4005" s="13"/>
    </row>
    <row r="4006" spans="31:31" ht="12.75" customHeight="1" x14ac:dyDescent="0.15">
      <c r="AE4006" s="13"/>
    </row>
    <row r="4007" spans="31:31" ht="12.75" customHeight="1" x14ac:dyDescent="0.15">
      <c r="AE4007" s="13"/>
    </row>
    <row r="4008" spans="31:31" ht="12.75" customHeight="1" x14ac:dyDescent="0.15">
      <c r="AE4008" s="13"/>
    </row>
    <row r="4009" spans="31:31" ht="12.75" customHeight="1" x14ac:dyDescent="0.15">
      <c r="AE4009" s="13"/>
    </row>
    <row r="4010" spans="31:31" ht="12.75" customHeight="1" x14ac:dyDescent="0.15">
      <c r="AE4010" s="13"/>
    </row>
    <row r="4011" spans="31:31" ht="12.75" customHeight="1" x14ac:dyDescent="0.15">
      <c r="AE4011" s="13"/>
    </row>
    <row r="4012" spans="31:31" ht="12.75" customHeight="1" x14ac:dyDescent="0.15">
      <c r="AE4012" s="13"/>
    </row>
    <row r="4013" spans="31:31" ht="12.75" customHeight="1" x14ac:dyDescent="0.15">
      <c r="AE4013" s="13"/>
    </row>
    <row r="4014" spans="31:31" ht="12.75" customHeight="1" x14ac:dyDescent="0.15">
      <c r="AE4014" s="13"/>
    </row>
    <row r="4015" spans="31:31" ht="12.75" customHeight="1" x14ac:dyDescent="0.15">
      <c r="AE4015" s="13"/>
    </row>
    <row r="4016" spans="31:31" ht="12.75" customHeight="1" x14ac:dyDescent="0.15">
      <c r="AE4016" s="13"/>
    </row>
    <row r="4017" spans="31:31" ht="12.75" customHeight="1" x14ac:dyDescent="0.15">
      <c r="AE4017" s="13"/>
    </row>
    <row r="4018" spans="31:31" ht="12.75" customHeight="1" x14ac:dyDescent="0.15">
      <c r="AE4018" s="13"/>
    </row>
    <row r="4019" spans="31:31" ht="12.75" customHeight="1" x14ac:dyDescent="0.15">
      <c r="AE4019" s="13"/>
    </row>
    <row r="4020" spans="31:31" ht="12.75" customHeight="1" x14ac:dyDescent="0.15">
      <c r="AE4020" s="13"/>
    </row>
    <row r="4021" spans="31:31" ht="12.75" customHeight="1" x14ac:dyDescent="0.15">
      <c r="AE4021" s="13"/>
    </row>
    <row r="4022" spans="31:31" ht="12.75" customHeight="1" x14ac:dyDescent="0.15">
      <c r="AE4022" s="13"/>
    </row>
    <row r="4023" spans="31:31" ht="12.75" customHeight="1" x14ac:dyDescent="0.15">
      <c r="AE4023" s="13"/>
    </row>
    <row r="4024" spans="31:31" ht="12.75" customHeight="1" x14ac:dyDescent="0.15">
      <c r="AE4024" s="13"/>
    </row>
    <row r="4025" spans="31:31" ht="12.75" customHeight="1" x14ac:dyDescent="0.15">
      <c r="AE4025" s="13"/>
    </row>
    <row r="4026" spans="31:31" ht="12.75" customHeight="1" x14ac:dyDescent="0.15">
      <c r="AE4026" s="13"/>
    </row>
    <row r="4027" spans="31:31" ht="12.75" customHeight="1" x14ac:dyDescent="0.15">
      <c r="AE4027" s="13"/>
    </row>
    <row r="4028" spans="31:31" ht="12.75" customHeight="1" x14ac:dyDescent="0.15">
      <c r="AE4028" s="13"/>
    </row>
    <row r="4029" spans="31:31" ht="12.75" customHeight="1" x14ac:dyDescent="0.15">
      <c r="AE4029" s="13"/>
    </row>
    <row r="4030" spans="31:31" ht="12.75" customHeight="1" x14ac:dyDescent="0.15">
      <c r="AE4030" s="13"/>
    </row>
    <row r="4031" spans="31:31" ht="12.75" customHeight="1" x14ac:dyDescent="0.15">
      <c r="AE4031" s="13"/>
    </row>
    <row r="4032" spans="31:31" ht="12.75" customHeight="1" x14ac:dyDescent="0.15">
      <c r="AE4032" s="13"/>
    </row>
    <row r="4033" spans="31:31" ht="12.75" customHeight="1" x14ac:dyDescent="0.15">
      <c r="AE4033" s="13"/>
    </row>
    <row r="4034" spans="31:31" ht="12.75" customHeight="1" x14ac:dyDescent="0.15">
      <c r="AE4034" s="13"/>
    </row>
    <row r="4035" spans="31:31" ht="12.75" customHeight="1" x14ac:dyDescent="0.15">
      <c r="AE4035" s="13"/>
    </row>
    <row r="4036" spans="31:31" ht="12.75" customHeight="1" x14ac:dyDescent="0.15">
      <c r="AE4036" s="13"/>
    </row>
    <row r="4037" spans="31:31" ht="12.75" customHeight="1" x14ac:dyDescent="0.15">
      <c r="AE4037" s="13"/>
    </row>
    <row r="4038" spans="31:31" ht="12.75" customHeight="1" x14ac:dyDescent="0.15">
      <c r="AE4038" s="13"/>
    </row>
    <row r="4039" spans="31:31" ht="12.75" customHeight="1" x14ac:dyDescent="0.15">
      <c r="AE4039" s="13"/>
    </row>
    <row r="4040" spans="31:31" ht="12.75" customHeight="1" x14ac:dyDescent="0.15">
      <c r="AE4040" s="13"/>
    </row>
    <row r="4041" spans="31:31" ht="12.75" customHeight="1" x14ac:dyDescent="0.15">
      <c r="AE4041" s="13"/>
    </row>
    <row r="4042" spans="31:31" ht="12.75" customHeight="1" x14ac:dyDescent="0.15">
      <c r="AE4042" s="13"/>
    </row>
    <row r="4043" spans="31:31" ht="12.75" customHeight="1" x14ac:dyDescent="0.15">
      <c r="AE4043" s="13"/>
    </row>
    <row r="4044" spans="31:31" ht="12.75" customHeight="1" x14ac:dyDescent="0.15">
      <c r="AE4044" s="13"/>
    </row>
    <row r="4045" spans="31:31" ht="12.75" customHeight="1" x14ac:dyDescent="0.15">
      <c r="AE4045" s="13"/>
    </row>
    <row r="4046" spans="31:31" ht="12.75" customHeight="1" x14ac:dyDescent="0.15">
      <c r="AE4046" s="13"/>
    </row>
    <row r="4047" spans="31:31" ht="12.75" customHeight="1" x14ac:dyDescent="0.15">
      <c r="AE4047" s="13"/>
    </row>
    <row r="4048" spans="31:31" ht="12.75" customHeight="1" x14ac:dyDescent="0.15">
      <c r="AE4048" s="13"/>
    </row>
    <row r="4049" spans="31:31" ht="12.75" customHeight="1" x14ac:dyDescent="0.15">
      <c r="AE4049" s="13"/>
    </row>
    <row r="4050" spans="31:31" ht="12.75" customHeight="1" x14ac:dyDescent="0.15">
      <c r="AE4050" s="13"/>
    </row>
    <row r="4051" spans="31:31" ht="12.75" customHeight="1" x14ac:dyDescent="0.15">
      <c r="AE4051" s="13"/>
    </row>
    <row r="4052" spans="31:31" ht="12.75" customHeight="1" x14ac:dyDescent="0.15">
      <c r="AE4052" s="13"/>
    </row>
    <row r="4053" spans="31:31" ht="12.75" customHeight="1" x14ac:dyDescent="0.15">
      <c r="AE4053" s="13"/>
    </row>
    <row r="4054" spans="31:31" ht="12.75" customHeight="1" x14ac:dyDescent="0.15">
      <c r="AE4054" s="13"/>
    </row>
    <row r="4055" spans="31:31" ht="12.75" customHeight="1" x14ac:dyDescent="0.15">
      <c r="AE4055" s="13"/>
    </row>
    <row r="4056" spans="31:31" ht="12.75" customHeight="1" x14ac:dyDescent="0.15">
      <c r="AE4056" s="13"/>
    </row>
    <row r="4057" spans="31:31" ht="12.75" customHeight="1" x14ac:dyDescent="0.15">
      <c r="AE4057" s="13"/>
    </row>
    <row r="4058" spans="31:31" ht="12.75" customHeight="1" x14ac:dyDescent="0.15">
      <c r="AE4058" s="13"/>
    </row>
    <row r="4059" spans="31:31" ht="12.75" customHeight="1" x14ac:dyDescent="0.15">
      <c r="AE4059" s="13"/>
    </row>
    <row r="4060" spans="31:31" ht="12.75" customHeight="1" x14ac:dyDescent="0.15">
      <c r="AE4060" s="13"/>
    </row>
    <row r="4061" spans="31:31" ht="12.75" customHeight="1" x14ac:dyDescent="0.15">
      <c r="AE4061" s="13"/>
    </row>
    <row r="4062" spans="31:31" ht="12.75" customHeight="1" x14ac:dyDescent="0.15">
      <c r="AE4062" s="13"/>
    </row>
    <row r="4063" spans="31:31" ht="12.75" customHeight="1" x14ac:dyDescent="0.15">
      <c r="AE4063" s="13"/>
    </row>
    <row r="4064" spans="31:31" ht="12.75" customHeight="1" x14ac:dyDescent="0.15">
      <c r="AE4064" s="13"/>
    </row>
    <row r="4065" spans="31:31" ht="12.75" customHeight="1" x14ac:dyDescent="0.15">
      <c r="AE4065" s="13"/>
    </row>
    <row r="4066" spans="31:31" ht="12.75" customHeight="1" x14ac:dyDescent="0.15">
      <c r="AE4066" s="13"/>
    </row>
    <row r="4067" spans="31:31" ht="12.75" customHeight="1" x14ac:dyDescent="0.15">
      <c r="AE4067" s="13"/>
    </row>
    <row r="4068" spans="31:31" ht="12.75" customHeight="1" x14ac:dyDescent="0.15">
      <c r="AE4068" s="13"/>
    </row>
    <row r="4069" spans="31:31" ht="12.75" customHeight="1" x14ac:dyDescent="0.15">
      <c r="AE4069" s="13"/>
    </row>
    <row r="4070" spans="31:31" ht="12.75" customHeight="1" x14ac:dyDescent="0.15">
      <c r="AE4070" s="13"/>
    </row>
    <row r="4071" spans="31:31" ht="12.75" customHeight="1" x14ac:dyDescent="0.15">
      <c r="AE4071" s="13"/>
    </row>
    <row r="4072" spans="31:31" ht="12.75" customHeight="1" x14ac:dyDescent="0.15">
      <c r="AE4072" s="13"/>
    </row>
    <row r="4073" spans="31:31" ht="12.75" customHeight="1" x14ac:dyDescent="0.15">
      <c r="AE4073" s="13"/>
    </row>
    <row r="4074" spans="31:31" ht="12.75" customHeight="1" x14ac:dyDescent="0.15">
      <c r="AE4074" s="13"/>
    </row>
    <row r="4075" spans="31:31" ht="12.75" customHeight="1" x14ac:dyDescent="0.15">
      <c r="AE4075" s="13"/>
    </row>
    <row r="4076" spans="31:31" ht="12.75" customHeight="1" x14ac:dyDescent="0.15">
      <c r="AE4076" s="13"/>
    </row>
    <row r="4077" spans="31:31" ht="12.75" customHeight="1" x14ac:dyDescent="0.15">
      <c r="AE4077" s="13"/>
    </row>
    <row r="4078" spans="31:31" ht="12.75" customHeight="1" x14ac:dyDescent="0.15">
      <c r="AE4078" s="13"/>
    </row>
    <row r="4079" spans="31:31" ht="12.75" customHeight="1" x14ac:dyDescent="0.15">
      <c r="AE4079" s="13"/>
    </row>
    <row r="4080" spans="31:31" ht="12.75" customHeight="1" x14ac:dyDescent="0.15">
      <c r="AE4080" s="13"/>
    </row>
    <row r="4081" spans="31:31" ht="12.75" customHeight="1" x14ac:dyDescent="0.15">
      <c r="AE4081" s="13"/>
    </row>
    <row r="4082" spans="31:31" ht="12.75" customHeight="1" x14ac:dyDescent="0.15">
      <c r="AE4082" s="13"/>
    </row>
    <row r="4083" spans="31:31" ht="12.75" customHeight="1" x14ac:dyDescent="0.15">
      <c r="AE4083" s="13"/>
    </row>
    <row r="4084" spans="31:31" ht="12.75" customHeight="1" x14ac:dyDescent="0.15">
      <c r="AE4084" s="13"/>
    </row>
    <row r="4085" spans="31:31" ht="12.75" customHeight="1" x14ac:dyDescent="0.15">
      <c r="AE4085" s="13"/>
    </row>
    <row r="4086" spans="31:31" ht="12.75" customHeight="1" x14ac:dyDescent="0.15">
      <c r="AE4086" s="13"/>
    </row>
    <row r="4087" spans="31:31" ht="12.75" customHeight="1" x14ac:dyDescent="0.15">
      <c r="AE4087" s="13"/>
    </row>
    <row r="4088" spans="31:31" ht="12.75" customHeight="1" x14ac:dyDescent="0.15">
      <c r="AE4088" s="13"/>
    </row>
    <row r="4089" spans="31:31" ht="12.75" customHeight="1" x14ac:dyDescent="0.15">
      <c r="AE4089" s="13"/>
    </row>
    <row r="4090" spans="31:31" ht="12.75" customHeight="1" x14ac:dyDescent="0.15">
      <c r="AE4090" s="13"/>
    </row>
    <row r="4091" spans="31:31" ht="12.75" customHeight="1" x14ac:dyDescent="0.15">
      <c r="AE4091" s="13"/>
    </row>
    <row r="4092" spans="31:31" ht="12.75" customHeight="1" x14ac:dyDescent="0.15">
      <c r="AE4092" s="13"/>
    </row>
    <row r="4093" spans="31:31" ht="12.75" customHeight="1" x14ac:dyDescent="0.15">
      <c r="AE4093" s="13"/>
    </row>
    <row r="4094" spans="31:31" ht="12.75" customHeight="1" x14ac:dyDescent="0.15">
      <c r="AE4094" s="13"/>
    </row>
    <row r="4095" spans="31:31" ht="12.75" customHeight="1" x14ac:dyDescent="0.15">
      <c r="AE4095" s="13"/>
    </row>
    <row r="4096" spans="31:31" ht="12.75" customHeight="1" x14ac:dyDescent="0.15">
      <c r="AE4096" s="13"/>
    </row>
    <row r="4097" spans="31:31" ht="12.75" customHeight="1" x14ac:dyDescent="0.15">
      <c r="AE4097" s="13"/>
    </row>
    <row r="4098" spans="31:31" ht="12.75" customHeight="1" x14ac:dyDescent="0.15">
      <c r="AE4098" s="13"/>
    </row>
    <row r="4099" spans="31:31" ht="12.75" customHeight="1" x14ac:dyDescent="0.15">
      <c r="AE4099" s="13"/>
    </row>
    <row r="4100" spans="31:31" ht="12.75" customHeight="1" x14ac:dyDescent="0.15">
      <c r="AE4100" s="13"/>
    </row>
    <row r="4101" spans="31:31" ht="12.75" customHeight="1" x14ac:dyDescent="0.15">
      <c r="AE4101" s="13"/>
    </row>
    <row r="4102" spans="31:31" ht="12.75" customHeight="1" x14ac:dyDescent="0.15">
      <c r="AE4102" s="13"/>
    </row>
    <row r="4103" spans="31:31" ht="12.75" customHeight="1" x14ac:dyDescent="0.15">
      <c r="AE4103" s="13"/>
    </row>
    <row r="4104" spans="31:31" ht="12.75" customHeight="1" x14ac:dyDescent="0.15">
      <c r="AE4104" s="13"/>
    </row>
    <row r="4105" spans="31:31" ht="12.75" customHeight="1" x14ac:dyDescent="0.15">
      <c r="AE4105" s="13"/>
    </row>
    <row r="4106" spans="31:31" ht="12.75" customHeight="1" x14ac:dyDescent="0.15">
      <c r="AE4106" s="13"/>
    </row>
    <row r="4107" spans="31:31" ht="12.75" customHeight="1" x14ac:dyDescent="0.15">
      <c r="AE4107" s="13"/>
    </row>
    <row r="4108" spans="31:31" ht="12.75" customHeight="1" x14ac:dyDescent="0.15">
      <c r="AE4108" s="13"/>
    </row>
    <row r="4109" spans="31:31" ht="12.75" customHeight="1" x14ac:dyDescent="0.15">
      <c r="AE4109" s="13"/>
    </row>
    <row r="4110" spans="31:31" ht="12.75" customHeight="1" x14ac:dyDescent="0.15">
      <c r="AE4110" s="13"/>
    </row>
    <row r="4111" spans="31:31" ht="12.75" customHeight="1" x14ac:dyDescent="0.15">
      <c r="AE4111" s="13"/>
    </row>
    <row r="4112" spans="31:31" ht="12.75" customHeight="1" x14ac:dyDescent="0.15">
      <c r="AE4112" s="13"/>
    </row>
    <row r="4113" spans="31:31" ht="12.75" customHeight="1" x14ac:dyDescent="0.15">
      <c r="AE4113" s="13"/>
    </row>
    <row r="4114" spans="31:31" ht="12.75" customHeight="1" x14ac:dyDescent="0.15">
      <c r="AE4114" s="13"/>
    </row>
    <row r="4115" spans="31:31" ht="12.75" customHeight="1" x14ac:dyDescent="0.15">
      <c r="AE4115" s="13"/>
    </row>
    <row r="4116" spans="31:31" ht="12.75" customHeight="1" x14ac:dyDescent="0.15">
      <c r="AE4116" s="13"/>
    </row>
    <row r="4117" spans="31:31" ht="12.75" customHeight="1" x14ac:dyDescent="0.15">
      <c r="AE4117" s="13"/>
    </row>
    <row r="4118" spans="31:31" ht="12.75" customHeight="1" x14ac:dyDescent="0.15">
      <c r="AE4118" s="13"/>
    </row>
    <row r="4119" spans="31:31" ht="12.75" customHeight="1" x14ac:dyDescent="0.15">
      <c r="AE4119" s="13"/>
    </row>
    <row r="4120" spans="31:31" ht="12.75" customHeight="1" x14ac:dyDescent="0.15">
      <c r="AE4120" s="13"/>
    </row>
    <row r="4121" spans="31:31" ht="12.75" customHeight="1" x14ac:dyDescent="0.15">
      <c r="AE4121" s="13"/>
    </row>
    <row r="4122" spans="31:31" ht="12.75" customHeight="1" x14ac:dyDescent="0.15">
      <c r="AE4122" s="13"/>
    </row>
    <row r="4123" spans="31:31" ht="12.75" customHeight="1" x14ac:dyDescent="0.15">
      <c r="AE4123" s="13"/>
    </row>
    <row r="4124" spans="31:31" ht="12.75" customHeight="1" x14ac:dyDescent="0.15">
      <c r="AE4124" s="13"/>
    </row>
    <row r="4125" spans="31:31" ht="12.75" customHeight="1" x14ac:dyDescent="0.15">
      <c r="AE4125" s="13"/>
    </row>
    <row r="4126" spans="31:31" ht="12.75" customHeight="1" x14ac:dyDescent="0.15">
      <c r="AE4126" s="13"/>
    </row>
    <row r="4127" spans="31:31" ht="12.75" customHeight="1" x14ac:dyDescent="0.15">
      <c r="AE4127" s="13"/>
    </row>
    <row r="4128" spans="31:31" ht="12.75" customHeight="1" x14ac:dyDescent="0.15">
      <c r="AE4128" s="13"/>
    </row>
    <row r="4129" spans="31:31" ht="12.75" customHeight="1" x14ac:dyDescent="0.15">
      <c r="AE4129" s="13"/>
    </row>
    <row r="4130" spans="31:31" ht="12.75" customHeight="1" x14ac:dyDescent="0.15">
      <c r="AE4130" s="13"/>
    </row>
    <row r="4131" spans="31:31" ht="12.75" customHeight="1" x14ac:dyDescent="0.15">
      <c r="AE4131" s="13"/>
    </row>
    <row r="4132" spans="31:31" ht="12.75" customHeight="1" x14ac:dyDescent="0.15">
      <c r="AE4132" s="13"/>
    </row>
    <row r="4133" spans="31:31" ht="12.75" customHeight="1" x14ac:dyDescent="0.15">
      <c r="AE4133" s="13"/>
    </row>
    <row r="4134" spans="31:31" ht="12.75" customHeight="1" x14ac:dyDescent="0.15">
      <c r="AE4134" s="13"/>
    </row>
    <row r="4135" spans="31:31" ht="12.75" customHeight="1" x14ac:dyDescent="0.15">
      <c r="AE4135" s="13"/>
    </row>
    <row r="4136" spans="31:31" ht="12.75" customHeight="1" x14ac:dyDescent="0.15">
      <c r="AE4136" s="13"/>
    </row>
    <row r="4137" spans="31:31" ht="12.75" customHeight="1" x14ac:dyDescent="0.15">
      <c r="AE4137" s="13"/>
    </row>
    <row r="4138" spans="31:31" ht="12.75" customHeight="1" x14ac:dyDescent="0.15">
      <c r="AE4138" s="13"/>
    </row>
    <row r="4139" spans="31:31" ht="12.75" customHeight="1" x14ac:dyDescent="0.15">
      <c r="AE4139" s="13"/>
    </row>
    <row r="4140" spans="31:31" ht="12.75" customHeight="1" x14ac:dyDescent="0.15">
      <c r="AE4140" s="13"/>
    </row>
    <row r="4141" spans="31:31" ht="12.75" customHeight="1" x14ac:dyDescent="0.15">
      <c r="AE4141" s="13"/>
    </row>
    <row r="4142" spans="31:31" ht="12.75" customHeight="1" x14ac:dyDescent="0.15">
      <c r="AE4142" s="13"/>
    </row>
    <row r="4143" spans="31:31" ht="12.75" customHeight="1" x14ac:dyDescent="0.15">
      <c r="AE4143" s="13"/>
    </row>
    <row r="4144" spans="31:31" ht="12.75" customHeight="1" x14ac:dyDescent="0.15">
      <c r="AE4144" s="13"/>
    </row>
    <row r="4145" spans="31:31" ht="12.75" customHeight="1" x14ac:dyDescent="0.15">
      <c r="AE4145" s="13"/>
    </row>
    <row r="4146" spans="31:31" ht="12.75" customHeight="1" x14ac:dyDescent="0.15">
      <c r="AE4146" s="13"/>
    </row>
    <row r="4147" spans="31:31" ht="12.75" customHeight="1" x14ac:dyDescent="0.15">
      <c r="AE4147" s="13"/>
    </row>
    <row r="4148" spans="31:31" ht="12.75" customHeight="1" x14ac:dyDescent="0.15">
      <c r="AE4148" s="13"/>
    </row>
    <row r="4149" spans="31:31" ht="12.75" customHeight="1" x14ac:dyDescent="0.15">
      <c r="AE4149" s="13"/>
    </row>
    <row r="4150" spans="31:31" ht="12.75" customHeight="1" x14ac:dyDescent="0.15">
      <c r="AE4150" s="13"/>
    </row>
    <row r="4151" spans="31:31" ht="12.75" customHeight="1" x14ac:dyDescent="0.15">
      <c r="AE4151" s="13"/>
    </row>
    <row r="4152" spans="31:31" ht="12.75" customHeight="1" x14ac:dyDescent="0.15">
      <c r="AE4152" s="13"/>
    </row>
    <row r="4153" spans="31:31" ht="12.75" customHeight="1" x14ac:dyDescent="0.15">
      <c r="AE4153" s="13"/>
    </row>
    <row r="4154" spans="31:31" ht="12.75" customHeight="1" x14ac:dyDescent="0.15">
      <c r="AE4154" s="13"/>
    </row>
    <row r="4155" spans="31:31" ht="12.75" customHeight="1" x14ac:dyDescent="0.15">
      <c r="AE4155" s="13"/>
    </row>
    <row r="4156" spans="31:31" ht="12.75" customHeight="1" x14ac:dyDescent="0.15">
      <c r="AE4156" s="13"/>
    </row>
    <row r="4157" spans="31:31" ht="12.75" customHeight="1" x14ac:dyDescent="0.15">
      <c r="AE4157" s="13"/>
    </row>
    <row r="4158" spans="31:31" ht="12.75" customHeight="1" x14ac:dyDescent="0.15">
      <c r="AE4158" s="13"/>
    </row>
    <row r="4159" spans="31:31" ht="12.75" customHeight="1" x14ac:dyDescent="0.15">
      <c r="AE4159" s="13"/>
    </row>
    <row r="4160" spans="31:31" ht="12.75" customHeight="1" x14ac:dyDescent="0.15">
      <c r="AE4160" s="13"/>
    </row>
    <row r="4161" spans="31:31" ht="12.75" customHeight="1" x14ac:dyDescent="0.15">
      <c r="AE4161" s="13"/>
    </row>
    <row r="4162" spans="31:31" ht="12.75" customHeight="1" x14ac:dyDescent="0.15">
      <c r="AE4162" s="13"/>
    </row>
    <row r="4163" spans="31:31" ht="12.75" customHeight="1" x14ac:dyDescent="0.15">
      <c r="AE4163" s="13"/>
    </row>
    <row r="4164" spans="31:31" ht="12.75" customHeight="1" x14ac:dyDescent="0.15">
      <c r="AE4164" s="13"/>
    </row>
    <row r="4165" spans="31:31" ht="12.75" customHeight="1" x14ac:dyDescent="0.15">
      <c r="AE4165" s="13"/>
    </row>
    <row r="4166" spans="31:31" ht="12.75" customHeight="1" x14ac:dyDescent="0.15">
      <c r="AE4166" s="13"/>
    </row>
    <row r="4167" spans="31:31" ht="12.75" customHeight="1" x14ac:dyDescent="0.15">
      <c r="AE4167" s="13"/>
    </row>
    <row r="4168" spans="31:31" ht="12.75" customHeight="1" x14ac:dyDescent="0.15">
      <c r="AE4168" s="13"/>
    </row>
    <row r="4169" spans="31:31" ht="12.75" customHeight="1" x14ac:dyDescent="0.15">
      <c r="AE4169" s="13"/>
    </row>
    <row r="4170" spans="31:31" ht="12.75" customHeight="1" x14ac:dyDescent="0.15">
      <c r="AE4170" s="13"/>
    </row>
    <row r="4171" spans="31:31" ht="12.75" customHeight="1" x14ac:dyDescent="0.15">
      <c r="AE4171" s="13"/>
    </row>
    <row r="4172" spans="31:31" ht="12.75" customHeight="1" x14ac:dyDescent="0.15">
      <c r="AE4172" s="13"/>
    </row>
    <row r="4173" spans="31:31" ht="12.75" customHeight="1" x14ac:dyDescent="0.15">
      <c r="AE4173" s="13"/>
    </row>
    <row r="4174" spans="31:31" ht="12.75" customHeight="1" x14ac:dyDescent="0.15">
      <c r="AE4174" s="13"/>
    </row>
    <row r="4175" spans="31:31" ht="12.75" customHeight="1" x14ac:dyDescent="0.15">
      <c r="AE4175" s="13"/>
    </row>
    <row r="4176" spans="31:31" ht="12.75" customHeight="1" x14ac:dyDescent="0.15">
      <c r="AE4176" s="13"/>
    </row>
    <row r="4177" spans="31:31" ht="12.75" customHeight="1" x14ac:dyDescent="0.15">
      <c r="AE4177" s="13"/>
    </row>
    <row r="4178" spans="31:31" ht="12.75" customHeight="1" x14ac:dyDescent="0.15">
      <c r="AE4178" s="13"/>
    </row>
    <row r="4179" spans="31:31" ht="12.75" customHeight="1" x14ac:dyDescent="0.15">
      <c r="AE4179" s="13"/>
    </row>
    <row r="4180" spans="31:31" ht="12.75" customHeight="1" x14ac:dyDescent="0.15">
      <c r="AE4180" s="13"/>
    </row>
    <row r="4181" spans="31:31" ht="12.75" customHeight="1" x14ac:dyDescent="0.15">
      <c r="AE4181" s="13"/>
    </row>
    <row r="4182" spans="31:31" ht="12.75" customHeight="1" x14ac:dyDescent="0.15">
      <c r="AE4182" s="13"/>
    </row>
    <row r="4183" spans="31:31" ht="12.75" customHeight="1" x14ac:dyDescent="0.15">
      <c r="AE4183" s="13"/>
    </row>
    <row r="4184" spans="31:31" ht="12.75" customHeight="1" x14ac:dyDescent="0.15">
      <c r="AE4184" s="13"/>
    </row>
    <row r="4185" spans="31:31" ht="12.75" customHeight="1" x14ac:dyDescent="0.15">
      <c r="AE4185" s="13"/>
    </row>
    <row r="4186" spans="31:31" ht="12.75" customHeight="1" x14ac:dyDescent="0.15">
      <c r="AE4186" s="13"/>
    </row>
    <row r="4187" spans="31:31" ht="12.75" customHeight="1" x14ac:dyDescent="0.15">
      <c r="AE4187" s="13"/>
    </row>
    <row r="4188" spans="31:31" ht="12.75" customHeight="1" x14ac:dyDescent="0.15">
      <c r="AE4188" s="13"/>
    </row>
    <row r="4189" spans="31:31" ht="12.75" customHeight="1" x14ac:dyDescent="0.15">
      <c r="AE4189" s="13"/>
    </row>
    <row r="4190" spans="31:31" ht="12.75" customHeight="1" x14ac:dyDescent="0.15">
      <c r="AE4190" s="13"/>
    </row>
    <row r="4191" spans="31:31" ht="12.75" customHeight="1" x14ac:dyDescent="0.15">
      <c r="AE4191" s="13"/>
    </row>
    <row r="4192" spans="31:31" ht="12.75" customHeight="1" x14ac:dyDescent="0.15">
      <c r="AE4192" s="13"/>
    </row>
    <row r="4193" spans="31:31" ht="12.75" customHeight="1" x14ac:dyDescent="0.15">
      <c r="AE4193" s="13"/>
    </row>
    <row r="4194" spans="31:31" ht="12.75" customHeight="1" x14ac:dyDescent="0.15">
      <c r="AE4194" s="13"/>
    </row>
    <row r="4195" spans="31:31" ht="12.75" customHeight="1" x14ac:dyDescent="0.15">
      <c r="AE4195" s="13"/>
    </row>
    <row r="4196" spans="31:31" ht="12.75" customHeight="1" x14ac:dyDescent="0.15">
      <c r="AE4196" s="13"/>
    </row>
    <row r="4197" spans="31:31" ht="12.75" customHeight="1" x14ac:dyDescent="0.15">
      <c r="AE4197" s="13"/>
    </row>
    <row r="4198" spans="31:31" ht="12.75" customHeight="1" x14ac:dyDescent="0.15">
      <c r="AE4198" s="13"/>
    </row>
    <row r="4199" spans="31:31" ht="12.75" customHeight="1" x14ac:dyDescent="0.15">
      <c r="AE4199" s="13"/>
    </row>
    <row r="4200" spans="31:31" ht="12.75" customHeight="1" x14ac:dyDescent="0.15">
      <c r="AE4200" s="13"/>
    </row>
    <row r="4201" spans="31:31" ht="12.75" customHeight="1" x14ac:dyDescent="0.15">
      <c r="AE4201" s="13"/>
    </row>
    <row r="4202" spans="31:31" ht="12.75" customHeight="1" x14ac:dyDescent="0.15">
      <c r="AE4202" s="13"/>
    </row>
    <row r="4203" spans="31:31" ht="12.75" customHeight="1" x14ac:dyDescent="0.15">
      <c r="AE4203" s="13"/>
    </row>
    <row r="4204" spans="31:31" ht="12.75" customHeight="1" x14ac:dyDescent="0.15">
      <c r="AE4204" s="13"/>
    </row>
    <row r="4205" spans="31:31" ht="12.75" customHeight="1" x14ac:dyDescent="0.15">
      <c r="AE4205" s="13"/>
    </row>
    <row r="4206" spans="31:31" ht="12.75" customHeight="1" x14ac:dyDescent="0.15">
      <c r="AE4206" s="13"/>
    </row>
    <row r="4207" spans="31:31" ht="12.75" customHeight="1" x14ac:dyDescent="0.15">
      <c r="AE4207" s="13"/>
    </row>
    <row r="4208" spans="31:31" ht="12.75" customHeight="1" x14ac:dyDescent="0.15">
      <c r="AE4208" s="13"/>
    </row>
    <row r="4209" spans="31:31" ht="12.75" customHeight="1" x14ac:dyDescent="0.15">
      <c r="AE4209" s="13"/>
    </row>
    <row r="4210" spans="31:31" ht="12.75" customHeight="1" x14ac:dyDescent="0.15">
      <c r="AE4210" s="13"/>
    </row>
    <row r="4211" spans="31:31" ht="12.75" customHeight="1" x14ac:dyDescent="0.15">
      <c r="AE4211" s="13"/>
    </row>
    <row r="4212" spans="31:31" ht="12.75" customHeight="1" x14ac:dyDescent="0.15">
      <c r="AE4212" s="13"/>
    </row>
    <row r="4213" spans="31:31" ht="12.75" customHeight="1" x14ac:dyDescent="0.15">
      <c r="AE4213" s="13"/>
    </row>
    <row r="4214" spans="31:31" ht="12.75" customHeight="1" x14ac:dyDescent="0.15">
      <c r="AE4214" s="13"/>
    </row>
    <row r="4215" spans="31:31" ht="12.75" customHeight="1" x14ac:dyDescent="0.15">
      <c r="AE4215" s="13"/>
    </row>
    <row r="4216" spans="31:31" ht="12.75" customHeight="1" x14ac:dyDescent="0.15">
      <c r="AE4216" s="13"/>
    </row>
    <row r="4217" spans="31:31" ht="12.75" customHeight="1" x14ac:dyDescent="0.15">
      <c r="AE4217" s="13"/>
    </row>
    <row r="4218" spans="31:31" ht="12.75" customHeight="1" x14ac:dyDescent="0.15">
      <c r="AE4218" s="13"/>
    </row>
    <row r="4219" spans="31:31" ht="12.75" customHeight="1" x14ac:dyDescent="0.15">
      <c r="AE4219" s="13"/>
    </row>
    <row r="4220" spans="31:31" ht="12.75" customHeight="1" x14ac:dyDescent="0.15">
      <c r="AE4220" s="13"/>
    </row>
    <row r="4221" spans="31:31" ht="12.75" customHeight="1" x14ac:dyDescent="0.15">
      <c r="AE4221" s="13"/>
    </row>
    <row r="4222" spans="31:31" ht="12.75" customHeight="1" x14ac:dyDescent="0.15">
      <c r="AE4222" s="13"/>
    </row>
    <row r="4223" spans="31:31" ht="12.75" customHeight="1" x14ac:dyDescent="0.15">
      <c r="AE4223" s="13"/>
    </row>
    <row r="4224" spans="31:31" ht="12.75" customHeight="1" x14ac:dyDescent="0.15">
      <c r="AE4224" s="13"/>
    </row>
    <row r="4225" spans="31:31" ht="12.75" customHeight="1" x14ac:dyDescent="0.15">
      <c r="AE4225" s="13"/>
    </row>
    <row r="4226" spans="31:31" ht="12.75" customHeight="1" x14ac:dyDescent="0.15">
      <c r="AE4226" s="13"/>
    </row>
    <row r="4227" spans="31:31" ht="12.75" customHeight="1" x14ac:dyDescent="0.15">
      <c r="AE4227" s="13"/>
    </row>
    <row r="4228" spans="31:31" ht="12.75" customHeight="1" x14ac:dyDescent="0.15">
      <c r="AE4228" s="13"/>
    </row>
    <row r="4229" spans="31:31" ht="12.75" customHeight="1" x14ac:dyDescent="0.15">
      <c r="AE4229" s="13"/>
    </row>
    <row r="4230" spans="31:31" ht="12.75" customHeight="1" x14ac:dyDescent="0.15">
      <c r="AE4230" s="13"/>
    </row>
    <row r="4231" spans="31:31" ht="12.75" customHeight="1" x14ac:dyDescent="0.15">
      <c r="AE4231" s="13"/>
    </row>
    <row r="4232" spans="31:31" ht="12.75" customHeight="1" x14ac:dyDescent="0.15">
      <c r="AE4232" s="13"/>
    </row>
    <row r="4233" spans="31:31" ht="12.75" customHeight="1" x14ac:dyDescent="0.15">
      <c r="AE4233" s="13"/>
    </row>
    <row r="4234" spans="31:31" ht="12.75" customHeight="1" x14ac:dyDescent="0.15">
      <c r="AE4234" s="13"/>
    </row>
    <row r="4235" spans="31:31" ht="12.75" customHeight="1" x14ac:dyDescent="0.15">
      <c r="AE4235" s="13"/>
    </row>
    <row r="4236" spans="31:31" ht="12.75" customHeight="1" x14ac:dyDescent="0.15">
      <c r="AE4236" s="13"/>
    </row>
    <row r="4237" spans="31:31" ht="12.75" customHeight="1" x14ac:dyDescent="0.15">
      <c r="AE4237" s="13"/>
    </row>
    <row r="4238" spans="31:31" ht="12.75" customHeight="1" x14ac:dyDescent="0.15">
      <c r="AE4238" s="13"/>
    </row>
    <row r="4239" spans="31:31" ht="12.75" customHeight="1" x14ac:dyDescent="0.15">
      <c r="AE4239" s="13"/>
    </row>
    <row r="4240" spans="31:31" ht="12.75" customHeight="1" x14ac:dyDescent="0.15">
      <c r="AE4240" s="13"/>
    </row>
    <row r="4241" spans="31:31" ht="12.75" customHeight="1" x14ac:dyDescent="0.15">
      <c r="AE4241" s="13"/>
    </row>
    <row r="4242" spans="31:31" ht="12.75" customHeight="1" x14ac:dyDescent="0.15">
      <c r="AE4242" s="13"/>
    </row>
    <row r="4243" spans="31:31" ht="12.75" customHeight="1" x14ac:dyDescent="0.15">
      <c r="AE4243" s="13"/>
    </row>
    <row r="4244" spans="31:31" ht="12.75" customHeight="1" x14ac:dyDescent="0.15">
      <c r="AE4244" s="13"/>
    </row>
    <row r="4245" spans="31:31" ht="12.75" customHeight="1" x14ac:dyDescent="0.15">
      <c r="AE4245" s="13"/>
    </row>
    <row r="4246" spans="31:31" ht="12.75" customHeight="1" x14ac:dyDescent="0.15">
      <c r="AE4246" s="13"/>
    </row>
    <row r="4247" spans="31:31" ht="12.75" customHeight="1" x14ac:dyDescent="0.15">
      <c r="AE4247" s="13"/>
    </row>
    <row r="4248" spans="31:31" ht="12.75" customHeight="1" x14ac:dyDescent="0.15">
      <c r="AE4248" s="13"/>
    </row>
    <row r="4249" spans="31:31" ht="12.75" customHeight="1" x14ac:dyDescent="0.15">
      <c r="AE4249" s="13"/>
    </row>
    <row r="4250" spans="31:31" ht="12.75" customHeight="1" x14ac:dyDescent="0.15">
      <c r="AE4250" s="13"/>
    </row>
    <row r="4251" spans="31:31" ht="12.75" customHeight="1" x14ac:dyDescent="0.15">
      <c r="AE4251" s="13"/>
    </row>
    <row r="4252" spans="31:31" ht="12.75" customHeight="1" x14ac:dyDescent="0.15">
      <c r="AE4252" s="13"/>
    </row>
    <row r="4253" spans="31:31" ht="12.75" customHeight="1" x14ac:dyDescent="0.15">
      <c r="AE4253" s="13"/>
    </row>
    <row r="4254" spans="31:31" ht="12.75" customHeight="1" x14ac:dyDescent="0.15">
      <c r="AE4254" s="13"/>
    </row>
    <row r="4255" spans="31:31" ht="12.75" customHeight="1" x14ac:dyDescent="0.15">
      <c r="AE4255" s="13"/>
    </row>
    <row r="4256" spans="31:31" ht="12.75" customHeight="1" x14ac:dyDescent="0.15">
      <c r="AE4256" s="13"/>
    </row>
    <row r="4257" spans="31:31" ht="12.75" customHeight="1" x14ac:dyDescent="0.15">
      <c r="AE4257" s="13"/>
    </row>
    <row r="4258" spans="31:31" ht="12.75" customHeight="1" x14ac:dyDescent="0.15">
      <c r="AE4258" s="13"/>
    </row>
    <row r="4259" spans="31:31" ht="12.75" customHeight="1" x14ac:dyDescent="0.15">
      <c r="AE4259" s="13"/>
    </row>
    <row r="4260" spans="31:31" ht="12.75" customHeight="1" x14ac:dyDescent="0.15">
      <c r="AE4260" s="13"/>
    </row>
    <row r="4261" spans="31:31" ht="12.75" customHeight="1" x14ac:dyDescent="0.15">
      <c r="AE4261" s="13"/>
    </row>
    <row r="4262" spans="31:31" ht="12.75" customHeight="1" x14ac:dyDescent="0.15">
      <c r="AE4262" s="13"/>
    </row>
    <row r="4263" spans="31:31" ht="12.75" customHeight="1" x14ac:dyDescent="0.15">
      <c r="AE4263" s="13"/>
    </row>
    <row r="4264" spans="31:31" ht="12.75" customHeight="1" x14ac:dyDescent="0.15">
      <c r="AE4264" s="13"/>
    </row>
    <row r="4265" spans="31:31" ht="12.75" customHeight="1" x14ac:dyDescent="0.15">
      <c r="AE4265" s="13"/>
    </row>
    <row r="4266" spans="31:31" ht="12.75" customHeight="1" x14ac:dyDescent="0.15">
      <c r="AE4266" s="13"/>
    </row>
    <row r="4267" spans="31:31" ht="12.75" customHeight="1" x14ac:dyDescent="0.15">
      <c r="AE4267" s="13"/>
    </row>
    <row r="4268" spans="31:31" ht="12.75" customHeight="1" x14ac:dyDescent="0.15">
      <c r="AE4268" s="13"/>
    </row>
    <row r="4269" spans="31:31" ht="12.75" customHeight="1" x14ac:dyDescent="0.15">
      <c r="AE4269" s="13"/>
    </row>
    <row r="4270" spans="31:31" ht="12.75" customHeight="1" x14ac:dyDescent="0.15">
      <c r="AE4270" s="13"/>
    </row>
    <row r="4271" spans="31:31" ht="12.75" customHeight="1" x14ac:dyDescent="0.15">
      <c r="AE4271" s="13"/>
    </row>
    <row r="4272" spans="31:31" ht="12.75" customHeight="1" x14ac:dyDescent="0.15">
      <c r="AE4272" s="13"/>
    </row>
    <row r="4273" spans="31:31" ht="12.75" customHeight="1" x14ac:dyDescent="0.15">
      <c r="AE4273" s="13"/>
    </row>
    <row r="4274" spans="31:31" ht="12.75" customHeight="1" x14ac:dyDescent="0.15">
      <c r="AE4274" s="13"/>
    </row>
    <row r="4275" spans="31:31" ht="12.75" customHeight="1" x14ac:dyDescent="0.15">
      <c r="AE4275" s="13"/>
    </row>
    <row r="4276" spans="31:31" ht="12.75" customHeight="1" x14ac:dyDescent="0.15">
      <c r="AE4276" s="13"/>
    </row>
    <row r="4277" spans="31:31" ht="12.75" customHeight="1" x14ac:dyDescent="0.15">
      <c r="AE4277" s="13"/>
    </row>
    <row r="4278" spans="31:31" ht="12.75" customHeight="1" x14ac:dyDescent="0.15">
      <c r="AE4278" s="13"/>
    </row>
    <row r="4279" spans="31:31" ht="12.75" customHeight="1" x14ac:dyDescent="0.15">
      <c r="AE4279" s="13"/>
    </row>
    <row r="4280" spans="31:31" ht="12.75" customHeight="1" x14ac:dyDescent="0.15">
      <c r="AE4280" s="13"/>
    </row>
    <row r="4281" spans="31:31" ht="12.75" customHeight="1" x14ac:dyDescent="0.15">
      <c r="AE4281" s="13"/>
    </row>
    <row r="4282" spans="31:31" ht="12.75" customHeight="1" x14ac:dyDescent="0.15">
      <c r="AE4282" s="13"/>
    </row>
    <row r="4283" spans="31:31" ht="12.75" customHeight="1" x14ac:dyDescent="0.15">
      <c r="AE4283" s="13"/>
    </row>
    <row r="4284" spans="31:31" ht="12.75" customHeight="1" x14ac:dyDescent="0.15">
      <c r="AE4284" s="13"/>
    </row>
    <row r="4285" spans="31:31" ht="12.75" customHeight="1" x14ac:dyDescent="0.15">
      <c r="AE4285" s="13"/>
    </row>
    <row r="4286" spans="31:31" ht="12.75" customHeight="1" x14ac:dyDescent="0.15">
      <c r="AE4286" s="13"/>
    </row>
    <row r="4287" spans="31:31" ht="12.75" customHeight="1" x14ac:dyDescent="0.15">
      <c r="AE4287" s="13"/>
    </row>
    <row r="4288" spans="31:31" ht="12.75" customHeight="1" x14ac:dyDescent="0.15">
      <c r="AE4288" s="13"/>
    </row>
    <row r="4289" spans="31:31" ht="12.75" customHeight="1" x14ac:dyDescent="0.15">
      <c r="AE4289" s="13"/>
    </row>
    <row r="4290" spans="31:31" ht="12.75" customHeight="1" x14ac:dyDescent="0.15">
      <c r="AE4290" s="13"/>
    </row>
    <row r="4291" spans="31:31" ht="12.75" customHeight="1" x14ac:dyDescent="0.15">
      <c r="AE4291" s="13"/>
    </row>
    <row r="4292" spans="31:31" ht="12.75" customHeight="1" x14ac:dyDescent="0.15">
      <c r="AE4292" s="13"/>
    </row>
    <row r="4293" spans="31:31" ht="12.75" customHeight="1" x14ac:dyDescent="0.15">
      <c r="AE4293" s="13"/>
    </row>
    <row r="4294" spans="31:31" ht="12.75" customHeight="1" x14ac:dyDescent="0.15">
      <c r="AE4294" s="13"/>
    </row>
    <row r="4295" spans="31:31" ht="12.75" customHeight="1" x14ac:dyDescent="0.15">
      <c r="AE4295" s="13"/>
    </row>
    <row r="4296" spans="31:31" ht="12.75" customHeight="1" x14ac:dyDescent="0.15">
      <c r="AE4296" s="13"/>
    </row>
    <row r="4297" spans="31:31" ht="12.75" customHeight="1" x14ac:dyDescent="0.15">
      <c r="AE4297" s="13"/>
    </row>
    <row r="4298" spans="31:31" ht="12.75" customHeight="1" x14ac:dyDescent="0.15">
      <c r="AE4298" s="13"/>
    </row>
    <row r="4299" spans="31:31" ht="12.75" customHeight="1" x14ac:dyDescent="0.15">
      <c r="AE4299" s="13"/>
    </row>
    <row r="4300" spans="31:31" ht="12.75" customHeight="1" x14ac:dyDescent="0.15">
      <c r="AE4300" s="13"/>
    </row>
    <row r="4301" spans="31:31" ht="12.75" customHeight="1" x14ac:dyDescent="0.15">
      <c r="AE4301" s="13"/>
    </row>
    <row r="4302" spans="31:31" ht="12.75" customHeight="1" x14ac:dyDescent="0.15">
      <c r="AE4302" s="13"/>
    </row>
    <row r="4303" spans="31:31" ht="12.75" customHeight="1" x14ac:dyDescent="0.15">
      <c r="AE4303" s="13"/>
    </row>
    <row r="4304" spans="31:31" ht="12.75" customHeight="1" x14ac:dyDescent="0.15">
      <c r="AE4304" s="13"/>
    </row>
    <row r="4305" spans="31:31" ht="12.75" customHeight="1" x14ac:dyDescent="0.15">
      <c r="AE4305" s="13"/>
    </row>
    <row r="4306" spans="31:31" ht="12.75" customHeight="1" x14ac:dyDescent="0.15">
      <c r="AE4306" s="13"/>
    </row>
    <row r="4307" spans="31:31" ht="12.75" customHeight="1" x14ac:dyDescent="0.15">
      <c r="AE4307" s="13"/>
    </row>
    <row r="4308" spans="31:31" ht="12.75" customHeight="1" x14ac:dyDescent="0.15">
      <c r="AE4308" s="13"/>
    </row>
    <row r="4309" spans="31:31" ht="12.75" customHeight="1" x14ac:dyDescent="0.15">
      <c r="AE4309" s="13"/>
    </row>
    <row r="4310" spans="31:31" ht="12.75" customHeight="1" x14ac:dyDescent="0.15">
      <c r="AE4310" s="13"/>
    </row>
    <row r="4311" spans="31:31" ht="12.75" customHeight="1" x14ac:dyDescent="0.15">
      <c r="AE4311" s="13"/>
    </row>
    <row r="4312" spans="31:31" ht="12.75" customHeight="1" x14ac:dyDescent="0.15">
      <c r="AE4312" s="13"/>
    </row>
    <row r="4313" spans="31:31" ht="12.75" customHeight="1" x14ac:dyDescent="0.15">
      <c r="AE4313" s="13"/>
    </row>
    <row r="4314" spans="31:31" ht="12.75" customHeight="1" x14ac:dyDescent="0.15">
      <c r="AE4314" s="13"/>
    </row>
    <row r="4315" spans="31:31" ht="12.75" customHeight="1" x14ac:dyDescent="0.15">
      <c r="AE4315" s="13"/>
    </row>
    <row r="4316" spans="31:31" ht="12.75" customHeight="1" x14ac:dyDescent="0.15">
      <c r="AE4316" s="13"/>
    </row>
    <row r="4317" spans="31:31" ht="12.75" customHeight="1" x14ac:dyDescent="0.15">
      <c r="AE4317" s="13"/>
    </row>
    <row r="4318" spans="31:31" ht="12.75" customHeight="1" x14ac:dyDescent="0.15">
      <c r="AE4318" s="13"/>
    </row>
    <row r="4319" spans="31:31" ht="12.75" customHeight="1" x14ac:dyDescent="0.15">
      <c r="AE4319" s="13"/>
    </row>
    <row r="4320" spans="31:31" ht="12.75" customHeight="1" x14ac:dyDescent="0.15">
      <c r="AE4320" s="13"/>
    </row>
    <row r="4321" spans="31:31" ht="12.75" customHeight="1" x14ac:dyDescent="0.15">
      <c r="AE4321" s="13"/>
    </row>
    <row r="4322" spans="31:31" ht="12.75" customHeight="1" x14ac:dyDescent="0.15">
      <c r="AE4322" s="13"/>
    </row>
    <row r="4323" spans="31:31" ht="12.75" customHeight="1" x14ac:dyDescent="0.15">
      <c r="AE4323" s="13"/>
    </row>
    <row r="4324" spans="31:31" ht="12.75" customHeight="1" x14ac:dyDescent="0.15">
      <c r="AE4324" s="13"/>
    </row>
    <row r="4325" spans="31:31" ht="12.75" customHeight="1" x14ac:dyDescent="0.15">
      <c r="AE4325" s="13"/>
    </row>
    <row r="4326" spans="31:31" ht="12.75" customHeight="1" x14ac:dyDescent="0.15">
      <c r="AE4326" s="13"/>
    </row>
    <row r="4327" spans="31:31" ht="12.75" customHeight="1" x14ac:dyDescent="0.15">
      <c r="AE4327" s="13"/>
    </row>
    <row r="4328" spans="31:31" ht="12.75" customHeight="1" x14ac:dyDescent="0.15">
      <c r="AE4328" s="13"/>
    </row>
    <row r="4329" spans="31:31" ht="12.75" customHeight="1" x14ac:dyDescent="0.15">
      <c r="AE4329" s="13"/>
    </row>
    <row r="4330" spans="31:31" ht="12.75" customHeight="1" x14ac:dyDescent="0.15">
      <c r="AE4330" s="13"/>
    </row>
    <row r="4331" spans="31:31" ht="12.75" customHeight="1" x14ac:dyDescent="0.15">
      <c r="AE4331" s="13"/>
    </row>
    <row r="4332" spans="31:31" ht="12.75" customHeight="1" x14ac:dyDescent="0.15">
      <c r="AE4332" s="13"/>
    </row>
    <row r="4333" spans="31:31" ht="12.75" customHeight="1" x14ac:dyDescent="0.15">
      <c r="AE4333" s="13"/>
    </row>
    <row r="4334" spans="31:31" ht="12.75" customHeight="1" x14ac:dyDescent="0.15">
      <c r="AE4334" s="13"/>
    </row>
    <row r="4335" spans="31:31" ht="12.75" customHeight="1" x14ac:dyDescent="0.15">
      <c r="AE4335" s="13"/>
    </row>
    <row r="4336" spans="31:31" ht="12.75" customHeight="1" x14ac:dyDescent="0.15">
      <c r="AE4336" s="13"/>
    </row>
    <row r="4337" spans="31:31" ht="12.75" customHeight="1" x14ac:dyDescent="0.15">
      <c r="AE4337" s="13"/>
    </row>
    <row r="4338" spans="31:31" ht="12.75" customHeight="1" x14ac:dyDescent="0.15">
      <c r="AE4338" s="13"/>
    </row>
    <row r="4339" spans="31:31" ht="12.75" customHeight="1" x14ac:dyDescent="0.15">
      <c r="AE4339" s="13"/>
    </row>
    <row r="4340" spans="31:31" ht="12.75" customHeight="1" x14ac:dyDescent="0.15">
      <c r="AE4340" s="13"/>
    </row>
    <row r="4341" spans="31:31" ht="12.75" customHeight="1" x14ac:dyDescent="0.15">
      <c r="AE4341" s="13"/>
    </row>
    <row r="4342" spans="31:31" ht="12.75" customHeight="1" x14ac:dyDescent="0.15">
      <c r="AE4342" s="13"/>
    </row>
    <row r="4343" spans="31:31" ht="12.75" customHeight="1" x14ac:dyDescent="0.15">
      <c r="AE4343" s="13"/>
    </row>
    <row r="4344" spans="31:31" ht="12.75" customHeight="1" x14ac:dyDescent="0.15">
      <c r="AE4344" s="13"/>
    </row>
    <row r="4345" spans="31:31" ht="12.75" customHeight="1" x14ac:dyDescent="0.15">
      <c r="AE4345" s="13"/>
    </row>
    <row r="4346" spans="31:31" ht="12.75" customHeight="1" x14ac:dyDescent="0.15">
      <c r="AE4346" s="13"/>
    </row>
    <row r="4347" spans="31:31" ht="12.75" customHeight="1" x14ac:dyDescent="0.15">
      <c r="AE4347" s="13"/>
    </row>
    <row r="4348" spans="31:31" ht="12.75" customHeight="1" x14ac:dyDescent="0.15">
      <c r="AE4348" s="13"/>
    </row>
    <row r="4349" spans="31:31" ht="12.75" customHeight="1" x14ac:dyDescent="0.15">
      <c r="AE4349" s="13"/>
    </row>
    <row r="4350" spans="31:31" ht="12.75" customHeight="1" x14ac:dyDescent="0.15">
      <c r="AE4350" s="13"/>
    </row>
    <row r="4351" spans="31:31" ht="12.75" customHeight="1" x14ac:dyDescent="0.15">
      <c r="AE4351" s="13"/>
    </row>
    <row r="4352" spans="31:31" ht="12.75" customHeight="1" x14ac:dyDescent="0.15">
      <c r="AE4352" s="13"/>
    </row>
    <row r="4353" spans="31:31" ht="12.75" customHeight="1" x14ac:dyDescent="0.15">
      <c r="AE4353" s="13"/>
    </row>
    <row r="4354" spans="31:31" ht="12.75" customHeight="1" x14ac:dyDescent="0.15">
      <c r="AE4354" s="13"/>
    </row>
    <row r="4355" spans="31:31" ht="12.75" customHeight="1" x14ac:dyDescent="0.15">
      <c r="AE4355" s="13"/>
    </row>
    <row r="4356" spans="31:31" ht="12.75" customHeight="1" x14ac:dyDescent="0.15">
      <c r="AE4356" s="13"/>
    </row>
    <row r="4357" spans="31:31" ht="12.75" customHeight="1" x14ac:dyDescent="0.15">
      <c r="AE4357" s="13"/>
    </row>
    <row r="4358" spans="31:31" ht="12.75" customHeight="1" x14ac:dyDescent="0.15">
      <c r="AE4358" s="13"/>
    </row>
    <row r="4359" spans="31:31" ht="12.75" customHeight="1" x14ac:dyDescent="0.15">
      <c r="AE4359" s="13"/>
    </row>
    <row r="4360" spans="31:31" ht="12.75" customHeight="1" x14ac:dyDescent="0.15">
      <c r="AE4360" s="13"/>
    </row>
    <row r="4361" spans="31:31" ht="12.75" customHeight="1" x14ac:dyDescent="0.15">
      <c r="AE4361" s="13"/>
    </row>
    <row r="4362" spans="31:31" ht="12.75" customHeight="1" x14ac:dyDescent="0.15">
      <c r="AE4362" s="13"/>
    </row>
    <row r="4363" spans="31:31" ht="12.75" customHeight="1" x14ac:dyDescent="0.15">
      <c r="AE4363" s="13"/>
    </row>
    <row r="4364" spans="31:31" ht="12.75" customHeight="1" x14ac:dyDescent="0.15">
      <c r="AE4364" s="13"/>
    </row>
    <row r="4365" spans="31:31" ht="12.75" customHeight="1" x14ac:dyDescent="0.15">
      <c r="AE4365" s="13"/>
    </row>
    <row r="4366" spans="31:31" ht="12.75" customHeight="1" x14ac:dyDescent="0.15">
      <c r="AE4366" s="13"/>
    </row>
    <row r="4367" spans="31:31" ht="12.75" customHeight="1" x14ac:dyDescent="0.15">
      <c r="AE4367" s="13"/>
    </row>
    <row r="4368" spans="31:31" ht="12.75" customHeight="1" x14ac:dyDescent="0.15">
      <c r="AE4368" s="13"/>
    </row>
    <row r="4369" spans="31:31" ht="12.75" customHeight="1" x14ac:dyDescent="0.15">
      <c r="AE4369" s="13"/>
    </row>
    <row r="4370" spans="31:31" ht="12.75" customHeight="1" x14ac:dyDescent="0.15">
      <c r="AE4370" s="13"/>
    </row>
    <row r="4371" spans="31:31" ht="12.75" customHeight="1" x14ac:dyDescent="0.15">
      <c r="AE4371" s="13"/>
    </row>
    <row r="4372" spans="31:31" ht="12.75" customHeight="1" x14ac:dyDescent="0.15">
      <c r="AE4372" s="13"/>
    </row>
    <row r="4373" spans="31:31" ht="12.75" customHeight="1" x14ac:dyDescent="0.15">
      <c r="AE4373" s="13"/>
    </row>
    <row r="4374" spans="31:31" ht="12.75" customHeight="1" x14ac:dyDescent="0.15">
      <c r="AE4374" s="13"/>
    </row>
    <row r="4375" spans="31:31" ht="12.75" customHeight="1" x14ac:dyDescent="0.15">
      <c r="AE4375" s="13"/>
    </row>
    <row r="4376" spans="31:31" ht="12.75" customHeight="1" x14ac:dyDescent="0.15">
      <c r="AE4376" s="13"/>
    </row>
    <row r="4377" spans="31:31" ht="12.75" customHeight="1" x14ac:dyDescent="0.15">
      <c r="AE4377" s="13"/>
    </row>
    <row r="4378" spans="31:31" ht="12.75" customHeight="1" x14ac:dyDescent="0.15">
      <c r="AE4378" s="13"/>
    </row>
    <row r="4379" spans="31:31" ht="12.75" customHeight="1" x14ac:dyDescent="0.15">
      <c r="AE4379" s="13"/>
    </row>
    <row r="4380" spans="31:31" ht="12.75" customHeight="1" x14ac:dyDescent="0.15">
      <c r="AE4380" s="13"/>
    </row>
    <row r="4381" spans="31:31" ht="12.75" customHeight="1" x14ac:dyDescent="0.15">
      <c r="AE4381" s="13"/>
    </row>
    <row r="4382" spans="31:31" ht="12.75" customHeight="1" x14ac:dyDescent="0.15">
      <c r="AE4382" s="13"/>
    </row>
    <row r="4383" spans="31:31" ht="12.75" customHeight="1" x14ac:dyDescent="0.15">
      <c r="AE4383" s="13"/>
    </row>
    <row r="4384" spans="31:31" ht="12.75" customHeight="1" x14ac:dyDescent="0.15">
      <c r="AE4384" s="13"/>
    </row>
    <row r="4385" spans="31:31" ht="12.75" customHeight="1" x14ac:dyDescent="0.15">
      <c r="AE4385" s="13"/>
    </row>
    <row r="4386" spans="31:31" ht="12.75" customHeight="1" x14ac:dyDescent="0.15">
      <c r="AE4386" s="13"/>
    </row>
    <row r="4387" spans="31:31" ht="12.75" customHeight="1" x14ac:dyDescent="0.15">
      <c r="AE4387" s="13"/>
    </row>
    <row r="4388" spans="31:31" ht="12.75" customHeight="1" x14ac:dyDescent="0.15">
      <c r="AE4388" s="13"/>
    </row>
    <row r="4389" spans="31:31" ht="12.75" customHeight="1" x14ac:dyDescent="0.15">
      <c r="AE4389" s="13"/>
    </row>
    <row r="4390" spans="31:31" ht="12.75" customHeight="1" x14ac:dyDescent="0.15">
      <c r="AE4390" s="13"/>
    </row>
    <row r="4391" spans="31:31" ht="12.75" customHeight="1" x14ac:dyDescent="0.15">
      <c r="AE4391" s="13"/>
    </row>
    <row r="4392" spans="31:31" ht="12.75" customHeight="1" x14ac:dyDescent="0.15">
      <c r="AE4392" s="13"/>
    </row>
    <row r="4393" spans="31:31" ht="12.75" customHeight="1" x14ac:dyDescent="0.15">
      <c r="AE4393" s="13"/>
    </row>
    <row r="4394" spans="31:31" ht="12.75" customHeight="1" x14ac:dyDescent="0.15">
      <c r="AE4394" s="13"/>
    </row>
    <row r="4395" spans="31:31" ht="12.75" customHeight="1" x14ac:dyDescent="0.15">
      <c r="AE4395" s="13"/>
    </row>
    <row r="4396" spans="31:31" ht="12.75" customHeight="1" x14ac:dyDescent="0.15">
      <c r="AE4396" s="13"/>
    </row>
    <row r="4397" spans="31:31" ht="12.75" customHeight="1" x14ac:dyDescent="0.15">
      <c r="AE4397" s="13"/>
    </row>
    <row r="4398" spans="31:31" ht="12.75" customHeight="1" x14ac:dyDescent="0.15">
      <c r="AE4398" s="13"/>
    </row>
    <row r="4399" spans="31:31" ht="12.75" customHeight="1" x14ac:dyDescent="0.15">
      <c r="AE4399" s="13"/>
    </row>
    <row r="4400" spans="31:31" ht="12.75" customHeight="1" x14ac:dyDescent="0.15">
      <c r="AE4400" s="13"/>
    </row>
    <row r="4401" spans="31:31" ht="12.75" customHeight="1" x14ac:dyDescent="0.15">
      <c r="AE4401" s="13"/>
    </row>
    <row r="4402" spans="31:31" ht="12.75" customHeight="1" x14ac:dyDescent="0.15">
      <c r="AE4402" s="13"/>
    </row>
    <row r="4403" spans="31:31" ht="12.75" customHeight="1" x14ac:dyDescent="0.15">
      <c r="AE4403" s="13"/>
    </row>
    <row r="4404" spans="31:31" ht="12.75" customHeight="1" x14ac:dyDescent="0.15">
      <c r="AE4404" s="13"/>
    </row>
    <row r="4405" spans="31:31" ht="12.75" customHeight="1" x14ac:dyDescent="0.15">
      <c r="AE4405" s="13"/>
    </row>
    <row r="4406" spans="31:31" ht="12.75" customHeight="1" x14ac:dyDescent="0.15">
      <c r="AE4406" s="13"/>
    </row>
    <row r="4407" spans="31:31" ht="12.75" customHeight="1" x14ac:dyDescent="0.15">
      <c r="AE4407" s="13"/>
    </row>
    <row r="4408" spans="31:31" ht="12.75" customHeight="1" x14ac:dyDescent="0.15">
      <c r="AE4408" s="13"/>
    </row>
    <row r="4409" spans="31:31" ht="12.75" customHeight="1" x14ac:dyDescent="0.15">
      <c r="AE4409" s="13"/>
    </row>
    <row r="4410" spans="31:31" ht="12.75" customHeight="1" x14ac:dyDescent="0.15">
      <c r="AE4410" s="13"/>
    </row>
    <row r="4411" spans="31:31" ht="12.75" customHeight="1" x14ac:dyDescent="0.15">
      <c r="AE4411" s="13"/>
    </row>
    <row r="4412" spans="31:31" ht="12.75" customHeight="1" x14ac:dyDescent="0.15">
      <c r="AE4412" s="13"/>
    </row>
    <row r="4413" spans="31:31" ht="12.75" customHeight="1" x14ac:dyDescent="0.15">
      <c r="AE4413" s="13"/>
    </row>
    <row r="4414" spans="31:31" ht="12.75" customHeight="1" x14ac:dyDescent="0.15">
      <c r="AE4414" s="13"/>
    </row>
    <row r="4415" spans="31:31" ht="12.75" customHeight="1" x14ac:dyDescent="0.15">
      <c r="AE4415" s="13"/>
    </row>
    <row r="4416" spans="31:31" ht="12.75" customHeight="1" x14ac:dyDescent="0.15">
      <c r="AE4416" s="13"/>
    </row>
    <row r="4417" spans="31:31" ht="12.75" customHeight="1" x14ac:dyDescent="0.15">
      <c r="AE4417" s="13"/>
    </row>
    <row r="4418" spans="31:31" ht="12.75" customHeight="1" x14ac:dyDescent="0.15">
      <c r="AE4418" s="13"/>
    </row>
    <row r="4419" spans="31:31" ht="12.75" customHeight="1" x14ac:dyDescent="0.15">
      <c r="AE4419" s="13"/>
    </row>
    <row r="4420" spans="31:31" ht="12.75" customHeight="1" x14ac:dyDescent="0.15">
      <c r="AE4420" s="13"/>
    </row>
    <row r="4421" spans="31:31" ht="12.75" customHeight="1" x14ac:dyDescent="0.15">
      <c r="AE4421" s="13"/>
    </row>
    <row r="4422" spans="31:31" ht="12.75" customHeight="1" x14ac:dyDescent="0.15">
      <c r="AE4422" s="13"/>
    </row>
    <row r="4423" spans="31:31" ht="12.75" customHeight="1" x14ac:dyDescent="0.15">
      <c r="AE4423" s="13"/>
    </row>
    <row r="4424" spans="31:31" ht="12.75" customHeight="1" x14ac:dyDescent="0.15">
      <c r="AE4424" s="13"/>
    </row>
    <row r="4425" spans="31:31" ht="12.75" customHeight="1" x14ac:dyDescent="0.15">
      <c r="AE4425" s="13"/>
    </row>
    <row r="4426" spans="31:31" ht="12.75" customHeight="1" x14ac:dyDescent="0.15">
      <c r="AE4426" s="13"/>
    </row>
    <row r="4427" spans="31:31" ht="12.75" customHeight="1" x14ac:dyDescent="0.15">
      <c r="AE4427" s="13"/>
    </row>
    <row r="4428" spans="31:31" ht="12.75" customHeight="1" x14ac:dyDescent="0.15">
      <c r="AE4428" s="13"/>
    </row>
    <row r="4429" spans="31:31" ht="12.75" customHeight="1" x14ac:dyDescent="0.15">
      <c r="AE4429" s="13"/>
    </row>
    <row r="4430" spans="31:31" ht="12.75" customHeight="1" x14ac:dyDescent="0.15">
      <c r="AE4430" s="13"/>
    </row>
    <row r="4431" spans="31:31" ht="12.75" customHeight="1" x14ac:dyDescent="0.15">
      <c r="AE4431" s="13"/>
    </row>
    <row r="4432" spans="31:31" ht="12.75" customHeight="1" x14ac:dyDescent="0.15">
      <c r="AE4432" s="13"/>
    </row>
    <row r="4433" spans="31:31" ht="12.75" customHeight="1" x14ac:dyDescent="0.15">
      <c r="AE4433" s="13"/>
    </row>
    <row r="4434" spans="31:31" ht="12.75" customHeight="1" x14ac:dyDescent="0.15">
      <c r="AE4434" s="13"/>
    </row>
    <row r="4435" spans="31:31" ht="12.75" customHeight="1" x14ac:dyDescent="0.15">
      <c r="AE4435" s="13"/>
    </row>
    <row r="4436" spans="31:31" ht="12.75" customHeight="1" x14ac:dyDescent="0.15">
      <c r="AE4436" s="13"/>
    </row>
    <row r="4437" spans="31:31" ht="12.75" customHeight="1" x14ac:dyDescent="0.15">
      <c r="AE4437" s="13"/>
    </row>
    <row r="4438" spans="31:31" ht="12.75" customHeight="1" x14ac:dyDescent="0.15">
      <c r="AE4438" s="13"/>
    </row>
    <row r="4439" spans="31:31" ht="12.75" customHeight="1" x14ac:dyDescent="0.15">
      <c r="AE4439" s="13"/>
    </row>
    <row r="4440" spans="31:31" ht="12.75" customHeight="1" x14ac:dyDescent="0.15">
      <c r="AE4440" s="13"/>
    </row>
    <row r="4441" spans="31:31" ht="12.75" customHeight="1" x14ac:dyDescent="0.15">
      <c r="AE4441" s="13"/>
    </row>
    <row r="4442" spans="31:31" ht="12.75" customHeight="1" x14ac:dyDescent="0.15">
      <c r="AE4442" s="13"/>
    </row>
    <row r="4443" spans="31:31" ht="12.75" customHeight="1" x14ac:dyDescent="0.15">
      <c r="AE4443" s="13"/>
    </row>
    <row r="4444" spans="31:31" ht="12.75" customHeight="1" x14ac:dyDescent="0.15">
      <c r="AE4444" s="13"/>
    </row>
    <row r="4445" spans="31:31" ht="12.75" customHeight="1" x14ac:dyDescent="0.15">
      <c r="AE4445" s="13"/>
    </row>
    <row r="4446" spans="31:31" ht="12.75" customHeight="1" x14ac:dyDescent="0.15">
      <c r="AE4446" s="13"/>
    </row>
    <row r="4447" spans="31:31" ht="12.75" customHeight="1" x14ac:dyDescent="0.15">
      <c r="AE4447" s="13"/>
    </row>
    <row r="4448" spans="31:31" ht="12.75" customHeight="1" x14ac:dyDescent="0.15">
      <c r="AE4448" s="13"/>
    </row>
    <row r="4449" spans="31:31" ht="12.75" customHeight="1" x14ac:dyDescent="0.15">
      <c r="AE4449" s="13"/>
    </row>
    <row r="4450" spans="31:31" ht="12.75" customHeight="1" x14ac:dyDescent="0.15">
      <c r="AE4450" s="13"/>
    </row>
    <row r="4451" spans="31:31" ht="12.75" customHeight="1" x14ac:dyDescent="0.15">
      <c r="AE4451" s="13"/>
    </row>
    <row r="4452" spans="31:31" ht="12.75" customHeight="1" x14ac:dyDescent="0.15">
      <c r="AE4452" s="13"/>
    </row>
    <row r="4453" spans="31:31" ht="12.75" customHeight="1" x14ac:dyDescent="0.15">
      <c r="AE4453" s="13"/>
    </row>
    <row r="4454" spans="31:31" ht="12.75" customHeight="1" x14ac:dyDescent="0.15">
      <c r="AE4454" s="13"/>
    </row>
    <row r="4455" spans="31:31" ht="12.75" customHeight="1" x14ac:dyDescent="0.15">
      <c r="AE4455" s="13"/>
    </row>
    <row r="4456" spans="31:31" ht="12.75" customHeight="1" x14ac:dyDescent="0.15">
      <c r="AE4456" s="13"/>
    </row>
    <row r="4457" spans="31:31" ht="12.75" customHeight="1" x14ac:dyDescent="0.15">
      <c r="AE4457" s="13"/>
    </row>
    <row r="4458" spans="31:31" ht="12.75" customHeight="1" x14ac:dyDescent="0.15">
      <c r="AE4458" s="13"/>
    </row>
    <row r="4459" spans="31:31" ht="12.75" customHeight="1" x14ac:dyDescent="0.15">
      <c r="AE4459" s="13"/>
    </row>
    <row r="4460" spans="31:31" ht="12.75" customHeight="1" x14ac:dyDescent="0.15">
      <c r="AE4460" s="13"/>
    </row>
    <row r="4461" spans="31:31" ht="12.75" customHeight="1" x14ac:dyDescent="0.15">
      <c r="AE4461" s="13"/>
    </row>
    <row r="4462" spans="31:31" ht="12.75" customHeight="1" x14ac:dyDescent="0.15">
      <c r="AE4462" s="13"/>
    </row>
    <row r="4463" spans="31:31" ht="12.75" customHeight="1" x14ac:dyDescent="0.15">
      <c r="AE4463" s="13"/>
    </row>
    <row r="4464" spans="31:31" ht="12.75" customHeight="1" x14ac:dyDescent="0.15">
      <c r="AE4464" s="13"/>
    </row>
    <row r="4465" spans="31:31" ht="12.75" customHeight="1" x14ac:dyDescent="0.15">
      <c r="AE4465" s="13"/>
    </row>
    <row r="4466" spans="31:31" ht="12.75" customHeight="1" x14ac:dyDescent="0.15">
      <c r="AE4466" s="13"/>
    </row>
    <row r="4467" spans="31:31" ht="12.75" customHeight="1" x14ac:dyDescent="0.15">
      <c r="AE4467" s="13"/>
    </row>
    <row r="4468" spans="31:31" ht="12.75" customHeight="1" x14ac:dyDescent="0.15">
      <c r="AE4468" s="13"/>
    </row>
    <row r="4469" spans="31:31" ht="12.75" customHeight="1" x14ac:dyDescent="0.15">
      <c r="AE4469" s="13"/>
    </row>
    <row r="4470" spans="31:31" ht="12.75" customHeight="1" x14ac:dyDescent="0.15">
      <c r="AE4470" s="13"/>
    </row>
    <row r="4471" spans="31:31" ht="12.75" customHeight="1" x14ac:dyDescent="0.15">
      <c r="AE4471" s="13"/>
    </row>
    <row r="4472" spans="31:31" ht="12.75" customHeight="1" x14ac:dyDescent="0.15">
      <c r="AE4472" s="13"/>
    </row>
    <row r="4473" spans="31:31" ht="12.75" customHeight="1" x14ac:dyDescent="0.15">
      <c r="AE4473" s="13"/>
    </row>
    <row r="4474" spans="31:31" ht="12.75" customHeight="1" x14ac:dyDescent="0.15">
      <c r="AE4474" s="13"/>
    </row>
    <row r="4475" spans="31:31" ht="12.75" customHeight="1" x14ac:dyDescent="0.15">
      <c r="AE4475" s="13"/>
    </row>
    <row r="4476" spans="31:31" ht="12.75" customHeight="1" x14ac:dyDescent="0.15">
      <c r="AE4476" s="13"/>
    </row>
    <row r="4477" spans="31:31" ht="12.75" customHeight="1" x14ac:dyDescent="0.15">
      <c r="AE4477" s="13"/>
    </row>
    <row r="4478" spans="31:31" ht="12.75" customHeight="1" x14ac:dyDescent="0.15">
      <c r="AE4478" s="13"/>
    </row>
    <row r="4479" spans="31:31" ht="12.75" customHeight="1" x14ac:dyDescent="0.15">
      <c r="AE4479" s="13"/>
    </row>
    <row r="4480" spans="31:31" ht="12.75" customHeight="1" x14ac:dyDescent="0.15">
      <c r="AE4480" s="13"/>
    </row>
    <row r="4481" spans="31:31" ht="12.75" customHeight="1" x14ac:dyDescent="0.15">
      <c r="AE4481" s="13"/>
    </row>
    <row r="4482" spans="31:31" ht="12.75" customHeight="1" x14ac:dyDescent="0.15">
      <c r="AE4482" s="13"/>
    </row>
    <row r="4483" spans="31:31" ht="12.75" customHeight="1" x14ac:dyDescent="0.15">
      <c r="AE4483" s="13"/>
    </row>
    <row r="4484" spans="31:31" ht="12.75" customHeight="1" x14ac:dyDescent="0.15">
      <c r="AE4484" s="13"/>
    </row>
    <row r="4485" spans="31:31" ht="12.75" customHeight="1" x14ac:dyDescent="0.15">
      <c r="AE4485" s="13"/>
    </row>
    <row r="4486" spans="31:31" ht="12.75" customHeight="1" x14ac:dyDescent="0.15">
      <c r="AE4486" s="13"/>
    </row>
    <row r="4487" spans="31:31" ht="12.75" customHeight="1" x14ac:dyDescent="0.15">
      <c r="AE4487" s="13"/>
    </row>
    <row r="4488" spans="31:31" ht="12.75" customHeight="1" x14ac:dyDescent="0.15">
      <c r="AE4488" s="13"/>
    </row>
    <row r="4489" spans="31:31" ht="12.75" customHeight="1" x14ac:dyDescent="0.15">
      <c r="AE4489" s="13"/>
    </row>
    <row r="4490" spans="31:31" ht="12.75" customHeight="1" x14ac:dyDescent="0.15">
      <c r="AE4490" s="13"/>
    </row>
    <row r="4491" spans="31:31" ht="12.75" customHeight="1" x14ac:dyDescent="0.15">
      <c r="AE4491" s="13"/>
    </row>
    <row r="4492" spans="31:31" ht="12.75" customHeight="1" x14ac:dyDescent="0.15">
      <c r="AE4492" s="13"/>
    </row>
    <row r="4493" spans="31:31" ht="12.75" customHeight="1" x14ac:dyDescent="0.15">
      <c r="AE4493" s="13"/>
    </row>
    <row r="4494" spans="31:31" ht="12.75" customHeight="1" x14ac:dyDescent="0.15">
      <c r="AE4494" s="13"/>
    </row>
    <row r="4495" spans="31:31" ht="12.75" customHeight="1" x14ac:dyDescent="0.15">
      <c r="AE4495" s="13"/>
    </row>
    <row r="4496" spans="31:31" ht="12.75" customHeight="1" x14ac:dyDescent="0.15">
      <c r="AE4496" s="13"/>
    </row>
    <row r="4497" spans="31:31" ht="12.75" customHeight="1" x14ac:dyDescent="0.15">
      <c r="AE4497" s="13"/>
    </row>
    <row r="4498" spans="31:31" ht="12.75" customHeight="1" x14ac:dyDescent="0.15">
      <c r="AE4498" s="13"/>
    </row>
    <row r="4499" spans="31:31" ht="12.75" customHeight="1" x14ac:dyDescent="0.15">
      <c r="AE4499" s="13"/>
    </row>
    <row r="4500" spans="31:31" ht="12.75" customHeight="1" x14ac:dyDescent="0.15">
      <c r="AE4500" s="13"/>
    </row>
    <row r="4501" spans="31:31" ht="12.75" customHeight="1" x14ac:dyDescent="0.15">
      <c r="AE4501" s="13"/>
    </row>
    <row r="4502" spans="31:31" ht="12.75" customHeight="1" x14ac:dyDescent="0.15">
      <c r="AE4502" s="13"/>
    </row>
    <row r="4503" spans="31:31" ht="12.75" customHeight="1" x14ac:dyDescent="0.15">
      <c r="AE4503" s="13"/>
    </row>
    <row r="4504" spans="31:31" ht="12.75" customHeight="1" x14ac:dyDescent="0.15">
      <c r="AE4504" s="13"/>
    </row>
    <row r="4505" spans="31:31" ht="12.75" customHeight="1" x14ac:dyDescent="0.15">
      <c r="AE4505" s="13"/>
    </row>
    <row r="4506" spans="31:31" ht="12.75" customHeight="1" x14ac:dyDescent="0.15">
      <c r="AE4506" s="13"/>
    </row>
    <row r="4507" spans="31:31" ht="12.75" customHeight="1" x14ac:dyDescent="0.15">
      <c r="AE4507" s="13"/>
    </row>
    <row r="4508" spans="31:31" ht="12.75" customHeight="1" x14ac:dyDescent="0.15">
      <c r="AE4508" s="13"/>
    </row>
    <row r="4509" spans="31:31" ht="12.75" customHeight="1" x14ac:dyDescent="0.15">
      <c r="AE4509" s="13"/>
    </row>
    <row r="4510" spans="31:31" ht="12.75" customHeight="1" x14ac:dyDescent="0.15">
      <c r="AE4510" s="13"/>
    </row>
    <row r="4511" spans="31:31" ht="12.75" customHeight="1" x14ac:dyDescent="0.15">
      <c r="AE4511" s="13"/>
    </row>
    <row r="4512" spans="31:31" ht="12.75" customHeight="1" x14ac:dyDescent="0.15">
      <c r="AE4512" s="13"/>
    </row>
    <row r="4513" spans="31:31" ht="12.75" customHeight="1" x14ac:dyDescent="0.15">
      <c r="AE4513" s="13"/>
    </row>
    <row r="4514" spans="31:31" ht="12.75" customHeight="1" x14ac:dyDescent="0.15">
      <c r="AE4514" s="13"/>
    </row>
    <row r="4515" spans="31:31" ht="12.75" customHeight="1" x14ac:dyDescent="0.15">
      <c r="AE4515" s="13"/>
    </row>
    <row r="4516" spans="31:31" ht="12.75" customHeight="1" x14ac:dyDescent="0.15">
      <c r="AE4516" s="13"/>
    </row>
    <row r="4517" spans="31:31" ht="12.75" customHeight="1" x14ac:dyDescent="0.15">
      <c r="AE4517" s="13"/>
    </row>
    <row r="4518" spans="31:31" ht="12.75" customHeight="1" x14ac:dyDescent="0.15">
      <c r="AE4518" s="13"/>
    </row>
    <row r="4519" spans="31:31" ht="12.75" customHeight="1" x14ac:dyDescent="0.15">
      <c r="AE4519" s="13"/>
    </row>
    <row r="4520" spans="31:31" ht="12.75" customHeight="1" x14ac:dyDescent="0.15">
      <c r="AE4520" s="13"/>
    </row>
    <row r="4521" spans="31:31" ht="12.75" customHeight="1" x14ac:dyDescent="0.15">
      <c r="AE4521" s="13"/>
    </row>
    <row r="4522" spans="31:31" ht="12.75" customHeight="1" x14ac:dyDescent="0.15">
      <c r="AE4522" s="13"/>
    </row>
    <row r="4523" spans="31:31" ht="12.75" customHeight="1" x14ac:dyDescent="0.15">
      <c r="AE4523" s="13"/>
    </row>
    <row r="4524" spans="31:31" ht="12.75" customHeight="1" x14ac:dyDescent="0.15">
      <c r="AE4524" s="13"/>
    </row>
    <row r="4525" spans="31:31" ht="12.75" customHeight="1" x14ac:dyDescent="0.15">
      <c r="AE4525" s="13"/>
    </row>
    <row r="4526" spans="31:31" ht="12.75" customHeight="1" x14ac:dyDescent="0.15">
      <c r="AE4526" s="13"/>
    </row>
    <row r="4527" spans="31:31" ht="12.75" customHeight="1" x14ac:dyDescent="0.15">
      <c r="AE4527" s="13"/>
    </row>
    <row r="4528" spans="31:31" ht="12.75" customHeight="1" x14ac:dyDescent="0.15">
      <c r="AE4528" s="13"/>
    </row>
    <row r="4529" spans="31:31" ht="12.75" customHeight="1" x14ac:dyDescent="0.15">
      <c r="AE4529" s="13"/>
    </row>
    <row r="4530" spans="31:31" ht="12.75" customHeight="1" x14ac:dyDescent="0.15">
      <c r="AE4530" s="13"/>
    </row>
    <row r="4531" spans="31:31" ht="12.75" customHeight="1" x14ac:dyDescent="0.15">
      <c r="AE4531" s="13"/>
    </row>
    <row r="4532" spans="31:31" ht="12.75" customHeight="1" x14ac:dyDescent="0.15">
      <c r="AE4532" s="13"/>
    </row>
    <row r="4533" spans="31:31" ht="12.75" customHeight="1" x14ac:dyDescent="0.15">
      <c r="AE4533" s="13"/>
    </row>
    <row r="4534" spans="31:31" ht="12.75" customHeight="1" x14ac:dyDescent="0.15">
      <c r="AE4534" s="13"/>
    </row>
    <row r="4535" spans="31:31" ht="12.75" customHeight="1" x14ac:dyDescent="0.15">
      <c r="AE4535" s="13"/>
    </row>
    <row r="4536" spans="31:31" ht="12.75" customHeight="1" x14ac:dyDescent="0.15">
      <c r="AE4536" s="13"/>
    </row>
    <row r="4537" spans="31:31" ht="12.75" customHeight="1" x14ac:dyDescent="0.15">
      <c r="AE4537" s="13"/>
    </row>
    <row r="4538" spans="31:31" ht="12.75" customHeight="1" x14ac:dyDescent="0.15">
      <c r="AE4538" s="13"/>
    </row>
    <row r="4539" spans="31:31" ht="12.75" customHeight="1" x14ac:dyDescent="0.15">
      <c r="AE4539" s="13"/>
    </row>
    <row r="4540" spans="31:31" ht="12.75" customHeight="1" x14ac:dyDescent="0.15">
      <c r="AE4540" s="13"/>
    </row>
    <row r="4541" spans="31:31" ht="12.75" customHeight="1" x14ac:dyDescent="0.15">
      <c r="AE4541" s="13"/>
    </row>
    <row r="4542" spans="31:31" ht="12.75" customHeight="1" x14ac:dyDescent="0.15">
      <c r="AE4542" s="13"/>
    </row>
    <row r="4543" spans="31:31" ht="12.75" customHeight="1" x14ac:dyDescent="0.15">
      <c r="AE4543" s="13"/>
    </row>
    <row r="4544" spans="31:31" ht="12.75" customHeight="1" x14ac:dyDescent="0.15">
      <c r="AE4544" s="13"/>
    </row>
    <row r="4545" spans="31:31" ht="12.75" customHeight="1" x14ac:dyDescent="0.15">
      <c r="AE4545" s="13"/>
    </row>
    <row r="4546" spans="31:31" ht="12.75" customHeight="1" x14ac:dyDescent="0.15">
      <c r="AE4546" s="13"/>
    </row>
    <row r="4547" spans="31:31" ht="12.75" customHeight="1" x14ac:dyDescent="0.15">
      <c r="AE4547" s="13"/>
    </row>
    <row r="4548" spans="31:31" ht="12.75" customHeight="1" x14ac:dyDescent="0.15">
      <c r="AE4548" s="13"/>
    </row>
    <row r="4549" spans="31:31" ht="12.75" customHeight="1" x14ac:dyDescent="0.15">
      <c r="AE4549" s="13"/>
    </row>
    <row r="4550" spans="31:31" ht="12.75" customHeight="1" x14ac:dyDescent="0.15">
      <c r="AE4550" s="13"/>
    </row>
    <row r="4551" spans="31:31" ht="12.75" customHeight="1" x14ac:dyDescent="0.15">
      <c r="AE4551" s="13"/>
    </row>
    <row r="4552" spans="31:31" ht="12.75" customHeight="1" x14ac:dyDescent="0.15">
      <c r="AE4552" s="13"/>
    </row>
    <row r="4553" spans="31:31" ht="12.75" customHeight="1" x14ac:dyDescent="0.15">
      <c r="AE4553" s="13"/>
    </row>
    <row r="4554" spans="31:31" ht="12.75" customHeight="1" x14ac:dyDescent="0.15">
      <c r="AE4554" s="13"/>
    </row>
    <row r="4555" spans="31:31" ht="12.75" customHeight="1" x14ac:dyDescent="0.15">
      <c r="AE4555" s="13"/>
    </row>
    <row r="4556" spans="31:31" ht="12.75" customHeight="1" x14ac:dyDescent="0.15">
      <c r="AE4556" s="13"/>
    </row>
    <row r="4557" spans="31:31" ht="12.75" customHeight="1" x14ac:dyDescent="0.15">
      <c r="AE4557" s="13"/>
    </row>
    <row r="4558" spans="31:31" ht="12.75" customHeight="1" x14ac:dyDescent="0.15">
      <c r="AE4558" s="13"/>
    </row>
    <row r="4559" spans="31:31" ht="12.75" customHeight="1" x14ac:dyDescent="0.15">
      <c r="AE4559" s="13"/>
    </row>
    <row r="4560" spans="31:31" ht="12.75" customHeight="1" x14ac:dyDescent="0.15">
      <c r="AE4560" s="13"/>
    </row>
    <row r="4561" spans="31:31" ht="12.75" customHeight="1" x14ac:dyDescent="0.15">
      <c r="AE4561" s="13"/>
    </row>
    <row r="4562" spans="31:31" ht="12.75" customHeight="1" x14ac:dyDescent="0.15">
      <c r="AE4562" s="13"/>
    </row>
    <row r="4563" spans="31:31" ht="12.75" customHeight="1" x14ac:dyDescent="0.15">
      <c r="AE4563" s="13"/>
    </row>
    <row r="4564" spans="31:31" ht="12.75" customHeight="1" x14ac:dyDescent="0.15">
      <c r="AE4564" s="13"/>
    </row>
    <row r="4565" spans="31:31" ht="12.75" customHeight="1" x14ac:dyDescent="0.15">
      <c r="AE4565" s="13"/>
    </row>
    <row r="4566" spans="31:31" ht="12.75" customHeight="1" x14ac:dyDescent="0.15">
      <c r="AE4566" s="13"/>
    </row>
    <row r="4567" spans="31:31" ht="12.75" customHeight="1" x14ac:dyDescent="0.15">
      <c r="AE4567" s="13"/>
    </row>
    <row r="4568" spans="31:31" ht="12.75" customHeight="1" x14ac:dyDescent="0.15">
      <c r="AE4568" s="13"/>
    </row>
    <row r="4569" spans="31:31" ht="12.75" customHeight="1" x14ac:dyDescent="0.15">
      <c r="AE4569" s="13"/>
    </row>
    <row r="4570" spans="31:31" ht="12.75" customHeight="1" x14ac:dyDescent="0.15">
      <c r="AE4570" s="13"/>
    </row>
    <row r="4571" spans="31:31" ht="12.75" customHeight="1" x14ac:dyDescent="0.15">
      <c r="AE4571" s="13"/>
    </row>
    <row r="4572" spans="31:31" ht="12.75" customHeight="1" x14ac:dyDescent="0.15">
      <c r="AE4572" s="13"/>
    </row>
    <row r="4573" spans="31:31" ht="12.75" customHeight="1" x14ac:dyDescent="0.15">
      <c r="AE4573" s="13"/>
    </row>
    <row r="4574" spans="31:31" ht="12.75" customHeight="1" x14ac:dyDescent="0.15">
      <c r="AE4574" s="13"/>
    </row>
    <row r="4575" spans="31:31" ht="12.75" customHeight="1" x14ac:dyDescent="0.15">
      <c r="AE4575" s="13"/>
    </row>
    <row r="4576" spans="31:31" ht="12.75" customHeight="1" x14ac:dyDescent="0.15">
      <c r="AE4576" s="13"/>
    </row>
    <row r="4577" spans="31:31" ht="12.75" customHeight="1" x14ac:dyDescent="0.15">
      <c r="AE4577" s="13"/>
    </row>
    <row r="4578" spans="31:31" ht="12.75" customHeight="1" x14ac:dyDescent="0.15">
      <c r="AE4578" s="13"/>
    </row>
    <row r="4579" spans="31:31" ht="12.75" customHeight="1" x14ac:dyDescent="0.15">
      <c r="AE4579" s="13"/>
    </row>
    <row r="4580" spans="31:31" ht="12.75" customHeight="1" x14ac:dyDescent="0.15">
      <c r="AE4580" s="13"/>
    </row>
    <row r="4581" spans="31:31" ht="12.75" customHeight="1" x14ac:dyDescent="0.15">
      <c r="AE4581" s="13"/>
    </row>
    <row r="4582" spans="31:31" ht="12.75" customHeight="1" x14ac:dyDescent="0.15">
      <c r="AE4582" s="13"/>
    </row>
    <row r="4583" spans="31:31" ht="12.75" customHeight="1" x14ac:dyDescent="0.15">
      <c r="AE4583" s="13"/>
    </row>
    <row r="4584" spans="31:31" ht="12.75" customHeight="1" x14ac:dyDescent="0.15">
      <c r="AE4584" s="13"/>
    </row>
    <row r="4585" spans="31:31" ht="12.75" customHeight="1" x14ac:dyDescent="0.15">
      <c r="AE4585" s="13"/>
    </row>
    <row r="4586" spans="31:31" ht="12.75" customHeight="1" x14ac:dyDescent="0.15">
      <c r="AE4586" s="13"/>
    </row>
    <row r="4587" spans="31:31" ht="12.75" customHeight="1" x14ac:dyDescent="0.15">
      <c r="AE4587" s="13"/>
    </row>
    <row r="4588" spans="31:31" ht="12.75" customHeight="1" x14ac:dyDescent="0.15">
      <c r="AE4588" s="13"/>
    </row>
    <row r="4589" spans="31:31" ht="12.75" customHeight="1" x14ac:dyDescent="0.15">
      <c r="AE4589" s="13"/>
    </row>
    <row r="4590" spans="31:31" ht="12.75" customHeight="1" x14ac:dyDescent="0.15">
      <c r="AE4590" s="13"/>
    </row>
    <row r="4591" spans="31:31" ht="12.75" customHeight="1" x14ac:dyDescent="0.15">
      <c r="AE4591" s="13"/>
    </row>
    <row r="4592" spans="31:31" ht="12.75" customHeight="1" x14ac:dyDescent="0.15">
      <c r="AE4592" s="13"/>
    </row>
    <row r="4593" spans="31:31" ht="12.75" customHeight="1" x14ac:dyDescent="0.15">
      <c r="AE4593" s="13"/>
    </row>
    <row r="4594" spans="31:31" ht="12.75" customHeight="1" x14ac:dyDescent="0.15">
      <c r="AE4594" s="13"/>
    </row>
    <row r="4595" spans="31:31" ht="12.75" customHeight="1" x14ac:dyDescent="0.15">
      <c r="AE4595" s="13"/>
    </row>
    <row r="4596" spans="31:31" ht="12.75" customHeight="1" x14ac:dyDescent="0.15">
      <c r="AE4596" s="13"/>
    </row>
    <row r="4597" spans="31:31" ht="12.75" customHeight="1" x14ac:dyDescent="0.15">
      <c r="AE4597" s="13"/>
    </row>
    <row r="4598" spans="31:31" ht="12.75" customHeight="1" x14ac:dyDescent="0.15">
      <c r="AE4598" s="13"/>
    </row>
    <row r="4599" spans="31:31" ht="12.75" customHeight="1" x14ac:dyDescent="0.15">
      <c r="AE4599" s="13"/>
    </row>
    <row r="4600" spans="31:31" ht="12.75" customHeight="1" x14ac:dyDescent="0.15">
      <c r="AE4600" s="13"/>
    </row>
    <row r="4601" spans="31:31" ht="12.75" customHeight="1" x14ac:dyDescent="0.15">
      <c r="AE4601" s="13"/>
    </row>
    <row r="4602" spans="31:31" ht="12.75" customHeight="1" x14ac:dyDescent="0.15">
      <c r="AE4602" s="13"/>
    </row>
    <row r="4603" spans="31:31" ht="12.75" customHeight="1" x14ac:dyDescent="0.15">
      <c r="AE4603" s="13"/>
    </row>
    <row r="4604" spans="31:31" ht="12.75" customHeight="1" x14ac:dyDescent="0.15">
      <c r="AE4604" s="13"/>
    </row>
    <row r="4605" spans="31:31" ht="12.75" customHeight="1" x14ac:dyDescent="0.15">
      <c r="AE4605" s="13"/>
    </row>
    <row r="4606" spans="31:31" ht="12.75" customHeight="1" x14ac:dyDescent="0.15">
      <c r="AE4606" s="13"/>
    </row>
    <row r="4607" spans="31:31" ht="12.75" customHeight="1" x14ac:dyDescent="0.15">
      <c r="AE4607" s="13"/>
    </row>
    <row r="4608" spans="31:31" ht="12.75" customHeight="1" x14ac:dyDescent="0.15">
      <c r="AE4608" s="13"/>
    </row>
    <row r="4609" spans="31:31" ht="12.75" customHeight="1" x14ac:dyDescent="0.15">
      <c r="AE4609" s="13"/>
    </row>
    <row r="4610" spans="31:31" ht="12.75" customHeight="1" x14ac:dyDescent="0.15">
      <c r="AE4610" s="13"/>
    </row>
    <row r="4611" spans="31:31" ht="12.75" customHeight="1" x14ac:dyDescent="0.15">
      <c r="AE4611" s="13"/>
    </row>
    <row r="4612" spans="31:31" ht="12.75" customHeight="1" x14ac:dyDescent="0.15">
      <c r="AE4612" s="13"/>
    </row>
    <row r="4613" spans="31:31" ht="12.75" customHeight="1" x14ac:dyDescent="0.15">
      <c r="AE4613" s="13"/>
    </row>
    <row r="4614" spans="31:31" ht="12.75" customHeight="1" x14ac:dyDescent="0.15">
      <c r="AE4614" s="13"/>
    </row>
    <row r="4615" spans="31:31" ht="12.75" customHeight="1" x14ac:dyDescent="0.15">
      <c r="AE4615" s="13"/>
    </row>
    <row r="4616" spans="31:31" ht="12.75" customHeight="1" x14ac:dyDescent="0.15">
      <c r="AE4616" s="13"/>
    </row>
    <row r="4617" spans="31:31" ht="12.75" customHeight="1" x14ac:dyDescent="0.15">
      <c r="AE4617" s="13"/>
    </row>
    <row r="4618" spans="31:31" ht="12.75" customHeight="1" x14ac:dyDescent="0.15">
      <c r="AE4618" s="13"/>
    </row>
    <row r="4619" spans="31:31" ht="12.75" customHeight="1" x14ac:dyDescent="0.15">
      <c r="AE4619" s="13"/>
    </row>
    <row r="4620" spans="31:31" ht="12.75" customHeight="1" x14ac:dyDescent="0.15">
      <c r="AE4620" s="13"/>
    </row>
    <row r="4621" spans="31:31" ht="12.75" customHeight="1" x14ac:dyDescent="0.15">
      <c r="AE4621" s="13"/>
    </row>
    <row r="4622" spans="31:31" ht="12.75" customHeight="1" x14ac:dyDescent="0.15">
      <c r="AE4622" s="13"/>
    </row>
    <row r="4623" spans="31:31" ht="12.75" customHeight="1" x14ac:dyDescent="0.15">
      <c r="AE4623" s="13"/>
    </row>
    <row r="4624" spans="31:31" ht="12.75" customHeight="1" x14ac:dyDescent="0.15">
      <c r="AE4624" s="13"/>
    </row>
    <row r="4625" spans="31:31" ht="12.75" customHeight="1" x14ac:dyDescent="0.15">
      <c r="AE4625" s="13"/>
    </row>
    <row r="4626" spans="31:31" ht="12.75" customHeight="1" x14ac:dyDescent="0.15">
      <c r="AE4626" s="13"/>
    </row>
    <row r="4627" spans="31:31" ht="12.75" customHeight="1" x14ac:dyDescent="0.15">
      <c r="AE4627" s="13"/>
    </row>
    <row r="4628" spans="31:31" ht="12.75" customHeight="1" x14ac:dyDescent="0.15">
      <c r="AE4628" s="13"/>
    </row>
    <row r="4629" spans="31:31" ht="12.75" customHeight="1" x14ac:dyDescent="0.15">
      <c r="AE4629" s="13"/>
    </row>
    <row r="4630" spans="31:31" ht="12.75" customHeight="1" x14ac:dyDescent="0.15">
      <c r="AE4630" s="13"/>
    </row>
    <row r="4631" spans="31:31" ht="12.75" customHeight="1" x14ac:dyDescent="0.15">
      <c r="AE4631" s="13"/>
    </row>
    <row r="4632" spans="31:31" ht="12.75" customHeight="1" x14ac:dyDescent="0.15">
      <c r="AE4632" s="13"/>
    </row>
    <row r="4633" spans="31:31" ht="12.75" customHeight="1" x14ac:dyDescent="0.15">
      <c r="AE4633" s="13"/>
    </row>
    <row r="4634" spans="31:31" ht="12.75" customHeight="1" x14ac:dyDescent="0.15">
      <c r="AE4634" s="13"/>
    </row>
    <row r="4635" spans="31:31" ht="12.75" customHeight="1" x14ac:dyDescent="0.15">
      <c r="AE4635" s="13"/>
    </row>
    <row r="4636" spans="31:31" ht="12.75" customHeight="1" x14ac:dyDescent="0.15">
      <c r="AE4636" s="13"/>
    </row>
    <row r="4637" spans="31:31" ht="12.75" customHeight="1" x14ac:dyDescent="0.15">
      <c r="AE4637" s="13"/>
    </row>
    <row r="4638" spans="31:31" ht="12.75" customHeight="1" x14ac:dyDescent="0.15">
      <c r="AE4638" s="13"/>
    </row>
    <row r="4639" spans="31:31" ht="12.75" customHeight="1" x14ac:dyDescent="0.15">
      <c r="AE4639" s="13"/>
    </row>
    <row r="4640" spans="31:31" ht="12.75" customHeight="1" x14ac:dyDescent="0.15">
      <c r="AE4640" s="13"/>
    </row>
    <row r="4641" spans="31:31" ht="12.75" customHeight="1" x14ac:dyDescent="0.15">
      <c r="AE4641" s="13"/>
    </row>
    <row r="4642" spans="31:31" ht="12.75" customHeight="1" x14ac:dyDescent="0.15">
      <c r="AE4642" s="13"/>
    </row>
    <row r="4643" spans="31:31" ht="12.75" customHeight="1" x14ac:dyDescent="0.15">
      <c r="AE4643" s="13"/>
    </row>
    <row r="4644" spans="31:31" ht="12.75" customHeight="1" x14ac:dyDescent="0.15">
      <c r="AE4644" s="13"/>
    </row>
    <row r="4645" spans="31:31" ht="12.75" customHeight="1" x14ac:dyDescent="0.15">
      <c r="AE4645" s="13"/>
    </row>
    <row r="4646" spans="31:31" ht="12.75" customHeight="1" x14ac:dyDescent="0.15">
      <c r="AE4646" s="13"/>
    </row>
    <row r="4647" spans="31:31" ht="12.75" customHeight="1" x14ac:dyDescent="0.15">
      <c r="AE4647" s="13"/>
    </row>
    <row r="4648" spans="31:31" ht="12.75" customHeight="1" x14ac:dyDescent="0.15">
      <c r="AE4648" s="13"/>
    </row>
    <row r="4649" spans="31:31" ht="12.75" customHeight="1" x14ac:dyDescent="0.15">
      <c r="AE4649" s="13"/>
    </row>
    <row r="4650" spans="31:31" ht="12.75" customHeight="1" x14ac:dyDescent="0.15">
      <c r="AE4650" s="13"/>
    </row>
    <row r="4651" spans="31:31" ht="12.75" customHeight="1" x14ac:dyDescent="0.15">
      <c r="AE4651" s="13"/>
    </row>
    <row r="4652" spans="31:31" ht="12.75" customHeight="1" x14ac:dyDescent="0.15">
      <c r="AE4652" s="13"/>
    </row>
    <row r="4653" spans="31:31" ht="12.75" customHeight="1" x14ac:dyDescent="0.15">
      <c r="AE4653" s="13"/>
    </row>
    <row r="4654" spans="31:31" ht="12.75" customHeight="1" x14ac:dyDescent="0.15">
      <c r="AE4654" s="13"/>
    </row>
    <row r="4655" spans="31:31" ht="12.75" customHeight="1" x14ac:dyDescent="0.15">
      <c r="AE4655" s="13"/>
    </row>
    <row r="4656" spans="31:31" ht="12.75" customHeight="1" x14ac:dyDescent="0.15">
      <c r="AE4656" s="13"/>
    </row>
    <row r="4657" spans="31:31" ht="12.75" customHeight="1" x14ac:dyDescent="0.15">
      <c r="AE4657" s="13"/>
    </row>
    <row r="4658" spans="31:31" ht="12.75" customHeight="1" x14ac:dyDescent="0.15">
      <c r="AE4658" s="13"/>
    </row>
    <row r="4659" spans="31:31" ht="12.75" customHeight="1" x14ac:dyDescent="0.15">
      <c r="AE4659" s="13"/>
    </row>
    <row r="4660" spans="31:31" ht="12.75" customHeight="1" x14ac:dyDescent="0.15">
      <c r="AE4660" s="13"/>
    </row>
    <row r="4661" spans="31:31" ht="12.75" customHeight="1" x14ac:dyDescent="0.15">
      <c r="AE4661" s="13"/>
    </row>
    <row r="4662" spans="31:31" ht="12.75" customHeight="1" x14ac:dyDescent="0.15">
      <c r="AE4662" s="13"/>
    </row>
    <row r="4663" spans="31:31" ht="12.75" customHeight="1" x14ac:dyDescent="0.15">
      <c r="AE4663" s="13"/>
    </row>
    <row r="4664" spans="31:31" ht="12.75" customHeight="1" x14ac:dyDescent="0.15">
      <c r="AE4664" s="13"/>
    </row>
    <row r="4665" spans="31:31" ht="12.75" customHeight="1" x14ac:dyDescent="0.15">
      <c r="AE4665" s="13"/>
    </row>
    <row r="4666" spans="31:31" ht="12.75" customHeight="1" x14ac:dyDescent="0.15">
      <c r="AE4666" s="13"/>
    </row>
    <row r="4667" spans="31:31" ht="12.75" customHeight="1" x14ac:dyDescent="0.15">
      <c r="AE4667" s="13"/>
    </row>
    <row r="4668" spans="31:31" ht="12.75" customHeight="1" x14ac:dyDescent="0.15">
      <c r="AE4668" s="13"/>
    </row>
    <row r="4669" spans="31:31" ht="12.75" customHeight="1" x14ac:dyDescent="0.15">
      <c r="AE4669" s="13"/>
    </row>
    <row r="4670" spans="31:31" ht="12.75" customHeight="1" x14ac:dyDescent="0.15">
      <c r="AE4670" s="13"/>
    </row>
    <row r="4671" spans="31:31" ht="12.75" customHeight="1" x14ac:dyDescent="0.15">
      <c r="AE4671" s="13"/>
    </row>
    <row r="4672" spans="31:31" ht="12.75" customHeight="1" x14ac:dyDescent="0.15">
      <c r="AE4672" s="13"/>
    </row>
    <row r="4673" spans="31:31" ht="12.75" customHeight="1" x14ac:dyDescent="0.15">
      <c r="AE4673" s="13"/>
    </row>
    <row r="4674" spans="31:31" ht="12.75" customHeight="1" x14ac:dyDescent="0.15">
      <c r="AE4674" s="13"/>
    </row>
    <row r="4675" spans="31:31" ht="12.75" customHeight="1" x14ac:dyDescent="0.15">
      <c r="AE4675" s="13"/>
    </row>
    <row r="4676" spans="31:31" ht="12.75" customHeight="1" x14ac:dyDescent="0.15">
      <c r="AE4676" s="13"/>
    </row>
    <row r="4677" spans="31:31" ht="12.75" customHeight="1" x14ac:dyDescent="0.15">
      <c r="AE4677" s="13"/>
    </row>
    <row r="4678" spans="31:31" ht="12.75" customHeight="1" x14ac:dyDescent="0.15">
      <c r="AE4678" s="13"/>
    </row>
    <row r="4679" spans="31:31" ht="12.75" customHeight="1" x14ac:dyDescent="0.15">
      <c r="AE4679" s="13"/>
    </row>
    <row r="4680" spans="31:31" ht="12.75" customHeight="1" x14ac:dyDescent="0.15">
      <c r="AE4680" s="13"/>
    </row>
    <row r="4681" spans="31:31" ht="12.75" customHeight="1" x14ac:dyDescent="0.15">
      <c r="AE4681" s="13"/>
    </row>
    <row r="4682" spans="31:31" ht="12.75" customHeight="1" x14ac:dyDescent="0.15">
      <c r="AE4682" s="13"/>
    </row>
    <row r="4683" spans="31:31" ht="12.75" customHeight="1" x14ac:dyDescent="0.15">
      <c r="AE4683" s="13"/>
    </row>
    <row r="4684" spans="31:31" ht="12.75" customHeight="1" x14ac:dyDescent="0.15">
      <c r="AE4684" s="13"/>
    </row>
    <row r="4685" spans="31:31" ht="12.75" customHeight="1" x14ac:dyDescent="0.15">
      <c r="AE4685" s="13"/>
    </row>
    <row r="4686" spans="31:31" ht="12.75" customHeight="1" x14ac:dyDescent="0.15">
      <c r="AE4686" s="13"/>
    </row>
    <row r="4687" spans="31:31" ht="12.75" customHeight="1" x14ac:dyDescent="0.15">
      <c r="AE4687" s="13"/>
    </row>
    <row r="4688" spans="31:31" ht="12.75" customHeight="1" x14ac:dyDescent="0.15">
      <c r="AE4688" s="13"/>
    </row>
    <row r="4689" spans="31:31" ht="12.75" customHeight="1" x14ac:dyDescent="0.15">
      <c r="AE4689" s="13"/>
    </row>
    <row r="4690" spans="31:31" ht="12.75" customHeight="1" x14ac:dyDescent="0.15">
      <c r="AE4690" s="13"/>
    </row>
    <row r="4691" spans="31:31" ht="12.75" customHeight="1" x14ac:dyDescent="0.15">
      <c r="AE4691" s="13"/>
    </row>
    <row r="4692" spans="31:31" ht="12.75" customHeight="1" x14ac:dyDescent="0.15">
      <c r="AE4692" s="13"/>
    </row>
    <row r="4693" spans="31:31" ht="12.75" customHeight="1" x14ac:dyDescent="0.15">
      <c r="AE4693" s="13"/>
    </row>
    <row r="4694" spans="31:31" ht="12.75" customHeight="1" x14ac:dyDescent="0.15">
      <c r="AE4694" s="13"/>
    </row>
    <row r="4695" spans="31:31" ht="12.75" customHeight="1" x14ac:dyDescent="0.15">
      <c r="AE4695" s="13"/>
    </row>
    <row r="4696" spans="31:31" ht="12.75" customHeight="1" x14ac:dyDescent="0.15">
      <c r="AE4696" s="13"/>
    </row>
    <row r="4697" spans="31:31" ht="12.75" customHeight="1" x14ac:dyDescent="0.15">
      <c r="AE4697" s="13"/>
    </row>
    <row r="4698" spans="31:31" ht="12.75" customHeight="1" x14ac:dyDescent="0.15">
      <c r="AE4698" s="13"/>
    </row>
    <row r="4699" spans="31:31" ht="12.75" customHeight="1" x14ac:dyDescent="0.15">
      <c r="AE4699" s="13"/>
    </row>
    <row r="4700" spans="31:31" ht="12.75" customHeight="1" x14ac:dyDescent="0.15">
      <c r="AE4700" s="13"/>
    </row>
    <row r="4701" spans="31:31" ht="12.75" customHeight="1" x14ac:dyDescent="0.15">
      <c r="AE4701" s="13"/>
    </row>
    <row r="4702" spans="31:31" ht="12.75" customHeight="1" x14ac:dyDescent="0.15">
      <c r="AE4702" s="13"/>
    </row>
    <row r="4703" spans="31:31" ht="12.75" customHeight="1" x14ac:dyDescent="0.15">
      <c r="AE4703" s="13"/>
    </row>
    <row r="4704" spans="31:31" ht="12.75" customHeight="1" x14ac:dyDescent="0.15">
      <c r="AE4704" s="13"/>
    </row>
    <row r="4705" spans="31:31" ht="12.75" customHeight="1" x14ac:dyDescent="0.15">
      <c r="AE4705" s="13"/>
    </row>
    <row r="4706" spans="31:31" ht="12.75" customHeight="1" x14ac:dyDescent="0.15">
      <c r="AE4706" s="13"/>
    </row>
    <row r="4707" spans="31:31" ht="12.75" customHeight="1" x14ac:dyDescent="0.15">
      <c r="AE4707" s="13"/>
    </row>
    <row r="4708" spans="31:31" ht="12.75" customHeight="1" x14ac:dyDescent="0.15">
      <c r="AE4708" s="13"/>
    </row>
    <row r="4709" spans="31:31" ht="12.75" customHeight="1" x14ac:dyDescent="0.15">
      <c r="AE4709" s="13"/>
    </row>
    <row r="4710" spans="31:31" ht="12.75" customHeight="1" x14ac:dyDescent="0.15">
      <c r="AE4710" s="13"/>
    </row>
    <row r="4711" spans="31:31" ht="12.75" customHeight="1" x14ac:dyDescent="0.15">
      <c r="AE4711" s="13"/>
    </row>
    <row r="4712" spans="31:31" ht="12.75" customHeight="1" x14ac:dyDescent="0.15">
      <c r="AE4712" s="13"/>
    </row>
    <row r="4713" spans="31:31" ht="12.75" customHeight="1" x14ac:dyDescent="0.15">
      <c r="AE4713" s="13"/>
    </row>
    <row r="4714" spans="31:31" ht="12.75" customHeight="1" x14ac:dyDescent="0.15">
      <c r="AE4714" s="13"/>
    </row>
    <row r="4715" spans="31:31" ht="12.75" customHeight="1" x14ac:dyDescent="0.15">
      <c r="AE4715" s="13"/>
    </row>
    <row r="4716" spans="31:31" ht="12.75" customHeight="1" x14ac:dyDescent="0.15">
      <c r="AE4716" s="13"/>
    </row>
    <row r="4717" spans="31:31" ht="12.75" customHeight="1" x14ac:dyDescent="0.15">
      <c r="AE4717" s="13"/>
    </row>
    <row r="4718" spans="31:31" ht="12.75" customHeight="1" x14ac:dyDescent="0.15">
      <c r="AE4718" s="13"/>
    </row>
    <row r="4719" spans="31:31" ht="12.75" customHeight="1" x14ac:dyDescent="0.15">
      <c r="AE4719" s="13"/>
    </row>
    <row r="4720" spans="31:31" ht="12.75" customHeight="1" x14ac:dyDescent="0.15">
      <c r="AE4720" s="13"/>
    </row>
    <row r="4721" spans="31:31" ht="12.75" customHeight="1" x14ac:dyDescent="0.15">
      <c r="AE4721" s="13"/>
    </row>
    <row r="4722" spans="31:31" ht="12.75" customHeight="1" x14ac:dyDescent="0.15">
      <c r="AE4722" s="13"/>
    </row>
    <row r="4723" spans="31:31" ht="12.75" customHeight="1" x14ac:dyDescent="0.15">
      <c r="AE4723" s="13"/>
    </row>
    <row r="4724" spans="31:31" ht="12.75" customHeight="1" x14ac:dyDescent="0.15">
      <c r="AE4724" s="13"/>
    </row>
    <row r="4725" spans="31:31" ht="12.75" customHeight="1" x14ac:dyDescent="0.15">
      <c r="AE4725" s="13"/>
    </row>
    <row r="4726" spans="31:31" ht="12.75" customHeight="1" x14ac:dyDescent="0.15">
      <c r="AE4726" s="13"/>
    </row>
    <row r="4727" spans="31:31" ht="12.75" customHeight="1" x14ac:dyDescent="0.15">
      <c r="AE4727" s="13"/>
    </row>
    <row r="4728" spans="31:31" ht="12.75" customHeight="1" x14ac:dyDescent="0.15">
      <c r="AE4728" s="13"/>
    </row>
    <row r="4729" spans="31:31" ht="12.75" customHeight="1" x14ac:dyDescent="0.15">
      <c r="AE4729" s="13"/>
    </row>
    <row r="4730" spans="31:31" ht="12.75" customHeight="1" x14ac:dyDescent="0.15">
      <c r="AE4730" s="13"/>
    </row>
    <row r="4731" spans="31:31" ht="12.75" customHeight="1" x14ac:dyDescent="0.15">
      <c r="AE4731" s="13"/>
    </row>
    <row r="4732" spans="31:31" ht="12.75" customHeight="1" x14ac:dyDescent="0.15">
      <c r="AE4732" s="13"/>
    </row>
    <row r="4733" spans="31:31" ht="12.75" customHeight="1" x14ac:dyDescent="0.15">
      <c r="AE4733" s="13"/>
    </row>
    <row r="4734" spans="31:31" ht="12.75" customHeight="1" x14ac:dyDescent="0.15">
      <c r="AE4734" s="13"/>
    </row>
    <row r="4735" spans="31:31" ht="12.75" customHeight="1" x14ac:dyDescent="0.15">
      <c r="AE4735" s="13"/>
    </row>
    <row r="4736" spans="31:31" ht="12.75" customHeight="1" x14ac:dyDescent="0.15">
      <c r="AE4736" s="13"/>
    </row>
    <row r="4737" spans="31:31" ht="12.75" customHeight="1" x14ac:dyDescent="0.15">
      <c r="AE4737" s="13"/>
    </row>
    <row r="4738" spans="31:31" ht="12.75" customHeight="1" x14ac:dyDescent="0.15">
      <c r="AE4738" s="13"/>
    </row>
    <row r="4739" spans="31:31" ht="12.75" customHeight="1" x14ac:dyDescent="0.15">
      <c r="AE4739" s="13"/>
    </row>
    <row r="4740" spans="31:31" ht="12.75" customHeight="1" x14ac:dyDescent="0.15">
      <c r="AE4740" s="13"/>
    </row>
    <row r="4741" spans="31:31" ht="12.75" customHeight="1" x14ac:dyDescent="0.15">
      <c r="AE4741" s="13"/>
    </row>
    <row r="4742" spans="31:31" ht="12.75" customHeight="1" x14ac:dyDescent="0.15">
      <c r="AE4742" s="13"/>
    </row>
    <row r="4743" spans="31:31" ht="12.75" customHeight="1" x14ac:dyDescent="0.15">
      <c r="AE4743" s="13"/>
    </row>
    <row r="4744" spans="31:31" ht="12.75" customHeight="1" x14ac:dyDescent="0.15">
      <c r="AE4744" s="13"/>
    </row>
    <row r="4745" spans="31:31" ht="12.75" customHeight="1" x14ac:dyDescent="0.15">
      <c r="AE4745" s="13"/>
    </row>
    <row r="4746" spans="31:31" ht="12.75" customHeight="1" x14ac:dyDescent="0.15">
      <c r="AE4746" s="13"/>
    </row>
    <row r="4747" spans="31:31" ht="12.75" customHeight="1" x14ac:dyDescent="0.15">
      <c r="AE4747" s="13"/>
    </row>
    <row r="4748" spans="31:31" ht="12.75" customHeight="1" x14ac:dyDescent="0.15">
      <c r="AE4748" s="13"/>
    </row>
    <row r="4749" spans="31:31" ht="12.75" customHeight="1" x14ac:dyDescent="0.15">
      <c r="AE4749" s="13"/>
    </row>
    <row r="4750" spans="31:31" ht="12.75" customHeight="1" x14ac:dyDescent="0.15">
      <c r="AE4750" s="13"/>
    </row>
    <row r="4751" spans="31:31" ht="12.75" customHeight="1" x14ac:dyDescent="0.15">
      <c r="AE4751" s="13"/>
    </row>
    <row r="4752" spans="31:31" ht="12.75" customHeight="1" x14ac:dyDescent="0.15">
      <c r="AE4752" s="13"/>
    </row>
    <row r="4753" spans="31:31" ht="12.75" customHeight="1" x14ac:dyDescent="0.15">
      <c r="AE4753" s="13"/>
    </row>
    <row r="4754" spans="31:31" ht="12.75" customHeight="1" x14ac:dyDescent="0.15">
      <c r="AE4754" s="13"/>
    </row>
    <row r="4755" spans="31:31" ht="12.75" customHeight="1" x14ac:dyDescent="0.15">
      <c r="AE4755" s="13"/>
    </row>
    <row r="4756" spans="31:31" ht="12.75" customHeight="1" x14ac:dyDescent="0.15">
      <c r="AE4756" s="13"/>
    </row>
    <row r="4757" spans="31:31" ht="12.75" customHeight="1" x14ac:dyDescent="0.15">
      <c r="AE4757" s="13"/>
    </row>
    <row r="4758" spans="31:31" ht="12.75" customHeight="1" x14ac:dyDescent="0.15">
      <c r="AE4758" s="13"/>
    </row>
    <row r="4759" spans="31:31" ht="12.75" customHeight="1" x14ac:dyDescent="0.15">
      <c r="AE4759" s="13"/>
    </row>
    <row r="4760" spans="31:31" ht="12.75" customHeight="1" x14ac:dyDescent="0.15">
      <c r="AE4760" s="13"/>
    </row>
    <row r="4761" spans="31:31" ht="12.75" customHeight="1" x14ac:dyDescent="0.15">
      <c r="AE4761" s="13"/>
    </row>
    <row r="4762" spans="31:31" ht="12.75" customHeight="1" x14ac:dyDescent="0.15">
      <c r="AE4762" s="13"/>
    </row>
    <row r="4763" spans="31:31" ht="12.75" customHeight="1" x14ac:dyDescent="0.15">
      <c r="AE4763" s="13"/>
    </row>
    <row r="4764" spans="31:31" ht="12.75" customHeight="1" x14ac:dyDescent="0.15">
      <c r="AE4764" s="13"/>
    </row>
    <row r="4765" spans="31:31" ht="12.75" customHeight="1" x14ac:dyDescent="0.15">
      <c r="AE4765" s="13"/>
    </row>
    <row r="4766" spans="31:31" ht="12.75" customHeight="1" x14ac:dyDescent="0.15">
      <c r="AE4766" s="13"/>
    </row>
    <row r="4767" spans="31:31" ht="12.75" customHeight="1" x14ac:dyDescent="0.15">
      <c r="AE4767" s="13"/>
    </row>
    <row r="4768" spans="31:31" ht="12.75" customHeight="1" x14ac:dyDescent="0.15">
      <c r="AE4768" s="13"/>
    </row>
    <row r="4769" spans="31:31" ht="12.75" customHeight="1" x14ac:dyDescent="0.15">
      <c r="AE4769" s="13"/>
    </row>
    <row r="4770" spans="31:31" ht="12.75" customHeight="1" x14ac:dyDescent="0.15">
      <c r="AE4770" s="13"/>
    </row>
    <row r="4771" spans="31:31" ht="12.75" customHeight="1" x14ac:dyDescent="0.15">
      <c r="AE4771" s="13"/>
    </row>
    <row r="4772" spans="31:31" ht="12.75" customHeight="1" x14ac:dyDescent="0.15">
      <c r="AE4772" s="13"/>
    </row>
    <row r="4773" spans="31:31" ht="12.75" customHeight="1" x14ac:dyDescent="0.15">
      <c r="AE4773" s="13"/>
    </row>
    <row r="4774" spans="31:31" ht="12.75" customHeight="1" x14ac:dyDescent="0.15">
      <c r="AE4774" s="13"/>
    </row>
    <row r="4775" spans="31:31" ht="12.75" customHeight="1" x14ac:dyDescent="0.15">
      <c r="AE4775" s="13"/>
    </row>
    <row r="4776" spans="31:31" ht="12.75" customHeight="1" x14ac:dyDescent="0.15">
      <c r="AE4776" s="13"/>
    </row>
    <row r="4777" spans="31:31" ht="12.75" customHeight="1" x14ac:dyDescent="0.15">
      <c r="AE4777" s="13"/>
    </row>
    <row r="4778" spans="31:31" ht="12.75" customHeight="1" x14ac:dyDescent="0.15">
      <c r="AE4778" s="13"/>
    </row>
    <row r="4779" spans="31:31" ht="12.75" customHeight="1" x14ac:dyDescent="0.15">
      <c r="AE4779" s="13"/>
    </row>
    <row r="4780" spans="31:31" ht="12.75" customHeight="1" x14ac:dyDescent="0.15">
      <c r="AE4780" s="13"/>
    </row>
    <row r="4781" spans="31:31" ht="12.75" customHeight="1" x14ac:dyDescent="0.15">
      <c r="AE4781" s="13"/>
    </row>
    <row r="4782" spans="31:31" ht="12.75" customHeight="1" x14ac:dyDescent="0.15">
      <c r="AE4782" s="13"/>
    </row>
    <row r="4783" spans="31:31" ht="12.75" customHeight="1" x14ac:dyDescent="0.15">
      <c r="AE4783" s="13"/>
    </row>
    <row r="4784" spans="31:31" ht="12.75" customHeight="1" x14ac:dyDescent="0.15">
      <c r="AE4784" s="13"/>
    </row>
    <row r="4785" spans="31:31" ht="12.75" customHeight="1" x14ac:dyDescent="0.15">
      <c r="AE4785" s="13"/>
    </row>
    <row r="4786" spans="31:31" ht="12.75" customHeight="1" x14ac:dyDescent="0.15">
      <c r="AE4786" s="13"/>
    </row>
    <row r="4787" spans="31:31" ht="12.75" customHeight="1" x14ac:dyDescent="0.15">
      <c r="AE4787" s="13"/>
    </row>
    <row r="4788" spans="31:31" ht="12.75" customHeight="1" x14ac:dyDescent="0.15">
      <c r="AE4788" s="13"/>
    </row>
    <row r="4789" spans="31:31" ht="12.75" customHeight="1" x14ac:dyDescent="0.15">
      <c r="AE4789" s="13"/>
    </row>
    <row r="4790" spans="31:31" ht="12.75" customHeight="1" x14ac:dyDescent="0.15">
      <c r="AE4790" s="13"/>
    </row>
    <row r="4791" spans="31:31" ht="12.75" customHeight="1" x14ac:dyDescent="0.15">
      <c r="AE4791" s="13"/>
    </row>
    <row r="4792" spans="31:31" ht="12.75" customHeight="1" x14ac:dyDescent="0.15">
      <c r="AE4792" s="13"/>
    </row>
    <row r="4793" spans="31:31" ht="12.75" customHeight="1" x14ac:dyDescent="0.15">
      <c r="AE4793" s="13"/>
    </row>
    <row r="4794" spans="31:31" ht="12.75" customHeight="1" x14ac:dyDescent="0.15">
      <c r="AE4794" s="13"/>
    </row>
    <row r="4795" spans="31:31" ht="12.75" customHeight="1" x14ac:dyDescent="0.15">
      <c r="AE4795" s="13"/>
    </row>
    <row r="4796" spans="31:31" ht="12.75" customHeight="1" x14ac:dyDescent="0.15">
      <c r="AE4796" s="13"/>
    </row>
    <row r="4797" spans="31:31" ht="12.75" customHeight="1" x14ac:dyDescent="0.15">
      <c r="AE4797" s="13"/>
    </row>
    <row r="4798" spans="31:31" ht="12.75" customHeight="1" x14ac:dyDescent="0.15">
      <c r="AE4798" s="13"/>
    </row>
    <row r="4799" spans="31:31" ht="12.75" customHeight="1" x14ac:dyDescent="0.15">
      <c r="AE4799" s="13"/>
    </row>
    <row r="4800" spans="31:31" ht="12.75" customHeight="1" x14ac:dyDescent="0.15">
      <c r="AE4800" s="13"/>
    </row>
    <row r="4801" spans="31:31" ht="12.75" customHeight="1" x14ac:dyDescent="0.15">
      <c r="AE4801" s="13"/>
    </row>
    <row r="4802" spans="31:31" ht="12.75" customHeight="1" x14ac:dyDescent="0.15">
      <c r="AE4802" s="13"/>
    </row>
    <row r="4803" spans="31:31" ht="12.75" customHeight="1" x14ac:dyDescent="0.15">
      <c r="AE4803" s="13"/>
    </row>
    <row r="4804" spans="31:31" ht="12.75" customHeight="1" x14ac:dyDescent="0.15">
      <c r="AE4804" s="13"/>
    </row>
    <row r="4805" spans="31:31" ht="12.75" customHeight="1" x14ac:dyDescent="0.15">
      <c r="AE4805" s="13"/>
    </row>
    <row r="4806" spans="31:31" ht="12.75" customHeight="1" x14ac:dyDescent="0.15">
      <c r="AE4806" s="13"/>
    </row>
    <row r="4807" spans="31:31" ht="12.75" customHeight="1" x14ac:dyDescent="0.15">
      <c r="AE4807" s="13"/>
    </row>
    <row r="4808" spans="31:31" ht="12.75" customHeight="1" x14ac:dyDescent="0.15">
      <c r="AE4808" s="13"/>
    </row>
    <row r="4809" spans="31:31" ht="12.75" customHeight="1" x14ac:dyDescent="0.15">
      <c r="AE4809" s="13"/>
    </row>
    <row r="4810" spans="31:31" ht="12.75" customHeight="1" x14ac:dyDescent="0.15">
      <c r="AE4810" s="13"/>
    </row>
    <row r="4811" spans="31:31" ht="12.75" customHeight="1" x14ac:dyDescent="0.15">
      <c r="AE4811" s="13"/>
    </row>
    <row r="4812" spans="31:31" ht="12.75" customHeight="1" x14ac:dyDescent="0.15">
      <c r="AE4812" s="13"/>
    </row>
    <row r="4813" spans="31:31" ht="12.75" customHeight="1" x14ac:dyDescent="0.15">
      <c r="AE4813" s="13"/>
    </row>
    <row r="4814" spans="31:31" ht="12.75" customHeight="1" x14ac:dyDescent="0.15">
      <c r="AE4814" s="13"/>
    </row>
    <row r="4815" spans="31:31" ht="12.75" customHeight="1" x14ac:dyDescent="0.15">
      <c r="AE4815" s="13"/>
    </row>
    <row r="4816" spans="31:31" ht="12.75" customHeight="1" x14ac:dyDescent="0.15">
      <c r="AE4816" s="13"/>
    </row>
    <row r="4817" spans="31:31" ht="12.75" customHeight="1" x14ac:dyDescent="0.15">
      <c r="AE4817" s="13"/>
    </row>
    <row r="4818" spans="31:31" ht="12.75" customHeight="1" x14ac:dyDescent="0.15">
      <c r="AE4818" s="13"/>
    </row>
    <row r="4819" spans="31:31" ht="12.75" customHeight="1" x14ac:dyDescent="0.15">
      <c r="AE4819" s="13"/>
    </row>
    <row r="4820" spans="31:31" ht="12.75" customHeight="1" x14ac:dyDescent="0.15">
      <c r="AE4820" s="13"/>
    </row>
    <row r="4821" spans="31:31" ht="12.75" customHeight="1" x14ac:dyDescent="0.15">
      <c r="AE4821" s="13"/>
    </row>
    <row r="4822" spans="31:31" ht="12.75" customHeight="1" x14ac:dyDescent="0.15">
      <c r="AE4822" s="13"/>
    </row>
    <row r="4823" spans="31:31" ht="12.75" customHeight="1" x14ac:dyDescent="0.15">
      <c r="AE4823" s="13"/>
    </row>
    <row r="4824" spans="31:31" ht="12.75" customHeight="1" x14ac:dyDescent="0.15">
      <c r="AE4824" s="13"/>
    </row>
    <row r="4825" spans="31:31" ht="12.75" customHeight="1" x14ac:dyDescent="0.15">
      <c r="AE4825" s="13"/>
    </row>
    <row r="4826" spans="31:31" ht="12.75" customHeight="1" x14ac:dyDescent="0.15">
      <c r="AE4826" s="13"/>
    </row>
    <row r="4827" spans="31:31" ht="12.75" customHeight="1" x14ac:dyDescent="0.15">
      <c r="AE4827" s="13"/>
    </row>
    <row r="4828" spans="31:31" ht="12.75" customHeight="1" x14ac:dyDescent="0.15">
      <c r="AE4828" s="13"/>
    </row>
    <row r="4829" spans="31:31" ht="12.75" customHeight="1" x14ac:dyDescent="0.15">
      <c r="AE4829" s="13"/>
    </row>
    <row r="4830" spans="31:31" ht="12.75" customHeight="1" x14ac:dyDescent="0.15">
      <c r="AE4830" s="13"/>
    </row>
    <row r="4831" spans="31:31" ht="12.75" customHeight="1" x14ac:dyDescent="0.15">
      <c r="AE4831" s="13"/>
    </row>
    <row r="4832" spans="31:31" ht="12.75" customHeight="1" x14ac:dyDescent="0.15">
      <c r="AE4832" s="13"/>
    </row>
    <row r="4833" spans="31:31" ht="12.75" customHeight="1" x14ac:dyDescent="0.15">
      <c r="AE4833" s="13"/>
    </row>
    <row r="4834" spans="31:31" ht="12.75" customHeight="1" x14ac:dyDescent="0.15">
      <c r="AE4834" s="13"/>
    </row>
    <row r="4835" spans="31:31" ht="12.75" customHeight="1" x14ac:dyDescent="0.15">
      <c r="AE4835" s="13"/>
    </row>
    <row r="4836" spans="31:31" ht="12.75" customHeight="1" x14ac:dyDescent="0.15">
      <c r="AE4836" s="13"/>
    </row>
    <row r="4837" spans="31:31" ht="12.75" customHeight="1" x14ac:dyDescent="0.15">
      <c r="AE4837" s="13"/>
    </row>
    <row r="4838" spans="31:31" ht="12.75" customHeight="1" x14ac:dyDescent="0.15">
      <c r="AE4838" s="13"/>
    </row>
    <row r="4839" spans="31:31" ht="12.75" customHeight="1" x14ac:dyDescent="0.15">
      <c r="AE4839" s="13"/>
    </row>
    <row r="4840" spans="31:31" ht="12.75" customHeight="1" x14ac:dyDescent="0.15">
      <c r="AE4840" s="13"/>
    </row>
    <row r="4841" spans="31:31" ht="12.75" customHeight="1" x14ac:dyDescent="0.15">
      <c r="AE4841" s="13"/>
    </row>
    <row r="4842" spans="31:31" ht="12.75" customHeight="1" x14ac:dyDescent="0.15">
      <c r="AE4842" s="13"/>
    </row>
    <row r="4843" spans="31:31" ht="12.75" customHeight="1" x14ac:dyDescent="0.15">
      <c r="AE4843" s="13"/>
    </row>
    <row r="4844" spans="31:31" ht="12.75" customHeight="1" x14ac:dyDescent="0.15">
      <c r="AE4844" s="13"/>
    </row>
    <row r="4845" spans="31:31" ht="12.75" customHeight="1" x14ac:dyDescent="0.15">
      <c r="AE4845" s="13"/>
    </row>
    <row r="4846" spans="31:31" ht="12.75" customHeight="1" x14ac:dyDescent="0.15">
      <c r="AE4846" s="13"/>
    </row>
    <row r="4847" spans="31:31" ht="12.75" customHeight="1" x14ac:dyDescent="0.15">
      <c r="AE4847" s="13"/>
    </row>
    <row r="4848" spans="31:31" ht="12.75" customHeight="1" x14ac:dyDescent="0.15">
      <c r="AE4848" s="13"/>
    </row>
    <row r="4849" spans="31:31" ht="12.75" customHeight="1" x14ac:dyDescent="0.15">
      <c r="AE4849" s="13"/>
    </row>
    <row r="4850" spans="31:31" ht="12.75" customHeight="1" x14ac:dyDescent="0.15">
      <c r="AE4850" s="13"/>
    </row>
    <row r="4851" spans="31:31" ht="12.75" customHeight="1" x14ac:dyDescent="0.15">
      <c r="AE4851" s="13"/>
    </row>
    <row r="4852" spans="31:31" ht="12.75" customHeight="1" x14ac:dyDescent="0.15">
      <c r="AE4852" s="13"/>
    </row>
    <row r="4853" spans="31:31" ht="12.75" customHeight="1" x14ac:dyDescent="0.15">
      <c r="AE4853" s="13"/>
    </row>
    <row r="4854" spans="31:31" ht="12.75" customHeight="1" x14ac:dyDescent="0.15">
      <c r="AE4854" s="13"/>
    </row>
    <row r="4855" spans="31:31" ht="12.75" customHeight="1" x14ac:dyDescent="0.15">
      <c r="AE4855" s="13"/>
    </row>
    <row r="4856" spans="31:31" ht="12.75" customHeight="1" x14ac:dyDescent="0.15">
      <c r="AE4856" s="13"/>
    </row>
    <row r="4857" spans="31:31" ht="12.75" customHeight="1" x14ac:dyDescent="0.15">
      <c r="AE4857" s="13"/>
    </row>
    <row r="4858" spans="31:31" ht="12.75" customHeight="1" x14ac:dyDescent="0.15">
      <c r="AE4858" s="13"/>
    </row>
    <row r="4859" spans="31:31" ht="12.75" customHeight="1" x14ac:dyDescent="0.15">
      <c r="AE4859" s="13"/>
    </row>
    <row r="4860" spans="31:31" ht="12.75" customHeight="1" x14ac:dyDescent="0.15">
      <c r="AE4860" s="13"/>
    </row>
    <row r="4861" spans="31:31" ht="12.75" customHeight="1" x14ac:dyDescent="0.15">
      <c r="AE4861" s="13"/>
    </row>
    <row r="4862" spans="31:31" ht="12.75" customHeight="1" x14ac:dyDescent="0.15">
      <c r="AE4862" s="13"/>
    </row>
    <row r="4863" spans="31:31" ht="12.75" customHeight="1" x14ac:dyDescent="0.15">
      <c r="AE4863" s="13"/>
    </row>
    <row r="4864" spans="31:31" ht="12.75" customHeight="1" x14ac:dyDescent="0.15">
      <c r="AE4864" s="13"/>
    </row>
    <row r="4865" spans="31:31" ht="12.75" customHeight="1" x14ac:dyDescent="0.15">
      <c r="AE4865" s="13"/>
    </row>
    <row r="4866" spans="31:31" ht="12.75" customHeight="1" x14ac:dyDescent="0.15">
      <c r="AE4866" s="13"/>
    </row>
    <row r="4867" spans="31:31" ht="12.75" customHeight="1" x14ac:dyDescent="0.15">
      <c r="AE4867" s="13"/>
    </row>
    <row r="4868" spans="31:31" ht="12.75" customHeight="1" x14ac:dyDescent="0.15">
      <c r="AE4868" s="13"/>
    </row>
    <row r="4869" spans="31:31" ht="12.75" customHeight="1" x14ac:dyDescent="0.15">
      <c r="AE4869" s="13"/>
    </row>
    <row r="4870" spans="31:31" ht="12.75" customHeight="1" x14ac:dyDescent="0.15">
      <c r="AE4870" s="13"/>
    </row>
    <row r="4871" spans="31:31" ht="12.75" customHeight="1" x14ac:dyDescent="0.15">
      <c r="AE4871" s="13"/>
    </row>
    <row r="4872" spans="31:31" ht="12.75" customHeight="1" x14ac:dyDescent="0.15">
      <c r="AE4872" s="13"/>
    </row>
    <row r="4873" spans="31:31" ht="12.75" customHeight="1" x14ac:dyDescent="0.15">
      <c r="AE4873" s="13"/>
    </row>
    <row r="4874" spans="31:31" ht="12.75" customHeight="1" x14ac:dyDescent="0.15">
      <c r="AE4874" s="13"/>
    </row>
    <row r="4875" spans="31:31" ht="12.75" customHeight="1" x14ac:dyDescent="0.15">
      <c r="AE4875" s="13"/>
    </row>
    <row r="4876" spans="31:31" ht="12.75" customHeight="1" x14ac:dyDescent="0.15">
      <c r="AE4876" s="13"/>
    </row>
    <row r="4877" spans="31:31" ht="12.75" customHeight="1" x14ac:dyDescent="0.15">
      <c r="AE4877" s="13"/>
    </row>
    <row r="4878" spans="31:31" ht="12.75" customHeight="1" x14ac:dyDescent="0.15">
      <c r="AE4878" s="13"/>
    </row>
    <row r="4879" spans="31:31" ht="12.75" customHeight="1" x14ac:dyDescent="0.15">
      <c r="AE4879" s="13"/>
    </row>
    <row r="4880" spans="31:31" ht="12.75" customHeight="1" x14ac:dyDescent="0.15">
      <c r="AE4880" s="13"/>
    </row>
    <row r="4881" spans="31:31" ht="12.75" customHeight="1" x14ac:dyDescent="0.15">
      <c r="AE4881" s="13"/>
    </row>
    <row r="4882" spans="31:31" ht="12.75" customHeight="1" x14ac:dyDescent="0.15">
      <c r="AE4882" s="13"/>
    </row>
    <row r="4883" spans="31:31" ht="12.75" customHeight="1" x14ac:dyDescent="0.15">
      <c r="AE4883" s="13"/>
    </row>
    <row r="4884" spans="31:31" ht="12.75" customHeight="1" x14ac:dyDescent="0.15">
      <c r="AE4884" s="13"/>
    </row>
    <row r="4885" spans="31:31" ht="12.75" customHeight="1" x14ac:dyDescent="0.15">
      <c r="AE4885" s="13"/>
    </row>
    <row r="4886" spans="31:31" ht="12.75" customHeight="1" x14ac:dyDescent="0.15">
      <c r="AE4886" s="13"/>
    </row>
    <row r="4887" spans="31:31" ht="12.75" customHeight="1" x14ac:dyDescent="0.15">
      <c r="AE4887" s="13"/>
    </row>
    <row r="4888" spans="31:31" ht="12.75" customHeight="1" x14ac:dyDescent="0.15">
      <c r="AE4888" s="13"/>
    </row>
    <row r="4889" spans="31:31" ht="12.75" customHeight="1" x14ac:dyDescent="0.15">
      <c r="AE4889" s="13"/>
    </row>
    <row r="4890" spans="31:31" ht="12.75" customHeight="1" x14ac:dyDescent="0.15">
      <c r="AE4890" s="13"/>
    </row>
    <row r="4891" spans="31:31" ht="12.75" customHeight="1" x14ac:dyDescent="0.15">
      <c r="AE4891" s="13"/>
    </row>
    <row r="4892" spans="31:31" ht="12.75" customHeight="1" x14ac:dyDescent="0.15">
      <c r="AE4892" s="13"/>
    </row>
    <row r="4893" spans="31:31" ht="12.75" customHeight="1" x14ac:dyDescent="0.15">
      <c r="AE4893" s="13"/>
    </row>
    <row r="4894" spans="31:31" ht="12.75" customHeight="1" x14ac:dyDescent="0.15">
      <c r="AE4894" s="13"/>
    </row>
    <row r="4895" spans="31:31" ht="12.75" customHeight="1" x14ac:dyDescent="0.15">
      <c r="AE4895" s="13"/>
    </row>
    <row r="4896" spans="31:31" ht="12.75" customHeight="1" x14ac:dyDescent="0.15">
      <c r="AE4896" s="13"/>
    </row>
    <row r="4897" spans="31:31" ht="12.75" customHeight="1" x14ac:dyDescent="0.15">
      <c r="AE4897" s="13"/>
    </row>
    <row r="4898" spans="31:31" ht="12.75" customHeight="1" x14ac:dyDescent="0.15">
      <c r="AE4898" s="13"/>
    </row>
    <row r="4899" spans="31:31" ht="12.75" customHeight="1" x14ac:dyDescent="0.15">
      <c r="AE4899" s="13"/>
    </row>
    <row r="4900" spans="31:31" ht="12.75" customHeight="1" x14ac:dyDescent="0.15">
      <c r="AE4900" s="13"/>
    </row>
    <row r="4901" spans="31:31" ht="12.75" customHeight="1" x14ac:dyDescent="0.15">
      <c r="AE4901" s="13"/>
    </row>
    <row r="4902" spans="31:31" ht="12.75" customHeight="1" x14ac:dyDescent="0.15">
      <c r="AE4902" s="13"/>
    </row>
    <row r="4903" spans="31:31" ht="12.75" customHeight="1" x14ac:dyDescent="0.15">
      <c r="AE4903" s="13"/>
    </row>
    <row r="4904" spans="31:31" ht="12.75" customHeight="1" x14ac:dyDescent="0.15">
      <c r="AE4904" s="13"/>
    </row>
    <row r="4905" spans="31:31" ht="12.75" customHeight="1" x14ac:dyDescent="0.15">
      <c r="AE4905" s="13"/>
    </row>
    <row r="4906" spans="31:31" ht="12.75" customHeight="1" x14ac:dyDescent="0.15">
      <c r="AE4906" s="13"/>
    </row>
    <row r="4907" spans="31:31" ht="12.75" customHeight="1" x14ac:dyDescent="0.15">
      <c r="AE4907" s="13"/>
    </row>
    <row r="4908" spans="31:31" ht="12.75" customHeight="1" x14ac:dyDescent="0.15">
      <c r="AE4908" s="13"/>
    </row>
    <row r="4909" spans="31:31" ht="12.75" customHeight="1" x14ac:dyDescent="0.15">
      <c r="AE4909" s="13"/>
    </row>
    <row r="4910" spans="31:31" ht="12.75" customHeight="1" x14ac:dyDescent="0.15">
      <c r="AE4910" s="13"/>
    </row>
    <row r="4911" spans="31:31" ht="12.75" customHeight="1" x14ac:dyDescent="0.15">
      <c r="AE4911" s="13"/>
    </row>
    <row r="4912" spans="31:31" ht="12.75" customHeight="1" x14ac:dyDescent="0.15">
      <c r="AE4912" s="13"/>
    </row>
    <row r="4913" spans="31:31" ht="12.75" customHeight="1" x14ac:dyDescent="0.15">
      <c r="AE4913" s="13"/>
    </row>
    <row r="4914" spans="31:31" ht="12.75" customHeight="1" x14ac:dyDescent="0.15">
      <c r="AE4914" s="13"/>
    </row>
    <row r="4915" spans="31:31" ht="12.75" customHeight="1" x14ac:dyDescent="0.15">
      <c r="AE4915" s="13"/>
    </row>
    <row r="4916" spans="31:31" ht="12.75" customHeight="1" x14ac:dyDescent="0.15">
      <c r="AE4916" s="13"/>
    </row>
    <row r="4917" spans="31:31" ht="12.75" customHeight="1" x14ac:dyDescent="0.15">
      <c r="AE4917" s="13"/>
    </row>
    <row r="4918" spans="31:31" ht="12.75" customHeight="1" x14ac:dyDescent="0.15">
      <c r="AE4918" s="13"/>
    </row>
    <row r="4919" spans="31:31" ht="12.75" customHeight="1" x14ac:dyDescent="0.15">
      <c r="AE4919" s="13"/>
    </row>
    <row r="4920" spans="31:31" ht="12.75" customHeight="1" x14ac:dyDescent="0.15">
      <c r="AE4920" s="13"/>
    </row>
    <row r="4921" spans="31:31" ht="12.75" customHeight="1" x14ac:dyDescent="0.15">
      <c r="AE4921" s="13"/>
    </row>
    <row r="4922" spans="31:31" ht="12.75" customHeight="1" x14ac:dyDescent="0.15">
      <c r="AE4922" s="13"/>
    </row>
    <row r="4923" spans="31:31" ht="12.75" customHeight="1" x14ac:dyDescent="0.15">
      <c r="AE4923" s="13"/>
    </row>
    <row r="4924" spans="31:31" ht="12.75" customHeight="1" x14ac:dyDescent="0.15">
      <c r="AE4924" s="13"/>
    </row>
    <row r="4925" spans="31:31" ht="12.75" customHeight="1" x14ac:dyDescent="0.15">
      <c r="AE4925" s="13"/>
    </row>
    <row r="4926" spans="31:31" ht="12.75" customHeight="1" x14ac:dyDescent="0.15">
      <c r="AE4926" s="13"/>
    </row>
    <row r="4927" spans="31:31" ht="12.75" customHeight="1" x14ac:dyDescent="0.15">
      <c r="AE4927" s="13"/>
    </row>
    <row r="4928" spans="31:31" ht="12.75" customHeight="1" x14ac:dyDescent="0.15">
      <c r="AE4928" s="13"/>
    </row>
    <row r="4929" spans="31:31" ht="12.75" customHeight="1" x14ac:dyDescent="0.15">
      <c r="AE4929" s="13"/>
    </row>
    <row r="4930" spans="31:31" ht="12.75" customHeight="1" x14ac:dyDescent="0.15">
      <c r="AE4930" s="13"/>
    </row>
    <row r="4931" spans="31:31" ht="12.75" customHeight="1" x14ac:dyDescent="0.15">
      <c r="AE4931" s="13"/>
    </row>
    <row r="4932" spans="31:31" ht="12.75" customHeight="1" x14ac:dyDescent="0.15">
      <c r="AE4932" s="13"/>
    </row>
    <row r="4933" spans="31:31" ht="12.75" customHeight="1" x14ac:dyDescent="0.15">
      <c r="AE4933" s="13"/>
    </row>
    <row r="4934" spans="31:31" ht="12.75" customHeight="1" x14ac:dyDescent="0.15">
      <c r="AE4934" s="13"/>
    </row>
    <row r="4935" spans="31:31" ht="12.75" customHeight="1" x14ac:dyDescent="0.15">
      <c r="AE4935" s="13"/>
    </row>
    <row r="4936" spans="31:31" ht="12.75" customHeight="1" x14ac:dyDescent="0.15">
      <c r="AE4936" s="13"/>
    </row>
    <row r="4937" spans="31:31" ht="12.75" customHeight="1" x14ac:dyDescent="0.15">
      <c r="AE4937" s="13"/>
    </row>
    <row r="4938" spans="31:31" ht="12.75" customHeight="1" x14ac:dyDescent="0.15">
      <c r="AE4938" s="13"/>
    </row>
    <row r="4939" spans="31:31" ht="12.75" customHeight="1" x14ac:dyDescent="0.15">
      <c r="AE4939" s="13"/>
    </row>
    <row r="4940" spans="31:31" ht="12.75" customHeight="1" x14ac:dyDescent="0.15">
      <c r="AE4940" s="13"/>
    </row>
    <row r="4941" spans="31:31" ht="12.75" customHeight="1" x14ac:dyDescent="0.15">
      <c r="AE4941" s="13"/>
    </row>
    <row r="4942" spans="31:31" ht="12.75" customHeight="1" x14ac:dyDescent="0.15">
      <c r="AE4942" s="13"/>
    </row>
    <row r="4943" spans="31:31" ht="12.75" customHeight="1" x14ac:dyDescent="0.15">
      <c r="AE4943" s="13"/>
    </row>
    <row r="4944" spans="31:31" ht="12.75" customHeight="1" x14ac:dyDescent="0.15">
      <c r="AE4944" s="13"/>
    </row>
    <row r="4945" spans="31:31" ht="12.75" customHeight="1" x14ac:dyDescent="0.15">
      <c r="AE4945" s="13"/>
    </row>
    <row r="4946" spans="31:31" ht="12.75" customHeight="1" x14ac:dyDescent="0.15">
      <c r="AE4946" s="13"/>
    </row>
    <row r="4947" spans="31:31" ht="12.75" customHeight="1" x14ac:dyDescent="0.15">
      <c r="AE4947" s="13"/>
    </row>
    <row r="4948" spans="31:31" ht="12.75" customHeight="1" x14ac:dyDescent="0.15">
      <c r="AE4948" s="13"/>
    </row>
    <row r="4949" spans="31:31" ht="12.75" customHeight="1" x14ac:dyDescent="0.15">
      <c r="AE4949" s="13"/>
    </row>
    <row r="4950" spans="31:31" ht="12.75" customHeight="1" x14ac:dyDescent="0.15">
      <c r="AE4950" s="13"/>
    </row>
    <row r="4951" spans="31:31" ht="12.75" customHeight="1" x14ac:dyDescent="0.15">
      <c r="AE4951" s="13"/>
    </row>
    <row r="4952" spans="31:31" ht="12.75" customHeight="1" x14ac:dyDescent="0.15">
      <c r="AE4952" s="13"/>
    </row>
    <row r="4953" spans="31:31" ht="12.75" customHeight="1" x14ac:dyDescent="0.15">
      <c r="AE4953" s="13"/>
    </row>
    <row r="4954" spans="31:31" ht="12.75" customHeight="1" x14ac:dyDescent="0.15">
      <c r="AE4954" s="13"/>
    </row>
    <row r="4955" spans="31:31" ht="12.75" customHeight="1" x14ac:dyDescent="0.15">
      <c r="AE4955" s="13"/>
    </row>
    <row r="4956" spans="31:31" ht="12.75" customHeight="1" x14ac:dyDescent="0.15">
      <c r="AE4956" s="13"/>
    </row>
    <row r="4957" spans="31:31" ht="12.75" customHeight="1" x14ac:dyDescent="0.15">
      <c r="AE4957" s="13"/>
    </row>
    <row r="4958" spans="31:31" ht="12.75" customHeight="1" x14ac:dyDescent="0.15">
      <c r="AE4958" s="13"/>
    </row>
    <row r="4959" spans="31:31" ht="12.75" customHeight="1" x14ac:dyDescent="0.15">
      <c r="AE4959" s="13"/>
    </row>
    <row r="4960" spans="31:31" ht="12.75" customHeight="1" x14ac:dyDescent="0.15">
      <c r="AE4960" s="13"/>
    </row>
    <row r="4961" spans="31:31" ht="12.75" customHeight="1" x14ac:dyDescent="0.15">
      <c r="AE4961" s="13"/>
    </row>
    <row r="4962" spans="31:31" ht="12.75" customHeight="1" x14ac:dyDescent="0.15">
      <c r="AE4962" s="13"/>
    </row>
    <row r="4963" spans="31:31" ht="12.75" customHeight="1" x14ac:dyDescent="0.15">
      <c r="AE4963" s="13"/>
    </row>
    <row r="4964" spans="31:31" ht="12.75" customHeight="1" x14ac:dyDescent="0.15">
      <c r="AE4964" s="13"/>
    </row>
    <row r="4965" spans="31:31" ht="12.75" customHeight="1" x14ac:dyDescent="0.15">
      <c r="AE4965" s="13"/>
    </row>
    <row r="4966" spans="31:31" ht="12.75" customHeight="1" x14ac:dyDescent="0.15">
      <c r="AE4966" s="13"/>
    </row>
    <row r="4967" spans="31:31" ht="12.75" customHeight="1" x14ac:dyDescent="0.15">
      <c r="AE4967" s="13"/>
    </row>
    <row r="4968" spans="31:31" ht="12.75" customHeight="1" x14ac:dyDescent="0.15">
      <c r="AE4968" s="13"/>
    </row>
    <row r="4969" spans="31:31" ht="12.75" customHeight="1" x14ac:dyDescent="0.15">
      <c r="AE4969" s="13"/>
    </row>
    <row r="4970" spans="31:31" ht="12.75" customHeight="1" x14ac:dyDescent="0.15">
      <c r="AE4970" s="13"/>
    </row>
    <row r="4971" spans="31:31" ht="12.75" customHeight="1" x14ac:dyDescent="0.15">
      <c r="AE4971" s="13"/>
    </row>
    <row r="4972" spans="31:31" ht="12.75" customHeight="1" x14ac:dyDescent="0.15">
      <c r="AE4972" s="13"/>
    </row>
    <row r="4973" spans="31:31" ht="12.75" customHeight="1" x14ac:dyDescent="0.15">
      <c r="AE4973" s="13"/>
    </row>
    <row r="4974" spans="31:31" ht="12.75" customHeight="1" x14ac:dyDescent="0.15">
      <c r="AE4974" s="13"/>
    </row>
    <row r="4975" spans="31:31" ht="12.75" customHeight="1" x14ac:dyDescent="0.15">
      <c r="AE4975" s="13"/>
    </row>
    <row r="4976" spans="31:31" ht="12.75" customHeight="1" x14ac:dyDescent="0.15">
      <c r="AE4976" s="13"/>
    </row>
    <row r="4977" spans="31:31" ht="12.75" customHeight="1" x14ac:dyDescent="0.15">
      <c r="AE4977" s="13"/>
    </row>
    <row r="4978" spans="31:31" ht="12.75" customHeight="1" x14ac:dyDescent="0.15">
      <c r="AE4978" s="13"/>
    </row>
    <row r="4979" spans="31:31" ht="12.75" customHeight="1" x14ac:dyDescent="0.15">
      <c r="AE4979" s="13"/>
    </row>
    <row r="4980" spans="31:31" ht="12.75" customHeight="1" x14ac:dyDescent="0.15">
      <c r="AE4980" s="13"/>
    </row>
    <row r="4981" spans="31:31" ht="12.75" customHeight="1" x14ac:dyDescent="0.15">
      <c r="AE4981" s="13"/>
    </row>
    <row r="4982" spans="31:31" ht="12.75" customHeight="1" x14ac:dyDescent="0.15">
      <c r="AE4982" s="13"/>
    </row>
    <row r="4983" spans="31:31" ht="12.75" customHeight="1" x14ac:dyDescent="0.15">
      <c r="AE4983" s="13"/>
    </row>
    <row r="4984" spans="31:31" ht="12.75" customHeight="1" x14ac:dyDescent="0.15">
      <c r="AE4984" s="13"/>
    </row>
    <row r="4985" spans="31:31" ht="12.75" customHeight="1" x14ac:dyDescent="0.15">
      <c r="AE4985" s="13"/>
    </row>
    <row r="4986" spans="31:31" ht="12.75" customHeight="1" x14ac:dyDescent="0.15">
      <c r="AE4986" s="13"/>
    </row>
    <row r="4987" spans="31:31" ht="12.75" customHeight="1" x14ac:dyDescent="0.15">
      <c r="AE4987" s="13"/>
    </row>
    <row r="4988" spans="31:31" ht="12.75" customHeight="1" x14ac:dyDescent="0.15">
      <c r="AE4988" s="13"/>
    </row>
    <row r="4989" spans="31:31" ht="12.75" customHeight="1" x14ac:dyDescent="0.15">
      <c r="AE4989" s="13"/>
    </row>
    <row r="4990" spans="31:31" ht="12.75" customHeight="1" x14ac:dyDescent="0.15">
      <c r="AE4990" s="13"/>
    </row>
    <row r="4991" spans="31:31" ht="12.75" customHeight="1" x14ac:dyDescent="0.15">
      <c r="AE4991" s="13"/>
    </row>
    <row r="4992" spans="31:31" ht="12.75" customHeight="1" x14ac:dyDescent="0.15">
      <c r="AE4992" s="13"/>
    </row>
    <row r="4993" spans="31:31" ht="12.75" customHeight="1" x14ac:dyDescent="0.15">
      <c r="AE4993" s="13"/>
    </row>
    <row r="4994" spans="31:31" ht="12.75" customHeight="1" x14ac:dyDescent="0.15">
      <c r="AE4994" s="13"/>
    </row>
    <row r="4995" spans="31:31" ht="12.75" customHeight="1" x14ac:dyDescent="0.15">
      <c r="AE4995" s="13"/>
    </row>
    <row r="4996" spans="31:31" ht="12.75" customHeight="1" x14ac:dyDescent="0.15">
      <c r="AE4996" s="13"/>
    </row>
    <row r="4997" spans="31:31" ht="12.75" customHeight="1" x14ac:dyDescent="0.15">
      <c r="AE4997" s="13"/>
    </row>
    <row r="4998" spans="31:31" ht="12.75" customHeight="1" x14ac:dyDescent="0.15">
      <c r="AE4998" s="13"/>
    </row>
    <row r="4999" spans="31:31" ht="12.75" customHeight="1" x14ac:dyDescent="0.15">
      <c r="AE4999" s="13"/>
    </row>
    <row r="5000" spans="31:31" ht="12.75" customHeight="1" x14ac:dyDescent="0.15">
      <c r="AE5000" s="13"/>
    </row>
    <row r="5001" spans="31:31" ht="12.75" customHeight="1" x14ac:dyDescent="0.15">
      <c r="AE5001" s="13"/>
    </row>
    <row r="5002" spans="31:31" ht="12.75" customHeight="1" x14ac:dyDescent="0.15">
      <c r="AE5002" s="13"/>
    </row>
    <row r="5003" spans="31:31" ht="12.75" customHeight="1" x14ac:dyDescent="0.15">
      <c r="AE5003" s="13"/>
    </row>
    <row r="5004" spans="31:31" ht="12.75" customHeight="1" x14ac:dyDescent="0.15">
      <c r="AE5004" s="13"/>
    </row>
    <row r="5005" spans="31:31" ht="12.75" customHeight="1" x14ac:dyDescent="0.15">
      <c r="AE5005" s="13"/>
    </row>
    <row r="5006" spans="31:31" ht="12.75" customHeight="1" x14ac:dyDescent="0.15">
      <c r="AE5006" s="13"/>
    </row>
    <row r="5007" spans="31:31" ht="12.75" customHeight="1" x14ac:dyDescent="0.15">
      <c r="AE5007" s="13"/>
    </row>
    <row r="5008" spans="31:31" ht="12.75" customHeight="1" x14ac:dyDescent="0.15">
      <c r="AE5008" s="13"/>
    </row>
    <row r="5009" spans="31:31" ht="12.75" customHeight="1" x14ac:dyDescent="0.15">
      <c r="AE5009" s="13"/>
    </row>
    <row r="5010" spans="31:31" ht="12.75" customHeight="1" x14ac:dyDescent="0.15">
      <c r="AE5010" s="13"/>
    </row>
    <row r="5011" spans="31:31" ht="12.75" customHeight="1" x14ac:dyDescent="0.15">
      <c r="AE5011" s="13"/>
    </row>
    <row r="5012" spans="31:31" ht="12.75" customHeight="1" x14ac:dyDescent="0.15">
      <c r="AE5012" s="13"/>
    </row>
    <row r="5013" spans="31:31" ht="12.75" customHeight="1" x14ac:dyDescent="0.15">
      <c r="AE5013" s="13"/>
    </row>
    <row r="5014" spans="31:31" ht="12.75" customHeight="1" x14ac:dyDescent="0.15">
      <c r="AE5014" s="13"/>
    </row>
    <row r="5015" spans="31:31" ht="12.75" customHeight="1" x14ac:dyDescent="0.15">
      <c r="AE5015" s="13"/>
    </row>
    <row r="5016" spans="31:31" ht="12.75" customHeight="1" x14ac:dyDescent="0.15">
      <c r="AE5016" s="13"/>
    </row>
    <row r="5017" spans="31:31" ht="12.75" customHeight="1" x14ac:dyDescent="0.15">
      <c r="AE5017" s="13"/>
    </row>
    <row r="5018" spans="31:31" ht="12.75" customHeight="1" x14ac:dyDescent="0.15">
      <c r="AE5018" s="13"/>
    </row>
    <row r="5019" spans="31:31" ht="12.75" customHeight="1" x14ac:dyDescent="0.15">
      <c r="AE5019" s="13"/>
    </row>
    <row r="5020" spans="31:31" ht="12.75" customHeight="1" x14ac:dyDescent="0.15">
      <c r="AE5020" s="13"/>
    </row>
    <row r="5021" spans="31:31" ht="12.75" customHeight="1" x14ac:dyDescent="0.15">
      <c r="AE5021" s="13"/>
    </row>
    <row r="5022" spans="31:31" ht="12.75" customHeight="1" x14ac:dyDescent="0.15">
      <c r="AE5022" s="13"/>
    </row>
    <row r="5023" spans="31:31" ht="12.75" customHeight="1" x14ac:dyDescent="0.15">
      <c r="AE5023" s="13"/>
    </row>
    <row r="5024" spans="31:31" ht="12.75" customHeight="1" x14ac:dyDescent="0.15">
      <c r="AE5024" s="13"/>
    </row>
    <row r="5025" spans="31:31" ht="12.75" customHeight="1" x14ac:dyDescent="0.15">
      <c r="AE5025" s="13"/>
    </row>
    <row r="5026" spans="31:31" ht="12.75" customHeight="1" x14ac:dyDescent="0.15">
      <c r="AE5026" s="13"/>
    </row>
    <row r="5027" spans="31:31" ht="12.75" customHeight="1" x14ac:dyDescent="0.15">
      <c r="AE5027" s="13"/>
    </row>
    <row r="5028" spans="31:31" ht="12.75" customHeight="1" x14ac:dyDescent="0.15">
      <c r="AE5028" s="13"/>
    </row>
    <row r="5029" spans="31:31" ht="12.75" customHeight="1" x14ac:dyDescent="0.15">
      <c r="AE5029" s="13"/>
    </row>
    <row r="5030" spans="31:31" ht="12.75" customHeight="1" x14ac:dyDescent="0.15">
      <c r="AE5030" s="13"/>
    </row>
    <row r="5031" spans="31:31" ht="12.75" customHeight="1" x14ac:dyDescent="0.15">
      <c r="AE5031" s="13"/>
    </row>
    <row r="5032" spans="31:31" ht="12.75" customHeight="1" x14ac:dyDescent="0.15">
      <c r="AE5032" s="13"/>
    </row>
    <row r="5033" spans="31:31" ht="12.75" customHeight="1" x14ac:dyDescent="0.15">
      <c r="AE5033" s="13"/>
    </row>
    <row r="5034" spans="31:31" ht="12.75" customHeight="1" x14ac:dyDescent="0.15">
      <c r="AE5034" s="13"/>
    </row>
    <row r="5035" spans="31:31" ht="12.75" customHeight="1" x14ac:dyDescent="0.15">
      <c r="AE5035" s="13"/>
    </row>
    <row r="5036" spans="31:31" ht="12.75" customHeight="1" x14ac:dyDescent="0.15">
      <c r="AE5036" s="13"/>
    </row>
    <row r="5037" spans="31:31" ht="12.75" customHeight="1" x14ac:dyDescent="0.15">
      <c r="AE5037" s="13"/>
    </row>
    <row r="5038" spans="31:31" ht="12.75" customHeight="1" x14ac:dyDescent="0.15">
      <c r="AE5038" s="13"/>
    </row>
    <row r="5039" spans="31:31" ht="12.75" customHeight="1" x14ac:dyDescent="0.15">
      <c r="AE5039" s="13"/>
    </row>
    <row r="5040" spans="31:31" ht="12.75" customHeight="1" x14ac:dyDescent="0.15">
      <c r="AE5040" s="13"/>
    </row>
    <row r="5041" spans="31:31" ht="12.75" customHeight="1" x14ac:dyDescent="0.15">
      <c r="AE5041" s="13"/>
    </row>
    <row r="5042" spans="31:31" ht="12.75" customHeight="1" x14ac:dyDescent="0.15">
      <c r="AE5042" s="13"/>
    </row>
    <row r="5043" spans="31:31" ht="12.75" customHeight="1" x14ac:dyDescent="0.15">
      <c r="AE5043" s="13"/>
    </row>
    <row r="5044" spans="31:31" ht="12.75" customHeight="1" x14ac:dyDescent="0.15">
      <c r="AE5044" s="13"/>
    </row>
    <row r="5045" spans="31:31" ht="12.75" customHeight="1" x14ac:dyDescent="0.15">
      <c r="AE5045" s="13"/>
    </row>
    <row r="5046" spans="31:31" ht="12.75" customHeight="1" x14ac:dyDescent="0.15">
      <c r="AE5046" s="13"/>
    </row>
    <row r="5047" spans="31:31" ht="12.75" customHeight="1" x14ac:dyDescent="0.15">
      <c r="AE5047" s="13"/>
    </row>
    <row r="5048" spans="31:31" ht="12.75" customHeight="1" x14ac:dyDescent="0.15">
      <c r="AE5048" s="13"/>
    </row>
    <row r="5049" spans="31:31" ht="12.75" customHeight="1" x14ac:dyDescent="0.15">
      <c r="AE5049" s="13"/>
    </row>
    <row r="5050" spans="31:31" ht="12.75" customHeight="1" x14ac:dyDescent="0.15">
      <c r="AE5050" s="13"/>
    </row>
    <row r="5051" spans="31:31" ht="12.75" customHeight="1" x14ac:dyDescent="0.15">
      <c r="AE5051" s="13"/>
    </row>
    <row r="5052" spans="31:31" ht="12.75" customHeight="1" x14ac:dyDescent="0.15">
      <c r="AE5052" s="13"/>
    </row>
    <row r="5053" spans="31:31" ht="12.75" customHeight="1" x14ac:dyDescent="0.15">
      <c r="AE5053" s="13"/>
    </row>
    <row r="5054" spans="31:31" ht="12.75" customHeight="1" x14ac:dyDescent="0.15">
      <c r="AE5054" s="13"/>
    </row>
    <row r="5055" spans="31:31" ht="12.75" customHeight="1" x14ac:dyDescent="0.15">
      <c r="AE5055" s="13"/>
    </row>
    <row r="5056" spans="31:31" ht="12.75" customHeight="1" x14ac:dyDescent="0.15">
      <c r="AE5056" s="13"/>
    </row>
    <row r="5057" spans="31:31" ht="12.75" customHeight="1" x14ac:dyDescent="0.15">
      <c r="AE5057" s="13"/>
    </row>
    <row r="5058" spans="31:31" ht="12.75" customHeight="1" x14ac:dyDescent="0.15">
      <c r="AE5058" s="13"/>
    </row>
    <row r="5059" spans="31:31" ht="12.75" customHeight="1" x14ac:dyDescent="0.15">
      <c r="AE5059" s="13"/>
    </row>
    <row r="5060" spans="31:31" ht="12.75" customHeight="1" x14ac:dyDescent="0.15">
      <c r="AE5060" s="13"/>
    </row>
    <row r="5061" spans="31:31" ht="12.75" customHeight="1" x14ac:dyDescent="0.15">
      <c r="AE5061" s="13"/>
    </row>
    <row r="5062" spans="31:31" ht="12.75" customHeight="1" x14ac:dyDescent="0.15">
      <c r="AE5062" s="13"/>
    </row>
    <row r="5063" spans="31:31" ht="12.75" customHeight="1" x14ac:dyDescent="0.15">
      <c r="AE5063" s="13"/>
    </row>
    <row r="5064" spans="31:31" ht="12.75" customHeight="1" x14ac:dyDescent="0.15">
      <c r="AE5064" s="13"/>
    </row>
    <row r="5065" spans="31:31" ht="12.75" customHeight="1" x14ac:dyDescent="0.15">
      <c r="AE5065" s="13"/>
    </row>
    <row r="5066" spans="31:31" ht="12.75" customHeight="1" x14ac:dyDescent="0.15">
      <c r="AE5066" s="13"/>
    </row>
    <row r="5067" spans="31:31" ht="12.75" customHeight="1" x14ac:dyDescent="0.15">
      <c r="AE5067" s="13"/>
    </row>
    <row r="5068" spans="31:31" ht="12.75" customHeight="1" x14ac:dyDescent="0.15">
      <c r="AE5068" s="13"/>
    </row>
    <row r="5069" spans="31:31" ht="12.75" customHeight="1" x14ac:dyDescent="0.15">
      <c r="AE5069" s="13"/>
    </row>
    <row r="5070" spans="31:31" ht="12.75" customHeight="1" x14ac:dyDescent="0.15">
      <c r="AE5070" s="13"/>
    </row>
    <row r="5071" spans="31:31" ht="12.75" customHeight="1" x14ac:dyDescent="0.15">
      <c r="AE5071" s="13"/>
    </row>
    <row r="5072" spans="31:31" ht="12.75" customHeight="1" x14ac:dyDescent="0.15">
      <c r="AE5072" s="13"/>
    </row>
    <row r="5073" spans="31:31" ht="12.75" customHeight="1" x14ac:dyDescent="0.15">
      <c r="AE5073" s="13"/>
    </row>
    <row r="5074" spans="31:31" ht="12.75" customHeight="1" x14ac:dyDescent="0.15">
      <c r="AE5074" s="13"/>
    </row>
    <row r="5075" spans="31:31" ht="12.75" customHeight="1" x14ac:dyDescent="0.15">
      <c r="AE5075" s="13"/>
    </row>
    <row r="5076" spans="31:31" ht="12.75" customHeight="1" x14ac:dyDescent="0.15">
      <c r="AE5076" s="13"/>
    </row>
    <row r="5077" spans="31:31" ht="12.75" customHeight="1" x14ac:dyDescent="0.15">
      <c r="AE5077" s="13"/>
    </row>
    <row r="5078" spans="31:31" ht="12.75" customHeight="1" x14ac:dyDescent="0.15">
      <c r="AE5078" s="13"/>
    </row>
    <row r="5079" spans="31:31" ht="12.75" customHeight="1" x14ac:dyDescent="0.15">
      <c r="AE5079" s="13"/>
    </row>
    <row r="5080" spans="31:31" ht="12.75" customHeight="1" x14ac:dyDescent="0.15">
      <c r="AE5080" s="13"/>
    </row>
    <row r="5081" spans="31:31" ht="12.75" customHeight="1" x14ac:dyDescent="0.15">
      <c r="AE5081" s="13"/>
    </row>
    <row r="5082" spans="31:31" ht="12.75" customHeight="1" x14ac:dyDescent="0.15">
      <c r="AE5082" s="13"/>
    </row>
    <row r="5083" spans="31:31" ht="12.75" customHeight="1" x14ac:dyDescent="0.15">
      <c r="AE5083" s="13"/>
    </row>
    <row r="5084" spans="31:31" ht="12.75" customHeight="1" x14ac:dyDescent="0.15">
      <c r="AE5084" s="13"/>
    </row>
    <row r="5085" spans="31:31" ht="12.75" customHeight="1" x14ac:dyDescent="0.15">
      <c r="AE5085" s="13"/>
    </row>
    <row r="5086" spans="31:31" ht="12.75" customHeight="1" x14ac:dyDescent="0.15">
      <c r="AE5086" s="13"/>
    </row>
    <row r="5087" spans="31:31" ht="12.75" customHeight="1" x14ac:dyDescent="0.15">
      <c r="AE5087" s="13"/>
    </row>
    <row r="5088" spans="31:31" ht="12.75" customHeight="1" x14ac:dyDescent="0.15">
      <c r="AE5088" s="13"/>
    </row>
    <row r="5089" spans="31:31" ht="12.75" customHeight="1" x14ac:dyDescent="0.15">
      <c r="AE5089" s="13"/>
    </row>
    <row r="5090" spans="31:31" ht="12.75" customHeight="1" x14ac:dyDescent="0.15">
      <c r="AE5090" s="13"/>
    </row>
    <row r="5091" spans="31:31" ht="12.75" customHeight="1" x14ac:dyDescent="0.15">
      <c r="AE5091" s="13"/>
    </row>
    <row r="5092" spans="31:31" ht="12.75" customHeight="1" x14ac:dyDescent="0.15">
      <c r="AE5092" s="13"/>
    </row>
    <row r="5093" spans="31:31" ht="12.75" customHeight="1" x14ac:dyDescent="0.15">
      <c r="AE5093" s="13"/>
    </row>
    <row r="5094" spans="31:31" ht="12.75" customHeight="1" x14ac:dyDescent="0.15">
      <c r="AE5094" s="13"/>
    </row>
    <row r="5095" spans="31:31" ht="12.75" customHeight="1" x14ac:dyDescent="0.15">
      <c r="AE5095" s="13"/>
    </row>
    <row r="5096" spans="31:31" ht="12.75" customHeight="1" x14ac:dyDescent="0.15">
      <c r="AE5096" s="13"/>
    </row>
    <row r="5097" spans="31:31" ht="12.75" customHeight="1" x14ac:dyDescent="0.15">
      <c r="AE5097" s="13"/>
    </row>
    <row r="5098" spans="31:31" ht="12.75" customHeight="1" x14ac:dyDescent="0.15">
      <c r="AE5098" s="13"/>
    </row>
    <row r="5099" spans="31:31" ht="12.75" customHeight="1" x14ac:dyDescent="0.15">
      <c r="AE5099" s="13"/>
    </row>
    <row r="5100" spans="31:31" ht="12.75" customHeight="1" x14ac:dyDescent="0.15">
      <c r="AE5100" s="13"/>
    </row>
    <row r="5101" spans="31:31" ht="12.75" customHeight="1" x14ac:dyDescent="0.15">
      <c r="AE5101" s="13"/>
    </row>
    <row r="5102" spans="31:31" ht="12.75" customHeight="1" x14ac:dyDescent="0.15">
      <c r="AE5102" s="13"/>
    </row>
    <row r="5103" spans="31:31" ht="12.75" customHeight="1" x14ac:dyDescent="0.15">
      <c r="AE5103" s="13"/>
    </row>
    <row r="5104" spans="31:31" ht="12.75" customHeight="1" x14ac:dyDescent="0.15">
      <c r="AE5104" s="13"/>
    </row>
    <row r="5105" spans="31:31" ht="12.75" customHeight="1" x14ac:dyDescent="0.15">
      <c r="AE5105" s="13"/>
    </row>
    <row r="5106" spans="31:31" ht="12.75" customHeight="1" x14ac:dyDescent="0.15">
      <c r="AE5106" s="13"/>
    </row>
    <row r="5107" spans="31:31" ht="12.75" customHeight="1" x14ac:dyDescent="0.15">
      <c r="AE5107" s="13"/>
    </row>
    <row r="5108" spans="31:31" ht="12.75" customHeight="1" x14ac:dyDescent="0.15">
      <c r="AE5108" s="13"/>
    </row>
    <row r="5109" spans="31:31" ht="12.75" customHeight="1" x14ac:dyDescent="0.15">
      <c r="AE5109" s="13"/>
    </row>
    <row r="5110" spans="31:31" ht="12.75" customHeight="1" x14ac:dyDescent="0.15">
      <c r="AE5110" s="13"/>
    </row>
    <row r="5111" spans="31:31" ht="12.75" customHeight="1" x14ac:dyDescent="0.15">
      <c r="AE5111" s="13"/>
    </row>
    <row r="5112" spans="31:31" ht="12.75" customHeight="1" x14ac:dyDescent="0.15">
      <c r="AE5112" s="13"/>
    </row>
    <row r="5113" spans="31:31" ht="12.75" customHeight="1" x14ac:dyDescent="0.15">
      <c r="AE5113" s="13"/>
    </row>
    <row r="5114" spans="31:31" ht="12.75" customHeight="1" x14ac:dyDescent="0.15">
      <c r="AE5114" s="13"/>
    </row>
    <row r="5115" spans="31:31" ht="12.75" customHeight="1" x14ac:dyDescent="0.15">
      <c r="AE5115" s="13"/>
    </row>
    <row r="5116" spans="31:31" ht="12.75" customHeight="1" x14ac:dyDescent="0.15">
      <c r="AE5116" s="13"/>
    </row>
    <row r="5117" spans="31:31" ht="12.75" customHeight="1" x14ac:dyDescent="0.15">
      <c r="AE5117" s="13"/>
    </row>
    <row r="5118" spans="31:31" ht="12.75" customHeight="1" x14ac:dyDescent="0.15">
      <c r="AE5118" s="13"/>
    </row>
    <row r="5119" spans="31:31" ht="12.75" customHeight="1" x14ac:dyDescent="0.15">
      <c r="AE5119" s="13"/>
    </row>
    <row r="5120" spans="31:31" ht="12.75" customHeight="1" x14ac:dyDescent="0.15">
      <c r="AE5120" s="13"/>
    </row>
    <row r="5121" spans="31:31" ht="12.75" customHeight="1" x14ac:dyDescent="0.15">
      <c r="AE5121" s="13"/>
    </row>
    <row r="5122" spans="31:31" ht="12.75" customHeight="1" x14ac:dyDescent="0.15">
      <c r="AE5122" s="13"/>
    </row>
    <row r="5123" spans="31:31" ht="12.75" customHeight="1" x14ac:dyDescent="0.15">
      <c r="AE5123" s="13"/>
    </row>
    <row r="5124" spans="31:31" ht="12.75" customHeight="1" x14ac:dyDescent="0.15">
      <c r="AE5124" s="13"/>
    </row>
    <row r="5125" spans="31:31" ht="12.75" customHeight="1" x14ac:dyDescent="0.15">
      <c r="AE5125" s="13"/>
    </row>
    <row r="5126" spans="31:31" ht="12.75" customHeight="1" x14ac:dyDescent="0.15">
      <c r="AE5126" s="13"/>
    </row>
    <row r="5127" spans="31:31" ht="12.75" customHeight="1" x14ac:dyDescent="0.15">
      <c r="AE5127" s="13"/>
    </row>
    <row r="5128" spans="31:31" ht="12.75" customHeight="1" x14ac:dyDescent="0.15">
      <c r="AE5128" s="13"/>
    </row>
    <row r="5129" spans="31:31" ht="12.75" customHeight="1" x14ac:dyDescent="0.15">
      <c r="AE5129" s="13"/>
    </row>
    <row r="5130" spans="31:31" ht="12.75" customHeight="1" x14ac:dyDescent="0.15">
      <c r="AE5130" s="13"/>
    </row>
    <row r="5131" spans="31:31" ht="12.75" customHeight="1" x14ac:dyDescent="0.15">
      <c r="AE5131" s="13"/>
    </row>
    <row r="5132" spans="31:31" ht="12.75" customHeight="1" x14ac:dyDescent="0.15">
      <c r="AE5132" s="13"/>
    </row>
    <row r="5133" spans="31:31" ht="12.75" customHeight="1" x14ac:dyDescent="0.15">
      <c r="AE5133" s="13"/>
    </row>
    <row r="5134" spans="31:31" ht="12.75" customHeight="1" x14ac:dyDescent="0.15">
      <c r="AE5134" s="13"/>
    </row>
    <row r="5135" spans="31:31" ht="12.75" customHeight="1" x14ac:dyDescent="0.15">
      <c r="AE5135" s="13"/>
    </row>
    <row r="5136" spans="31:31" ht="12.75" customHeight="1" x14ac:dyDescent="0.15">
      <c r="AE5136" s="13"/>
    </row>
    <row r="5137" spans="31:31" ht="12.75" customHeight="1" x14ac:dyDescent="0.15">
      <c r="AE5137" s="13"/>
    </row>
    <row r="5138" spans="31:31" ht="12.75" customHeight="1" x14ac:dyDescent="0.15">
      <c r="AE5138" s="13"/>
    </row>
    <row r="5139" spans="31:31" ht="12.75" customHeight="1" x14ac:dyDescent="0.15">
      <c r="AE5139" s="13"/>
    </row>
    <row r="5140" spans="31:31" ht="12.75" customHeight="1" x14ac:dyDescent="0.15">
      <c r="AE5140" s="13"/>
    </row>
    <row r="5141" spans="31:31" ht="12.75" customHeight="1" x14ac:dyDescent="0.15">
      <c r="AE5141" s="13"/>
    </row>
    <row r="5142" spans="31:31" ht="12.75" customHeight="1" x14ac:dyDescent="0.15">
      <c r="AE5142" s="13"/>
    </row>
    <row r="5143" spans="31:31" ht="12.75" customHeight="1" x14ac:dyDescent="0.15">
      <c r="AE5143" s="13"/>
    </row>
    <row r="5144" spans="31:31" ht="12.75" customHeight="1" x14ac:dyDescent="0.15">
      <c r="AE5144" s="13"/>
    </row>
    <row r="5145" spans="31:31" ht="12.75" customHeight="1" x14ac:dyDescent="0.15">
      <c r="AE5145" s="13"/>
    </row>
    <row r="5146" spans="31:31" ht="12.75" customHeight="1" x14ac:dyDescent="0.15">
      <c r="AE5146" s="13"/>
    </row>
    <row r="5147" spans="31:31" ht="12.75" customHeight="1" x14ac:dyDescent="0.15">
      <c r="AE5147" s="13"/>
    </row>
    <row r="5148" spans="31:31" ht="12.75" customHeight="1" x14ac:dyDescent="0.15">
      <c r="AE5148" s="13"/>
    </row>
    <row r="5149" spans="31:31" ht="12.75" customHeight="1" x14ac:dyDescent="0.15">
      <c r="AE5149" s="13"/>
    </row>
    <row r="5150" spans="31:31" ht="12.75" customHeight="1" x14ac:dyDescent="0.15">
      <c r="AE5150" s="13"/>
    </row>
    <row r="5151" spans="31:31" ht="12.75" customHeight="1" x14ac:dyDescent="0.15">
      <c r="AE5151" s="13"/>
    </row>
    <row r="5152" spans="31:31" ht="12.75" customHeight="1" x14ac:dyDescent="0.15">
      <c r="AE5152" s="13"/>
    </row>
    <row r="5153" spans="31:31" ht="12.75" customHeight="1" x14ac:dyDescent="0.15">
      <c r="AE5153" s="13"/>
    </row>
    <row r="5154" spans="31:31" ht="12.75" customHeight="1" x14ac:dyDescent="0.15">
      <c r="AE5154" s="13"/>
    </row>
    <row r="5155" spans="31:31" ht="12.75" customHeight="1" x14ac:dyDescent="0.15">
      <c r="AE5155" s="13"/>
    </row>
    <row r="5156" spans="31:31" ht="12.75" customHeight="1" x14ac:dyDescent="0.15">
      <c r="AE5156" s="13"/>
    </row>
    <row r="5157" spans="31:31" ht="12.75" customHeight="1" x14ac:dyDescent="0.15">
      <c r="AE5157" s="13"/>
    </row>
    <row r="5158" spans="31:31" ht="12.75" customHeight="1" x14ac:dyDescent="0.15">
      <c r="AE5158" s="13"/>
    </row>
    <row r="5159" spans="31:31" ht="12.75" customHeight="1" x14ac:dyDescent="0.15">
      <c r="AE5159" s="13"/>
    </row>
    <row r="5160" spans="31:31" ht="12.75" customHeight="1" x14ac:dyDescent="0.15">
      <c r="AE5160" s="13"/>
    </row>
    <row r="5161" spans="31:31" ht="12.75" customHeight="1" x14ac:dyDescent="0.15">
      <c r="AE5161" s="13"/>
    </row>
    <row r="5162" spans="31:31" ht="12.75" customHeight="1" x14ac:dyDescent="0.15">
      <c r="AE5162" s="13"/>
    </row>
    <row r="5163" spans="31:31" ht="12.75" customHeight="1" x14ac:dyDescent="0.15">
      <c r="AE5163" s="13"/>
    </row>
    <row r="5164" spans="31:31" ht="12.75" customHeight="1" x14ac:dyDescent="0.15">
      <c r="AE5164" s="13"/>
    </row>
    <row r="5165" spans="31:31" ht="12.75" customHeight="1" x14ac:dyDescent="0.15">
      <c r="AE5165" s="13"/>
    </row>
    <row r="5166" spans="31:31" ht="12.75" customHeight="1" x14ac:dyDescent="0.15">
      <c r="AE5166" s="13"/>
    </row>
    <row r="5167" spans="31:31" ht="12.75" customHeight="1" x14ac:dyDescent="0.15">
      <c r="AE5167" s="13"/>
    </row>
    <row r="5168" spans="31:31" ht="12.75" customHeight="1" x14ac:dyDescent="0.15">
      <c r="AE5168" s="13"/>
    </row>
    <row r="5169" spans="31:31" ht="12.75" customHeight="1" x14ac:dyDescent="0.15">
      <c r="AE5169" s="13"/>
    </row>
    <row r="5170" spans="31:31" ht="12.75" customHeight="1" x14ac:dyDescent="0.15">
      <c r="AE5170" s="13"/>
    </row>
    <row r="5171" spans="31:31" ht="12.75" customHeight="1" x14ac:dyDescent="0.15">
      <c r="AE5171" s="13"/>
    </row>
    <row r="5172" spans="31:31" ht="12.75" customHeight="1" x14ac:dyDescent="0.15">
      <c r="AE5172" s="13"/>
    </row>
    <row r="5173" spans="31:31" ht="12.75" customHeight="1" x14ac:dyDescent="0.15">
      <c r="AE5173" s="13"/>
    </row>
    <row r="5174" spans="31:31" ht="12.75" customHeight="1" x14ac:dyDescent="0.15">
      <c r="AE5174" s="13"/>
    </row>
    <row r="5175" spans="31:31" ht="12.75" customHeight="1" x14ac:dyDescent="0.15">
      <c r="AE5175" s="13"/>
    </row>
    <row r="5176" spans="31:31" ht="12.75" customHeight="1" x14ac:dyDescent="0.15">
      <c r="AE5176" s="13"/>
    </row>
    <row r="5177" spans="31:31" ht="12.75" customHeight="1" x14ac:dyDescent="0.15">
      <c r="AE5177" s="13"/>
    </row>
    <row r="5178" spans="31:31" ht="12.75" customHeight="1" x14ac:dyDescent="0.15">
      <c r="AE5178" s="13"/>
    </row>
    <row r="5179" spans="31:31" ht="12.75" customHeight="1" x14ac:dyDescent="0.15">
      <c r="AE5179" s="13"/>
    </row>
    <row r="5180" spans="31:31" ht="12.75" customHeight="1" x14ac:dyDescent="0.15">
      <c r="AE5180" s="13"/>
    </row>
    <row r="5181" spans="31:31" ht="12.75" customHeight="1" x14ac:dyDescent="0.15">
      <c r="AE5181" s="13"/>
    </row>
    <row r="5182" spans="31:31" ht="12.75" customHeight="1" x14ac:dyDescent="0.15">
      <c r="AE5182" s="13"/>
    </row>
    <row r="5183" spans="31:31" ht="12.75" customHeight="1" x14ac:dyDescent="0.15">
      <c r="AE5183" s="13"/>
    </row>
    <row r="5184" spans="31:31" ht="12.75" customHeight="1" x14ac:dyDescent="0.15">
      <c r="AE5184" s="13"/>
    </row>
    <row r="5185" spans="31:31" ht="12.75" customHeight="1" x14ac:dyDescent="0.15">
      <c r="AE5185" s="13"/>
    </row>
    <row r="5186" spans="31:31" ht="12.75" customHeight="1" x14ac:dyDescent="0.15">
      <c r="AE5186" s="13"/>
    </row>
    <row r="5187" spans="31:31" ht="12.75" customHeight="1" x14ac:dyDescent="0.15">
      <c r="AE5187" s="13"/>
    </row>
    <row r="5188" spans="31:31" ht="12.75" customHeight="1" x14ac:dyDescent="0.15">
      <c r="AE5188" s="13"/>
    </row>
    <row r="5189" spans="31:31" ht="12.75" customHeight="1" x14ac:dyDescent="0.15">
      <c r="AE5189" s="13"/>
    </row>
    <row r="5190" spans="31:31" ht="12.75" customHeight="1" x14ac:dyDescent="0.15">
      <c r="AE5190" s="13"/>
    </row>
    <row r="5191" spans="31:31" ht="12.75" customHeight="1" x14ac:dyDescent="0.15">
      <c r="AE5191" s="13"/>
    </row>
    <row r="5192" spans="31:31" ht="12.75" customHeight="1" x14ac:dyDescent="0.15">
      <c r="AE5192" s="13"/>
    </row>
    <row r="5193" spans="31:31" ht="12.75" customHeight="1" x14ac:dyDescent="0.15">
      <c r="AE5193" s="13"/>
    </row>
    <row r="5194" spans="31:31" ht="12.75" customHeight="1" x14ac:dyDescent="0.15">
      <c r="AE5194" s="13"/>
    </row>
    <row r="5195" spans="31:31" ht="12.75" customHeight="1" x14ac:dyDescent="0.15">
      <c r="AE5195" s="13"/>
    </row>
    <row r="5196" spans="31:31" ht="12.75" customHeight="1" x14ac:dyDescent="0.15">
      <c r="AE5196" s="13"/>
    </row>
    <row r="5197" spans="31:31" ht="12.75" customHeight="1" x14ac:dyDescent="0.15">
      <c r="AE5197" s="13"/>
    </row>
    <row r="5198" spans="31:31" ht="12.75" customHeight="1" x14ac:dyDescent="0.15">
      <c r="AE5198" s="13"/>
    </row>
    <row r="5199" spans="31:31" ht="12.75" customHeight="1" x14ac:dyDescent="0.15">
      <c r="AE5199" s="13"/>
    </row>
    <row r="5200" spans="31:31" ht="12.75" customHeight="1" x14ac:dyDescent="0.15">
      <c r="AE5200" s="13"/>
    </row>
    <row r="5201" spans="31:31" ht="12.75" customHeight="1" x14ac:dyDescent="0.15">
      <c r="AE5201" s="13"/>
    </row>
    <row r="5202" spans="31:31" ht="12.75" customHeight="1" x14ac:dyDescent="0.15">
      <c r="AE5202" s="13"/>
    </row>
    <row r="5203" spans="31:31" ht="12.75" customHeight="1" x14ac:dyDescent="0.15">
      <c r="AE5203" s="13"/>
    </row>
    <row r="5204" spans="31:31" ht="12.75" customHeight="1" x14ac:dyDescent="0.15">
      <c r="AE5204" s="13"/>
    </row>
    <row r="5205" spans="31:31" ht="12.75" customHeight="1" x14ac:dyDescent="0.15">
      <c r="AE5205" s="13"/>
    </row>
    <row r="5206" spans="31:31" ht="12.75" customHeight="1" x14ac:dyDescent="0.15">
      <c r="AE5206" s="13"/>
    </row>
    <row r="5207" spans="31:31" ht="12.75" customHeight="1" x14ac:dyDescent="0.15">
      <c r="AE5207" s="13"/>
    </row>
    <row r="5208" spans="31:31" ht="12.75" customHeight="1" x14ac:dyDescent="0.15">
      <c r="AE5208" s="13"/>
    </row>
    <row r="5209" spans="31:31" ht="12.75" customHeight="1" x14ac:dyDescent="0.15">
      <c r="AE5209" s="13"/>
    </row>
    <row r="5210" spans="31:31" ht="12.75" customHeight="1" x14ac:dyDescent="0.15">
      <c r="AE5210" s="13"/>
    </row>
    <row r="5211" spans="31:31" ht="12.75" customHeight="1" x14ac:dyDescent="0.15">
      <c r="AE5211" s="13"/>
    </row>
    <row r="5212" spans="31:31" ht="12.75" customHeight="1" x14ac:dyDescent="0.15">
      <c r="AE5212" s="13"/>
    </row>
    <row r="5213" spans="31:31" ht="12.75" customHeight="1" x14ac:dyDescent="0.15">
      <c r="AE5213" s="13"/>
    </row>
    <row r="5214" spans="31:31" ht="12.75" customHeight="1" x14ac:dyDescent="0.15">
      <c r="AE5214" s="13"/>
    </row>
    <row r="5215" spans="31:31" ht="12.75" customHeight="1" x14ac:dyDescent="0.15">
      <c r="AE5215" s="13"/>
    </row>
    <row r="5216" spans="31:31" ht="12.75" customHeight="1" x14ac:dyDescent="0.15">
      <c r="AE5216" s="13"/>
    </row>
    <row r="5217" spans="31:31" ht="12.75" customHeight="1" x14ac:dyDescent="0.15">
      <c r="AE5217" s="13"/>
    </row>
    <row r="5218" spans="31:31" ht="12.75" customHeight="1" x14ac:dyDescent="0.15">
      <c r="AE5218" s="13"/>
    </row>
    <row r="5219" spans="31:31" ht="12.75" customHeight="1" x14ac:dyDescent="0.15">
      <c r="AE5219" s="13"/>
    </row>
    <row r="5220" spans="31:31" ht="12.75" customHeight="1" x14ac:dyDescent="0.15">
      <c r="AE5220" s="13"/>
    </row>
    <row r="5221" spans="31:31" ht="12.75" customHeight="1" x14ac:dyDescent="0.15">
      <c r="AE5221" s="13"/>
    </row>
    <row r="5222" spans="31:31" ht="12.75" customHeight="1" x14ac:dyDescent="0.15">
      <c r="AE5222" s="13"/>
    </row>
    <row r="5223" spans="31:31" ht="12.75" customHeight="1" x14ac:dyDescent="0.15">
      <c r="AE5223" s="13"/>
    </row>
    <row r="5224" spans="31:31" ht="12.75" customHeight="1" x14ac:dyDescent="0.15">
      <c r="AE5224" s="13"/>
    </row>
    <row r="5225" spans="31:31" ht="12.75" customHeight="1" x14ac:dyDescent="0.15">
      <c r="AE5225" s="13"/>
    </row>
    <row r="5226" spans="31:31" ht="12.75" customHeight="1" x14ac:dyDescent="0.15">
      <c r="AE5226" s="13"/>
    </row>
    <row r="5227" spans="31:31" ht="12.75" customHeight="1" x14ac:dyDescent="0.15">
      <c r="AE5227" s="13"/>
    </row>
    <row r="5228" spans="31:31" ht="12.75" customHeight="1" x14ac:dyDescent="0.15">
      <c r="AE5228" s="13"/>
    </row>
    <row r="5229" spans="31:31" ht="12.75" customHeight="1" x14ac:dyDescent="0.15">
      <c r="AE5229" s="13"/>
    </row>
    <row r="5230" spans="31:31" ht="12.75" customHeight="1" x14ac:dyDescent="0.15">
      <c r="AE5230" s="13"/>
    </row>
    <row r="5231" spans="31:31" ht="12.75" customHeight="1" x14ac:dyDescent="0.15">
      <c r="AE5231" s="13"/>
    </row>
    <row r="5232" spans="31:31" ht="12.75" customHeight="1" x14ac:dyDescent="0.15">
      <c r="AE5232" s="13"/>
    </row>
    <row r="5233" spans="31:31" ht="12.75" customHeight="1" x14ac:dyDescent="0.15">
      <c r="AE5233" s="13"/>
    </row>
    <row r="5234" spans="31:31" ht="12.75" customHeight="1" x14ac:dyDescent="0.15">
      <c r="AE5234" s="13"/>
    </row>
    <row r="5235" spans="31:31" ht="12.75" customHeight="1" x14ac:dyDescent="0.15">
      <c r="AE5235" s="13"/>
    </row>
    <row r="5236" spans="31:31" ht="12.75" customHeight="1" x14ac:dyDescent="0.15">
      <c r="AE5236" s="13"/>
    </row>
    <row r="5237" spans="31:31" ht="12.75" customHeight="1" x14ac:dyDescent="0.15">
      <c r="AE5237" s="13"/>
    </row>
    <row r="5238" spans="31:31" ht="12.75" customHeight="1" x14ac:dyDescent="0.15">
      <c r="AE5238" s="13"/>
    </row>
    <row r="5239" spans="31:31" ht="12.75" customHeight="1" x14ac:dyDescent="0.15">
      <c r="AE5239" s="13"/>
    </row>
    <row r="5240" spans="31:31" ht="12.75" customHeight="1" x14ac:dyDescent="0.15">
      <c r="AE5240" s="13"/>
    </row>
    <row r="5241" spans="31:31" ht="12.75" customHeight="1" x14ac:dyDescent="0.15">
      <c r="AE5241" s="13"/>
    </row>
    <row r="5242" spans="31:31" ht="12.75" customHeight="1" x14ac:dyDescent="0.15">
      <c r="AE5242" s="13"/>
    </row>
    <row r="5243" spans="31:31" ht="12.75" customHeight="1" x14ac:dyDescent="0.15">
      <c r="AE5243" s="13"/>
    </row>
    <row r="5244" spans="31:31" ht="12.75" customHeight="1" x14ac:dyDescent="0.15">
      <c r="AE5244" s="13"/>
    </row>
    <row r="5245" spans="31:31" ht="12.75" customHeight="1" x14ac:dyDescent="0.15">
      <c r="AE5245" s="13"/>
    </row>
    <row r="5246" spans="31:31" ht="12.75" customHeight="1" x14ac:dyDescent="0.15">
      <c r="AE5246" s="13"/>
    </row>
    <row r="5247" spans="31:31" ht="12.75" customHeight="1" x14ac:dyDescent="0.15">
      <c r="AE5247" s="13"/>
    </row>
    <row r="5248" spans="31:31" ht="12.75" customHeight="1" x14ac:dyDescent="0.15">
      <c r="AE5248" s="13"/>
    </row>
    <row r="5249" spans="31:31" ht="12.75" customHeight="1" x14ac:dyDescent="0.15">
      <c r="AE5249" s="13"/>
    </row>
    <row r="5250" spans="31:31" ht="12.75" customHeight="1" x14ac:dyDescent="0.15">
      <c r="AE5250" s="13"/>
    </row>
    <row r="5251" spans="31:31" ht="12.75" customHeight="1" x14ac:dyDescent="0.15">
      <c r="AE5251" s="13"/>
    </row>
    <row r="5252" spans="31:31" ht="12.75" customHeight="1" x14ac:dyDescent="0.15">
      <c r="AE5252" s="13"/>
    </row>
    <row r="5253" spans="31:31" ht="12.75" customHeight="1" x14ac:dyDescent="0.15">
      <c r="AE5253" s="13"/>
    </row>
    <row r="5254" spans="31:31" ht="12.75" customHeight="1" x14ac:dyDescent="0.15">
      <c r="AE5254" s="13"/>
    </row>
    <row r="5255" spans="31:31" ht="12.75" customHeight="1" x14ac:dyDescent="0.15">
      <c r="AE5255" s="13"/>
    </row>
    <row r="5256" spans="31:31" ht="12.75" customHeight="1" x14ac:dyDescent="0.15">
      <c r="AE5256" s="13"/>
    </row>
    <row r="5257" spans="31:31" ht="12.75" customHeight="1" x14ac:dyDescent="0.15">
      <c r="AE5257" s="13"/>
    </row>
    <row r="5258" spans="31:31" ht="12.75" customHeight="1" x14ac:dyDescent="0.15">
      <c r="AE5258" s="13"/>
    </row>
    <row r="5259" spans="31:31" ht="12.75" customHeight="1" x14ac:dyDescent="0.15">
      <c r="AE5259" s="13"/>
    </row>
    <row r="5260" spans="31:31" ht="12.75" customHeight="1" x14ac:dyDescent="0.15">
      <c r="AE5260" s="13"/>
    </row>
    <row r="5261" spans="31:31" ht="12.75" customHeight="1" x14ac:dyDescent="0.15">
      <c r="AE5261" s="13"/>
    </row>
    <row r="5262" spans="31:31" ht="12.75" customHeight="1" x14ac:dyDescent="0.15">
      <c r="AE5262" s="13"/>
    </row>
    <row r="5263" spans="31:31" ht="12.75" customHeight="1" x14ac:dyDescent="0.15">
      <c r="AE5263" s="13"/>
    </row>
    <row r="5264" spans="31:31" ht="12.75" customHeight="1" x14ac:dyDescent="0.15">
      <c r="AE5264" s="13"/>
    </row>
    <row r="5265" spans="31:31" ht="12.75" customHeight="1" x14ac:dyDescent="0.15">
      <c r="AE5265" s="13"/>
    </row>
    <row r="5266" spans="31:31" ht="12.75" customHeight="1" x14ac:dyDescent="0.15">
      <c r="AE5266" s="13"/>
    </row>
    <row r="5267" spans="31:31" ht="12.75" customHeight="1" x14ac:dyDescent="0.15">
      <c r="AE5267" s="13"/>
    </row>
    <row r="5268" spans="31:31" ht="12.75" customHeight="1" x14ac:dyDescent="0.15">
      <c r="AE5268" s="13"/>
    </row>
    <row r="5269" spans="31:31" ht="12.75" customHeight="1" x14ac:dyDescent="0.15">
      <c r="AE5269" s="13"/>
    </row>
    <row r="5270" spans="31:31" ht="12.75" customHeight="1" x14ac:dyDescent="0.15">
      <c r="AE5270" s="13"/>
    </row>
    <row r="5271" spans="31:31" ht="12.75" customHeight="1" x14ac:dyDescent="0.15">
      <c r="AE5271" s="13"/>
    </row>
    <row r="5272" spans="31:31" ht="12.75" customHeight="1" x14ac:dyDescent="0.15">
      <c r="AE5272" s="13"/>
    </row>
    <row r="5273" spans="31:31" ht="12.75" customHeight="1" x14ac:dyDescent="0.15">
      <c r="AE5273" s="13"/>
    </row>
    <row r="5274" spans="31:31" ht="12.75" customHeight="1" x14ac:dyDescent="0.15">
      <c r="AE5274" s="13"/>
    </row>
    <row r="5275" spans="31:31" ht="12.75" customHeight="1" x14ac:dyDescent="0.15">
      <c r="AE5275" s="13"/>
    </row>
    <row r="5276" spans="31:31" ht="12.75" customHeight="1" x14ac:dyDescent="0.15">
      <c r="AE5276" s="13"/>
    </row>
    <row r="5277" spans="31:31" ht="12.75" customHeight="1" x14ac:dyDescent="0.15">
      <c r="AE5277" s="13"/>
    </row>
    <row r="5278" spans="31:31" ht="12.75" customHeight="1" x14ac:dyDescent="0.15">
      <c r="AE5278" s="13"/>
    </row>
    <row r="5279" spans="31:31" ht="12.75" customHeight="1" x14ac:dyDescent="0.15">
      <c r="AE5279" s="13"/>
    </row>
    <row r="5280" spans="31:31" ht="12.75" customHeight="1" x14ac:dyDescent="0.15">
      <c r="AE5280" s="13"/>
    </row>
    <row r="5281" spans="31:31" ht="12.75" customHeight="1" x14ac:dyDescent="0.15">
      <c r="AE5281" s="13"/>
    </row>
    <row r="5282" spans="31:31" ht="12.75" customHeight="1" x14ac:dyDescent="0.15">
      <c r="AE5282" s="13"/>
    </row>
    <row r="5283" spans="31:31" ht="12.75" customHeight="1" x14ac:dyDescent="0.15">
      <c r="AE5283" s="13"/>
    </row>
    <row r="5284" spans="31:31" ht="12.75" customHeight="1" x14ac:dyDescent="0.15">
      <c r="AE5284" s="13"/>
    </row>
    <row r="5285" spans="31:31" ht="12.75" customHeight="1" x14ac:dyDescent="0.15">
      <c r="AE5285" s="13"/>
    </row>
    <row r="5286" spans="31:31" ht="12.75" customHeight="1" x14ac:dyDescent="0.15">
      <c r="AE5286" s="13"/>
    </row>
    <row r="5287" spans="31:31" ht="12.75" customHeight="1" x14ac:dyDescent="0.15">
      <c r="AE5287" s="13"/>
    </row>
    <row r="5288" spans="31:31" ht="12.75" customHeight="1" x14ac:dyDescent="0.15">
      <c r="AE5288" s="13"/>
    </row>
    <row r="5289" spans="31:31" ht="12.75" customHeight="1" x14ac:dyDescent="0.15">
      <c r="AE5289" s="13"/>
    </row>
    <row r="5290" spans="31:31" ht="12.75" customHeight="1" x14ac:dyDescent="0.15">
      <c r="AE5290" s="13"/>
    </row>
    <row r="5291" spans="31:31" ht="12.75" customHeight="1" x14ac:dyDescent="0.15">
      <c r="AE5291" s="13"/>
    </row>
    <row r="5292" spans="31:31" ht="12.75" customHeight="1" x14ac:dyDescent="0.15">
      <c r="AE5292" s="13"/>
    </row>
    <row r="5293" spans="31:31" ht="12.75" customHeight="1" x14ac:dyDescent="0.15">
      <c r="AE5293" s="13"/>
    </row>
    <row r="5294" spans="31:31" ht="12.75" customHeight="1" x14ac:dyDescent="0.15">
      <c r="AE5294" s="13"/>
    </row>
    <row r="5295" spans="31:31" ht="12.75" customHeight="1" x14ac:dyDescent="0.15">
      <c r="AE5295" s="13"/>
    </row>
    <row r="5296" spans="31:31" ht="12.75" customHeight="1" x14ac:dyDescent="0.15">
      <c r="AE5296" s="13"/>
    </row>
    <row r="5297" spans="31:31" ht="12.75" customHeight="1" x14ac:dyDescent="0.15">
      <c r="AE5297" s="13"/>
    </row>
    <row r="5298" spans="31:31" ht="12.75" customHeight="1" x14ac:dyDescent="0.15">
      <c r="AE5298" s="13"/>
    </row>
    <row r="5299" spans="31:31" ht="12.75" customHeight="1" x14ac:dyDescent="0.15">
      <c r="AE5299" s="13"/>
    </row>
    <row r="5300" spans="31:31" ht="12.75" customHeight="1" x14ac:dyDescent="0.15">
      <c r="AE5300" s="13"/>
    </row>
    <row r="5301" spans="31:31" ht="12.75" customHeight="1" x14ac:dyDescent="0.15">
      <c r="AE5301" s="13"/>
    </row>
    <row r="5302" spans="31:31" ht="12.75" customHeight="1" x14ac:dyDescent="0.15">
      <c r="AE5302" s="13"/>
    </row>
    <row r="5303" spans="31:31" ht="12.75" customHeight="1" x14ac:dyDescent="0.15">
      <c r="AE5303" s="13"/>
    </row>
    <row r="5304" spans="31:31" ht="12.75" customHeight="1" x14ac:dyDescent="0.15">
      <c r="AE5304" s="13"/>
    </row>
    <row r="5305" spans="31:31" ht="12.75" customHeight="1" x14ac:dyDescent="0.15">
      <c r="AE5305" s="13"/>
    </row>
    <row r="5306" spans="31:31" ht="12.75" customHeight="1" x14ac:dyDescent="0.15">
      <c r="AE5306" s="13"/>
    </row>
    <row r="5307" spans="31:31" ht="12.75" customHeight="1" x14ac:dyDescent="0.15">
      <c r="AE5307" s="13"/>
    </row>
    <row r="5308" spans="31:31" ht="12.75" customHeight="1" x14ac:dyDescent="0.15">
      <c r="AE5308" s="13"/>
    </row>
    <row r="5309" spans="31:31" ht="12.75" customHeight="1" x14ac:dyDescent="0.15">
      <c r="AE5309" s="13"/>
    </row>
    <row r="5310" spans="31:31" ht="12.75" customHeight="1" x14ac:dyDescent="0.15">
      <c r="AE5310" s="13"/>
    </row>
    <row r="5311" spans="31:31" ht="12.75" customHeight="1" x14ac:dyDescent="0.15">
      <c r="AE5311" s="13"/>
    </row>
    <row r="5312" spans="31:31" ht="12.75" customHeight="1" x14ac:dyDescent="0.15">
      <c r="AE5312" s="13"/>
    </row>
    <row r="5313" spans="31:31" ht="12.75" customHeight="1" x14ac:dyDescent="0.15">
      <c r="AE5313" s="13"/>
    </row>
    <row r="5314" spans="31:31" ht="12.75" customHeight="1" x14ac:dyDescent="0.15">
      <c r="AE5314" s="13"/>
    </row>
    <row r="5315" spans="31:31" ht="12.75" customHeight="1" x14ac:dyDescent="0.15">
      <c r="AE5315" s="13"/>
    </row>
    <row r="5316" spans="31:31" ht="12.75" customHeight="1" x14ac:dyDescent="0.15">
      <c r="AE5316" s="13"/>
    </row>
    <row r="5317" spans="31:31" ht="12.75" customHeight="1" x14ac:dyDescent="0.15">
      <c r="AE5317" s="13"/>
    </row>
    <row r="5318" spans="31:31" ht="12.75" customHeight="1" x14ac:dyDescent="0.15">
      <c r="AE5318" s="13"/>
    </row>
    <row r="5319" spans="31:31" ht="12.75" customHeight="1" x14ac:dyDescent="0.15">
      <c r="AE5319" s="13"/>
    </row>
    <row r="5320" spans="31:31" ht="12.75" customHeight="1" x14ac:dyDescent="0.15">
      <c r="AE5320" s="13"/>
    </row>
    <row r="5321" spans="31:31" ht="12.75" customHeight="1" x14ac:dyDescent="0.15">
      <c r="AE5321" s="13"/>
    </row>
    <row r="5322" spans="31:31" ht="12.75" customHeight="1" x14ac:dyDescent="0.15">
      <c r="AE5322" s="13"/>
    </row>
    <row r="5323" spans="31:31" ht="12.75" customHeight="1" x14ac:dyDescent="0.15">
      <c r="AE5323" s="13"/>
    </row>
    <row r="5324" spans="31:31" ht="12.75" customHeight="1" x14ac:dyDescent="0.15">
      <c r="AE5324" s="13"/>
    </row>
    <row r="5325" spans="31:31" ht="12.75" customHeight="1" x14ac:dyDescent="0.15">
      <c r="AE5325" s="13"/>
    </row>
    <row r="5326" spans="31:31" ht="12.75" customHeight="1" x14ac:dyDescent="0.15">
      <c r="AE5326" s="13"/>
    </row>
    <row r="5327" spans="31:31" ht="12.75" customHeight="1" x14ac:dyDescent="0.15">
      <c r="AE5327" s="13"/>
    </row>
    <row r="5328" spans="31:31" ht="12.75" customHeight="1" x14ac:dyDescent="0.15">
      <c r="AE5328" s="13"/>
    </row>
    <row r="5329" spans="31:31" ht="12.75" customHeight="1" x14ac:dyDescent="0.15">
      <c r="AE5329" s="13"/>
    </row>
    <row r="5330" spans="31:31" ht="12.75" customHeight="1" x14ac:dyDescent="0.15">
      <c r="AE5330" s="13"/>
    </row>
    <row r="5331" spans="31:31" ht="12.75" customHeight="1" x14ac:dyDescent="0.15">
      <c r="AE5331" s="13"/>
    </row>
    <row r="5332" spans="31:31" ht="12.75" customHeight="1" x14ac:dyDescent="0.15">
      <c r="AE5332" s="13"/>
    </row>
    <row r="5333" spans="31:31" ht="12.75" customHeight="1" x14ac:dyDescent="0.15">
      <c r="AE5333" s="13"/>
    </row>
    <row r="5334" spans="31:31" ht="12.75" customHeight="1" x14ac:dyDescent="0.15">
      <c r="AE5334" s="13"/>
    </row>
    <row r="5335" spans="31:31" ht="12.75" customHeight="1" x14ac:dyDescent="0.15">
      <c r="AE5335" s="13"/>
    </row>
    <row r="5336" spans="31:31" ht="12.75" customHeight="1" x14ac:dyDescent="0.15">
      <c r="AE5336" s="13"/>
    </row>
    <row r="5337" spans="31:31" ht="12.75" customHeight="1" x14ac:dyDescent="0.15">
      <c r="AE5337" s="13"/>
    </row>
    <row r="5338" spans="31:31" ht="12.75" customHeight="1" x14ac:dyDescent="0.15">
      <c r="AE5338" s="13"/>
    </row>
    <row r="5339" spans="31:31" ht="12.75" customHeight="1" x14ac:dyDescent="0.15">
      <c r="AE5339" s="13"/>
    </row>
    <row r="5340" spans="31:31" ht="12.75" customHeight="1" x14ac:dyDescent="0.15">
      <c r="AE5340" s="13"/>
    </row>
    <row r="5341" spans="31:31" ht="12.75" customHeight="1" x14ac:dyDescent="0.15">
      <c r="AE5341" s="13"/>
    </row>
    <row r="5342" spans="31:31" ht="12.75" customHeight="1" x14ac:dyDescent="0.15">
      <c r="AE5342" s="13"/>
    </row>
    <row r="5343" spans="31:31" ht="12.75" customHeight="1" x14ac:dyDescent="0.15">
      <c r="AE5343" s="13"/>
    </row>
    <row r="5344" spans="31:31" ht="12.75" customHeight="1" x14ac:dyDescent="0.15">
      <c r="AE5344" s="13"/>
    </row>
    <row r="5345" spans="31:31" ht="12.75" customHeight="1" x14ac:dyDescent="0.15">
      <c r="AE5345" s="13"/>
    </row>
    <row r="5346" spans="31:31" ht="12.75" customHeight="1" x14ac:dyDescent="0.15">
      <c r="AE5346" s="13"/>
    </row>
    <row r="5347" spans="31:31" ht="12.75" customHeight="1" x14ac:dyDescent="0.15">
      <c r="AE5347" s="13"/>
    </row>
    <row r="5348" spans="31:31" ht="12.75" customHeight="1" x14ac:dyDescent="0.15">
      <c r="AE5348" s="13"/>
    </row>
    <row r="5349" spans="31:31" ht="12.75" customHeight="1" x14ac:dyDescent="0.15">
      <c r="AE5349" s="13"/>
    </row>
    <row r="5350" spans="31:31" ht="12.75" customHeight="1" x14ac:dyDescent="0.15">
      <c r="AE5350" s="13"/>
    </row>
    <row r="5351" spans="31:31" ht="12.75" customHeight="1" x14ac:dyDescent="0.15">
      <c r="AE5351" s="13"/>
    </row>
    <row r="5352" spans="31:31" ht="12.75" customHeight="1" x14ac:dyDescent="0.15">
      <c r="AE5352" s="13"/>
    </row>
    <row r="5353" spans="31:31" ht="12.75" customHeight="1" x14ac:dyDescent="0.15">
      <c r="AE5353" s="13"/>
    </row>
    <row r="5354" spans="31:31" ht="12.75" customHeight="1" x14ac:dyDescent="0.15">
      <c r="AE5354" s="13"/>
    </row>
    <row r="5355" spans="31:31" ht="12.75" customHeight="1" x14ac:dyDescent="0.15">
      <c r="AE5355" s="13"/>
    </row>
    <row r="5356" spans="31:31" ht="12.75" customHeight="1" x14ac:dyDescent="0.15">
      <c r="AE5356" s="13"/>
    </row>
    <row r="5357" spans="31:31" ht="12.75" customHeight="1" x14ac:dyDescent="0.15">
      <c r="AE5357" s="13"/>
    </row>
    <row r="5358" spans="31:31" ht="12.75" customHeight="1" x14ac:dyDescent="0.15">
      <c r="AE5358" s="13"/>
    </row>
    <row r="5359" spans="31:31" ht="12.75" customHeight="1" x14ac:dyDescent="0.15">
      <c r="AE5359" s="13"/>
    </row>
    <row r="5360" spans="31:31" ht="12.75" customHeight="1" x14ac:dyDescent="0.15">
      <c r="AE5360" s="13"/>
    </row>
    <row r="5361" spans="31:31" ht="12.75" customHeight="1" x14ac:dyDescent="0.15">
      <c r="AE5361" s="13"/>
    </row>
    <row r="5362" spans="31:31" ht="12.75" customHeight="1" x14ac:dyDescent="0.15">
      <c r="AE5362" s="13"/>
    </row>
    <row r="5363" spans="31:31" ht="12.75" customHeight="1" x14ac:dyDescent="0.15">
      <c r="AE5363" s="13"/>
    </row>
    <row r="5364" spans="31:31" ht="12.75" customHeight="1" x14ac:dyDescent="0.15">
      <c r="AE5364" s="13"/>
    </row>
    <row r="5365" spans="31:31" ht="12.75" customHeight="1" x14ac:dyDescent="0.15">
      <c r="AE5365" s="13"/>
    </row>
    <row r="5366" spans="31:31" ht="12.75" customHeight="1" x14ac:dyDescent="0.15">
      <c r="AE5366" s="13"/>
    </row>
    <row r="5367" spans="31:31" ht="12.75" customHeight="1" x14ac:dyDescent="0.15">
      <c r="AE5367" s="13"/>
    </row>
    <row r="5368" spans="31:31" ht="12.75" customHeight="1" x14ac:dyDescent="0.15">
      <c r="AE5368" s="13"/>
    </row>
    <row r="5369" spans="31:31" ht="12.75" customHeight="1" x14ac:dyDescent="0.15">
      <c r="AE5369" s="13"/>
    </row>
    <row r="5370" spans="31:31" ht="12.75" customHeight="1" x14ac:dyDescent="0.15">
      <c r="AE5370" s="13"/>
    </row>
    <row r="5371" spans="31:31" ht="12.75" customHeight="1" x14ac:dyDescent="0.15">
      <c r="AE5371" s="13"/>
    </row>
    <row r="5372" spans="31:31" ht="12.75" customHeight="1" x14ac:dyDescent="0.15">
      <c r="AE5372" s="13"/>
    </row>
    <row r="5373" spans="31:31" ht="12.75" customHeight="1" x14ac:dyDescent="0.15">
      <c r="AE5373" s="13"/>
    </row>
    <row r="5374" spans="31:31" ht="12.75" customHeight="1" x14ac:dyDescent="0.15">
      <c r="AE5374" s="13"/>
    </row>
    <row r="5375" spans="31:31" ht="12.75" customHeight="1" x14ac:dyDescent="0.15">
      <c r="AE5375" s="13"/>
    </row>
    <row r="5376" spans="31:31" ht="12.75" customHeight="1" x14ac:dyDescent="0.15">
      <c r="AE5376" s="13"/>
    </row>
    <row r="5377" spans="31:31" ht="12.75" customHeight="1" x14ac:dyDescent="0.15">
      <c r="AE5377" s="13"/>
    </row>
    <row r="5378" spans="31:31" ht="12.75" customHeight="1" x14ac:dyDescent="0.15">
      <c r="AE5378" s="13"/>
    </row>
    <row r="5379" spans="31:31" ht="12.75" customHeight="1" x14ac:dyDescent="0.15">
      <c r="AE5379" s="13"/>
    </row>
    <row r="5380" spans="31:31" ht="12.75" customHeight="1" x14ac:dyDescent="0.15">
      <c r="AE5380" s="13"/>
    </row>
    <row r="5381" spans="31:31" ht="12.75" customHeight="1" x14ac:dyDescent="0.15">
      <c r="AE5381" s="13"/>
    </row>
    <row r="5382" spans="31:31" ht="12.75" customHeight="1" x14ac:dyDescent="0.15">
      <c r="AE5382" s="13"/>
    </row>
    <row r="5383" spans="31:31" ht="12.75" customHeight="1" x14ac:dyDescent="0.15">
      <c r="AE5383" s="13"/>
    </row>
    <row r="5384" spans="31:31" ht="12.75" customHeight="1" x14ac:dyDescent="0.15">
      <c r="AE5384" s="13"/>
    </row>
    <row r="5385" spans="31:31" ht="12.75" customHeight="1" x14ac:dyDescent="0.15">
      <c r="AE5385" s="13"/>
    </row>
    <row r="5386" spans="31:31" ht="12.75" customHeight="1" x14ac:dyDescent="0.15">
      <c r="AE5386" s="13"/>
    </row>
    <row r="5387" spans="31:31" ht="12.75" customHeight="1" x14ac:dyDescent="0.15">
      <c r="AE5387" s="13"/>
    </row>
    <row r="5388" spans="31:31" ht="12.75" customHeight="1" x14ac:dyDescent="0.15">
      <c r="AE5388" s="13"/>
    </row>
    <row r="5389" spans="31:31" ht="12.75" customHeight="1" x14ac:dyDescent="0.15">
      <c r="AE5389" s="13"/>
    </row>
    <row r="5390" spans="31:31" ht="12.75" customHeight="1" x14ac:dyDescent="0.15">
      <c r="AE5390" s="13"/>
    </row>
    <row r="5391" spans="31:31" ht="12.75" customHeight="1" x14ac:dyDescent="0.15">
      <c r="AE5391" s="13"/>
    </row>
    <row r="5392" spans="31:31" ht="12.75" customHeight="1" x14ac:dyDescent="0.15">
      <c r="AE5392" s="13"/>
    </row>
    <row r="5393" spans="31:31" ht="12.75" customHeight="1" x14ac:dyDescent="0.15">
      <c r="AE5393" s="13"/>
    </row>
    <row r="5394" spans="31:31" ht="12.75" customHeight="1" x14ac:dyDescent="0.15">
      <c r="AE5394" s="13"/>
    </row>
    <row r="5395" spans="31:31" ht="12.75" customHeight="1" x14ac:dyDescent="0.15">
      <c r="AE5395" s="13"/>
    </row>
    <row r="5396" spans="31:31" ht="12.75" customHeight="1" x14ac:dyDescent="0.15">
      <c r="AE5396" s="13"/>
    </row>
    <row r="5397" spans="31:31" ht="12.75" customHeight="1" x14ac:dyDescent="0.15">
      <c r="AE5397" s="13"/>
    </row>
    <row r="5398" spans="31:31" ht="12.75" customHeight="1" x14ac:dyDescent="0.15">
      <c r="AE5398" s="13"/>
    </row>
    <row r="5399" spans="31:31" ht="12.75" customHeight="1" x14ac:dyDescent="0.15">
      <c r="AE5399" s="13"/>
    </row>
    <row r="5400" spans="31:31" ht="12.75" customHeight="1" x14ac:dyDescent="0.15">
      <c r="AE5400" s="13"/>
    </row>
    <row r="5401" spans="31:31" ht="12.75" customHeight="1" x14ac:dyDescent="0.15">
      <c r="AE5401" s="13"/>
    </row>
    <row r="5402" spans="31:31" ht="12.75" customHeight="1" x14ac:dyDescent="0.15">
      <c r="AE5402" s="13"/>
    </row>
    <row r="5403" spans="31:31" ht="12.75" customHeight="1" x14ac:dyDescent="0.15">
      <c r="AE5403" s="13"/>
    </row>
    <row r="5404" spans="31:31" ht="12.75" customHeight="1" x14ac:dyDescent="0.15">
      <c r="AE5404" s="13"/>
    </row>
    <row r="5405" spans="31:31" ht="12.75" customHeight="1" x14ac:dyDescent="0.15">
      <c r="AE5405" s="13"/>
    </row>
    <row r="5406" spans="31:31" ht="12.75" customHeight="1" x14ac:dyDescent="0.15">
      <c r="AE5406" s="13"/>
    </row>
    <row r="5407" spans="31:31" ht="12.75" customHeight="1" x14ac:dyDescent="0.15">
      <c r="AE5407" s="13"/>
    </row>
    <row r="5408" spans="31:31" ht="12.75" customHeight="1" x14ac:dyDescent="0.15">
      <c r="AE5408" s="13"/>
    </row>
    <row r="5409" spans="31:31" ht="12.75" customHeight="1" x14ac:dyDescent="0.15">
      <c r="AE5409" s="13"/>
    </row>
    <row r="5410" spans="31:31" ht="12.75" customHeight="1" x14ac:dyDescent="0.15">
      <c r="AE5410" s="13"/>
    </row>
    <row r="5411" spans="31:31" ht="12.75" customHeight="1" x14ac:dyDescent="0.15">
      <c r="AE5411" s="13"/>
    </row>
    <row r="5412" spans="31:31" ht="12.75" customHeight="1" x14ac:dyDescent="0.15">
      <c r="AE5412" s="13"/>
    </row>
    <row r="5413" spans="31:31" ht="12.75" customHeight="1" x14ac:dyDescent="0.15">
      <c r="AE5413" s="13"/>
    </row>
    <row r="5414" spans="31:31" ht="12.75" customHeight="1" x14ac:dyDescent="0.15">
      <c r="AE5414" s="13"/>
    </row>
    <row r="5415" spans="31:31" ht="12.75" customHeight="1" x14ac:dyDescent="0.15">
      <c r="AE5415" s="13"/>
    </row>
    <row r="5416" spans="31:31" ht="12.75" customHeight="1" x14ac:dyDescent="0.15">
      <c r="AE5416" s="13"/>
    </row>
    <row r="5417" spans="31:31" ht="12.75" customHeight="1" x14ac:dyDescent="0.15">
      <c r="AE5417" s="13"/>
    </row>
    <row r="5418" spans="31:31" ht="12.75" customHeight="1" x14ac:dyDescent="0.15">
      <c r="AE5418" s="13"/>
    </row>
    <row r="5419" spans="31:31" ht="12.75" customHeight="1" x14ac:dyDescent="0.15">
      <c r="AE5419" s="13"/>
    </row>
    <row r="5420" spans="31:31" ht="12.75" customHeight="1" x14ac:dyDescent="0.15">
      <c r="AE5420" s="13"/>
    </row>
    <row r="5421" spans="31:31" ht="12.75" customHeight="1" x14ac:dyDescent="0.15">
      <c r="AE5421" s="13"/>
    </row>
    <row r="5422" spans="31:31" ht="12.75" customHeight="1" x14ac:dyDescent="0.15">
      <c r="AE5422" s="13"/>
    </row>
    <row r="5423" spans="31:31" ht="12.75" customHeight="1" x14ac:dyDescent="0.15">
      <c r="AE5423" s="13"/>
    </row>
    <row r="5424" spans="31:31" ht="12.75" customHeight="1" x14ac:dyDescent="0.15">
      <c r="AE5424" s="13"/>
    </row>
    <row r="5425" spans="31:31" ht="12.75" customHeight="1" x14ac:dyDescent="0.15">
      <c r="AE5425" s="13"/>
    </row>
    <row r="5426" spans="31:31" ht="12.75" customHeight="1" x14ac:dyDescent="0.15">
      <c r="AE5426" s="13"/>
    </row>
    <row r="5427" spans="31:31" ht="12.75" customHeight="1" x14ac:dyDescent="0.15">
      <c r="AE5427" s="13"/>
    </row>
    <row r="5428" spans="31:31" ht="12.75" customHeight="1" x14ac:dyDescent="0.15">
      <c r="AE5428" s="13"/>
    </row>
    <row r="5429" spans="31:31" ht="12.75" customHeight="1" x14ac:dyDescent="0.15">
      <c r="AE5429" s="13"/>
    </row>
    <row r="5430" spans="31:31" ht="12.75" customHeight="1" x14ac:dyDescent="0.15">
      <c r="AE5430" s="13"/>
    </row>
    <row r="5431" spans="31:31" ht="12.75" customHeight="1" x14ac:dyDescent="0.15">
      <c r="AE5431" s="13"/>
    </row>
    <row r="5432" spans="31:31" ht="12.75" customHeight="1" x14ac:dyDescent="0.15">
      <c r="AE5432" s="13"/>
    </row>
    <row r="5433" spans="31:31" ht="12.75" customHeight="1" x14ac:dyDescent="0.15">
      <c r="AE5433" s="13"/>
    </row>
    <row r="5434" spans="31:31" ht="12.75" customHeight="1" x14ac:dyDescent="0.15">
      <c r="AE5434" s="13"/>
    </row>
    <row r="5435" spans="31:31" ht="12.75" customHeight="1" x14ac:dyDescent="0.15">
      <c r="AE5435" s="13"/>
    </row>
    <row r="5436" spans="31:31" ht="12.75" customHeight="1" x14ac:dyDescent="0.15">
      <c r="AE5436" s="13"/>
    </row>
    <row r="5437" spans="31:31" ht="12.75" customHeight="1" x14ac:dyDescent="0.15">
      <c r="AE5437" s="13"/>
    </row>
    <row r="5438" spans="31:31" ht="12.75" customHeight="1" x14ac:dyDescent="0.15">
      <c r="AE5438" s="13"/>
    </row>
    <row r="5439" spans="31:31" ht="12.75" customHeight="1" x14ac:dyDescent="0.15">
      <c r="AE5439" s="13"/>
    </row>
    <row r="5440" spans="31:31" ht="12.75" customHeight="1" x14ac:dyDescent="0.15">
      <c r="AE5440" s="13"/>
    </row>
    <row r="5441" spans="31:31" ht="12.75" customHeight="1" x14ac:dyDescent="0.15">
      <c r="AE5441" s="13"/>
    </row>
    <row r="5442" spans="31:31" ht="12.75" customHeight="1" x14ac:dyDescent="0.15">
      <c r="AE5442" s="13"/>
    </row>
    <row r="5443" spans="31:31" ht="12.75" customHeight="1" x14ac:dyDescent="0.15">
      <c r="AE5443" s="13"/>
    </row>
    <row r="5444" spans="31:31" ht="12.75" customHeight="1" x14ac:dyDescent="0.15">
      <c r="AE5444" s="13"/>
    </row>
    <row r="5445" spans="31:31" ht="12.75" customHeight="1" x14ac:dyDescent="0.15">
      <c r="AE5445" s="13"/>
    </row>
    <row r="5446" spans="31:31" ht="12.75" customHeight="1" x14ac:dyDescent="0.15">
      <c r="AE5446" s="13"/>
    </row>
    <row r="5447" spans="31:31" ht="12.75" customHeight="1" x14ac:dyDescent="0.15">
      <c r="AE5447" s="13"/>
    </row>
    <row r="5448" spans="31:31" ht="12.75" customHeight="1" x14ac:dyDescent="0.15">
      <c r="AE5448" s="13"/>
    </row>
    <row r="5449" spans="31:31" ht="12.75" customHeight="1" x14ac:dyDescent="0.15">
      <c r="AE5449" s="13"/>
    </row>
    <row r="5450" spans="31:31" ht="12.75" customHeight="1" x14ac:dyDescent="0.15">
      <c r="AE5450" s="13"/>
    </row>
    <row r="5451" spans="31:31" ht="12.75" customHeight="1" x14ac:dyDescent="0.15">
      <c r="AE5451" s="13"/>
    </row>
    <row r="5452" spans="31:31" ht="12.75" customHeight="1" x14ac:dyDescent="0.15">
      <c r="AE5452" s="13"/>
    </row>
    <row r="5453" spans="31:31" ht="12.75" customHeight="1" x14ac:dyDescent="0.15">
      <c r="AE5453" s="13"/>
    </row>
    <row r="5454" spans="31:31" ht="12.75" customHeight="1" x14ac:dyDescent="0.15">
      <c r="AE5454" s="13"/>
    </row>
    <row r="5455" spans="31:31" ht="12.75" customHeight="1" x14ac:dyDescent="0.15">
      <c r="AE5455" s="13"/>
    </row>
    <row r="5456" spans="31:31" ht="12.75" customHeight="1" x14ac:dyDescent="0.15">
      <c r="AE5456" s="13"/>
    </row>
    <row r="5457" spans="31:31" ht="12.75" customHeight="1" x14ac:dyDescent="0.15">
      <c r="AE5457" s="13"/>
    </row>
    <row r="5458" spans="31:31" ht="12.75" customHeight="1" x14ac:dyDescent="0.15">
      <c r="AE5458" s="13"/>
    </row>
    <row r="5459" spans="31:31" ht="12.75" customHeight="1" x14ac:dyDescent="0.15">
      <c r="AE5459" s="13"/>
    </row>
    <row r="5460" spans="31:31" ht="12.75" customHeight="1" x14ac:dyDescent="0.15">
      <c r="AE5460" s="13"/>
    </row>
    <row r="5461" spans="31:31" ht="12.75" customHeight="1" x14ac:dyDescent="0.15">
      <c r="AE5461" s="13"/>
    </row>
    <row r="5462" spans="31:31" ht="12.75" customHeight="1" x14ac:dyDescent="0.15">
      <c r="AE5462" s="13"/>
    </row>
    <row r="5463" spans="31:31" ht="12.75" customHeight="1" x14ac:dyDescent="0.15">
      <c r="AE5463" s="13"/>
    </row>
    <row r="5464" spans="31:31" ht="12.75" customHeight="1" x14ac:dyDescent="0.15">
      <c r="AE5464" s="13"/>
    </row>
    <row r="5465" spans="31:31" ht="12.75" customHeight="1" x14ac:dyDescent="0.15">
      <c r="AE5465" s="13"/>
    </row>
    <row r="5466" spans="31:31" ht="12.75" customHeight="1" x14ac:dyDescent="0.15">
      <c r="AE5466" s="13"/>
    </row>
    <row r="5467" spans="31:31" ht="12.75" customHeight="1" x14ac:dyDescent="0.15">
      <c r="AE5467" s="13"/>
    </row>
    <row r="5468" spans="31:31" ht="12.75" customHeight="1" x14ac:dyDescent="0.15">
      <c r="AE5468" s="13"/>
    </row>
    <row r="5469" spans="31:31" ht="12.75" customHeight="1" x14ac:dyDescent="0.15">
      <c r="AE5469" s="13"/>
    </row>
    <row r="5470" spans="31:31" ht="12.75" customHeight="1" x14ac:dyDescent="0.15">
      <c r="AE5470" s="13"/>
    </row>
    <row r="5471" spans="31:31" ht="12.75" customHeight="1" x14ac:dyDescent="0.15">
      <c r="AE5471" s="13"/>
    </row>
    <row r="5472" spans="31:31" ht="12.75" customHeight="1" x14ac:dyDescent="0.15">
      <c r="AE5472" s="13"/>
    </row>
    <row r="5473" spans="31:31" ht="12.75" customHeight="1" x14ac:dyDescent="0.15">
      <c r="AE5473" s="13"/>
    </row>
    <row r="5474" spans="31:31" ht="12.75" customHeight="1" x14ac:dyDescent="0.15">
      <c r="AE5474" s="13"/>
    </row>
    <row r="5475" spans="31:31" ht="12.75" customHeight="1" x14ac:dyDescent="0.15">
      <c r="AE5475" s="13"/>
    </row>
    <row r="5476" spans="31:31" ht="12.75" customHeight="1" x14ac:dyDescent="0.15">
      <c r="AE5476" s="13"/>
    </row>
    <row r="5477" spans="31:31" ht="12.75" customHeight="1" x14ac:dyDescent="0.15">
      <c r="AE5477" s="13"/>
    </row>
    <row r="5478" spans="31:31" ht="12.75" customHeight="1" x14ac:dyDescent="0.15">
      <c r="AE5478" s="13"/>
    </row>
    <row r="5479" spans="31:31" ht="12.75" customHeight="1" x14ac:dyDescent="0.15">
      <c r="AE5479" s="13"/>
    </row>
    <row r="5480" spans="31:31" ht="12.75" customHeight="1" x14ac:dyDescent="0.15">
      <c r="AE5480" s="13"/>
    </row>
    <row r="5481" spans="31:31" ht="12.75" customHeight="1" x14ac:dyDescent="0.15">
      <c r="AE5481" s="13"/>
    </row>
    <row r="5482" spans="31:31" ht="12.75" customHeight="1" x14ac:dyDescent="0.15">
      <c r="AE5482" s="13"/>
    </row>
    <row r="5483" spans="31:31" ht="12.75" customHeight="1" x14ac:dyDescent="0.15">
      <c r="AE5483" s="13"/>
    </row>
    <row r="5484" spans="31:31" ht="12.75" customHeight="1" x14ac:dyDescent="0.15">
      <c r="AE5484" s="13"/>
    </row>
    <row r="5485" spans="31:31" ht="12.75" customHeight="1" x14ac:dyDescent="0.15">
      <c r="AE5485" s="13"/>
    </row>
    <row r="5486" spans="31:31" ht="12.75" customHeight="1" x14ac:dyDescent="0.15">
      <c r="AE5486" s="13"/>
    </row>
    <row r="5487" spans="31:31" ht="12.75" customHeight="1" x14ac:dyDescent="0.15">
      <c r="AE5487" s="13"/>
    </row>
    <row r="5488" spans="31:31" ht="12.75" customHeight="1" x14ac:dyDescent="0.15">
      <c r="AE5488" s="13"/>
    </row>
    <row r="5489" spans="31:31" ht="12.75" customHeight="1" x14ac:dyDescent="0.15">
      <c r="AE5489" s="13"/>
    </row>
    <row r="5490" spans="31:31" ht="12.75" customHeight="1" x14ac:dyDescent="0.15">
      <c r="AE5490" s="13"/>
    </row>
    <row r="5491" spans="31:31" ht="12.75" customHeight="1" x14ac:dyDescent="0.15">
      <c r="AE5491" s="13"/>
    </row>
    <row r="5492" spans="31:31" ht="12.75" customHeight="1" x14ac:dyDescent="0.15">
      <c r="AE5492" s="13"/>
    </row>
    <row r="5493" spans="31:31" ht="12.75" customHeight="1" x14ac:dyDescent="0.15">
      <c r="AE5493" s="13"/>
    </row>
    <row r="5494" spans="31:31" ht="12.75" customHeight="1" x14ac:dyDescent="0.15">
      <c r="AE5494" s="13"/>
    </row>
    <row r="5495" spans="31:31" ht="12.75" customHeight="1" x14ac:dyDescent="0.15">
      <c r="AE5495" s="13"/>
    </row>
    <row r="5496" spans="31:31" ht="12.75" customHeight="1" x14ac:dyDescent="0.15">
      <c r="AE5496" s="13"/>
    </row>
    <row r="5497" spans="31:31" ht="12.75" customHeight="1" x14ac:dyDescent="0.15">
      <c r="AE5497" s="13"/>
    </row>
    <row r="5498" spans="31:31" ht="12.75" customHeight="1" x14ac:dyDescent="0.15">
      <c r="AE5498" s="13"/>
    </row>
    <row r="5499" spans="31:31" ht="12.75" customHeight="1" x14ac:dyDescent="0.15">
      <c r="AE5499" s="13"/>
    </row>
    <row r="5500" spans="31:31" ht="12.75" customHeight="1" x14ac:dyDescent="0.15">
      <c r="AE5500" s="13"/>
    </row>
    <row r="5501" spans="31:31" ht="12.75" customHeight="1" x14ac:dyDescent="0.15">
      <c r="AE5501" s="13"/>
    </row>
    <row r="5502" spans="31:31" ht="12.75" customHeight="1" x14ac:dyDescent="0.15">
      <c r="AE5502" s="13"/>
    </row>
    <row r="5503" spans="31:31" ht="12.75" customHeight="1" x14ac:dyDescent="0.15">
      <c r="AE5503" s="13"/>
    </row>
    <row r="5504" spans="31:31" ht="12.75" customHeight="1" x14ac:dyDescent="0.15">
      <c r="AE5504" s="13"/>
    </row>
    <row r="5505" spans="31:31" ht="12.75" customHeight="1" x14ac:dyDescent="0.15">
      <c r="AE5505" s="13"/>
    </row>
    <row r="5506" spans="31:31" ht="12.75" customHeight="1" x14ac:dyDescent="0.15">
      <c r="AE5506" s="13"/>
    </row>
    <row r="5507" spans="31:31" ht="12.75" customHeight="1" x14ac:dyDescent="0.15">
      <c r="AE5507" s="13"/>
    </row>
    <row r="5508" spans="31:31" ht="12.75" customHeight="1" x14ac:dyDescent="0.15">
      <c r="AE5508" s="13"/>
    </row>
    <row r="5509" spans="31:31" ht="12.75" customHeight="1" x14ac:dyDescent="0.15">
      <c r="AE5509" s="13"/>
    </row>
    <row r="5510" spans="31:31" ht="12.75" customHeight="1" x14ac:dyDescent="0.15">
      <c r="AE5510" s="13"/>
    </row>
    <row r="5511" spans="31:31" ht="12.75" customHeight="1" x14ac:dyDescent="0.15">
      <c r="AE5511" s="13"/>
    </row>
    <row r="5512" spans="31:31" ht="12.75" customHeight="1" x14ac:dyDescent="0.15">
      <c r="AE5512" s="13"/>
    </row>
    <row r="5513" spans="31:31" ht="12.75" customHeight="1" x14ac:dyDescent="0.15">
      <c r="AE5513" s="13"/>
    </row>
    <row r="5514" spans="31:31" ht="12.75" customHeight="1" x14ac:dyDescent="0.15">
      <c r="AE5514" s="13"/>
    </row>
    <row r="5515" spans="31:31" ht="12.75" customHeight="1" x14ac:dyDescent="0.15">
      <c r="AE5515" s="13"/>
    </row>
    <row r="5516" spans="31:31" ht="12.75" customHeight="1" x14ac:dyDescent="0.15">
      <c r="AE5516" s="13"/>
    </row>
    <row r="5517" spans="31:31" ht="12.75" customHeight="1" x14ac:dyDescent="0.15">
      <c r="AE5517" s="13"/>
    </row>
    <row r="5518" spans="31:31" ht="12.75" customHeight="1" x14ac:dyDescent="0.15">
      <c r="AE5518" s="13"/>
    </row>
    <row r="5519" spans="31:31" ht="12.75" customHeight="1" x14ac:dyDescent="0.15">
      <c r="AE5519" s="13"/>
    </row>
    <row r="5520" spans="31:31" ht="12.75" customHeight="1" x14ac:dyDescent="0.15">
      <c r="AE5520" s="13"/>
    </row>
    <row r="5521" spans="31:31" ht="12.75" customHeight="1" x14ac:dyDescent="0.15">
      <c r="AE5521" s="13"/>
    </row>
    <row r="5522" spans="31:31" ht="12.75" customHeight="1" x14ac:dyDescent="0.15">
      <c r="AE5522" s="13"/>
    </row>
    <row r="5523" spans="31:31" ht="12.75" customHeight="1" x14ac:dyDescent="0.15">
      <c r="AE5523" s="13"/>
    </row>
    <row r="5524" spans="31:31" ht="12.75" customHeight="1" x14ac:dyDescent="0.15">
      <c r="AE5524" s="13"/>
    </row>
    <row r="5525" spans="31:31" ht="12.75" customHeight="1" x14ac:dyDescent="0.15">
      <c r="AE5525" s="13"/>
    </row>
    <row r="5526" spans="31:31" ht="12.75" customHeight="1" x14ac:dyDescent="0.15">
      <c r="AE5526" s="13"/>
    </row>
    <row r="5527" spans="31:31" ht="12.75" customHeight="1" x14ac:dyDescent="0.15">
      <c r="AE5527" s="13"/>
    </row>
    <row r="5528" spans="31:31" ht="12.75" customHeight="1" x14ac:dyDescent="0.15">
      <c r="AE5528" s="13"/>
    </row>
    <row r="5529" spans="31:31" ht="12.75" customHeight="1" x14ac:dyDescent="0.15">
      <c r="AE5529" s="13"/>
    </row>
    <row r="5530" spans="31:31" ht="12.75" customHeight="1" x14ac:dyDescent="0.15">
      <c r="AE5530" s="13"/>
    </row>
    <row r="5531" spans="31:31" ht="12.75" customHeight="1" x14ac:dyDescent="0.15">
      <c r="AE5531" s="13"/>
    </row>
    <row r="5532" spans="31:31" ht="12.75" customHeight="1" x14ac:dyDescent="0.15">
      <c r="AE5532" s="13"/>
    </row>
    <row r="5533" spans="31:31" ht="12.75" customHeight="1" x14ac:dyDescent="0.15">
      <c r="AE5533" s="13"/>
    </row>
    <row r="5534" spans="31:31" ht="12.75" customHeight="1" x14ac:dyDescent="0.15">
      <c r="AE5534" s="13"/>
    </row>
    <row r="5535" spans="31:31" ht="12.75" customHeight="1" x14ac:dyDescent="0.15">
      <c r="AE5535" s="13"/>
    </row>
    <row r="5536" spans="31:31" ht="12.75" customHeight="1" x14ac:dyDescent="0.15">
      <c r="AE5536" s="13"/>
    </row>
    <row r="5537" spans="31:31" ht="12.75" customHeight="1" x14ac:dyDescent="0.15">
      <c r="AE5537" s="13"/>
    </row>
    <row r="5538" spans="31:31" ht="12.75" customHeight="1" x14ac:dyDescent="0.15">
      <c r="AE5538" s="13"/>
    </row>
    <row r="5539" spans="31:31" ht="12.75" customHeight="1" x14ac:dyDescent="0.15">
      <c r="AE5539" s="13"/>
    </row>
    <row r="5540" spans="31:31" ht="12.75" customHeight="1" x14ac:dyDescent="0.15">
      <c r="AE5540" s="13"/>
    </row>
    <row r="5541" spans="31:31" ht="12.75" customHeight="1" x14ac:dyDescent="0.15">
      <c r="AE5541" s="13"/>
    </row>
    <row r="5542" spans="31:31" ht="12.75" customHeight="1" x14ac:dyDescent="0.15">
      <c r="AE5542" s="13"/>
    </row>
    <row r="5543" spans="31:31" ht="12.75" customHeight="1" x14ac:dyDescent="0.15">
      <c r="AE5543" s="13"/>
    </row>
    <row r="5544" spans="31:31" ht="12.75" customHeight="1" x14ac:dyDescent="0.15">
      <c r="AE5544" s="13"/>
    </row>
    <row r="5545" spans="31:31" ht="12.75" customHeight="1" x14ac:dyDescent="0.15">
      <c r="AE5545" s="13"/>
    </row>
    <row r="5546" spans="31:31" ht="12.75" customHeight="1" x14ac:dyDescent="0.15">
      <c r="AE5546" s="13"/>
    </row>
    <row r="5547" spans="31:31" ht="12.75" customHeight="1" x14ac:dyDescent="0.15">
      <c r="AE5547" s="13"/>
    </row>
    <row r="5548" spans="31:31" ht="12.75" customHeight="1" x14ac:dyDescent="0.15">
      <c r="AE5548" s="13"/>
    </row>
    <row r="5549" spans="31:31" ht="12.75" customHeight="1" x14ac:dyDescent="0.15">
      <c r="AE5549" s="13"/>
    </row>
    <row r="5550" spans="31:31" ht="12.75" customHeight="1" x14ac:dyDescent="0.15">
      <c r="AE5550" s="13"/>
    </row>
    <row r="5551" spans="31:31" ht="12.75" customHeight="1" x14ac:dyDescent="0.15">
      <c r="AE5551" s="13"/>
    </row>
    <row r="5552" spans="31:31" ht="12.75" customHeight="1" x14ac:dyDescent="0.15">
      <c r="AE5552" s="13"/>
    </row>
    <row r="5553" spans="31:31" ht="12.75" customHeight="1" x14ac:dyDescent="0.15">
      <c r="AE5553" s="13"/>
    </row>
    <row r="5554" spans="31:31" ht="12.75" customHeight="1" x14ac:dyDescent="0.15">
      <c r="AE5554" s="13"/>
    </row>
    <row r="5555" spans="31:31" ht="12.75" customHeight="1" x14ac:dyDescent="0.15">
      <c r="AE5555" s="13"/>
    </row>
    <row r="5556" spans="31:31" ht="12.75" customHeight="1" x14ac:dyDescent="0.15">
      <c r="AE5556" s="13"/>
    </row>
    <row r="5557" spans="31:31" ht="12.75" customHeight="1" x14ac:dyDescent="0.15">
      <c r="AE5557" s="13"/>
    </row>
    <row r="5558" spans="31:31" ht="12.75" customHeight="1" x14ac:dyDescent="0.15">
      <c r="AE5558" s="13"/>
    </row>
    <row r="5559" spans="31:31" ht="12.75" customHeight="1" x14ac:dyDescent="0.15">
      <c r="AE5559" s="13"/>
    </row>
    <row r="5560" spans="31:31" ht="12.75" customHeight="1" x14ac:dyDescent="0.15">
      <c r="AE5560" s="13"/>
    </row>
    <row r="5561" spans="31:31" ht="12.75" customHeight="1" x14ac:dyDescent="0.15">
      <c r="AE5561" s="13"/>
    </row>
    <row r="5562" spans="31:31" ht="12.75" customHeight="1" x14ac:dyDescent="0.15">
      <c r="AE5562" s="13"/>
    </row>
    <row r="5563" spans="31:31" ht="12.75" customHeight="1" x14ac:dyDescent="0.15">
      <c r="AE5563" s="13"/>
    </row>
    <row r="5564" spans="31:31" ht="12.75" customHeight="1" x14ac:dyDescent="0.15">
      <c r="AE5564" s="13"/>
    </row>
    <row r="5565" spans="31:31" ht="12.75" customHeight="1" x14ac:dyDescent="0.15">
      <c r="AE5565" s="13"/>
    </row>
    <row r="5566" spans="31:31" ht="12.75" customHeight="1" x14ac:dyDescent="0.15">
      <c r="AE5566" s="13"/>
    </row>
    <row r="5567" spans="31:31" ht="12.75" customHeight="1" x14ac:dyDescent="0.15">
      <c r="AE5567" s="13"/>
    </row>
    <row r="5568" spans="31:31" ht="12.75" customHeight="1" x14ac:dyDescent="0.15">
      <c r="AE5568" s="13"/>
    </row>
    <row r="5569" spans="31:31" ht="12.75" customHeight="1" x14ac:dyDescent="0.15">
      <c r="AE5569" s="13"/>
    </row>
    <row r="5570" spans="31:31" ht="12.75" customHeight="1" x14ac:dyDescent="0.15">
      <c r="AE5570" s="13"/>
    </row>
    <row r="5571" spans="31:31" ht="12.75" customHeight="1" x14ac:dyDescent="0.15">
      <c r="AE5571" s="13"/>
    </row>
    <row r="5572" spans="31:31" ht="12.75" customHeight="1" x14ac:dyDescent="0.15">
      <c r="AE5572" s="13"/>
    </row>
    <row r="5573" spans="31:31" ht="12.75" customHeight="1" x14ac:dyDescent="0.15">
      <c r="AE5573" s="13"/>
    </row>
    <row r="5574" spans="31:31" ht="12.75" customHeight="1" x14ac:dyDescent="0.15">
      <c r="AE5574" s="13"/>
    </row>
    <row r="5575" spans="31:31" ht="12.75" customHeight="1" x14ac:dyDescent="0.15">
      <c r="AE5575" s="13"/>
    </row>
    <row r="5576" spans="31:31" ht="12.75" customHeight="1" x14ac:dyDescent="0.15">
      <c r="AE5576" s="13"/>
    </row>
    <row r="5577" spans="31:31" ht="12.75" customHeight="1" x14ac:dyDescent="0.15">
      <c r="AE5577" s="13"/>
    </row>
    <row r="5578" spans="31:31" ht="12.75" customHeight="1" x14ac:dyDescent="0.15">
      <c r="AE5578" s="13"/>
    </row>
    <row r="5579" spans="31:31" ht="12.75" customHeight="1" x14ac:dyDescent="0.15">
      <c r="AE5579" s="13"/>
    </row>
    <row r="5580" spans="31:31" ht="12.75" customHeight="1" x14ac:dyDescent="0.15">
      <c r="AE5580" s="13"/>
    </row>
    <row r="5581" spans="31:31" ht="12.75" customHeight="1" x14ac:dyDescent="0.15">
      <c r="AE5581" s="13"/>
    </row>
    <row r="5582" spans="31:31" ht="12.75" customHeight="1" x14ac:dyDescent="0.15">
      <c r="AE5582" s="13"/>
    </row>
    <row r="5583" spans="31:31" ht="12.75" customHeight="1" x14ac:dyDescent="0.15">
      <c r="AE5583" s="13"/>
    </row>
    <row r="5584" spans="31:31" ht="12.75" customHeight="1" x14ac:dyDescent="0.15">
      <c r="AE5584" s="13"/>
    </row>
    <row r="5585" spans="31:31" ht="12.75" customHeight="1" x14ac:dyDescent="0.15">
      <c r="AE5585" s="13"/>
    </row>
    <row r="5586" spans="31:31" ht="12.75" customHeight="1" x14ac:dyDescent="0.15">
      <c r="AE5586" s="13"/>
    </row>
    <row r="5587" spans="31:31" ht="12.75" customHeight="1" x14ac:dyDescent="0.15">
      <c r="AE5587" s="13"/>
    </row>
    <row r="5588" spans="31:31" ht="12.75" customHeight="1" x14ac:dyDescent="0.15">
      <c r="AE5588" s="13"/>
    </row>
    <row r="5589" spans="31:31" ht="12.75" customHeight="1" x14ac:dyDescent="0.15">
      <c r="AE5589" s="13"/>
    </row>
    <row r="5590" spans="31:31" ht="12.75" customHeight="1" x14ac:dyDescent="0.15">
      <c r="AE5590" s="13"/>
    </row>
    <row r="5591" spans="31:31" ht="12.75" customHeight="1" x14ac:dyDescent="0.15">
      <c r="AE5591" s="13"/>
    </row>
    <row r="5592" spans="31:31" ht="12.75" customHeight="1" x14ac:dyDescent="0.15">
      <c r="AE5592" s="13"/>
    </row>
    <row r="5593" spans="31:31" ht="12.75" customHeight="1" x14ac:dyDescent="0.15">
      <c r="AE5593" s="13"/>
    </row>
    <row r="5594" spans="31:31" ht="12.75" customHeight="1" x14ac:dyDescent="0.15">
      <c r="AE5594" s="13"/>
    </row>
    <row r="5595" spans="31:31" ht="12.75" customHeight="1" x14ac:dyDescent="0.15">
      <c r="AE5595" s="13"/>
    </row>
    <row r="5596" spans="31:31" ht="12.75" customHeight="1" x14ac:dyDescent="0.15">
      <c r="AE5596" s="13"/>
    </row>
    <row r="5597" spans="31:31" ht="12.75" customHeight="1" x14ac:dyDescent="0.15">
      <c r="AE5597" s="13"/>
    </row>
    <row r="5598" spans="31:31" ht="12.75" customHeight="1" x14ac:dyDescent="0.15">
      <c r="AE5598" s="13"/>
    </row>
    <row r="5599" spans="31:31" ht="12.75" customHeight="1" x14ac:dyDescent="0.15">
      <c r="AE5599" s="13"/>
    </row>
    <row r="5600" spans="31:31" ht="12.75" customHeight="1" x14ac:dyDescent="0.15">
      <c r="AE5600" s="13"/>
    </row>
    <row r="5601" spans="31:31" ht="12.75" customHeight="1" x14ac:dyDescent="0.15">
      <c r="AE5601" s="13"/>
    </row>
    <row r="5602" spans="31:31" ht="12.75" customHeight="1" x14ac:dyDescent="0.15">
      <c r="AE5602" s="13"/>
    </row>
    <row r="5603" spans="31:31" ht="12.75" customHeight="1" x14ac:dyDescent="0.15">
      <c r="AE5603" s="13"/>
    </row>
    <row r="5604" spans="31:31" ht="12.75" customHeight="1" x14ac:dyDescent="0.15">
      <c r="AE5604" s="13"/>
    </row>
    <row r="5605" spans="31:31" ht="12.75" customHeight="1" x14ac:dyDescent="0.15">
      <c r="AE5605" s="13"/>
    </row>
    <row r="5606" spans="31:31" ht="12.75" customHeight="1" x14ac:dyDescent="0.15">
      <c r="AE5606" s="13"/>
    </row>
    <row r="5607" spans="31:31" ht="12.75" customHeight="1" x14ac:dyDescent="0.15">
      <c r="AE5607" s="13"/>
    </row>
    <row r="5608" spans="31:31" ht="12.75" customHeight="1" x14ac:dyDescent="0.15">
      <c r="AE5608" s="13"/>
    </row>
    <row r="5609" spans="31:31" ht="12.75" customHeight="1" x14ac:dyDescent="0.15">
      <c r="AE5609" s="13"/>
    </row>
    <row r="5610" spans="31:31" ht="12.75" customHeight="1" x14ac:dyDescent="0.15">
      <c r="AE5610" s="13"/>
    </row>
    <row r="5611" spans="31:31" ht="12.75" customHeight="1" x14ac:dyDescent="0.15">
      <c r="AE5611" s="13"/>
    </row>
    <row r="5612" spans="31:31" ht="12.75" customHeight="1" x14ac:dyDescent="0.15">
      <c r="AE5612" s="13"/>
    </row>
    <row r="5613" spans="31:31" ht="12.75" customHeight="1" x14ac:dyDescent="0.15">
      <c r="AE5613" s="13"/>
    </row>
    <row r="5614" spans="31:31" ht="12.75" customHeight="1" x14ac:dyDescent="0.15">
      <c r="AE5614" s="13"/>
    </row>
    <row r="5615" spans="31:31" ht="12.75" customHeight="1" x14ac:dyDescent="0.15">
      <c r="AE5615" s="13"/>
    </row>
    <row r="5616" spans="31:31" ht="12.75" customHeight="1" x14ac:dyDescent="0.15">
      <c r="AE5616" s="13"/>
    </row>
    <row r="5617" spans="31:31" ht="12.75" customHeight="1" x14ac:dyDescent="0.15">
      <c r="AE5617" s="13"/>
    </row>
    <row r="5618" spans="31:31" ht="12.75" customHeight="1" x14ac:dyDescent="0.15">
      <c r="AE5618" s="13"/>
    </row>
    <row r="5619" spans="31:31" ht="12.75" customHeight="1" x14ac:dyDescent="0.15">
      <c r="AE5619" s="13"/>
    </row>
    <row r="5620" spans="31:31" ht="12.75" customHeight="1" x14ac:dyDescent="0.15">
      <c r="AE5620" s="13"/>
    </row>
    <row r="5621" spans="31:31" ht="12.75" customHeight="1" x14ac:dyDescent="0.15">
      <c r="AE5621" s="13"/>
    </row>
    <row r="5622" spans="31:31" ht="12.75" customHeight="1" x14ac:dyDescent="0.15">
      <c r="AE5622" s="13"/>
    </row>
    <row r="5623" spans="31:31" ht="12.75" customHeight="1" x14ac:dyDescent="0.15">
      <c r="AE5623" s="13"/>
    </row>
    <row r="5624" spans="31:31" ht="12.75" customHeight="1" x14ac:dyDescent="0.15">
      <c r="AE5624" s="13"/>
    </row>
    <row r="5625" spans="31:31" ht="12.75" customHeight="1" x14ac:dyDescent="0.15">
      <c r="AE5625" s="13"/>
    </row>
    <row r="5626" spans="31:31" ht="12.75" customHeight="1" x14ac:dyDescent="0.15">
      <c r="AE5626" s="13"/>
    </row>
    <row r="5627" spans="31:31" ht="12.75" customHeight="1" x14ac:dyDescent="0.15">
      <c r="AE5627" s="13"/>
    </row>
    <row r="5628" spans="31:31" ht="12.75" customHeight="1" x14ac:dyDescent="0.15">
      <c r="AE5628" s="13"/>
    </row>
    <row r="5629" spans="31:31" ht="12.75" customHeight="1" x14ac:dyDescent="0.15">
      <c r="AE5629" s="13"/>
    </row>
    <row r="5630" spans="31:31" ht="12.75" customHeight="1" x14ac:dyDescent="0.15">
      <c r="AE5630" s="13"/>
    </row>
    <row r="5631" spans="31:31" ht="12.75" customHeight="1" x14ac:dyDescent="0.15">
      <c r="AE5631" s="13"/>
    </row>
    <row r="5632" spans="31:31" ht="12.75" customHeight="1" x14ac:dyDescent="0.15">
      <c r="AE5632" s="13"/>
    </row>
    <row r="5633" spans="31:31" ht="12.75" customHeight="1" x14ac:dyDescent="0.15">
      <c r="AE5633" s="13"/>
    </row>
    <row r="5634" spans="31:31" ht="12.75" customHeight="1" x14ac:dyDescent="0.15">
      <c r="AE5634" s="13"/>
    </row>
    <row r="5635" spans="31:31" ht="12.75" customHeight="1" x14ac:dyDescent="0.15">
      <c r="AE5635" s="13"/>
    </row>
    <row r="5636" spans="31:31" ht="12.75" customHeight="1" x14ac:dyDescent="0.15">
      <c r="AE5636" s="13"/>
    </row>
    <row r="5637" spans="31:31" ht="12.75" customHeight="1" x14ac:dyDescent="0.15">
      <c r="AE5637" s="13"/>
    </row>
    <row r="5638" spans="31:31" ht="12.75" customHeight="1" x14ac:dyDescent="0.15">
      <c r="AE5638" s="13"/>
    </row>
    <row r="5639" spans="31:31" ht="12.75" customHeight="1" x14ac:dyDescent="0.15">
      <c r="AE5639" s="13"/>
    </row>
    <row r="5640" spans="31:31" ht="12.75" customHeight="1" x14ac:dyDescent="0.15">
      <c r="AE5640" s="13"/>
    </row>
    <row r="5641" spans="31:31" ht="12.75" customHeight="1" x14ac:dyDescent="0.15">
      <c r="AE5641" s="13"/>
    </row>
    <row r="5642" spans="31:31" ht="12.75" customHeight="1" x14ac:dyDescent="0.15">
      <c r="AE5642" s="13"/>
    </row>
    <row r="5643" spans="31:31" ht="12.75" customHeight="1" x14ac:dyDescent="0.15">
      <c r="AE5643" s="13"/>
    </row>
    <row r="5644" spans="31:31" ht="12.75" customHeight="1" x14ac:dyDescent="0.15">
      <c r="AE5644" s="13"/>
    </row>
    <row r="5645" spans="31:31" ht="12.75" customHeight="1" x14ac:dyDescent="0.15">
      <c r="AE5645" s="13"/>
    </row>
    <row r="5646" spans="31:31" ht="12.75" customHeight="1" x14ac:dyDescent="0.15">
      <c r="AE5646" s="13"/>
    </row>
    <row r="5647" spans="31:31" ht="12.75" customHeight="1" x14ac:dyDescent="0.15">
      <c r="AE5647" s="13"/>
    </row>
    <row r="5648" spans="31:31" ht="12.75" customHeight="1" x14ac:dyDescent="0.15">
      <c r="AE5648" s="13"/>
    </row>
    <row r="5649" spans="31:31" ht="12.75" customHeight="1" x14ac:dyDescent="0.15">
      <c r="AE5649" s="13"/>
    </row>
    <row r="5650" spans="31:31" ht="12.75" customHeight="1" x14ac:dyDescent="0.15">
      <c r="AE5650" s="13"/>
    </row>
    <row r="5651" spans="31:31" ht="12.75" customHeight="1" x14ac:dyDescent="0.15">
      <c r="AE5651" s="13"/>
    </row>
    <row r="5652" spans="31:31" ht="12.75" customHeight="1" x14ac:dyDescent="0.15">
      <c r="AE5652" s="13"/>
    </row>
    <row r="5653" spans="31:31" ht="12.75" customHeight="1" x14ac:dyDescent="0.15">
      <c r="AE5653" s="13"/>
    </row>
    <row r="5654" spans="31:31" ht="12.75" customHeight="1" x14ac:dyDescent="0.15">
      <c r="AE5654" s="13"/>
    </row>
    <row r="5655" spans="31:31" ht="12.75" customHeight="1" x14ac:dyDescent="0.15">
      <c r="AE5655" s="13"/>
    </row>
    <row r="5656" spans="31:31" ht="12.75" customHeight="1" x14ac:dyDescent="0.15">
      <c r="AE5656" s="13"/>
    </row>
    <row r="5657" spans="31:31" ht="12.75" customHeight="1" x14ac:dyDescent="0.15">
      <c r="AE5657" s="13"/>
    </row>
    <row r="5658" spans="31:31" ht="12.75" customHeight="1" x14ac:dyDescent="0.15">
      <c r="AE5658" s="13"/>
    </row>
    <row r="5659" spans="31:31" ht="12.75" customHeight="1" x14ac:dyDescent="0.15">
      <c r="AE5659" s="13"/>
    </row>
    <row r="5660" spans="31:31" ht="12.75" customHeight="1" x14ac:dyDescent="0.15">
      <c r="AE5660" s="13"/>
    </row>
    <row r="5661" spans="31:31" ht="12.75" customHeight="1" x14ac:dyDescent="0.15">
      <c r="AE5661" s="13"/>
    </row>
    <row r="5662" spans="31:31" ht="12.75" customHeight="1" x14ac:dyDescent="0.15">
      <c r="AE5662" s="13"/>
    </row>
    <row r="5663" spans="31:31" ht="12.75" customHeight="1" x14ac:dyDescent="0.15">
      <c r="AE5663" s="13"/>
    </row>
    <row r="5664" spans="31:31" ht="12.75" customHeight="1" x14ac:dyDescent="0.15">
      <c r="AE5664" s="13"/>
    </row>
    <row r="5665" spans="31:31" ht="12.75" customHeight="1" x14ac:dyDescent="0.15">
      <c r="AE5665" s="13"/>
    </row>
    <row r="5666" spans="31:31" ht="12.75" customHeight="1" x14ac:dyDescent="0.15">
      <c r="AE5666" s="13"/>
    </row>
    <row r="5667" spans="31:31" ht="12.75" customHeight="1" x14ac:dyDescent="0.15">
      <c r="AE5667" s="13"/>
    </row>
    <row r="5668" spans="31:31" ht="12.75" customHeight="1" x14ac:dyDescent="0.15">
      <c r="AE5668" s="13"/>
    </row>
    <row r="5669" spans="31:31" ht="12.75" customHeight="1" x14ac:dyDescent="0.15">
      <c r="AE5669" s="13"/>
    </row>
    <row r="5670" spans="31:31" ht="12.75" customHeight="1" x14ac:dyDescent="0.15">
      <c r="AE5670" s="13"/>
    </row>
    <row r="5671" spans="31:31" ht="12.75" customHeight="1" x14ac:dyDescent="0.15">
      <c r="AE5671" s="13"/>
    </row>
    <row r="5672" spans="31:31" ht="12.75" customHeight="1" x14ac:dyDescent="0.15">
      <c r="AE5672" s="13"/>
    </row>
    <row r="5673" spans="31:31" ht="12.75" customHeight="1" x14ac:dyDescent="0.15">
      <c r="AE5673" s="13"/>
    </row>
    <row r="5674" spans="31:31" ht="12.75" customHeight="1" x14ac:dyDescent="0.15">
      <c r="AE5674" s="13"/>
    </row>
    <row r="5675" spans="31:31" ht="12.75" customHeight="1" x14ac:dyDescent="0.15">
      <c r="AE5675" s="13"/>
    </row>
    <row r="5676" spans="31:31" ht="12.75" customHeight="1" x14ac:dyDescent="0.15">
      <c r="AE5676" s="13"/>
    </row>
    <row r="5677" spans="31:31" ht="12.75" customHeight="1" x14ac:dyDescent="0.15">
      <c r="AE5677" s="13"/>
    </row>
    <row r="5678" spans="31:31" ht="12.75" customHeight="1" x14ac:dyDescent="0.15">
      <c r="AE5678" s="13"/>
    </row>
    <row r="5679" spans="31:31" ht="12.75" customHeight="1" x14ac:dyDescent="0.15">
      <c r="AE5679" s="13"/>
    </row>
    <row r="5680" spans="31:31" ht="12.75" customHeight="1" x14ac:dyDescent="0.15">
      <c r="AE5680" s="13"/>
    </row>
    <row r="5681" spans="31:31" ht="12.75" customHeight="1" x14ac:dyDescent="0.15">
      <c r="AE5681" s="13"/>
    </row>
    <row r="5682" spans="31:31" ht="12.75" customHeight="1" x14ac:dyDescent="0.15">
      <c r="AE5682" s="13"/>
    </row>
    <row r="5683" spans="31:31" ht="12.75" customHeight="1" x14ac:dyDescent="0.15">
      <c r="AE5683" s="13"/>
    </row>
    <row r="5684" spans="31:31" ht="12.75" customHeight="1" x14ac:dyDescent="0.15">
      <c r="AE5684" s="13"/>
    </row>
    <row r="5685" spans="31:31" ht="12.75" customHeight="1" x14ac:dyDescent="0.15">
      <c r="AE5685" s="13"/>
    </row>
    <row r="5686" spans="31:31" ht="12.75" customHeight="1" x14ac:dyDescent="0.15">
      <c r="AE5686" s="13"/>
    </row>
    <row r="5687" spans="31:31" ht="12.75" customHeight="1" x14ac:dyDescent="0.15">
      <c r="AE5687" s="13"/>
    </row>
    <row r="5688" spans="31:31" ht="12.75" customHeight="1" x14ac:dyDescent="0.15">
      <c r="AE5688" s="13"/>
    </row>
    <row r="5689" spans="31:31" ht="12.75" customHeight="1" x14ac:dyDescent="0.15">
      <c r="AE5689" s="13"/>
    </row>
    <row r="5690" spans="31:31" ht="12.75" customHeight="1" x14ac:dyDescent="0.15">
      <c r="AE5690" s="13"/>
    </row>
    <row r="5691" spans="31:31" ht="12.75" customHeight="1" x14ac:dyDescent="0.15">
      <c r="AE5691" s="13"/>
    </row>
    <row r="5692" spans="31:31" ht="12.75" customHeight="1" x14ac:dyDescent="0.15">
      <c r="AE5692" s="13"/>
    </row>
    <row r="5693" spans="31:31" ht="12.75" customHeight="1" x14ac:dyDescent="0.15">
      <c r="AE5693" s="13"/>
    </row>
    <row r="5694" spans="31:31" ht="12.75" customHeight="1" x14ac:dyDescent="0.15">
      <c r="AE5694" s="13"/>
    </row>
    <row r="5695" spans="31:31" ht="12.75" customHeight="1" x14ac:dyDescent="0.15">
      <c r="AE5695" s="13"/>
    </row>
    <row r="5696" spans="31:31" ht="12.75" customHeight="1" x14ac:dyDescent="0.15">
      <c r="AE5696" s="13"/>
    </row>
    <row r="5697" spans="31:31" ht="12.75" customHeight="1" x14ac:dyDescent="0.15">
      <c r="AE5697" s="13"/>
    </row>
    <row r="5698" spans="31:31" ht="12.75" customHeight="1" x14ac:dyDescent="0.15">
      <c r="AE5698" s="13"/>
    </row>
    <row r="5699" spans="31:31" ht="12.75" customHeight="1" x14ac:dyDescent="0.15">
      <c r="AE5699" s="13"/>
    </row>
    <row r="5700" spans="31:31" ht="12.75" customHeight="1" x14ac:dyDescent="0.15">
      <c r="AE5700" s="13"/>
    </row>
    <row r="5701" spans="31:31" ht="12.75" customHeight="1" x14ac:dyDescent="0.15">
      <c r="AE5701" s="13"/>
    </row>
    <row r="5702" spans="31:31" ht="12.75" customHeight="1" x14ac:dyDescent="0.15">
      <c r="AE5702" s="13"/>
    </row>
    <row r="5703" spans="31:31" ht="12.75" customHeight="1" x14ac:dyDescent="0.15">
      <c r="AE5703" s="13"/>
    </row>
    <row r="5704" spans="31:31" ht="12.75" customHeight="1" x14ac:dyDescent="0.15">
      <c r="AE5704" s="13"/>
    </row>
    <row r="5705" spans="31:31" ht="12.75" customHeight="1" x14ac:dyDescent="0.15">
      <c r="AE5705" s="13"/>
    </row>
    <row r="5706" spans="31:31" ht="12.75" customHeight="1" x14ac:dyDescent="0.15">
      <c r="AE5706" s="13"/>
    </row>
    <row r="5707" spans="31:31" ht="12.75" customHeight="1" x14ac:dyDescent="0.15">
      <c r="AE5707" s="13"/>
    </row>
    <row r="5708" spans="31:31" ht="12.75" customHeight="1" x14ac:dyDescent="0.15">
      <c r="AE5708" s="13"/>
    </row>
    <row r="5709" spans="31:31" ht="12.75" customHeight="1" x14ac:dyDescent="0.15">
      <c r="AE5709" s="13"/>
    </row>
    <row r="5710" spans="31:31" ht="12.75" customHeight="1" x14ac:dyDescent="0.15">
      <c r="AE5710" s="13"/>
    </row>
    <row r="5711" spans="31:31" ht="12.75" customHeight="1" x14ac:dyDescent="0.15">
      <c r="AE5711" s="13"/>
    </row>
    <row r="5712" spans="31:31" ht="12.75" customHeight="1" x14ac:dyDescent="0.15">
      <c r="AE5712" s="13"/>
    </row>
    <row r="5713" spans="31:31" ht="12.75" customHeight="1" x14ac:dyDescent="0.15">
      <c r="AE5713" s="13"/>
    </row>
    <row r="5714" spans="31:31" ht="12.75" customHeight="1" x14ac:dyDescent="0.15">
      <c r="AE5714" s="13"/>
    </row>
    <row r="5715" spans="31:31" ht="12.75" customHeight="1" x14ac:dyDescent="0.15">
      <c r="AE5715" s="13"/>
    </row>
    <row r="5716" spans="31:31" ht="12.75" customHeight="1" x14ac:dyDescent="0.15">
      <c r="AE5716" s="13"/>
    </row>
    <row r="5717" spans="31:31" ht="12.75" customHeight="1" x14ac:dyDescent="0.15">
      <c r="AE5717" s="13"/>
    </row>
    <row r="5718" spans="31:31" ht="12.75" customHeight="1" x14ac:dyDescent="0.15">
      <c r="AE5718" s="13"/>
    </row>
    <row r="5719" spans="31:31" ht="12.75" customHeight="1" x14ac:dyDescent="0.15">
      <c r="AE5719" s="13"/>
    </row>
    <row r="5720" spans="31:31" ht="12.75" customHeight="1" x14ac:dyDescent="0.15">
      <c r="AE5720" s="13"/>
    </row>
    <row r="5721" spans="31:31" ht="12.75" customHeight="1" x14ac:dyDescent="0.15">
      <c r="AE5721" s="13"/>
    </row>
    <row r="5722" spans="31:31" ht="12.75" customHeight="1" x14ac:dyDescent="0.15">
      <c r="AE5722" s="13"/>
    </row>
    <row r="5723" spans="31:31" ht="12.75" customHeight="1" x14ac:dyDescent="0.15">
      <c r="AE5723" s="13"/>
    </row>
    <row r="5724" spans="31:31" ht="12.75" customHeight="1" x14ac:dyDescent="0.15">
      <c r="AE5724" s="13"/>
    </row>
    <row r="5725" spans="31:31" ht="12.75" customHeight="1" x14ac:dyDescent="0.15">
      <c r="AE5725" s="13"/>
    </row>
    <row r="5726" spans="31:31" ht="12.75" customHeight="1" x14ac:dyDescent="0.15">
      <c r="AE5726" s="13"/>
    </row>
    <row r="5727" spans="31:31" ht="12.75" customHeight="1" x14ac:dyDescent="0.15">
      <c r="AE5727" s="13"/>
    </row>
    <row r="5728" spans="31:31" ht="12.75" customHeight="1" x14ac:dyDescent="0.15">
      <c r="AE5728" s="13"/>
    </row>
    <row r="5729" spans="31:31" ht="12.75" customHeight="1" x14ac:dyDescent="0.15">
      <c r="AE5729" s="13"/>
    </row>
    <row r="5730" spans="31:31" ht="12.75" customHeight="1" x14ac:dyDescent="0.15">
      <c r="AE5730" s="13"/>
    </row>
    <row r="5731" spans="31:31" ht="12.75" customHeight="1" x14ac:dyDescent="0.15">
      <c r="AE5731" s="13"/>
    </row>
    <row r="5732" spans="31:31" ht="12.75" customHeight="1" x14ac:dyDescent="0.15">
      <c r="AE5732" s="13"/>
    </row>
    <row r="5733" spans="31:31" ht="12.75" customHeight="1" x14ac:dyDescent="0.15">
      <c r="AE5733" s="13"/>
    </row>
    <row r="5734" spans="31:31" ht="12.75" customHeight="1" x14ac:dyDescent="0.15">
      <c r="AE5734" s="13"/>
    </row>
    <row r="5735" spans="31:31" ht="12.75" customHeight="1" x14ac:dyDescent="0.15">
      <c r="AE5735" s="13"/>
    </row>
    <row r="5736" spans="31:31" ht="12.75" customHeight="1" x14ac:dyDescent="0.15">
      <c r="AE5736" s="13"/>
    </row>
    <row r="5737" spans="31:31" ht="12.75" customHeight="1" x14ac:dyDescent="0.15">
      <c r="AE5737" s="13"/>
    </row>
    <row r="5738" spans="31:31" ht="12.75" customHeight="1" x14ac:dyDescent="0.15">
      <c r="AE5738" s="13"/>
    </row>
    <row r="5739" spans="31:31" ht="12.75" customHeight="1" x14ac:dyDescent="0.15">
      <c r="AE5739" s="13"/>
    </row>
    <row r="5740" spans="31:31" ht="12.75" customHeight="1" x14ac:dyDescent="0.15">
      <c r="AE5740" s="13"/>
    </row>
    <row r="5741" spans="31:31" ht="12.75" customHeight="1" x14ac:dyDescent="0.15">
      <c r="AE5741" s="13"/>
    </row>
    <row r="5742" spans="31:31" ht="12.75" customHeight="1" x14ac:dyDescent="0.15">
      <c r="AE5742" s="13"/>
    </row>
    <row r="5743" spans="31:31" ht="12.75" customHeight="1" x14ac:dyDescent="0.15">
      <c r="AE5743" s="13"/>
    </row>
    <row r="5744" spans="31:31" ht="12.75" customHeight="1" x14ac:dyDescent="0.15">
      <c r="AE5744" s="13"/>
    </row>
    <row r="5745" spans="31:31" ht="12.75" customHeight="1" x14ac:dyDescent="0.15">
      <c r="AE5745" s="13"/>
    </row>
    <row r="5746" spans="31:31" ht="12.75" customHeight="1" x14ac:dyDescent="0.15">
      <c r="AE5746" s="13"/>
    </row>
    <row r="5747" spans="31:31" ht="12.75" customHeight="1" x14ac:dyDescent="0.15">
      <c r="AE5747" s="13"/>
    </row>
    <row r="5748" spans="31:31" ht="12.75" customHeight="1" x14ac:dyDescent="0.15">
      <c r="AE5748" s="13"/>
    </row>
    <row r="5749" spans="31:31" ht="12.75" customHeight="1" x14ac:dyDescent="0.15">
      <c r="AE5749" s="13"/>
    </row>
    <row r="5750" spans="31:31" ht="12.75" customHeight="1" x14ac:dyDescent="0.15">
      <c r="AE5750" s="13"/>
    </row>
    <row r="5751" spans="31:31" ht="12.75" customHeight="1" x14ac:dyDescent="0.15">
      <c r="AE5751" s="13"/>
    </row>
    <row r="5752" spans="31:31" ht="12.75" customHeight="1" x14ac:dyDescent="0.15">
      <c r="AE5752" s="13"/>
    </row>
    <row r="5753" spans="31:31" ht="12.75" customHeight="1" x14ac:dyDescent="0.15">
      <c r="AE5753" s="13"/>
    </row>
    <row r="5754" spans="31:31" ht="12.75" customHeight="1" x14ac:dyDescent="0.15">
      <c r="AE5754" s="13"/>
    </row>
    <row r="5755" spans="31:31" ht="12.75" customHeight="1" x14ac:dyDescent="0.15">
      <c r="AE5755" s="13"/>
    </row>
    <row r="5756" spans="31:31" ht="12.75" customHeight="1" x14ac:dyDescent="0.15">
      <c r="AE5756" s="13"/>
    </row>
    <row r="5757" spans="31:31" ht="12.75" customHeight="1" x14ac:dyDescent="0.15">
      <c r="AE5757" s="13"/>
    </row>
    <row r="5758" spans="31:31" ht="12.75" customHeight="1" x14ac:dyDescent="0.15">
      <c r="AE5758" s="13"/>
    </row>
    <row r="5759" spans="31:31" ht="12.75" customHeight="1" x14ac:dyDescent="0.15">
      <c r="AE5759" s="13"/>
    </row>
    <row r="5760" spans="31:31" ht="12.75" customHeight="1" x14ac:dyDescent="0.15">
      <c r="AE5760" s="13"/>
    </row>
    <row r="5761" spans="31:31" ht="12.75" customHeight="1" x14ac:dyDescent="0.15">
      <c r="AE5761" s="13"/>
    </row>
    <row r="5762" spans="31:31" ht="12.75" customHeight="1" x14ac:dyDescent="0.15">
      <c r="AE5762" s="13"/>
    </row>
    <row r="5763" spans="31:31" ht="12.75" customHeight="1" x14ac:dyDescent="0.15">
      <c r="AE5763" s="13"/>
    </row>
    <row r="5764" spans="31:31" ht="12.75" customHeight="1" x14ac:dyDescent="0.15">
      <c r="AE5764" s="13"/>
    </row>
    <row r="5765" spans="31:31" ht="12.75" customHeight="1" x14ac:dyDescent="0.15">
      <c r="AE5765" s="13"/>
    </row>
    <row r="5766" spans="31:31" ht="12.75" customHeight="1" x14ac:dyDescent="0.15">
      <c r="AE5766" s="13"/>
    </row>
    <row r="5767" spans="31:31" ht="12.75" customHeight="1" x14ac:dyDescent="0.15">
      <c r="AE5767" s="13"/>
    </row>
    <row r="5768" spans="31:31" ht="12.75" customHeight="1" x14ac:dyDescent="0.15">
      <c r="AE5768" s="13"/>
    </row>
    <row r="5769" spans="31:31" ht="12.75" customHeight="1" x14ac:dyDescent="0.15">
      <c r="AE5769" s="13"/>
    </row>
    <row r="5770" spans="31:31" ht="12.75" customHeight="1" x14ac:dyDescent="0.15">
      <c r="AE5770" s="13"/>
    </row>
    <row r="5771" spans="31:31" ht="12.75" customHeight="1" x14ac:dyDescent="0.15">
      <c r="AE5771" s="13"/>
    </row>
    <row r="5772" spans="31:31" ht="12.75" customHeight="1" x14ac:dyDescent="0.15">
      <c r="AE5772" s="13"/>
    </row>
    <row r="5773" spans="31:31" ht="12.75" customHeight="1" x14ac:dyDescent="0.15">
      <c r="AE5773" s="13"/>
    </row>
    <row r="5774" spans="31:31" ht="12.75" customHeight="1" x14ac:dyDescent="0.15">
      <c r="AE5774" s="13"/>
    </row>
    <row r="5775" spans="31:31" ht="12.75" customHeight="1" x14ac:dyDescent="0.15">
      <c r="AE5775" s="13"/>
    </row>
    <row r="5776" spans="31:31" ht="12.75" customHeight="1" x14ac:dyDescent="0.15">
      <c r="AE5776" s="13"/>
    </row>
    <row r="5777" spans="31:31" ht="12.75" customHeight="1" x14ac:dyDescent="0.15">
      <c r="AE5777" s="13"/>
    </row>
    <row r="5778" spans="31:31" ht="12.75" customHeight="1" x14ac:dyDescent="0.15">
      <c r="AE5778" s="13"/>
    </row>
    <row r="5779" spans="31:31" ht="12.75" customHeight="1" x14ac:dyDescent="0.15">
      <c r="AE5779" s="13"/>
    </row>
    <row r="5780" spans="31:31" ht="12.75" customHeight="1" x14ac:dyDescent="0.15">
      <c r="AE5780" s="13"/>
    </row>
    <row r="5781" spans="31:31" ht="12.75" customHeight="1" x14ac:dyDescent="0.15">
      <c r="AE5781" s="13"/>
    </row>
    <row r="5782" spans="31:31" ht="12.75" customHeight="1" x14ac:dyDescent="0.15">
      <c r="AE5782" s="13"/>
    </row>
    <row r="5783" spans="31:31" ht="12.75" customHeight="1" x14ac:dyDescent="0.15">
      <c r="AE5783" s="13"/>
    </row>
    <row r="5784" spans="31:31" ht="12.75" customHeight="1" x14ac:dyDescent="0.15">
      <c r="AE5784" s="13"/>
    </row>
    <row r="5785" spans="31:31" ht="12.75" customHeight="1" x14ac:dyDescent="0.15">
      <c r="AE5785" s="13"/>
    </row>
    <row r="5786" spans="31:31" ht="12.75" customHeight="1" x14ac:dyDescent="0.15">
      <c r="AE5786" s="13"/>
    </row>
    <row r="5787" spans="31:31" ht="12.75" customHeight="1" x14ac:dyDescent="0.15">
      <c r="AE5787" s="13"/>
    </row>
    <row r="5788" spans="31:31" ht="12.75" customHeight="1" x14ac:dyDescent="0.15">
      <c r="AE5788" s="13"/>
    </row>
    <row r="5789" spans="31:31" ht="12.75" customHeight="1" x14ac:dyDescent="0.15">
      <c r="AE5789" s="13"/>
    </row>
    <row r="5790" spans="31:31" ht="12.75" customHeight="1" x14ac:dyDescent="0.15">
      <c r="AE5790" s="13"/>
    </row>
    <row r="5791" spans="31:31" ht="12.75" customHeight="1" x14ac:dyDescent="0.15">
      <c r="AE5791" s="13"/>
    </row>
    <row r="5792" spans="31:31" ht="12.75" customHeight="1" x14ac:dyDescent="0.15">
      <c r="AE5792" s="13"/>
    </row>
    <row r="5793" spans="31:31" ht="12.75" customHeight="1" x14ac:dyDescent="0.15">
      <c r="AE5793" s="13"/>
    </row>
    <row r="5794" spans="31:31" ht="12.75" customHeight="1" x14ac:dyDescent="0.15">
      <c r="AE5794" s="13"/>
    </row>
    <row r="5795" spans="31:31" ht="12.75" customHeight="1" x14ac:dyDescent="0.15">
      <c r="AE5795" s="13"/>
    </row>
    <row r="5796" spans="31:31" ht="12.75" customHeight="1" x14ac:dyDescent="0.15">
      <c r="AE5796" s="13"/>
    </row>
    <row r="5797" spans="31:31" ht="12.75" customHeight="1" x14ac:dyDescent="0.15">
      <c r="AE5797" s="13"/>
    </row>
    <row r="5798" spans="31:31" ht="12.75" customHeight="1" x14ac:dyDescent="0.15">
      <c r="AE5798" s="13"/>
    </row>
    <row r="5799" spans="31:31" ht="12.75" customHeight="1" x14ac:dyDescent="0.15">
      <c r="AE5799" s="13"/>
    </row>
    <row r="5800" spans="31:31" ht="12.75" customHeight="1" x14ac:dyDescent="0.15">
      <c r="AE5800" s="13"/>
    </row>
    <row r="5801" spans="31:31" ht="12.75" customHeight="1" x14ac:dyDescent="0.15">
      <c r="AE5801" s="13"/>
    </row>
    <row r="5802" spans="31:31" ht="12.75" customHeight="1" x14ac:dyDescent="0.15">
      <c r="AE5802" s="13"/>
    </row>
    <row r="5803" spans="31:31" ht="12.75" customHeight="1" x14ac:dyDescent="0.15">
      <c r="AE5803" s="13"/>
    </row>
    <row r="5804" spans="31:31" ht="12.75" customHeight="1" x14ac:dyDescent="0.15">
      <c r="AE5804" s="13"/>
    </row>
    <row r="5805" spans="31:31" ht="12.75" customHeight="1" x14ac:dyDescent="0.15">
      <c r="AE5805" s="13"/>
    </row>
    <row r="5806" spans="31:31" ht="12.75" customHeight="1" x14ac:dyDescent="0.15">
      <c r="AE5806" s="13"/>
    </row>
    <row r="5807" spans="31:31" ht="12.75" customHeight="1" x14ac:dyDescent="0.15">
      <c r="AE5807" s="13"/>
    </row>
    <row r="5808" spans="31:31" ht="12.75" customHeight="1" x14ac:dyDescent="0.15">
      <c r="AE5808" s="13"/>
    </row>
    <row r="5809" spans="31:31" ht="12.75" customHeight="1" x14ac:dyDescent="0.15">
      <c r="AE5809" s="13"/>
    </row>
    <row r="5810" spans="31:31" ht="12.75" customHeight="1" x14ac:dyDescent="0.15">
      <c r="AE5810" s="13"/>
    </row>
    <row r="5811" spans="31:31" ht="12.75" customHeight="1" x14ac:dyDescent="0.15">
      <c r="AE5811" s="13"/>
    </row>
    <row r="5812" spans="31:31" ht="12.75" customHeight="1" x14ac:dyDescent="0.15">
      <c r="AE5812" s="13"/>
    </row>
    <row r="5813" spans="31:31" ht="12.75" customHeight="1" x14ac:dyDescent="0.15">
      <c r="AE5813" s="13"/>
    </row>
    <row r="5814" spans="31:31" ht="12.75" customHeight="1" x14ac:dyDescent="0.15">
      <c r="AE5814" s="13"/>
    </row>
    <row r="5815" spans="31:31" ht="12.75" customHeight="1" x14ac:dyDescent="0.15">
      <c r="AE5815" s="13"/>
    </row>
    <row r="5816" spans="31:31" ht="12.75" customHeight="1" x14ac:dyDescent="0.15">
      <c r="AE5816" s="13"/>
    </row>
    <row r="5817" spans="31:31" ht="12.75" customHeight="1" x14ac:dyDescent="0.15">
      <c r="AE5817" s="13"/>
    </row>
    <row r="5818" spans="31:31" ht="12.75" customHeight="1" x14ac:dyDescent="0.15">
      <c r="AE5818" s="13"/>
    </row>
    <row r="5819" spans="31:31" ht="12.75" customHeight="1" x14ac:dyDescent="0.15">
      <c r="AE5819" s="13"/>
    </row>
    <row r="5820" spans="31:31" ht="12.75" customHeight="1" x14ac:dyDescent="0.15">
      <c r="AE5820" s="13"/>
    </row>
    <row r="5821" spans="31:31" ht="12.75" customHeight="1" x14ac:dyDescent="0.15">
      <c r="AE5821" s="13"/>
    </row>
    <row r="5822" spans="31:31" ht="12.75" customHeight="1" x14ac:dyDescent="0.15">
      <c r="AE5822" s="13"/>
    </row>
    <row r="5823" spans="31:31" ht="12.75" customHeight="1" x14ac:dyDescent="0.15">
      <c r="AE5823" s="13"/>
    </row>
    <row r="5824" spans="31:31" ht="12.75" customHeight="1" x14ac:dyDescent="0.15">
      <c r="AE5824" s="13"/>
    </row>
    <row r="5825" spans="31:31" ht="12.75" customHeight="1" x14ac:dyDescent="0.15">
      <c r="AE5825" s="13"/>
    </row>
    <row r="5826" spans="31:31" ht="12.75" customHeight="1" x14ac:dyDescent="0.15">
      <c r="AE5826" s="13"/>
    </row>
    <row r="5827" spans="31:31" ht="12.75" customHeight="1" x14ac:dyDescent="0.15">
      <c r="AE5827" s="13"/>
    </row>
    <row r="5828" spans="31:31" ht="12.75" customHeight="1" x14ac:dyDescent="0.15">
      <c r="AE5828" s="13"/>
    </row>
    <row r="5829" spans="31:31" ht="12.75" customHeight="1" x14ac:dyDescent="0.15">
      <c r="AE5829" s="13"/>
    </row>
    <row r="5830" spans="31:31" ht="12.75" customHeight="1" x14ac:dyDescent="0.15">
      <c r="AE5830" s="13"/>
    </row>
    <row r="5831" spans="31:31" ht="12.75" customHeight="1" x14ac:dyDescent="0.15">
      <c r="AE5831" s="13"/>
    </row>
    <row r="5832" spans="31:31" ht="12.75" customHeight="1" x14ac:dyDescent="0.15">
      <c r="AE5832" s="13"/>
    </row>
    <row r="5833" spans="31:31" ht="12.75" customHeight="1" x14ac:dyDescent="0.15">
      <c r="AE5833" s="13"/>
    </row>
    <row r="5834" spans="31:31" ht="12.75" customHeight="1" x14ac:dyDescent="0.15">
      <c r="AE5834" s="13"/>
    </row>
    <row r="5835" spans="31:31" ht="12.75" customHeight="1" x14ac:dyDescent="0.15">
      <c r="AE5835" s="13"/>
    </row>
    <row r="5836" spans="31:31" ht="12.75" customHeight="1" x14ac:dyDescent="0.15">
      <c r="AE5836" s="13"/>
    </row>
    <row r="5837" spans="31:31" ht="12.75" customHeight="1" x14ac:dyDescent="0.15">
      <c r="AE5837" s="13"/>
    </row>
    <row r="5838" spans="31:31" ht="12.75" customHeight="1" x14ac:dyDescent="0.15">
      <c r="AE5838" s="13"/>
    </row>
    <row r="5839" spans="31:31" ht="12.75" customHeight="1" x14ac:dyDescent="0.15">
      <c r="AE5839" s="13"/>
    </row>
    <row r="5840" spans="31:31" ht="12.75" customHeight="1" x14ac:dyDescent="0.15">
      <c r="AE5840" s="13"/>
    </row>
    <row r="5841" spans="31:31" ht="12.75" customHeight="1" x14ac:dyDescent="0.15">
      <c r="AE5841" s="13"/>
    </row>
    <row r="5842" spans="31:31" ht="12.75" customHeight="1" x14ac:dyDescent="0.15">
      <c r="AE5842" s="13"/>
    </row>
    <row r="5843" spans="31:31" ht="12.75" customHeight="1" x14ac:dyDescent="0.15">
      <c r="AE5843" s="13"/>
    </row>
    <row r="5844" spans="31:31" ht="12.75" customHeight="1" x14ac:dyDescent="0.15">
      <c r="AE5844" s="13"/>
    </row>
    <row r="5845" spans="31:31" ht="12.75" customHeight="1" x14ac:dyDescent="0.15">
      <c r="AE5845" s="13"/>
    </row>
    <row r="5846" spans="31:31" ht="12.75" customHeight="1" x14ac:dyDescent="0.15">
      <c r="AE5846" s="13"/>
    </row>
    <row r="5847" spans="31:31" ht="12.75" customHeight="1" x14ac:dyDescent="0.15">
      <c r="AE5847" s="13"/>
    </row>
    <row r="5848" spans="31:31" ht="12.75" customHeight="1" x14ac:dyDescent="0.15">
      <c r="AE5848" s="13"/>
    </row>
    <row r="5849" spans="31:31" ht="12.75" customHeight="1" x14ac:dyDescent="0.15">
      <c r="AE5849" s="13"/>
    </row>
    <row r="5850" spans="31:31" ht="12.75" customHeight="1" x14ac:dyDescent="0.15">
      <c r="AE5850" s="13"/>
    </row>
    <row r="5851" spans="31:31" ht="12.75" customHeight="1" x14ac:dyDescent="0.15">
      <c r="AE5851" s="13"/>
    </row>
    <row r="5852" spans="31:31" ht="12.75" customHeight="1" x14ac:dyDescent="0.15">
      <c r="AE5852" s="13"/>
    </row>
    <row r="5853" spans="31:31" ht="12.75" customHeight="1" x14ac:dyDescent="0.15">
      <c r="AE5853" s="13"/>
    </row>
    <row r="5854" spans="31:31" ht="12.75" customHeight="1" x14ac:dyDescent="0.15">
      <c r="AE5854" s="13"/>
    </row>
    <row r="5855" spans="31:31" ht="12.75" customHeight="1" x14ac:dyDescent="0.15">
      <c r="AE5855" s="13"/>
    </row>
    <row r="5856" spans="31:31" ht="12.75" customHeight="1" x14ac:dyDescent="0.15">
      <c r="AE5856" s="13"/>
    </row>
    <row r="5857" spans="31:31" ht="12.75" customHeight="1" x14ac:dyDescent="0.15">
      <c r="AE5857" s="13"/>
    </row>
    <row r="5858" spans="31:31" ht="12.75" customHeight="1" x14ac:dyDescent="0.15">
      <c r="AE5858" s="13"/>
    </row>
    <row r="5859" spans="31:31" ht="12.75" customHeight="1" x14ac:dyDescent="0.15">
      <c r="AE5859" s="13"/>
    </row>
    <row r="5860" spans="31:31" ht="12.75" customHeight="1" x14ac:dyDescent="0.15">
      <c r="AE5860" s="13"/>
    </row>
    <row r="5861" spans="31:31" ht="12.75" customHeight="1" x14ac:dyDescent="0.15">
      <c r="AE5861" s="13"/>
    </row>
    <row r="5862" spans="31:31" ht="12.75" customHeight="1" x14ac:dyDescent="0.15">
      <c r="AE5862" s="13"/>
    </row>
    <row r="5863" spans="31:31" ht="12.75" customHeight="1" x14ac:dyDescent="0.15">
      <c r="AE5863" s="13"/>
    </row>
    <row r="5864" spans="31:31" ht="12.75" customHeight="1" x14ac:dyDescent="0.15">
      <c r="AE5864" s="13"/>
    </row>
    <row r="5865" spans="31:31" ht="12.75" customHeight="1" x14ac:dyDescent="0.15">
      <c r="AE5865" s="13"/>
    </row>
    <row r="5866" spans="31:31" ht="12.75" customHeight="1" x14ac:dyDescent="0.15">
      <c r="AE5866" s="13"/>
    </row>
    <row r="5867" spans="31:31" ht="12.75" customHeight="1" x14ac:dyDescent="0.15">
      <c r="AE5867" s="13"/>
    </row>
    <row r="5868" spans="31:31" ht="12.75" customHeight="1" x14ac:dyDescent="0.15">
      <c r="AE5868" s="13"/>
    </row>
    <row r="5869" spans="31:31" ht="12.75" customHeight="1" x14ac:dyDescent="0.15">
      <c r="AE5869" s="13"/>
    </row>
    <row r="5870" spans="31:31" ht="12.75" customHeight="1" x14ac:dyDescent="0.15">
      <c r="AE5870" s="13"/>
    </row>
    <row r="5871" spans="31:31" ht="12.75" customHeight="1" x14ac:dyDescent="0.15">
      <c r="AE5871" s="13"/>
    </row>
    <row r="5872" spans="31:31" ht="12.75" customHeight="1" x14ac:dyDescent="0.15">
      <c r="AE5872" s="13"/>
    </row>
    <row r="5873" spans="31:31" ht="12.75" customHeight="1" x14ac:dyDescent="0.15">
      <c r="AE5873" s="13"/>
    </row>
    <row r="5874" spans="31:31" ht="12.75" customHeight="1" x14ac:dyDescent="0.15">
      <c r="AE5874" s="13"/>
    </row>
    <row r="5875" spans="31:31" ht="12.75" customHeight="1" x14ac:dyDescent="0.15">
      <c r="AE5875" s="13"/>
    </row>
    <row r="5876" spans="31:31" ht="12.75" customHeight="1" x14ac:dyDescent="0.15">
      <c r="AE5876" s="13"/>
    </row>
    <row r="5877" spans="31:31" ht="12.75" customHeight="1" x14ac:dyDescent="0.15">
      <c r="AE5877" s="13"/>
    </row>
    <row r="5878" spans="31:31" ht="12.75" customHeight="1" x14ac:dyDescent="0.15">
      <c r="AE5878" s="13"/>
    </row>
    <row r="5879" spans="31:31" ht="12.75" customHeight="1" x14ac:dyDescent="0.15">
      <c r="AE5879" s="13"/>
    </row>
    <row r="5880" spans="31:31" ht="12.75" customHeight="1" x14ac:dyDescent="0.15">
      <c r="AE5880" s="13"/>
    </row>
    <row r="5881" spans="31:31" ht="12.75" customHeight="1" x14ac:dyDescent="0.15">
      <c r="AE5881" s="13"/>
    </row>
    <row r="5882" spans="31:31" ht="12.75" customHeight="1" x14ac:dyDescent="0.15">
      <c r="AE5882" s="13"/>
    </row>
    <row r="5883" spans="31:31" ht="12.75" customHeight="1" x14ac:dyDescent="0.15">
      <c r="AE5883" s="13"/>
    </row>
    <row r="5884" spans="31:31" ht="12.75" customHeight="1" x14ac:dyDescent="0.15">
      <c r="AE5884" s="13"/>
    </row>
    <row r="5885" spans="31:31" ht="12.75" customHeight="1" x14ac:dyDescent="0.15">
      <c r="AE5885" s="13"/>
    </row>
    <row r="5886" spans="31:31" ht="12.75" customHeight="1" x14ac:dyDescent="0.15">
      <c r="AE5886" s="13"/>
    </row>
    <row r="5887" spans="31:31" ht="12.75" customHeight="1" x14ac:dyDescent="0.15">
      <c r="AE5887" s="13"/>
    </row>
    <row r="5888" spans="31:31" ht="12.75" customHeight="1" x14ac:dyDescent="0.15">
      <c r="AE5888" s="13"/>
    </row>
    <row r="5889" spans="31:31" ht="12.75" customHeight="1" x14ac:dyDescent="0.15">
      <c r="AE5889" s="13"/>
    </row>
    <row r="5890" spans="31:31" ht="12.75" customHeight="1" x14ac:dyDescent="0.15">
      <c r="AE5890" s="13"/>
    </row>
    <row r="5891" spans="31:31" ht="12.75" customHeight="1" x14ac:dyDescent="0.15">
      <c r="AE5891" s="13"/>
    </row>
    <row r="5892" spans="31:31" ht="12.75" customHeight="1" x14ac:dyDescent="0.15">
      <c r="AE5892" s="13"/>
    </row>
    <row r="5893" spans="31:31" ht="12.75" customHeight="1" x14ac:dyDescent="0.15">
      <c r="AE5893" s="13"/>
    </row>
    <row r="5894" spans="31:31" ht="12.75" customHeight="1" x14ac:dyDescent="0.15">
      <c r="AE5894" s="13"/>
    </row>
    <row r="5895" spans="31:31" ht="12.75" customHeight="1" x14ac:dyDescent="0.15">
      <c r="AE5895" s="13"/>
    </row>
    <row r="5896" spans="31:31" ht="12.75" customHeight="1" x14ac:dyDescent="0.15">
      <c r="AE5896" s="13"/>
    </row>
    <row r="5897" spans="31:31" ht="12.75" customHeight="1" x14ac:dyDescent="0.15">
      <c r="AE5897" s="13"/>
    </row>
    <row r="5898" spans="31:31" ht="12.75" customHeight="1" x14ac:dyDescent="0.15">
      <c r="AE5898" s="13"/>
    </row>
    <row r="5899" spans="31:31" ht="12.75" customHeight="1" x14ac:dyDescent="0.15">
      <c r="AE5899" s="13"/>
    </row>
    <row r="5900" spans="31:31" ht="12.75" customHeight="1" x14ac:dyDescent="0.15">
      <c r="AE5900" s="13"/>
    </row>
    <row r="5901" spans="31:31" ht="12.75" customHeight="1" x14ac:dyDescent="0.15">
      <c r="AE5901" s="13"/>
    </row>
    <row r="5902" spans="31:31" ht="12.75" customHeight="1" x14ac:dyDescent="0.15">
      <c r="AE5902" s="13"/>
    </row>
    <row r="5903" spans="31:31" ht="12.75" customHeight="1" x14ac:dyDescent="0.15">
      <c r="AE5903" s="13"/>
    </row>
    <row r="5904" spans="31:31" ht="12.75" customHeight="1" x14ac:dyDescent="0.15">
      <c r="AE5904" s="13"/>
    </row>
    <row r="5905" spans="31:31" ht="12.75" customHeight="1" x14ac:dyDescent="0.15">
      <c r="AE5905" s="13"/>
    </row>
    <row r="5906" spans="31:31" ht="12.75" customHeight="1" x14ac:dyDescent="0.15">
      <c r="AE5906" s="13"/>
    </row>
    <row r="5907" spans="31:31" ht="12.75" customHeight="1" x14ac:dyDescent="0.15">
      <c r="AE5907" s="13"/>
    </row>
    <row r="5908" spans="31:31" ht="12.75" customHeight="1" x14ac:dyDescent="0.15">
      <c r="AE5908" s="13"/>
    </row>
    <row r="5909" spans="31:31" ht="12.75" customHeight="1" x14ac:dyDescent="0.15">
      <c r="AE5909" s="13"/>
    </row>
    <row r="5910" spans="31:31" ht="12.75" customHeight="1" x14ac:dyDescent="0.15">
      <c r="AE5910" s="13"/>
    </row>
    <row r="5911" spans="31:31" ht="12.75" customHeight="1" x14ac:dyDescent="0.15">
      <c r="AE5911" s="13"/>
    </row>
    <row r="5912" spans="31:31" ht="12.75" customHeight="1" x14ac:dyDescent="0.15">
      <c r="AE5912" s="13"/>
    </row>
    <row r="5913" spans="31:31" ht="12.75" customHeight="1" x14ac:dyDescent="0.15">
      <c r="AE5913" s="13"/>
    </row>
    <row r="5914" spans="31:31" ht="12.75" customHeight="1" x14ac:dyDescent="0.15">
      <c r="AE5914" s="13"/>
    </row>
    <row r="5915" spans="31:31" ht="12.75" customHeight="1" x14ac:dyDescent="0.15">
      <c r="AE5915" s="13"/>
    </row>
    <row r="5916" spans="31:31" ht="12.75" customHeight="1" x14ac:dyDescent="0.15">
      <c r="AE5916" s="13"/>
    </row>
    <row r="5917" spans="31:31" ht="12.75" customHeight="1" x14ac:dyDescent="0.15">
      <c r="AE5917" s="13"/>
    </row>
    <row r="5918" spans="31:31" ht="12.75" customHeight="1" x14ac:dyDescent="0.15">
      <c r="AE5918" s="13"/>
    </row>
    <row r="5919" spans="31:31" ht="12.75" customHeight="1" x14ac:dyDescent="0.15">
      <c r="AE5919" s="13"/>
    </row>
    <row r="5920" spans="31:31" ht="12.75" customHeight="1" x14ac:dyDescent="0.15">
      <c r="AE5920" s="13"/>
    </row>
    <row r="5921" spans="31:31" ht="12.75" customHeight="1" x14ac:dyDescent="0.15">
      <c r="AE5921" s="13"/>
    </row>
    <row r="5922" spans="31:31" ht="12.75" customHeight="1" x14ac:dyDescent="0.15">
      <c r="AE5922" s="13"/>
    </row>
    <row r="5923" spans="31:31" ht="12.75" customHeight="1" x14ac:dyDescent="0.15">
      <c r="AE5923" s="13"/>
    </row>
    <row r="5924" spans="31:31" ht="12.75" customHeight="1" x14ac:dyDescent="0.15">
      <c r="AE5924" s="13"/>
    </row>
    <row r="5925" spans="31:31" ht="12.75" customHeight="1" x14ac:dyDescent="0.15">
      <c r="AE5925" s="13"/>
    </row>
    <row r="5926" spans="31:31" ht="12.75" customHeight="1" x14ac:dyDescent="0.15">
      <c r="AE5926" s="13"/>
    </row>
    <row r="5927" spans="31:31" ht="12.75" customHeight="1" x14ac:dyDescent="0.15">
      <c r="AE5927" s="13"/>
    </row>
    <row r="5928" spans="31:31" ht="12.75" customHeight="1" x14ac:dyDescent="0.15">
      <c r="AE5928" s="13"/>
    </row>
    <row r="5929" spans="31:31" ht="12.75" customHeight="1" x14ac:dyDescent="0.15">
      <c r="AE5929" s="13"/>
    </row>
    <row r="5930" spans="31:31" ht="12.75" customHeight="1" x14ac:dyDescent="0.15">
      <c r="AE5930" s="13"/>
    </row>
    <row r="5931" spans="31:31" ht="12.75" customHeight="1" x14ac:dyDescent="0.15">
      <c r="AE5931" s="13"/>
    </row>
    <row r="5932" spans="31:31" ht="12.75" customHeight="1" x14ac:dyDescent="0.15">
      <c r="AE5932" s="13"/>
    </row>
    <row r="5933" spans="31:31" ht="12.75" customHeight="1" x14ac:dyDescent="0.15">
      <c r="AE5933" s="13"/>
    </row>
    <row r="5934" spans="31:31" ht="12.75" customHeight="1" x14ac:dyDescent="0.15">
      <c r="AE5934" s="13"/>
    </row>
    <row r="5935" spans="31:31" ht="12.75" customHeight="1" x14ac:dyDescent="0.15">
      <c r="AE5935" s="13"/>
    </row>
    <row r="5936" spans="31:31" ht="12.75" customHeight="1" x14ac:dyDescent="0.15">
      <c r="AE5936" s="13"/>
    </row>
    <row r="5937" spans="31:31" ht="12.75" customHeight="1" x14ac:dyDescent="0.15">
      <c r="AE5937" s="13"/>
    </row>
    <row r="5938" spans="31:31" ht="12.75" customHeight="1" x14ac:dyDescent="0.15">
      <c r="AE5938" s="13"/>
    </row>
    <row r="5939" spans="31:31" ht="12.75" customHeight="1" x14ac:dyDescent="0.15">
      <c r="AE5939" s="13"/>
    </row>
    <row r="5940" spans="31:31" ht="12.75" customHeight="1" x14ac:dyDescent="0.15">
      <c r="AE5940" s="13"/>
    </row>
    <row r="5941" spans="31:31" ht="12.75" customHeight="1" x14ac:dyDescent="0.15">
      <c r="AE5941" s="13"/>
    </row>
    <row r="5942" spans="31:31" ht="12.75" customHeight="1" x14ac:dyDescent="0.15">
      <c r="AE5942" s="13"/>
    </row>
    <row r="5943" spans="31:31" ht="12.75" customHeight="1" x14ac:dyDescent="0.15">
      <c r="AE5943" s="13"/>
    </row>
    <row r="5944" spans="31:31" ht="12.75" customHeight="1" x14ac:dyDescent="0.15">
      <c r="AE5944" s="13"/>
    </row>
    <row r="5945" spans="31:31" ht="12.75" customHeight="1" x14ac:dyDescent="0.15">
      <c r="AE5945" s="13"/>
    </row>
    <row r="5946" spans="31:31" ht="12.75" customHeight="1" x14ac:dyDescent="0.15">
      <c r="AE5946" s="13"/>
    </row>
    <row r="5947" spans="31:31" ht="12.75" customHeight="1" x14ac:dyDescent="0.15">
      <c r="AE5947" s="13"/>
    </row>
    <row r="5948" spans="31:31" ht="12.75" customHeight="1" x14ac:dyDescent="0.15">
      <c r="AE5948" s="13"/>
    </row>
    <row r="5949" spans="31:31" ht="12.75" customHeight="1" x14ac:dyDescent="0.15">
      <c r="AE5949" s="13"/>
    </row>
    <row r="5950" spans="31:31" ht="12.75" customHeight="1" x14ac:dyDescent="0.15">
      <c r="AE5950" s="13"/>
    </row>
    <row r="5951" spans="31:31" ht="12.75" customHeight="1" x14ac:dyDescent="0.15">
      <c r="AE5951" s="13"/>
    </row>
    <row r="5952" spans="31:31" ht="12.75" customHeight="1" x14ac:dyDescent="0.15">
      <c r="AE5952" s="13"/>
    </row>
    <row r="5953" spans="31:31" ht="12.75" customHeight="1" x14ac:dyDescent="0.15">
      <c r="AE5953" s="13"/>
    </row>
    <row r="5954" spans="31:31" ht="12.75" customHeight="1" x14ac:dyDescent="0.15">
      <c r="AE5954" s="13"/>
    </row>
    <row r="5955" spans="31:31" ht="12.75" customHeight="1" x14ac:dyDescent="0.15">
      <c r="AE5955" s="13"/>
    </row>
    <row r="5956" spans="31:31" ht="12.75" customHeight="1" x14ac:dyDescent="0.15">
      <c r="AE5956" s="13"/>
    </row>
    <row r="5957" spans="31:31" ht="12.75" customHeight="1" x14ac:dyDescent="0.15">
      <c r="AE5957" s="13"/>
    </row>
    <row r="5958" spans="31:31" ht="12.75" customHeight="1" x14ac:dyDescent="0.15">
      <c r="AE5958" s="13"/>
    </row>
    <row r="5959" spans="31:31" ht="12.75" customHeight="1" x14ac:dyDescent="0.15">
      <c r="AE5959" s="13"/>
    </row>
    <row r="5960" spans="31:31" ht="12.75" customHeight="1" x14ac:dyDescent="0.15">
      <c r="AE5960" s="13"/>
    </row>
    <row r="5961" spans="31:31" ht="12.75" customHeight="1" x14ac:dyDescent="0.15">
      <c r="AE5961" s="13"/>
    </row>
    <row r="5962" spans="31:31" ht="12.75" customHeight="1" x14ac:dyDescent="0.15">
      <c r="AE5962" s="13"/>
    </row>
    <row r="5963" spans="31:31" ht="12.75" customHeight="1" x14ac:dyDescent="0.15">
      <c r="AE5963" s="13"/>
    </row>
    <row r="5964" spans="31:31" ht="12.75" customHeight="1" x14ac:dyDescent="0.15">
      <c r="AE5964" s="13"/>
    </row>
    <row r="5965" spans="31:31" ht="12.75" customHeight="1" x14ac:dyDescent="0.15">
      <c r="AE5965" s="13"/>
    </row>
    <row r="5966" spans="31:31" ht="12.75" customHeight="1" x14ac:dyDescent="0.15">
      <c r="AE5966" s="13"/>
    </row>
    <row r="5967" spans="31:31" ht="12.75" customHeight="1" x14ac:dyDescent="0.15">
      <c r="AE5967" s="13"/>
    </row>
    <row r="5968" spans="31:31" ht="12.75" customHeight="1" x14ac:dyDescent="0.15">
      <c r="AE5968" s="13"/>
    </row>
    <row r="5969" spans="31:31" ht="12.75" customHeight="1" x14ac:dyDescent="0.15">
      <c r="AE5969" s="13"/>
    </row>
    <row r="5970" spans="31:31" ht="12.75" customHeight="1" x14ac:dyDescent="0.15">
      <c r="AE5970" s="13"/>
    </row>
    <row r="5971" spans="31:31" ht="12.75" customHeight="1" x14ac:dyDescent="0.15">
      <c r="AE5971" s="13"/>
    </row>
    <row r="5972" spans="31:31" ht="12.75" customHeight="1" x14ac:dyDescent="0.15">
      <c r="AE5972" s="13"/>
    </row>
    <row r="5973" spans="31:31" ht="12.75" customHeight="1" x14ac:dyDescent="0.15">
      <c r="AE5973" s="13"/>
    </row>
    <row r="5974" spans="31:31" ht="12.75" customHeight="1" x14ac:dyDescent="0.15">
      <c r="AE5974" s="13"/>
    </row>
    <row r="5975" spans="31:31" ht="12.75" customHeight="1" x14ac:dyDescent="0.15">
      <c r="AE5975" s="13"/>
    </row>
    <row r="5976" spans="31:31" ht="12.75" customHeight="1" x14ac:dyDescent="0.15">
      <c r="AE5976" s="13"/>
    </row>
    <row r="5977" spans="31:31" ht="12.75" customHeight="1" x14ac:dyDescent="0.15">
      <c r="AE5977" s="13"/>
    </row>
    <row r="5978" spans="31:31" ht="12.75" customHeight="1" x14ac:dyDescent="0.15">
      <c r="AE5978" s="13"/>
    </row>
    <row r="5979" spans="31:31" ht="12.75" customHeight="1" x14ac:dyDescent="0.15">
      <c r="AE5979" s="13"/>
    </row>
    <row r="5980" spans="31:31" ht="12.75" customHeight="1" x14ac:dyDescent="0.15">
      <c r="AE5980" s="13"/>
    </row>
    <row r="5981" spans="31:31" ht="12.75" customHeight="1" x14ac:dyDescent="0.15">
      <c r="AE5981" s="13"/>
    </row>
    <row r="5982" spans="31:31" ht="12.75" customHeight="1" x14ac:dyDescent="0.15">
      <c r="AE5982" s="13"/>
    </row>
    <row r="5983" spans="31:31" ht="12.75" customHeight="1" x14ac:dyDescent="0.15">
      <c r="AE5983" s="13"/>
    </row>
    <row r="5984" spans="31:31" ht="12.75" customHeight="1" x14ac:dyDescent="0.15">
      <c r="AE5984" s="13"/>
    </row>
    <row r="5985" spans="31:31" ht="12.75" customHeight="1" x14ac:dyDescent="0.15">
      <c r="AE5985" s="13"/>
    </row>
    <row r="5986" spans="31:31" ht="12.75" customHeight="1" x14ac:dyDescent="0.15">
      <c r="AE5986" s="13"/>
    </row>
    <row r="5987" spans="31:31" ht="12.75" customHeight="1" x14ac:dyDescent="0.15">
      <c r="AE5987" s="13"/>
    </row>
    <row r="5988" spans="31:31" ht="12.75" customHeight="1" x14ac:dyDescent="0.15">
      <c r="AE5988" s="13"/>
    </row>
    <row r="5989" spans="31:31" ht="12.75" customHeight="1" x14ac:dyDescent="0.15">
      <c r="AE5989" s="13"/>
    </row>
    <row r="5990" spans="31:31" ht="12.75" customHeight="1" x14ac:dyDescent="0.15">
      <c r="AE5990" s="13"/>
    </row>
    <row r="5991" spans="31:31" ht="12.75" customHeight="1" x14ac:dyDescent="0.15">
      <c r="AE5991" s="13"/>
    </row>
    <row r="5992" spans="31:31" ht="12.75" customHeight="1" x14ac:dyDescent="0.15">
      <c r="AE5992" s="13"/>
    </row>
    <row r="5993" spans="31:31" ht="12.75" customHeight="1" x14ac:dyDescent="0.15">
      <c r="AE5993" s="13"/>
    </row>
    <row r="5994" spans="31:31" ht="12.75" customHeight="1" x14ac:dyDescent="0.15">
      <c r="AE5994" s="13"/>
    </row>
    <row r="5995" spans="31:31" ht="12.75" customHeight="1" x14ac:dyDescent="0.15">
      <c r="AE5995" s="13"/>
    </row>
    <row r="5996" spans="31:31" ht="12.75" customHeight="1" x14ac:dyDescent="0.15">
      <c r="AE5996" s="13"/>
    </row>
    <row r="5997" spans="31:31" ht="12.75" customHeight="1" x14ac:dyDescent="0.15">
      <c r="AE5997" s="13"/>
    </row>
    <row r="5998" spans="31:31" ht="12.75" customHeight="1" x14ac:dyDescent="0.15">
      <c r="AE5998" s="13"/>
    </row>
    <row r="5999" spans="31:31" ht="12.75" customHeight="1" x14ac:dyDescent="0.15">
      <c r="AE5999" s="13"/>
    </row>
    <row r="6000" spans="31:31" ht="12.75" customHeight="1" x14ac:dyDescent="0.15">
      <c r="AE6000" s="13"/>
    </row>
    <row r="6001" spans="31:31" ht="12.75" customHeight="1" x14ac:dyDescent="0.15">
      <c r="AE6001" s="13"/>
    </row>
    <row r="6002" spans="31:31" ht="12.75" customHeight="1" x14ac:dyDescent="0.15">
      <c r="AE6002" s="13"/>
    </row>
    <row r="6003" spans="31:31" ht="12.75" customHeight="1" x14ac:dyDescent="0.15">
      <c r="AE6003" s="13"/>
    </row>
    <row r="6004" spans="31:31" ht="12.75" customHeight="1" x14ac:dyDescent="0.15">
      <c r="AE6004" s="13"/>
    </row>
    <row r="6005" spans="31:31" ht="12.75" customHeight="1" x14ac:dyDescent="0.15">
      <c r="AE6005" s="13"/>
    </row>
    <row r="6006" spans="31:31" ht="12.75" customHeight="1" x14ac:dyDescent="0.15">
      <c r="AE6006" s="13"/>
    </row>
    <row r="6007" spans="31:31" ht="12.75" customHeight="1" x14ac:dyDescent="0.15">
      <c r="AE6007" s="13"/>
    </row>
    <row r="6008" spans="31:31" ht="12.75" customHeight="1" x14ac:dyDescent="0.15">
      <c r="AE6008" s="13"/>
    </row>
    <row r="6009" spans="31:31" ht="12.75" customHeight="1" x14ac:dyDescent="0.15">
      <c r="AE6009" s="13"/>
    </row>
    <row r="6010" spans="31:31" ht="12.75" customHeight="1" x14ac:dyDescent="0.15">
      <c r="AE6010" s="13"/>
    </row>
    <row r="6011" spans="31:31" ht="12.75" customHeight="1" x14ac:dyDescent="0.15">
      <c r="AE6011" s="13"/>
    </row>
    <row r="6012" spans="31:31" ht="12.75" customHeight="1" x14ac:dyDescent="0.15">
      <c r="AE6012" s="13"/>
    </row>
    <row r="6013" spans="31:31" ht="12.75" customHeight="1" x14ac:dyDescent="0.15">
      <c r="AE6013" s="13"/>
    </row>
    <row r="6014" spans="31:31" ht="12.75" customHeight="1" x14ac:dyDescent="0.15">
      <c r="AE6014" s="13"/>
    </row>
    <row r="6015" spans="31:31" ht="12.75" customHeight="1" x14ac:dyDescent="0.15">
      <c r="AE6015" s="13"/>
    </row>
    <row r="6016" spans="31:31" ht="12.75" customHeight="1" x14ac:dyDescent="0.15">
      <c r="AE6016" s="13"/>
    </row>
    <row r="6017" spans="31:31" ht="12.75" customHeight="1" x14ac:dyDescent="0.15">
      <c r="AE6017" s="13"/>
    </row>
    <row r="6018" spans="31:31" ht="12.75" customHeight="1" x14ac:dyDescent="0.15">
      <c r="AE6018" s="13"/>
    </row>
    <row r="6019" spans="31:31" ht="12.75" customHeight="1" x14ac:dyDescent="0.15">
      <c r="AE6019" s="13"/>
    </row>
    <row r="6020" spans="31:31" ht="12.75" customHeight="1" x14ac:dyDescent="0.15">
      <c r="AE6020" s="13"/>
    </row>
    <row r="6021" spans="31:31" ht="12.75" customHeight="1" x14ac:dyDescent="0.15">
      <c r="AE6021" s="13"/>
    </row>
    <row r="6022" spans="31:31" ht="12.75" customHeight="1" x14ac:dyDescent="0.15">
      <c r="AE6022" s="13"/>
    </row>
    <row r="6023" spans="31:31" ht="12.75" customHeight="1" x14ac:dyDescent="0.15">
      <c r="AE6023" s="13"/>
    </row>
    <row r="6024" spans="31:31" ht="12.75" customHeight="1" x14ac:dyDescent="0.15">
      <c r="AE6024" s="13"/>
    </row>
    <row r="6025" spans="31:31" ht="12.75" customHeight="1" x14ac:dyDescent="0.15">
      <c r="AE6025" s="13"/>
    </row>
    <row r="6026" spans="31:31" ht="12.75" customHeight="1" x14ac:dyDescent="0.15">
      <c r="AE6026" s="13"/>
    </row>
    <row r="6027" spans="31:31" ht="12.75" customHeight="1" x14ac:dyDescent="0.15">
      <c r="AE6027" s="13"/>
    </row>
    <row r="6028" spans="31:31" ht="12.75" customHeight="1" x14ac:dyDescent="0.15">
      <c r="AE6028" s="13"/>
    </row>
    <row r="6029" spans="31:31" ht="12.75" customHeight="1" x14ac:dyDescent="0.15">
      <c r="AE6029" s="13"/>
    </row>
    <row r="6030" spans="31:31" ht="12.75" customHeight="1" x14ac:dyDescent="0.15">
      <c r="AE6030" s="13"/>
    </row>
    <row r="6031" spans="31:31" ht="12.75" customHeight="1" x14ac:dyDescent="0.15">
      <c r="AE6031" s="13"/>
    </row>
    <row r="6032" spans="31:31" ht="12.75" customHeight="1" x14ac:dyDescent="0.15">
      <c r="AE6032" s="13"/>
    </row>
    <row r="6033" spans="31:31" ht="12.75" customHeight="1" x14ac:dyDescent="0.15">
      <c r="AE6033" s="13"/>
    </row>
    <row r="6034" spans="31:31" ht="12.75" customHeight="1" x14ac:dyDescent="0.15">
      <c r="AE6034" s="13"/>
    </row>
    <row r="6035" spans="31:31" ht="12.75" customHeight="1" x14ac:dyDescent="0.15">
      <c r="AE6035" s="13"/>
    </row>
    <row r="6036" spans="31:31" ht="12.75" customHeight="1" x14ac:dyDescent="0.15">
      <c r="AE6036" s="13"/>
    </row>
    <row r="6037" spans="31:31" ht="12.75" customHeight="1" x14ac:dyDescent="0.15">
      <c r="AE6037" s="13"/>
    </row>
    <row r="6038" spans="31:31" ht="12.75" customHeight="1" x14ac:dyDescent="0.15">
      <c r="AE6038" s="13"/>
    </row>
    <row r="6039" spans="31:31" ht="12.75" customHeight="1" x14ac:dyDescent="0.15">
      <c r="AE6039" s="13"/>
    </row>
    <row r="6040" spans="31:31" ht="12.75" customHeight="1" x14ac:dyDescent="0.15">
      <c r="AE6040" s="13"/>
    </row>
    <row r="6041" spans="31:31" ht="12.75" customHeight="1" x14ac:dyDescent="0.15">
      <c r="AE6041" s="13"/>
    </row>
    <row r="6042" spans="31:31" ht="12.75" customHeight="1" x14ac:dyDescent="0.15">
      <c r="AE6042" s="13"/>
    </row>
    <row r="6043" spans="31:31" ht="12.75" customHeight="1" x14ac:dyDescent="0.15">
      <c r="AE6043" s="13"/>
    </row>
    <row r="6044" spans="31:31" ht="12.75" customHeight="1" x14ac:dyDescent="0.15">
      <c r="AE6044" s="13"/>
    </row>
    <row r="6045" spans="31:31" ht="12.75" customHeight="1" x14ac:dyDescent="0.15">
      <c r="AE6045" s="13"/>
    </row>
    <row r="6046" spans="31:31" ht="12.75" customHeight="1" x14ac:dyDescent="0.15">
      <c r="AE6046" s="13"/>
    </row>
    <row r="6047" spans="31:31" ht="12.75" customHeight="1" x14ac:dyDescent="0.15">
      <c r="AE6047" s="13"/>
    </row>
    <row r="6048" spans="31:31" ht="12.75" customHeight="1" x14ac:dyDescent="0.15">
      <c r="AE6048" s="13"/>
    </row>
    <row r="6049" spans="31:31" ht="12.75" customHeight="1" x14ac:dyDescent="0.15">
      <c r="AE6049" s="13"/>
    </row>
    <row r="6050" spans="31:31" ht="12.75" customHeight="1" x14ac:dyDescent="0.15">
      <c r="AE6050" s="13"/>
    </row>
    <row r="6051" spans="31:31" ht="12.75" customHeight="1" x14ac:dyDescent="0.15">
      <c r="AE6051" s="13"/>
    </row>
    <row r="6052" spans="31:31" ht="12.75" customHeight="1" x14ac:dyDescent="0.15">
      <c r="AE6052" s="13"/>
    </row>
    <row r="6053" spans="31:31" ht="12.75" customHeight="1" x14ac:dyDescent="0.15">
      <c r="AE6053" s="13"/>
    </row>
    <row r="6054" spans="31:31" ht="12.75" customHeight="1" x14ac:dyDescent="0.15">
      <c r="AE6054" s="13"/>
    </row>
    <row r="6055" spans="31:31" ht="12.75" customHeight="1" x14ac:dyDescent="0.15">
      <c r="AE6055" s="13"/>
    </row>
    <row r="6056" spans="31:31" ht="12.75" customHeight="1" x14ac:dyDescent="0.15">
      <c r="AE6056" s="13"/>
    </row>
    <row r="6057" spans="31:31" ht="12.75" customHeight="1" x14ac:dyDescent="0.15">
      <c r="AE6057" s="13"/>
    </row>
    <row r="6058" spans="31:31" ht="12.75" customHeight="1" x14ac:dyDescent="0.15">
      <c r="AE6058" s="13"/>
    </row>
    <row r="6059" spans="31:31" ht="12.75" customHeight="1" x14ac:dyDescent="0.15">
      <c r="AE6059" s="13"/>
    </row>
    <row r="6060" spans="31:31" ht="12.75" customHeight="1" x14ac:dyDescent="0.15">
      <c r="AE6060" s="13"/>
    </row>
    <row r="6061" spans="31:31" ht="12.75" customHeight="1" x14ac:dyDescent="0.15">
      <c r="AE6061" s="13"/>
    </row>
    <row r="6062" spans="31:31" ht="12.75" customHeight="1" x14ac:dyDescent="0.15">
      <c r="AE6062" s="13"/>
    </row>
    <row r="6063" spans="31:31" ht="12.75" customHeight="1" x14ac:dyDescent="0.15">
      <c r="AE6063" s="13"/>
    </row>
    <row r="6064" spans="31:31" ht="12.75" customHeight="1" x14ac:dyDescent="0.15">
      <c r="AE6064" s="13"/>
    </row>
    <row r="6065" spans="31:31" ht="12.75" customHeight="1" x14ac:dyDescent="0.15">
      <c r="AE6065" s="13"/>
    </row>
    <row r="6066" spans="31:31" ht="12.75" customHeight="1" x14ac:dyDescent="0.15">
      <c r="AE6066" s="13"/>
    </row>
    <row r="6067" spans="31:31" ht="12.75" customHeight="1" x14ac:dyDescent="0.15">
      <c r="AE6067" s="13"/>
    </row>
    <row r="6068" spans="31:31" ht="12.75" customHeight="1" x14ac:dyDescent="0.15">
      <c r="AE6068" s="13"/>
    </row>
    <row r="6069" spans="31:31" ht="12.75" customHeight="1" x14ac:dyDescent="0.15">
      <c r="AE6069" s="13"/>
    </row>
    <row r="6070" spans="31:31" ht="12.75" customHeight="1" x14ac:dyDescent="0.15">
      <c r="AE6070" s="13"/>
    </row>
    <row r="6071" spans="31:31" ht="12.75" customHeight="1" x14ac:dyDescent="0.15">
      <c r="AE6071" s="13"/>
    </row>
    <row r="6072" spans="31:31" ht="12.75" customHeight="1" x14ac:dyDescent="0.15">
      <c r="AE6072" s="13"/>
    </row>
    <row r="6073" spans="31:31" ht="12.75" customHeight="1" x14ac:dyDescent="0.15">
      <c r="AE6073" s="13"/>
    </row>
    <row r="6074" spans="31:31" ht="12.75" customHeight="1" x14ac:dyDescent="0.15">
      <c r="AE6074" s="13"/>
    </row>
    <row r="6075" spans="31:31" ht="12.75" customHeight="1" x14ac:dyDescent="0.15">
      <c r="AE6075" s="13"/>
    </row>
    <row r="6076" spans="31:31" ht="12.75" customHeight="1" x14ac:dyDescent="0.15">
      <c r="AE6076" s="13"/>
    </row>
    <row r="6077" spans="31:31" ht="12.75" customHeight="1" x14ac:dyDescent="0.15">
      <c r="AE6077" s="13"/>
    </row>
    <row r="6078" spans="31:31" ht="12.75" customHeight="1" x14ac:dyDescent="0.15">
      <c r="AE6078" s="13"/>
    </row>
    <row r="6079" spans="31:31" ht="12.75" customHeight="1" x14ac:dyDescent="0.15">
      <c r="AE6079" s="13"/>
    </row>
    <row r="6080" spans="31:31" ht="12.75" customHeight="1" x14ac:dyDescent="0.15">
      <c r="AE6080" s="13"/>
    </row>
    <row r="6081" spans="31:31" ht="12.75" customHeight="1" x14ac:dyDescent="0.15">
      <c r="AE6081" s="13"/>
    </row>
    <row r="6082" spans="31:31" ht="12.75" customHeight="1" x14ac:dyDescent="0.15">
      <c r="AE6082" s="13"/>
    </row>
    <row r="6083" spans="31:31" ht="12.75" customHeight="1" x14ac:dyDescent="0.15">
      <c r="AE6083" s="13"/>
    </row>
    <row r="6084" spans="31:31" ht="12.75" customHeight="1" x14ac:dyDescent="0.15">
      <c r="AE6084" s="13"/>
    </row>
    <row r="6085" spans="31:31" ht="12.75" customHeight="1" x14ac:dyDescent="0.15">
      <c r="AE6085" s="13"/>
    </row>
    <row r="6086" spans="31:31" ht="12.75" customHeight="1" x14ac:dyDescent="0.15">
      <c r="AE6086" s="13"/>
    </row>
    <row r="6087" spans="31:31" ht="12.75" customHeight="1" x14ac:dyDescent="0.15">
      <c r="AE6087" s="13"/>
    </row>
    <row r="6088" spans="31:31" ht="12.75" customHeight="1" x14ac:dyDescent="0.15">
      <c r="AE6088" s="13"/>
    </row>
    <row r="6089" spans="31:31" ht="12.75" customHeight="1" x14ac:dyDescent="0.15">
      <c r="AE6089" s="13"/>
    </row>
    <row r="6090" spans="31:31" ht="12.75" customHeight="1" x14ac:dyDescent="0.15">
      <c r="AE6090" s="13"/>
    </row>
    <row r="6091" spans="31:31" ht="12.75" customHeight="1" x14ac:dyDescent="0.15">
      <c r="AE6091" s="13"/>
    </row>
    <row r="6092" spans="31:31" ht="12.75" customHeight="1" x14ac:dyDescent="0.15">
      <c r="AE6092" s="13"/>
    </row>
    <row r="6093" spans="31:31" ht="12.75" customHeight="1" x14ac:dyDescent="0.15">
      <c r="AE6093" s="13"/>
    </row>
    <row r="6094" spans="31:31" ht="12.75" customHeight="1" x14ac:dyDescent="0.15">
      <c r="AE6094" s="13"/>
    </row>
    <row r="6095" spans="31:31" ht="12.75" customHeight="1" x14ac:dyDescent="0.15">
      <c r="AE6095" s="13"/>
    </row>
    <row r="6096" spans="31:31" ht="12.75" customHeight="1" x14ac:dyDescent="0.15">
      <c r="AE6096" s="13"/>
    </row>
    <row r="6097" spans="31:31" ht="12.75" customHeight="1" x14ac:dyDescent="0.15">
      <c r="AE6097" s="13"/>
    </row>
    <row r="6098" spans="31:31" ht="12.75" customHeight="1" x14ac:dyDescent="0.15">
      <c r="AE6098" s="13"/>
    </row>
    <row r="6099" spans="31:31" ht="12.75" customHeight="1" x14ac:dyDescent="0.15">
      <c r="AE6099" s="13"/>
    </row>
    <row r="6100" spans="31:31" ht="12.75" customHeight="1" x14ac:dyDescent="0.15">
      <c r="AE6100" s="13"/>
    </row>
    <row r="6101" spans="31:31" ht="12.75" customHeight="1" x14ac:dyDescent="0.15">
      <c r="AE6101" s="13"/>
    </row>
    <row r="6102" spans="31:31" ht="12.75" customHeight="1" x14ac:dyDescent="0.15">
      <c r="AE6102" s="13"/>
    </row>
    <row r="6103" spans="31:31" ht="12.75" customHeight="1" x14ac:dyDescent="0.15">
      <c r="AE6103" s="13"/>
    </row>
    <row r="6104" spans="31:31" ht="12.75" customHeight="1" x14ac:dyDescent="0.15">
      <c r="AE6104" s="13"/>
    </row>
    <row r="6105" spans="31:31" ht="12.75" customHeight="1" x14ac:dyDescent="0.15">
      <c r="AE6105" s="13"/>
    </row>
    <row r="6106" spans="31:31" ht="12.75" customHeight="1" x14ac:dyDescent="0.15">
      <c r="AE6106" s="13"/>
    </row>
    <row r="6107" spans="31:31" ht="12.75" customHeight="1" x14ac:dyDescent="0.15">
      <c r="AE6107" s="13"/>
    </row>
    <row r="6108" spans="31:31" ht="12.75" customHeight="1" x14ac:dyDescent="0.15">
      <c r="AE6108" s="13"/>
    </row>
    <row r="6109" spans="31:31" ht="12.75" customHeight="1" x14ac:dyDescent="0.15">
      <c r="AE6109" s="13"/>
    </row>
    <row r="6110" spans="31:31" ht="12.75" customHeight="1" x14ac:dyDescent="0.15">
      <c r="AE6110" s="13"/>
    </row>
    <row r="6111" spans="31:31" ht="12.75" customHeight="1" x14ac:dyDescent="0.15">
      <c r="AE6111" s="13"/>
    </row>
    <row r="6112" spans="31:31" ht="12.75" customHeight="1" x14ac:dyDescent="0.15">
      <c r="AE6112" s="13"/>
    </row>
    <row r="6113" spans="31:31" ht="12.75" customHeight="1" x14ac:dyDescent="0.15">
      <c r="AE6113" s="13"/>
    </row>
    <row r="6114" spans="31:31" ht="12.75" customHeight="1" x14ac:dyDescent="0.15">
      <c r="AE6114" s="13"/>
    </row>
    <row r="6115" spans="31:31" ht="12.75" customHeight="1" x14ac:dyDescent="0.15">
      <c r="AE6115" s="13"/>
    </row>
    <row r="6116" spans="31:31" ht="12.75" customHeight="1" x14ac:dyDescent="0.15">
      <c r="AE6116" s="13"/>
    </row>
    <row r="6117" spans="31:31" ht="12.75" customHeight="1" x14ac:dyDescent="0.15">
      <c r="AE6117" s="13"/>
    </row>
    <row r="6118" spans="31:31" ht="12.75" customHeight="1" x14ac:dyDescent="0.15">
      <c r="AE6118" s="13"/>
    </row>
    <row r="6119" spans="31:31" ht="12.75" customHeight="1" x14ac:dyDescent="0.15">
      <c r="AE6119" s="13"/>
    </row>
    <row r="6120" spans="31:31" ht="12.75" customHeight="1" x14ac:dyDescent="0.15">
      <c r="AE6120" s="13"/>
    </row>
    <row r="6121" spans="31:31" ht="12.75" customHeight="1" x14ac:dyDescent="0.15">
      <c r="AE6121" s="13"/>
    </row>
    <row r="6122" spans="31:31" ht="12.75" customHeight="1" x14ac:dyDescent="0.15">
      <c r="AE6122" s="13"/>
    </row>
    <row r="6123" spans="31:31" ht="12.75" customHeight="1" x14ac:dyDescent="0.15">
      <c r="AE6123" s="13"/>
    </row>
    <row r="6124" spans="31:31" ht="12.75" customHeight="1" x14ac:dyDescent="0.15">
      <c r="AE6124" s="13"/>
    </row>
    <row r="6125" spans="31:31" ht="12.75" customHeight="1" x14ac:dyDescent="0.15">
      <c r="AE6125" s="13"/>
    </row>
    <row r="6126" spans="31:31" ht="12.75" customHeight="1" x14ac:dyDescent="0.15">
      <c r="AE6126" s="13"/>
    </row>
    <row r="6127" spans="31:31" ht="12.75" customHeight="1" x14ac:dyDescent="0.15">
      <c r="AE6127" s="13"/>
    </row>
    <row r="6128" spans="31:31" ht="12.75" customHeight="1" x14ac:dyDescent="0.15">
      <c r="AE6128" s="13"/>
    </row>
    <row r="6129" spans="31:31" ht="12.75" customHeight="1" x14ac:dyDescent="0.15">
      <c r="AE6129" s="13"/>
    </row>
    <row r="6130" spans="31:31" ht="12.75" customHeight="1" x14ac:dyDescent="0.15">
      <c r="AE6130" s="13"/>
    </row>
    <row r="6131" spans="31:31" ht="12.75" customHeight="1" x14ac:dyDescent="0.15">
      <c r="AE6131" s="13"/>
    </row>
    <row r="6132" spans="31:31" ht="12.75" customHeight="1" x14ac:dyDescent="0.15">
      <c r="AE6132" s="13"/>
    </row>
    <row r="6133" spans="31:31" ht="12.75" customHeight="1" x14ac:dyDescent="0.15">
      <c r="AE6133" s="13"/>
    </row>
    <row r="6134" spans="31:31" ht="12.75" customHeight="1" x14ac:dyDescent="0.15">
      <c r="AE6134" s="13"/>
    </row>
    <row r="6135" spans="31:31" ht="12.75" customHeight="1" x14ac:dyDescent="0.15">
      <c r="AE6135" s="13"/>
    </row>
    <row r="6136" spans="31:31" ht="12.75" customHeight="1" x14ac:dyDescent="0.15">
      <c r="AE6136" s="13"/>
    </row>
    <row r="6137" spans="31:31" ht="12.75" customHeight="1" x14ac:dyDescent="0.15">
      <c r="AE6137" s="13"/>
    </row>
    <row r="6138" spans="31:31" ht="12.75" customHeight="1" x14ac:dyDescent="0.15">
      <c r="AE6138" s="13"/>
    </row>
    <row r="6139" spans="31:31" ht="12.75" customHeight="1" x14ac:dyDescent="0.15">
      <c r="AE6139" s="13"/>
    </row>
    <row r="6140" spans="31:31" ht="12.75" customHeight="1" x14ac:dyDescent="0.15">
      <c r="AE6140" s="13"/>
    </row>
    <row r="6141" spans="31:31" ht="12.75" customHeight="1" x14ac:dyDescent="0.15">
      <c r="AE6141" s="13"/>
    </row>
    <row r="6142" spans="31:31" ht="12.75" customHeight="1" x14ac:dyDescent="0.15">
      <c r="AE6142" s="13"/>
    </row>
    <row r="6143" spans="31:31" ht="12.75" customHeight="1" x14ac:dyDescent="0.15">
      <c r="AE6143" s="13"/>
    </row>
    <row r="6144" spans="31:31" ht="12.75" customHeight="1" x14ac:dyDescent="0.15">
      <c r="AE6144" s="13"/>
    </row>
    <row r="6145" spans="31:31" ht="12.75" customHeight="1" x14ac:dyDescent="0.15">
      <c r="AE6145" s="13"/>
    </row>
    <row r="6146" spans="31:31" ht="12.75" customHeight="1" x14ac:dyDescent="0.15">
      <c r="AE6146" s="13"/>
    </row>
    <row r="6147" spans="31:31" ht="12.75" customHeight="1" x14ac:dyDescent="0.15">
      <c r="AE6147" s="13"/>
    </row>
    <row r="6148" spans="31:31" ht="12.75" customHeight="1" x14ac:dyDescent="0.15">
      <c r="AE6148" s="13"/>
    </row>
    <row r="6149" spans="31:31" ht="12.75" customHeight="1" x14ac:dyDescent="0.15">
      <c r="AE6149" s="13"/>
    </row>
    <row r="6150" spans="31:31" ht="12.75" customHeight="1" x14ac:dyDescent="0.15">
      <c r="AE6150" s="13"/>
    </row>
    <row r="6151" spans="31:31" ht="12.75" customHeight="1" x14ac:dyDescent="0.15">
      <c r="AE6151" s="13"/>
    </row>
    <row r="6152" spans="31:31" ht="12.75" customHeight="1" x14ac:dyDescent="0.15">
      <c r="AE6152" s="13"/>
    </row>
    <row r="6153" spans="31:31" ht="12.75" customHeight="1" x14ac:dyDescent="0.15">
      <c r="AE6153" s="13"/>
    </row>
    <row r="6154" spans="31:31" ht="12.75" customHeight="1" x14ac:dyDescent="0.15">
      <c r="AE6154" s="13"/>
    </row>
    <row r="6155" spans="31:31" ht="12.75" customHeight="1" x14ac:dyDescent="0.15">
      <c r="AE6155" s="13"/>
    </row>
    <row r="6156" spans="31:31" ht="12.75" customHeight="1" x14ac:dyDescent="0.15">
      <c r="AE6156" s="13"/>
    </row>
    <row r="6157" spans="31:31" ht="12.75" customHeight="1" x14ac:dyDescent="0.15">
      <c r="AE6157" s="13"/>
    </row>
    <row r="6158" spans="31:31" ht="12.75" customHeight="1" x14ac:dyDescent="0.15">
      <c r="AE6158" s="13"/>
    </row>
    <row r="6159" spans="31:31" ht="12.75" customHeight="1" x14ac:dyDescent="0.15">
      <c r="AE6159" s="13"/>
    </row>
    <row r="6160" spans="31:31" ht="12.75" customHeight="1" x14ac:dyDescent="0.15">
      <c r="AE6160" s="13"/>
    </row>
    <row r="6161" spans="31:31" ht="12.75" customHeight="1" x14ac:dyDescent="0.15">
      <c r="AE6161" s="13"/>
    </row>
    <row r="6162" spans="31:31" ht="12.75" customHeight="1" x14ac:dyDescent="0.15">
      <c r="AE6162" s="13"/>
    </row>
    <row r="6163" spans="31:31" ht="12.75" customHeight="1" x14ac:dyDescent="0.15">
      <c r="AE6163" s="13"/>
    </row>
    <row r="6164" spans="31:31" ht="12.75" customHeight="1" x14ac:dyDescent="0.15">
      <c r="AE6164" s="13"/>
    </row>
    <row r="6165" spans="31:31" ht="12.75" customHeight="1" x14ac:dyDescent="0.15">
      <c r="AE6165" s="13"/>
    </row>
    <row r="6166" spans="31:31" ht="12.75" customHeight="1" x14ac:dyDescent="0.15">
      <c r="AE6166" s="13"/>
    </row>
    <row r="6167" spans="31:31" ht="12.75" customHeight="1" x14ac:dyDescent="0.15">
      <c r="AE6167" s="13"/>
    </row>
    <row r="6168" spans="31:31" ht="12.75" customHeight="1" x14ac:dyDescent="0.15">
      <c r="AE6168" s="13"/>
    </row>
    <row r="6169" spans="31:31" ht="12.75" customHeight="1" x14ac:dyDescent="0.15">
      <c r="AE6169" s="13"/>
    </row>
    <row r="6170" spans="31:31" ht="12.75" customHeight="1" x14ac:dyDescent="0.15">
      <c r="AE6170" s="13"/>
    </row>
    <row r="6171" spans="31:31" ht="12.75" customHeight="1" x14ac:dyDescent="0.15">
      <c r="AE6171" s="13"/>
    </row>
    <row r="6172" spans="31:31" ht="12.75" customHeight="1" x14ac:dyDescent="0.15">
      <c r="AE6172" s="13"/>
    </row>
    <row r="6173" spans="31:31" ht="12.75" customHeight="1" x14ac:dyDescent="0.15">
      <c r="AE6173" s="13"/>
    </row>
    <row r="6174" spans="31:31" ht="12.75" customHeight="1" x14ac:dyDescent="0.15">
      <c r="AE6174" s="13"/>
    </row>
    <row r="6175" spans="31:31" ht="12.75" customHeight="1" x14ac:dyDescent="0.15">
      <c r="AE6175" s="13"/>
    </row>
    <row r="6176" spans="31:31" ht="12.75" customHeight="1" x14ac:dyDescent="0.15">
      <c r="AE6176" s="13"/>
    </row>
    <row r="6177" spans="31:31" ht="12.75" customHeight="1" x14ac:dyDescent="0.15">
      <c r="AE6177" s="13"/>
    </row>
    <row r="6178" spans="31:31" ht="12.75" customHeight="1" x14ac:dyDescent="0.15">
      <c r="AE6178" s="13"/>
    </row>
    <row r="6179" spans="31:31" ht="12.75" customHeight="1" x14ac:dyDescent="0.15">
      <c r="AE6179" s="13"/>
    </row>
    <row r="6180" spans="31:31" ht="12.75" customHeight="1" x14ac:dyDescent="0.15">
      <c r="AE6180" s="13"/>
    </row>
    <row r="6181" spans="31:31" ht="12.75" customHeight="1" x14ac:dyDescent="0.15">
      <c r="AE6181" s="13"/>
    </row>
    <row r="6182" spans="31:31" ht="12.75" customHeight="1" x14ac:dyDescent="0.15">
      <c r="AE6182" s="13"/>
    </row>
    <row r="6183" spans="31:31" ht="12.75" customHeight="1" x14ac:dyDescent="0.15">
      <c r="AE6183" s="13"/>
    </row>
    <row r="6184" spans="31:31" ht="12.75" customHeight="1" x14ac:dyDescent="0.15">
      <c r="AE6184" s="13"/>
    </row>
    <row r="6185" spans="31:31" ht="12.75" customHeight="1" x14ac:dyDescent="0.15">
      <c r="AE6185" s="13"/>
    </row>
    <row r="6186" spans="31:31" ht="12.75" customHeight="1" x14ac:dyDescent="0.15">
      <c r="AE6186" s="13"/>
    </row>
    <row r="6187" spans="31:31" ht="12.75" customHeight="1" x14ac:dyDescent="0.15">
      <c r="AE6187" s="13"/>
    </row>
    <row r="6188" spans="31:31" ht="12.75" customHeight="1" x14ac:dyDescent="0.15">
      <c r="AE6188" s="13"/>
    </row>
    <row r="6189" spans="31:31" ht="12.75" customHeight="1" x14ac:dyDescent="0.15">
      <c r="AE6189" s="13"/>
    </row>
    <row r="6190" spans="31:31" ht="12.75" customHeight="1" x14ac:dyDescent="0.15">
      <c r="AE6190" s="13"/>
    </row>
    <row r="6191" spans="31:31" ht="12.75" customHeight="1" x14ac:dyDescent="0.15">
      <c r="AE6191" s="13"/>
    </row>
    <row r="6192" spans="31:31" ht="12.75" customHeight="1" x14ac:dyDescent="0.15">
      <c r="AE6192" s="13"/>
    </row>
    <row r="6193" spans="31:31" ht="12.75" customHeight="1" x14ac:dyDescent="0.15">
      <c r="AE6193" s="13"/>
    </row>
    <row r="6194" spans="31:31" ht="12.75" customHeight="1" x14ac:dyDescent="0.15">
      <c r="AE6194" s="13"/>
    </row>
    <row r="6195" spans="31:31" ht="12.75" customHeight="1" x14ac:dyDescent="0.15">
      <c r="AE6195" s="13"/>
    </row>
    <row r="6196" spans="31:31" ht="12.75" customHeight="1" x14ac:dyDescent="0.15">
      <c r="AE6196" s="13"/>
    </row>
    <row r="6197" spans="31:31" ht="12.75" customHeight="1" x14ac:dyDescent="0.15">
      <c r="AE6197" s="13"/>
    </row>
    <row r="6198" spans="31:31" ht="12.75" customHeight="1" x14ac:dyDescent="0.15">
      <c r="AE6198" s="13"/>
    </row>
    <row r="6199" spans="31:31" ht="12.75" customHeight="1" x14ac:dyDescent="0.15">
      <c r="AE6199" s="13"/>
    </row>
    <row r="6200" spans="31:31" ht="12.75" customHeight="1" x14ac:dyDescent="0.15">
      <c r="AE6200" s="13"/>
    </row>
    <row r="6201" spans="31:31" ht="12.75" customHeight="1" x14ac:dyDescent="0.15">
      <c r="AE6201" s="13"/>
    </row>
    <row r="6202" spans="31:31" ht="12.75" customHeight="1" x14ac:dyDescent="0.15">
      <c r="AE6202" s="13"/>
    </row>
    <row r="6203" spans="31:31" ht="12.75" customHeight="1" x14ac:dyDescent="0.15">
      <c r="AE6203" s="13"/>
    </row>
    <row r="6204" spans="31:31" ht="12.75" customHeight="1" x14ac:dyDescent="0.15">
      <c r="AE6204" s="13"/>
    </row>
    <row r="6205" spans="31:31" ht="12.75" customHeight="1" x14ac:dyDescent="0.15">
      <c r="AE6205" s="13"/>
    </row>
    <row r="6206" spans="31:31" ht="12.75" customHeight="1" x14ac:dyDescent="0.15">
      <c r="AE6206" s="13"/>
    </row>
    <row r="6207" spans="31:31" ht="12.75" customHeight="1" x14ac:dyDescent="0.15">
      <c r="AE6207" s="13"/>
    </row>
    <row r="6208" spans="31:31" ht="12.75" customHeight="1" x14ac:dyDescent="0.15">
      <c r="AE6208" s="13"/>
    </row>
    <row r="6209" spans="31:31" ht="12.75" customHeight="1" x14ac:dyDescent="0.15">
      <c r="AE6209" s="13"/>
    </row>
    <row r="6210" spans="31:31" ht="12.75" customHeight="1" x14ac:dyDescent="0.15">
      <c r="AE6210" s="13"/>
    </row>
    <row r="6211" spans="31:31" ht="12.75" customHeight="1" x14ac:dyDescent="0.15">
      <c r="AE6211" s="13"/>
    </row>
    <row r="6212" spans="31:31" ht="12.75" customHeight="1" x14ac:dyDescent="0.15">
      <c r="AE6212" s="13"/>
    </row>
    <row r="6213" spans="31:31" ht="12.75" customHeight="1" x14ac:dyDescent="0.15">
      <c r="AE6213" s="13"/>
    </row>
    <row r="6214" spans="31:31" ht="12.75" customHeight="1" x14ac:dyDescent="0.15">
      <c r="AE6214" s="13"/>
    </row>
    <row r="6215" spans="31:31" ht="12.75" customHeight="1" x14ac:dyDescent="0.15">
      <c r="AE6215" s="13"/>
    </row>
    <row r="6216" spans="31:31" ht="12.75" customHeight="1" x14ac:dyDescent="0.15">
      <c r="AE6216" s="13"/>
    </row>
    <row r="6217" spans="31:31" ht="12.75" customHeight="1" x14ac:dyDescent="0.15">
      <c r="AE6217" s="13"/>
    </row>
    <row r="6218" spans="31:31" ht="12.75" customHeight="1" x14ac:dyDescent="0.15">
      <c r="AE6218" s="13"/>
    </row>
    <row r="6219" spans="31:31" ht="12.75" customHeight="1" x14ac:dyDescent="0.15">
      <c r="AE6219" s="13"/>
    </row>
    <row r="6220" spans="31:31" ht="12.75" customHeight="1" x14ac:dyDescent="0.15">
      <c r="AE6220" s="13"/>
    </row>
    <row r="6221" spans="31:31" ht="12.75" customHeight="1" x14ac:dyDescent="0.15">
      <c r="AE6221" s="13"/>
    </row>
    <row r="6222" spans="31:31" ht="12.75" customHeight="1" x14ac:dyDescent="0.15">
      <c r="AE6222" s="13"/>
    </row>
    <row r="6223" spans="31:31" ht="12.75" customHeight="1" x14ac:dyDescent="0.15">
      <c r="AE6223" s="13"/>
    </row>
    <row r="6224" spans="31:31" ht="12.75" customHeight="1" x14ac:dyDescent="0.15">
      <c r="AE6224" s="13"/>
    </row>
    <row r="6225" spans="31:31" ht="12.75" customHeight="1" x14ac:dyDescent="0.15">
      <c r="AE6225" s="13"/>
    </row>
    <row r="6226" spans="31:31" ht="12.75" customHeight="1" x14ac:dyDescent="0.15">
      <c r="AE6226" s="13"/>
    </row>
    <row r="6227" spans="31:31" ht="12.75" customHeight="1" x14ac:dyDescent="0.15">
      <c r="AE6227" s="13"/>
    </row>
    <row r="6228" spans="31:31" ht="12.75" customHeight="1" x14ac:dyDescent="0.15">
      <c r="AE6228" s="13"/>
    </row>
    <row r="6229" spans="31:31" ht="12.75" customHeight="1" x14ac:dyDescent="0.15">
      <c r="AE6229" s="13"/>
    </row>
    <row r="6230" spans="31:31" ht="12.75" customHeight="1" x14ac:dyDescent="0.15">
      <c r="AE6230" s="13"/>
    </row>
    <row r="6231" spans="31:31" ht="12.75" customHeight="1" x14ac:dyDescent="0.15">
      <c r="AE6231" s="13"/>
    </row>
    <row r="6232" spans="31:31" ht="12.75" customHeight="1" x14ac:dyDescent="0.15">
      <c r="AE6232" s="13"/>
    </row>
    <row r="6233" spans="31:31" ht="12.75" customHeight="1" x14ac:dyDescent="0.15">
      <c r="AE6233" s="13"/>
    </row>
    <row r="6234" spans="31:31" ht="12.75" customHeight="1" x14ac:dyDescent="0.15">
      <c r="AE6234" s="13"/>
    </row>
    <row r="6235" spans="31:31" ht="12.75" customHeight="1" x14ac:dyDescent="0.15">
      <c r="AE6235" s="13"/>
    </row>
    <row r="6236" spans="31:31" ht="12.75" customHeight="1" x14ac:dyDescent="0.15">
      <c r="AE6236" s="13"/>
    </row>
    <row r="6237" spans="31:31" ht="12.75" customHeight="1" x14ac:dyDescent="0.15">
      <c r="AE6237" s="13"/>
    </row>
    <row r="6238" spans="31:31" ht="12.75" customHeight="1" x14ac:dyDescent="0.15">
      <c r="AE6238" s="13"/>
    </row>
    <row r="6239" spans="31:31" ht="12.75" customHeight="1" x14ac:dyDescent="0.15">
      <c r="AE6239" s="13"/>
    </row>
    <row r="6240" spans="31:31" ht="12.75" customHeight="1" x14ac:dyDescent="0.15">
      <c r="AE6240" s="13"/>
    </row>
    <row r="6241" spans="31:31" ht="12.75" customHeight="1" x14ac:dyDescent="0.15">
      <c r="AE6241" s="13"/>
    </row>
    <row r="6242" spans="31:31" ht="12.75" customHeight="1" x14ac:dyDescent="0.15">
      <c r="AE6242" s="13"/>
    </row>
    <row r="6243" spans="31:31" ht="12.75" customHeight="1" x14ac:dyDescent="0.15">
      <c r="AE6243" s="13"/>
    </row>
    <row r="6244" spans="31:31" ht="12.75" customHeight="1" x14ac:dyDescent="0.15">
      <c r="AE6244" s="13"/>
    </row>
    <row r="6245" spans="31:31" ht="12.75" customHeight="1" x14ac:dyDescent="0.15">
      <c r="AE6245" s="13"/>
    </row>
    <row r="6246" spans="31:31" ht="12.75" customHeight="1" x14ac:dyDescent="0.15">
      <c r="AE6246" s="13"/>
    </row>
    <row r="6247" spans="31:31" ht="12.75" customHeight="1" x14ac:dyDescent="0.15">
      <c r="AE6247" s="13"/>
    </row>
    <row r="6248" spans="31:31" ht="12.75" customHeight="1" x14ac:dyDescent="0.15">
      <c r="AE6248" s="13"/>
    </row>
    <row r="6249" spans="31:31" ht="12.75" customHeight="1" x14ac:dyDescent="0.15">
      <c r="AE6249" s="13"/>
    </row>
    <row r="6250" spans="31:31" ht="12.75" customHeight="1" x14ac:dyDescent="0.15">
      <c r="AE6250" s="13"/>
    </row>
    <row r="6251" spans="31:31" ht="12.75" customHeight="1" x14ac:dyDescent="0.15">
      <c r="AE6251" s="13"/>
    </row>
    <row r="6252" spans="31:31" ht="12.75" customHeight="1" x14ac:dyDescent="0.15">
      <c r="AE6252" s="13"/>
    </row>
    <row r="6253" spans="31:31" ht="12.75" customHeight="1" x14ac:dyDescent="0.15">
      <c r="AE6253" s="13"/>
    </row>
    <row r="6254" spans="31:31" ht="12.75" customHeight="1" x14ac:dyDescent="0.15">
      <c r="AE6254" s="13"/>
    </row>
    <row r="6255" spans="31:31" ht="12.75" customHeight="1" x14ac:dyDescent="0.15">
      <c r="AE6255" s="13"/>
    </row>
    <row r="6256" spans="31:31" ht="12.75" customHeight="1" x14ac:dyDescent="0.15">
      <c r="AE6256" s="13"/>
    </row>
    <row r="6257" spans="31:31" ht="12.75" customHeight="1" x14ac:dyDescent="0.15">
      <c r="AE6257" s="13"/>
    </row>
    <row r="6258" spans="31:31" ht="12.75" customHeight="1" x14ac:dyDescent="0.15">
      <c r="AE6258" s="13"/>
    </row>
    <row r="6259" spans="31:31" ht="12.75" customHeight="1" x14ac:dyDescent="0.15">
      <c r="AE6259" s="13"/>
    </row>
    <row r="6260" spans="31:31" ht="12.75" customHeight="1" x14ac:dyDescent="0.15">
      <c r="AE6260" s="13"/>
    </row>
    <row r="6261" spans="31:31" ht="12.75" customHeight="1" x14ac:dyDescent="0.15">
      <c r="AE6261" s="13"/>
    </row>
    <row r="6262" spans="31:31" ht="12.75" customHeight="1" x14ac:dyDescent="0.15">
      <c r="AE6262" s="13"/>
    </row>
    <row r="6263" spans="31:31" ht="12.75" customHeight="1" x14ac:dyDescent="0.15">
      <c r="AE6263" s="13"/>
    </row>
    <row r="6264" spans="31:31" ht="12.75" customHeight="1" x14ac:dyDescent="0.15">
      <c r="AE6264" s="13"/>
    </row>
    <row r="6265" spans="31:31" ht="12.75" customHeight="1" x14ac:dyDescent="0.15">
      <c r="AE6265" s="13"/>
    </row>
    <row r="6266" spans="31:31" ht="12.75" customHeight="1" x14ac:dyDescent="0.15">
      <c r="AE6266" s="13"/>
    </row>
    <row r="6267" spans="31:31" ht="12.75" customHeight="1" x14ac:dyDescent="0.15">
      <c r="AE6267" s="13"/>
    </row>
    <row r="6268" spans="31:31" ht="12.75" customHeight="1" x14ac:dyDescent="0.15">
      <c r="AE6268" s="13"/>
    </row>
    <row r="6269" spans="31:31" ht="12.75" customHeight="1" x14ac:dyDescent="0.15">
      <c r="AE6269" s="13"/>
    </row>
    <row r="6270" spans="31:31" ht="12.75" customHeight="1" x14ac:dyDescent="0.15">
      <c r="AE6270" s="13"/>
    </row>
    <row r="6271" spans="31:31" ht="12.75" customHeight="1" x14ac:dyDescent="0.15">
      <c r="AE6271" s="13"/>
    </row>
    <row r="6272" spans="31:31" ht="12.75" customHeight="1" x14ac:dyDescent="0.15">
      <c r="AE6272" s="13"/>
    </row>
    <row r="6273" spans="31:31" ht="12.75" customHeight="1" x14ac:dyDescent="0.15">
      <c r="AE6273" s="13"/>
    </row>
    <row r="6274" spans="31:31" ht="12.75" customHeight="1" x14ac:dyDescent="0.15">
      <c r="AE6274" s="13"/>
    </row>
    <row r="6275" spans="31:31" ht="12.75" customHeight="1" x14ac:dyDescent="0.15">
      <c r="AE6275" s="13"/>
    </row>
    <row r="6276" spans="31:31" ht="12.75" customHeight="1" x14ac:dyDescent="0.15">
      <c r="AE6276" s="13"/>
    </row>
    <row r="6277" spans="31:31" ht="12.75" customHeight="1" x14ac:dyDescent="0.15">
      <c r="AE6277" s="13"/>
    </row>
    <row r="6278" spans="31:31" ht="12.75" customHeight="1" x14ac:dyDescent="0.15">
      <c r="AE6278" s="13"/>
    </row>
    <row r="6279" spans="31:31" ht="12.75" customHeight="1" x14ac:dyDescent="0.15">
      <c r="AE6279" s="13"/>
    </row>
    <row r="6280" spans="31:31" ht="12.75" customHeight="1" x14ac:dyDescent="0.15">
      <c r="AE6280" s="13"/>
    </row>
    <row r="6281" spans="31:31" ht="12.75" customHeight="1" x14ac:dyDescent="0.15">
      <c r="AE6281" s="13"/>
    </row>
    <row r="6282" spans="31:31" ht="12.75" customHeight="1" x14ac:dyDescent="0.15">
      <c r="AE6282" s="13"/>
    </row>
    <row r="6283" spans="31:31" ht="12.75" customHeight="1" x14ac:dyDescent="0.15">
      <c r="AE6283" s="13"/>
    </row>
    <row r="6284" spans="31:31" ht="12.75" customHeight="1" x14ac:dyDescent="0.15">
      <c r="AE6284" s="13"/>
    </row>
    <row r="6285" spans="31:31" ht="12.75" customHeight="1" x14ac:dyDescent="0.15">
      <c r="AE6285" s="13"/>
    </row>
    <row r="6286" spans="31:31" ht="12.75" customHeight="1" x14ac:dyDescent="0.15">
      <c r="AE6286" s="13"/>
    </row>
    <row r="6287" spans="31:31" ht="12.75" customHeight="1" x14ac:dyDescent="0.15">
      <c r="AE6287" s="13"/>
    </row>
    <row r="6288" spans="31:31" ht="12.75" customHeight="1" x14ac:dyDescent="0.15">
      <c r="AE6288" s="13"/>
    </row>
    <row r="6289" spans="31:31" ht="12.75" customHeight="1" x14ac:dyDescent="0.15">
      <c r="AE6289" s="13"/>
    </row>
    <row r="6290" spans="31:31" ht="12.75" customHeight="1" x14ac:dyDescent="0.15">
      <c r="AE6290" s="13"/>
    </row>
    <row r="6291" spans="31:31" ht="12.75" customHeight="1" x14ac:dyDescent="0.15">
      <c r="AE6291" s="13"/>
    </row>
    <row r="6292" spans="31:31" ht="12.75" customHeight="1" x14ac:dyDescent="0.15">
      <c r="AE6292" s="13"/>
    </row>
    <row r="6293" spans="31:31" ht="12.75" customHeight="1" x14ac:dyDescent="0.15">
      <c r="AE6293" s="13"/>
    </row>
    <row r="6294" spans="31:31" ht="12.75" customHeight="1" x14ac:dyDescent="0.15">
      <c r="AE6294" s="13"/>
    </row>
    <row r="6295" spans="31:31" ht="12.75" customHeight="1" x14ac:dyDescent="0.15">
      <c r="AE6295" s="13"/>
    </row>
    <row r="6296" spans="31:31" ht="12.75" customHeight="1" x14ac:dyDescent="0.15">
      <c r="AE6296" s="13"/>
    </row>
    <row r="6297" spans="31:31" ht="12.75" customHeight="1" x14ac:dyDescent="0.15">
      <c r="AE6297" s="13"/>
    </row>
    <row r="6298" spans="31:31" ht="12.75" customHeight="1" x14ac:dyDescent="0.15">
      <c r="AE6298" s="13"/>
    </row>
    <row r="6299" spans="31:31" ht="12.75" customHeight="1" x14ac:dyDescent="0.15">
      <c r="AE6299" s="13"/>
    </row>
    <row r="6300" spans="31:31" ht="12.75" customHeight="1" x14ac:dyDescent="0.15">
      <c r="AE6300" s="13"/>
    </row>
    <row r="6301" spans="31:31" ht="12.75" customHeight="1" x14ac:dyDescent="0.15">
      <c r="AE6301" s="13"/>
    </row>
    <row r="6302" spans="31:31" ht="12.75" customHeight="1" x14ac:dyDescent="0.15">
      <c r="AE6302" s="13"/>
    </row>
    <row r="6303" spans="31:31" ht="12.75" customHeight="1" x14ac:dyDescent="0.15">
      <c r="AE6303" s="13"/>
    </row>
    <row r="6304" spans="31:31" ht="12.75" customHeight="1" x14ac:dyDescent="0.15">
      <c r="AE6304" s="13"/>
    </row>
    <row r="6305" spans="31:31" ht="12.75" customHeight="1" x14ac:dyDescent="0.15">
      <c r="AE6305" s="13"/>
    </row>
    <row r="6306" spans="31:31" ht="12.75" customHeight="1" x14ac:dyDescent="0.15">
      <c r="AE6306" s="13"/>
    </row>
    <row r="6307" spans="31:31" ht="12.75" customHeight="1" x14ac:dyDescent="0.15">
      <c r="AE6307" s="13"/>
    </row>
    <row r="6308" spans="31:31" ht="12.75" customHeight="1" x14ac:dyDescent="0.15">
      <c r="AE6308" s="13"/>
    </row>
    <row r="6309" spans="31:31" ht="12.75" customHeight="1" x14ac:dyDescent="0.15">
      <c r="AE6309" s="13"/>
    </row>
    <row r="6310" spans="31:31" ht="12.75" customHeight="1" x14ac:dyDescent="0.15">
      <c r="AE6310" s="13"/>
    </row>
    <row r="6311" spans="31:31" ht="12.75" customHeight="1" x14ac:dyDescent="0.15">
      <c r="AE6311" s="13"/>
    </row>
    <row r="6312" spans="31:31" ht="12.75" customHeight="1" x14ac:dyDescent="0.15">
      <c r="AE6312" s="13"/>
    </row>
    <row r="6313" spans="31:31" ht="12.75" customHeight="1" x14ac:dyDescent="0.15">
      <c r="AE6313" s="13"/>
    </row>
    <row r="6314" spans="31:31" ht="12.75" customHeight="1" x14ac:dyDescent="0.15">
      <c r="AE6314" s="13"/>
    </row>
    <row r="6315" spans="31:31" ht="12.75" customHeight="1" x14ac:dyDescent="0.15">
      <c r="AE6315" s="13"/>
    </row>
    <row r="6316" spans="31:31" ht="12.75" customHeight="1" x14ac:dyDescent="0.15">
      <c r="AE6316" s="13"/>
    </row>
    <row r="6317" spans="31:31" ht="12.75" customHeight="1" x14ac:dyDescent="0.15">
      <c r="AE6317" s="13"/>
    </row>
    <row r="6318" spans="31:31" ht="12.75" customHeight="1" x14ac:dyDescent="0.15">
      <c r="AE6318" s="13"/>
    </row>
    <row r="6319" spans="31:31" ht="12.75" customHeight="1" x14ac:dyDescent="0.15">
      <c r="AE6319" s="13"/>
    </row>
    <row r="6320" spans="31:31" ht="12.75" customHeight="1" x14ac:dyDescent="0.15">
      <c r="AE6320" s="13"/>
    </row>
    <row r="6321" spans="31:31" ht="12.75" customHeight="1" x14ac:dyDescent="0.15">
      <c r="AE6321" s="13"/>
    </row>
    <row r="6322" spans="31:31" ht="12.75" customHeight="1" x14ac:dyDescent="0.15">
      <c r="AE6322" s="13"/>
    </row>
    <row r="6323" spans="31:31" ht="12.75" customHeight="1" x14ac:dyDescent="0.15">
      <c r="AE6323" s="13"/>
    </row>
    <row r="6324" spans="31:31" ht="12.75" customHeight="1" x14ac:dyDescent="0.15">
      <c r="AE6324" s="13"/>
    </row>
    <row r="6325" spans="31:31" ht="12.75" customHeight="1" x14ac:dyDescent="0.15">
      <c r="AE6325" s="13"/>
    </row>
    <row r="6326" spans="31:31" ht="12.75" customHeight="1" x14ac:dyDescent="0.15">
      <c r="AE6326" s="13"/>
    </row>
    <row r="6327" spans="31:31" ht="12.75" customHeight="1" x14ac:dyDescent="0.15">
      <c r="AE6327" s="13"/>
    </row>
    <row r="6328" spans="31:31" ht="12.75" customHeight="1" x14ac:dyDescent="0.15">
      <c r="AE6328" s="13"/>
    </row>
    <row r="6329" spans="31:31" ht="12.75" customHeight="1" x14ac:dyDescent="0.15">
      <c r="AE6329" s="13"/>
    </row>
    <row r="6330" spans="31:31" ht="12.75" customHeight="1" x14ac:dyDescent="0.15">
      <c r="AE6330" s="13"/>
    </row>
    <row r="6331" spans="31:31" ht="12.75" customHeight="1" x14ac:dyDescent="0.15">
      <c r="AE6331" s="13"/>
    </row>
    <row r="6332" spans="31:31" ht="12.75" customHeight="1" x14ac:dyDescent="0.15">
      <c r="AE6332" s="13"/>
    </row>
    <row r="6333" spans="31:31" ht="12.75" customHeight="1" x14ac:dyDescent="0.15">
      <c r="AE6333" s="13"/>
    </row>
    <row r="6334" spans="31:31" ht="12.75" customHeight="1" x14ac:dyDescent="0.15">
      <c r="AE6334" s="13"/>
    </row>
    <row r="6335" spans="31:31" ht="12.75" customHeight="1" x14ac:dyDescent="0.15">
      <c r="AE6335" s="13"/>
    </row>
    <row r="6336" spans="31:31" ht="12.75" customHeight="1" x14ac:dyDescent="0.15">
      <c r="AE6336" s="13"/>
    </row>
    <row r="6337" spans="31:31" ht="12.75" customHeight="1" x14ac:dyDescent="0.15">
      <c r="AE6337" s="13"/>
    </row>
    <row r="6338" spans="31:31" ht="12.75" customHeight="1" x14ac:dyDescent="0.15">
      <c r="AE6338" s="13"/>
    </row>
    <row r="6339" spans="31:31" ht="12.75" customHeight="1" x14ac:dyDescent="0.15">
      <c r="AE6339" s="13"/>
    </row>
    <row r="6340" spans="31:31" ht="12.75" customHeight="1" x14ac:dyDescent="0.15">
      <c r="AE6340" s="13"/>
    </row>
    <row r="6341" spans="31:31" ht="12.75" customHeight="1" x14ac:dyDescent="0.15">
      <c r="AE6341" s="13"/>
    </row>
    <row r="6342" spans="31:31" ht="12.75" customHeight="1" x14ac:dyDescent="0.15">
      <c r="AE6342" s="13"/>
    </row>
    <row r="6343" spans="31:31" ht="12.75" customHeight="1" x14ac:dyDescent="0.15">
      <c r="AE6343" s="13"/>
    </row>
    <row r="6344" spans="31:31" ht="12.75" customHeight="1" x14ac:dyDescent="0.15">
      <c r="AE6344" s="13"/>
    </row>
    <row r="6345" spans="31:31" ht="12.75" customHeight="1" x14ac:dyDescent="0.15">
      <c r="AE6345" s="13"/>
    </row>
    <row r="6346" spans="31:31" ht="12.75" customHeight="1" x14ac:dyDescent="0.15">
      <c r="AE6346" s="13"/>
    </row>
    <row r="6347" spans="31:31" ht="12.75" customHeight="1" x14ac:dyDescent="0.15">
      <c r="AE6347" s="13"/>
    </row>
    <row r="6348" spans="31:31" ht="12.75" customHeight="1" x14ac:dyDescent="0.15">
      <c r="AE6348" s="13"/>
    </row>
    <row r="6349" spans="31:31" ht="12.75" customHeight="1" x14ac:dyDescent="0.15">
      <c r="AE6349" s="13"/>
    </row>
    <row r="6350" spans="31:31" ht="12.75" customHeight="1" x14ac:dyDescent="0.15">
      <c r="AE6350" s="13"/>
    </row>
    <row r="6351" spans="31:31" ht="12.75" customHeight="1" x14ac:dyDescent="0.15">
      <c r="AE6351" s="13"/>
    </row>
    <row r="6352" spans="31:31" ht="12.75" customHeight="1" x14ac:dyDescent="0.15">
      <c r="AE6352" s="13"/>
    </row>
    <row r="6353" spans="31:31" ht="12.75" customHeight="1" x14ac:dyDescent="0.15">
      <c r="AE6353" s="13"/>
    </row>
    <row r="6354" spans="31:31" ht="12.75" customHeight="1" x14ac:dyDescent="0.15">
      <c r="AE6354" s="13"/>
    </row>
    <row r="6355" spans="31:31" ht="12.75" customHeight="1" x14ac:dyDescent="0.15">
      <c r="AE6355" s="13"/>
    </row>
    <row r="6356" spans="31:31" ht="12.75" customHeight="1" x14ac:dyDescent="0.15">
      <c r="AE6356" s="13"/>
    </row>
    <row r="6357" spans="31:31" ht="12.75" customHeight="1" x14ac:dyDescent="0.15">
      <c r="AE6357" s="13"/>
    </row>
    <row r="6358" spans="31:31" ht="12.75" customHeight="1" x14ac:dyDescent="0.15">
      <c r="AE6358" s="13"/>
    </row>
    <row r="6359" spans="31:31" ht="12.75" customHeight="1" x14ac:dyDescent="0.15">
      <c r="AE6359" s="13"/>
    </row>
    <row r="6360" spans="31:31" ht="12.75" customHeight="1" x14ac:dyDescent="0.15">
      <c r="AE6360" s="13"/>
    </row>
    <row r="6361" spans="31:31" ht="12.75" customHeight="1" x14ac:dyDescent="0.15">
      <c r="AE6361" s="13"/>
    </row>
    <row r="6362" spans="31:31" ht="12.75" customHeight="1" x14ac:dyDescent="0.15">
      <c r="AE6362" s="13"/>
    </row>
    <row r="6363" spans="31:31" ht="12.75" customHeight="1" x14ac:dyDescent="0.15">
      <c r="AE6363" s="13"/>
    </row>
    <row r="6364" spans="31:31" ht="12.75" customHeight="1" x14ac:dyDescent="0.15">
      <c r="AE6364" s="13"/>
    </row>
    <row r="6365" spans="31:31" ht="12.75" customHeight="1" x14ac:dyDescent="0.15">
      <c r="AE6365" s="13"/>
    </row>
    <row r="6366" spans="31:31" ht="12.75" customHeight="1" x14ac:dyDescent="0.15">
      <c r="AE6366" s="13"/>
    </row>
    <row r="6367" spans="31:31" ht="12.75" customHeight="1" x14ac:dyDescent="0.15">
      <c r="AE6367" s="13"/>
    </row>
    <row r="6368" spans="31:31" ht="12.75" customHeight="1" x14ac:dyDescent="0.15">
      <c r="AE6368" s="13"/>
    </row>
    <row r="6369" spans="31:31" ht="12.75" customHeight="1" x14ac:dyDescent="0.15">
      <c r="AE6369" s="13"/>
    </row>
    <row r="6370" spans="31:31" ht="12.75" customHeight="1" x14ac:dyDescent="0.15">
      <c r="AE6370" s="13"/>
    </row>
    <row r="6371" spans="31:31" ht="12.75" customHeight="1" x14ac:dyDescent="0.15">
      <c r="AE6371" s="13"/>
    </row>
    <row r="6372" spans="31:31" ht="12.75" customHeight="1" x14ac:dyDescent="0.15">
      <c r="AE6372" s="13"/>
    </row>
    <row r="6373" spans="31:31" ht="12.75" customHeight="1" x14ac:dyDescent="0.15">
      <c r="AE6373" s="13"/>
    </row>
    <row r="6374" spans="31:31" ht="12.75" customHeight="1" x14ac:dyDescent="0.15">
      <c r="AE6374" s="13"/>
    </row>
    <row r="6375" spans="31:31" ht="12.75" customHeight="1" x14ac:dyDescent="0.15">
      <c r="AE6375" s="13"/>
    </row>
    <row r="6376" spans="31:31" ht="12.75" customHeight="1" x14ac:dyDescent="0.15">
      <c r="AE6376" s="13"/>
    </row>
    <row r="6377" spans="31:31" ht="12.75" customHeight="1" x14ac:dyDescent="0.15">
      <c r="AE6377" s="13"/>
    </row>
    <row r="6378" spans="31:31" ht="12.75" customHeight="1" x14ac:dyDescent="0.15">
      <c r="AE6378" s="13"/>
    </row>
    <row r="6379" spans="31:31" ht="12.75" customHeight="1" x14ac:dyDescent="0.15">
      <c r="AE6379" s="13"/>
    </row>
    <row r="6380" spans="31:31" ht="12.75" customHeight="1" x14ac:dyDescent="0.15">
      <c r="AE6380" s="13"/>
    </row>
    <row r="6381" spans="31:31" ht="12.75" customHeight="1" x14ac:dyDescent="0.15">
      <c r="AE6381" s="13"/>
    </row>
    <row r="6382" spans="31:31" ht="12.75" customHeight="1" x14ac:dyDescent="0.15">
      <c r="AE6382" s="13"/>
    </row>
    <row r="6383" spans="31:31" ht="12.75" customHeight="1" x14ac:dyDescent="0.15">
      <c r="AE6383" s="13"/>
    </row>
    <row r="6384" spans="31:31" ht="12.75" customHeight="1" x14ac:dyDescent="0.15">
      <c r="AE6384" s="13"/>
    </row>
    <row r="6385" spans="31:31" ht="12.75" customHeight="1" x14ac:dyDescent="0.15">
      <c r="AE6385" s="13"/>
    </row>
    <row r="6386" spans="31:31" ht="12.75" customHeight="1" x14ac:dyDescent="0.15">
      <c r="AE6386" s="13"/>
    </row>
    <row r="6387" spans="31:31" ht="12.75" customHeight="1" x14ac:dyDescent="0.15">
      <c r="AE6387" s="13"/>
    </row>
    <row r="6388" spans="31:31" ht="12.75" customHeight="1" x14ac:dyDescent="0.15">
      <c r="AE6388" s="13"/>
    </row>
    <row r="6389" spans="31:31" ht="12.75" customHeight="1" x14ac:dyDescent="0.15">
      <c r="AE6389" s="13"/>
    </row>
    <row r="6390" spans="31:31" ht="12.75" customHeight="1" x14ac:dyDescent="0.15">
      <c r="AE6390" s="13"/>
    </row>
    <row r="6391" spans="31:31" ht="12.75" customHeight="1" x14ac:dyDescent="0.15">
      <c r="AE6391" s="13"/>
    </row>
    <row r="6392" spans="31:31" ht="12.75" customHeight="1" x14ac:dyDescent="0.15">
      <c r="AE6392" s="13"/>
    </row>
    <row r="6393" spans="31:31" ht="12.75" customHeight="1" x14ac:dyDescent="0.15">
      <c r="AE6393" s="13"/>
    </row>
    <row r="6394" spans="31:31" ht="12.75" customHeight="1" x14ac:dyDescent="0.15">
      <c r="AE6394" s="13"/>
    </row>
    <row r="6395" spans="31:31" ht="12.75" customHeight="1" x14ac:dyDescent="0.15">
      <c r="AE6395" s="13"/>
    </row>
    <row r="6396" spans="31:31" ht="12.75" customHeight="1" x14ac:dyDescent="0.15">
      <c r="AE6396" s="13"/>
    </row>
    <row r="6397" spans="31:31" ht="12.75" customHeight="1" x14ac:dyDescent="0.15">
      <c r="AE6397" s="13"/>
    </row>
    <row r="6398" spans="31:31" ht="12.75" customHeight="1" x14ac:dyDescent="0.15">
      <c r="AE6398" s="13"/>
    </row>
    <row r="6399" spans="31:31" ht="12.75" customHeight="1" x14ac:dyDescent="0.15">
      <c r="AE6399" s="13"/>
    </row>
    <row r="6400" spans="31:31" ht="12.75" customHeight="1" x14ac:dyDescent="0.15">
      <c r="AE6400" s="13"/>
    </row>
    <row r="6401" spans="31:31" ht="12.75" customHeight="1" x14ac:dyDescent="0.15">
      <c r="AE6401" s="13"/>
    </row>
    <row r="6402" spans="31:31" ht="12.75" customHeight="1" x14ac:dyDescent="0.15">
      <c r="AE6402" s="13"/>
    </row>
    <row r="6403" spans="31:31" ht="12.75" customHeight="1" x14ac:dyDescent="0.15">
      <c r="AE6403" s="13"/>
    </row>
    <row r="6404" spans="31:31" ht="12.75" customHeight="1" x14ac:dyDescent="0.15">
      <c r="AE6404" s="13"/>
    </row>
    <row r="6405" spans="31:31" ht="12.75" customHeight="1" x14ac:dyDescent="0.15">
      <c r="AE6405" s="13"/>
    </row>
    <row r="6406" spans="31:31" ht="12.75" customHeight="1" x14ac:dyDescent="0.15">
      <c r="AE6406" s="13"/>
    </row>
    <row r="6407" spans="31:31" ht="12.75" customHeight="1" x14ac:dyDescent="0.15">
      <c r="AE6407" s="13"/>
    </row>
    <row r="6408" spans="31:31" ht="12.75" customHeight="1" x14ac:dyDescent="0.15">
      <c r="AE6408" s="13"/>
    </row>
    <row r="6409" spans="31:31" ht="12.75" customHeight="1" x14ac:dyDescent="0.15">
      <c r="AE6409" s="13"/>
    </row>
    <row r="6410" spans="31:31" ht="12.75" customHeight="1" x14ac:dyDescent="0.15">
      <c r="AE6410" s="13"/>
    </row>
    <row r="6411" spans="31:31" ht="12.75" customHeight="1" x14ac:dyDescent="0.15">
      <c r="AE6411" s="13"/>
    </row>
    <row r="6412" spans="31:31" ht="12.75" customHeight="1" x14ac:dyDescent="0.15">
      <c r="AE6412" s="13"/>
    </row>
    <row r="6413" spans="31:31" ht="12.75" customHeight="1" x14ac:dyDescent="0.15">
      <c r="AE6413" s="13"/>
    </row>
    <row r="6414" spans="31:31" ht="12.75" customHeight="1" x14ac:dyDescent="0.15">
      <c r="AE6414" s="13"/>
    </row>
    <row r="6415" spans="31:31" ht="12.75" customHeight="1" x14ac:dyDescent="0.15">
      <c r="AE6415" s="13"/>
    </row>
    <row r="6416" spans="31:31" ht="12.75" customHeight="1" x14ac:dyDescent="0.15">
      <c r="AE6416" s="13"/>
    </row>
    <row r="6417" spans="31:31" ht="12.75" customHeight="1" x14ac:dyDescent="0.15">
      <c r="AE6417" s="13"/>
    </row>
    <row r="6418" spans="31:31" ht="12.75" customHeight="1" x14ac:dyDescent="0.15">
      <c r="AE6418" s="13"/>
    </row>
    <row r="6419" spans="31:31" ht="12.75" customHeight="1" x14ac:dyDescent="0.15">
      <c r="AE6419" s="13"/>
    </row>
    <row r="6420" spans="31:31" ht="12.75" customHeight="1" x14ac:dyDescent="0.15">
      <c r="AE6420" s="13"/>
    </row>
    <row r="6421" spans="31:31" ht="12.75" customHeight="1" x14ac:dyDescent="0.15">
      <c r="AE6421" s="13"/>
    </row>
    <row r="6422" spans="31:31" ht="12.75" customHeight="1" x14ac:dyDescent="0.15">
      <c r="AE6422" s="13"/>
    </row>
    <row r="6423" spans="31:31" ht="12.75" customHeight="1" x14ac:dyDescent="0.15">
      <c r="AE6423" s="13"/>
    </row>
    <row r="6424" spans="31:31" ht="12.75" customHeight="1" x14ac:dyDescent="0.15">
      <c r="AE6424" s="13"/>
    </row>
    <row r="6425" spans="31:31" ht="12.75" customHeight="1" x14ac:dyDescent="0.15">
      <c r="AE6425" s="13"/>
    </row>
    <row r="6426" spans="31:31" ht="12.75" customHeight="1" x14ac:dyDescent="0.15">
      <c r="AE6426" s="13"/>
    </row>
    <row r="6427" spans="31:31" ht="12.75" customHeight="1" x14ac:dyDescent="0.15">
      <c r="AE6427" s="13"/>
    </row>
    <row r="6428" spans="31:31" ht="12.75" customHeight="1" x14ac:dyDescent="0.15">
      <c r="AE6428" s="13"/>
    </row>
    <row r="6429" spans="31:31" ht="12.75" customHeight="1" x14ac:dyDescent="0.15">
      <c r="AE6429" s="13"/>
    </row>
    <row r="6430" spans="31:31" ht="12.75" customHeight="1" x14ac:dyDescent="0.15">
      <c r="AE6430" s="13"/>
    </row>
    <row r="6431" spans="31:31" ht="12.75" customHeight="1" x14ac:dyDescent="0.15">
      <c r="AE6431" s="13"/>
    </row>
    <row r="6432" spans="31:31" ht="12.75" customHeight="1" x14ac:dyDescent="0.15">
      <c r="AE6432" s="13"/>
    </row>
    <row r="6433" spans="31:31" ht="12.75" customHeight="1" x14ac:dyDescent="0.15">
      <c r="AE6433" s="13"/>
    </row>
    <row r="6434" spans="31:31" ht="12.75" customHeight="1" x14ac:dyDescent="0.15">
      <c r="AE6434" s="13"/>
    </row>
    <row r="6435" spans="31:31" ht="12.75" customHeight="1" x14ac:dyDescent="0.15">
      <c r="AE6435" s="13"/>
    </row>
    <row r="6436" spans="31:31" ht="12.75" customHeight="1" x14ac:dyDescent="0.15">
      <c r="AE6436" s="13"/>
    </row>
    <row r="6437" spans="31:31" ht="12.75" customHeight="1" x14ac:dyDescent="0.15">
      <c r="AE6437" s="13"/>
    </row>
    <row r="6438" spans="31:31" ht="12.75" customHeight="1" x14ac:dyDescent="0.15">
      <c r="AE6438" s="13"/>
    </row>
    <row r="6439" spans="31:31" ht="12.75" customHeight="1" x14ac:dyDescent="0.15">
      <c r="AE6439" s="13"/>
    </row>
    <row r="6440" spans="31:31" ht="12.75" customHeight="1" x14ac:dyDescent="0.15">
      <c r="AE6440" s="13"/>
    </row>
    <row r="6441" spans="31:31" ht="12.75" customHeight="1" x14ac:dyDescent="0.15">
      <c r="AE6441" s="13"/>
    </row>
    <row r="6442" spans="31:31" ht="12.75" customHeight="1" x14ac:dyDescent="0.15">
      <c r="AE6442" s="13"/>
    </row>
    <row r="6443" spans="31:31" ht="12.75" customHeight="1" x14ac:dyDescent="0.15">
      <c r="AE6443" s="13"/>
    </row>
    <row r="6444" spans="31:31" ht="12.75" customHeight="1" x14ac:dyDescent="0.15">
      <c r="AE6444" s="13"/>
    </row>
    <row r="6445" spans="31:31" ht="12.75" customHeight="1" x14ac:dyDescent="0.15">
      <c r="AE6445" s="13"/>
    </row>
    <row r="6446" spans="31:31" ht="12.75" customHeight="1" x14ac:dyDescent="0.15">
      <c r="AE6446" s="13"/>
    </row>
    <row r="6447" spans="31:31" ht="12.75" customHeight="1" x14ac:dyDescent="0.15">
      <c r="AE6447" s="13"/>
    </row>
    <row r="6448" spans="31:31" ht="12.75" customHeight="1" x14ac:dyDescent="0.15">
      <c r="AE6448" s="13"/>
    </row>
    <row r="6449" spans="31:31" ht="12.75" customHeight="1" x14ac:dyDescent="0.15">
      <c r="AE6449" s="13"/>
    </row>
    <row r="6450" spans="31:31" ht="12.75" customHeight="1" x14ac:dyDescent="0.15">
      <c r="AE6450" s="13"/>
    </row>
    <row r="6451" spans="31:31" ht="12.75" customHeight="1" x14ac:dyDescent="0.15">
      <c r="AE6451" s="13"/>
    </row>
    <row r="6452" spans="31:31" ht="12.75" customHeight="1" x14ac:dyDescent="0.15">
      <c r="AE6452" s="13"/>
    </row>
    <row r="6453" spans="31:31" ht="12.75" customHeight="1" x14ac:dyDescent="0.15">
      <c r="AE6453" s="13"/>
    </row>
    <row r="6454" spans="31:31" ht="12.75" customHeight="1" x14ac:dyDescent="0.15">
      <c r="AE6454" s="13"/>
    </row>
    <row r="6455" spans="31:31" ht="12.75" customHeight="1" x14ac:dyDescent="0.15">
      <c r="AE6455" s="13"/>
    </row>
    <row r="6456" spans="31:31" ht="12.75" customHeight="1" x14ac:dyDescent="0.15">
      <c r="AE6456" s="13"/>
    </row>
    <row r="6457" spans="31:31" ht="12.75" customHeight="1" x14ac:dyDescent="0.15">
      <c r="AE6457" s="13"/>
    </row>
    <row r="6458" spans="31:31" ht="12.75" customHeight="1" x14ac:dyDescent="0.15">
      <c r="AE6458" s="13"/>
    </row>
    <row r="6459" spans="31:31" ht="12.75" customHeight="1" x14ac:dyDescent="0.15">
      <c r="AE6459" s="13"/>
    </row>
    <row r="6460" spans="31:31" ht="12.75" customHeight="1" x14ac:dyDescent="0.15">
      <c r="AE6460" s="13"/>
    </row>
    <row r="6461" spans="31:31" ht="12.75" customHeight="1" x14ac:dyDescent="0.15">
      <c r="AE6461" s="13"/>
    </row>
    <row r="6462" spans="31:31" ht="12.75" customHeight="1" x14ac:dyDescent="0.15">
      <c r="AE6462" s="13"/>
    </row>
    <row r="6463" spans="31:31" ht="12.75" customHeight="1" x14ac:dyDescent="0.15">
      <c r="AE6463" s="13"/>
    </row>
    <row r="6464" spans="31:31" ht="12.75" customHeight="1" x14ac:dyDescent="0.15">
      <c r="AE6464" s="13"/>
    </row>
    <row r="6465" spans="31:31" ht="12.75" customHeight="1" x14ac:dyDescent="0.15">
      <c r="AE6465" s="13"/>
    </row>
    <row r="6466" spans="31:31" ht="12.75" customHeight="1" x14ac:dyDescent="0.15">
      <c r="AE6466" s="13"/>
    </row>
    <row r="6467" spans="31:31" ht="12.75" customHeight="1" x14ac:dyDescent="0.15">
      <c r="AE6467" s="13"/>
    </row>
    <row r="6468" spans="31:31" ht="12.75" customHeight="1" x14ac:dyDescent="0.15">
      <c r="AE6468" s="13"/>
    </row>
    <row r="6469" spans="31:31" ht="12.75" customHeight="1" x14ac:dyDescent="0.15">
      <c r="AE6469" s="13"/>
    </row>
    <row r="6470" spans="31:31" ht="12.75" customHeight="1" x14ac:dyDescent="0.15">
      <c r="AE6470" s="13"/>
    </row>
    <row r="6471" spans="31:31" ht="12.75" customHeight="1" x14ac:dyDescent="0.15">
      <c r="AE6471" s="13"/>
    </row>
    <row r="6472" spans="31:31" ht="12.75" customHeight="1" x14ac:dyDescent="0.15">
      <c r="AE6472" s="13"/>
    </row>
    <row r="6473" spans="31:31" ht="12.75" customHeight="1" x14ac:dyDescent="0.15">
      <c r="AE6473" s="13"/>
    </row>
    <row r="6474" spans="31:31" ht="12.75" customHeight="1" x14ac:dyDescent="0.15">
      <c r="AE6474" s="13"/>
    </row>
    <row r="6475" spans="31:31" ht="12.75" customHeight="1" x14ac:dyDescent="0.15">
      <c r="AE6475" s="13"/>
    </row>
    <row r="6476" spans="31:31" ht="12.75" customHeight="1" x14ac:dyDescent="0.15">
      <c r="AE6476" s="13"/>
    </row>
    <row r="6477" spans="31:31" ht="12.75" customHeight="1" x14ac:dyDescent="0.15">
      <c r="AE6477" s="13"/>
    </row>
    <row r="6478" spans="31:31" ht="12.75" customHeight="1" x14ac:dyDescent="0.15">
      <c r="AE6478" s="13"/>
    </row>
    <row r="6479" spans="31:31" ht="12.75" customHeight="1" x14ac:dyDescent="0.15">
      <c r="AE6479" s="13"/>
    </row>
    <row r="6480" spans="31:31" ht="12.75" customHeight="1" x14ac:dyDescent="0.15">
      <c r="AE6480" s="13"/>
    </row>
    <row r="6481" spans="31:31" ht="12.75" customHeight="1" x14ac:dyDescent="0.15">
      <c r="AE6481" s="13"/>
    </row>
    <row r="6482" spans="31:31" ht="12.75" customHeight="1" x14ac:dyDescent="0.15">
      <c r="AE6482" s="13"/>
    </row>
    <row r="6483" spans="31:31" ht="12.75" customHeight="1" x14ac:dyDescent="0.15">
      <c r="AE6483" s="13"/>
    </row>
    <row r="6484" spans="31:31" ht="12.75" customHeight="1" x14ac:dyDescent="0.15">
      <c r="AE6484" s="13"/>
    </row>
    <row r="6485" spans="31:31" ht="12.75" customHeight="1" x14ac:dyDescent="0.15">
      <c r="AE6485" s="13"/>
    </row>
    <row r="6486" spans="31:31" ht="12.75" customHeight="1" x14ac:dyDescent="0.15">
      <c r="AE6486" s="13"/>
    </row>
    <row r="6487" spans="31:31" ht="12.75" customHeight="1" x14ac:dyDescent="0.15">
      <c r="AE6487" s="13"/>
    </row>
    <row r="6488" spans="31:31" ht="12.75" customHeight="1" x14ac:dyDescent="0.15">
      <c r="AE6488" s="13"/>
    </row>
    <row r="6489" spans="31:31" ht="12.75" customHeight="1" x14ac:dyDescent="0.15">
      <c r="AE6489" s="13"/>
    </row>
    <row r="6490" spans="31:31" ht="12.75" customHeight="1" x14ac:dyDescent="0.15">
      <c r="AE6490" s="13"/>
    </row>
    <row r="6491" spans="31:31" ht="12.75" customHeight="1" x14ac:dyDescent="0.15">
      <c r="AE6491" s="13"/>
    </row>
    <row r="6492" spans="31:31" ht="12.75" customHeight="1" x14ac:dyDescent="0.15">
      <c r="AE6492" s="13"/>
    </row>
    <row r="6493" spans="31:31" ht="12.75" customHeight="1" x14ac:dyDescent="0.15">
      <c r="AE6493" s="13"/>
    </row>
    <row r="6494" spans="31:31" ht="12.75" customHeight="1" x14ac:dyDescent="0.15">
      <c r="AE6494" s="13"/>
    </row>
    <row r="6495" spans="31:31" ht="12.75" customHeight="1" x14ac:dyDescent="0.15">
      <c r="AE6495" s="13"/>
    </row>
    <row r="6496" spans="31:31" ht="12.75" customHeight="1" x14ac:dyDescent="0.15">
      <c r="AE6496" s="13"/>
    </row>
    <row r="6497" spans="31:31" ht="12.75" customHeight="1" x14ac:dyDescent="0.15">
      <c r="AE6497" s="13"/>
    </row>
    <row r="6498" spans="31:31" ht="12.75" customHeight="1" x14ac:dyDescent="0.15">
      <c r="AE6498" s="13"/>
    </row>
    <row r="6499" spans="31:31" ht="12.75" customHeight="1" x14ac:dyDescent="0.15">
      <c r="AE6499" s="13"/>
    </row>
    <row r="6500" spans="31:31" ht="12.75" customHeight="1" x14ac:dyDescent="0.15">
      <c r="AE6500" s="13"/>
    </row>
    <row r="6501" spans="31:31" ht="12.75" customHeight="1" x14ac:dyDescent="0.15">
      <c r="AE6501" s="13"/>
    </row>
    <row r="6502" spans="31:31" ht="12.75" customHeight="1" x14ac:dyDescent="0.15">
      <c r="AE6502" s="13"/>
    </row>
    <row r="6503" spans="31:31" ht="12.75" customHeight="1" x14ac:dyDescent="0.15">
      <c r="AE6503" s="13"/>
    </row>
    <row r="6504" spans="31:31" ht="12.75" customHeight="1" x14ac:dyDescent="0.15">
      <c r="AE6504" s="13"/>
    </row>
    <row r="6505" spans="31:31" ht="12.75" customHeight="1" x14ac:dyDescent="0.15">
      <c r="AE6505" s="13"/>
    </row>
    <row r="6506" spans="31:31" ht="12.75" customHeight="1" x14ac:dyDescent="0.15">
      <c r="AE6506" s="13"/>
    </row>
    <row r="6507" spans="31:31" ht="12.75" customHeight="1" x14ac:dyDescent="0.15">
      <c r="AE6507" s="13"/>
    </row>
    <row r="6508" spans="31:31" ht="12.75" customHeight="1" x14ac:dyDescent="0.15">
      <c r="AE6508" s="13"/>
    </row>
    <row r="6509" spans="31:31" ht="12.75" customHeight="1" x14ac:dyDescent="0.15">
      <c r="AE6509" s="13"/>
    </row>
    <row r="6510" spans="31:31" ht="12.75" customHeight="1" x14ac:dyDescent="0.15">
      <c r="AE6510" s="13"/>
    </row>
    <row r="6511" spans="31:31" ht="12.75" customHeight="1" x14ac:dyDescent="0.15">
      <c r="AE6511" s="13"/>
    </row>
    <row r="6512" spans="31:31" ht="12.75" customHeight="1" x14ac:dyDescent="0.15">
      <c r="AE6512" s="13"/>
    </row>
    <row r="6513" spans="31:31" ht="12.75" customHeight="1" x14ac:dyDescent="0.15">
      <c r="AE6513" s="13"/>
    </row>
    <row r="6514" spans="31:31" ht="12.75" customHeight="1" x14ac:dyDescent="0.15">
      <c r="AE6514" s="13"/>
    </row>
    <row r="6515" spans="31:31" ht="12.75" customHeight="1" x14ac:dyDescent="0.15">
      <c r="AE6515" s="13"/>
    </row>
    <row r="6516" spans="31:31" ht="12.75" customHeight="1" x14ac:dyDescent="0.15">
      <c r="AE6516" s="13"/>
    </row>
    <row r="6517" spans="31:31" ht="12.75" customHeight="1" x14ac:dyDescent="0.15">
      <c r="AE6517" s="13"/>
    </row>
    <row r="6518" spans="31:31" ht="12.75" customHeight="1" x14ac:dyDescent="0.15">
      <c r="AE6518" s="13"/>
    </row>
    <row r="6519" spans="31:31" ht="12.75" customHeight="1" x14ac:dyDescent="0.15">
      <c r="AE6519" s="13"/>
    </row>
    <row r="6520" spans="31:31" ht="12.75" customHeight="1" x14ac:dyDescent="0.15">
      <c r="AE6520" s="13"/>
    </row>
    <row r="6521" spans="31:31" ht="12.75" customHeight="1" x14ac:dyDescent="0.15">
      <c r="AE6521" s="13"/>
    </row>
    <row r="6522" spans="31:31" ht="12.75" customHeight="1" x14ac:dyDescent="0.15">
      <c r="AE6522" s="13"/>
    </row>
    <row r="6523" spans="31:31" ht="12.75" customHeight="1" x14ac:dyDescent="0.15">
      <c r="AE6523" s="13"/>
    </row>
    <row r="6524" spans="31:31" ht="12.75" customHeight="1" x14ac:dyDescent="0.15">
      <c r="AE6524" s="13"/>
    </row>
    <row r="6525" spans="31:31" ht="12.75" customHeight="1" x14ac:dyDescent="0.15">
      <c r="AE6525" s="13"/>
    </row>
    <row r="6526" spans="31:31" ht="12.75" customHeight="1" x14ac:dyDescent="0.15">
      <c r="AE6526" s="13"/>
    </row>
    <row r="6527" spans="31:31" ht="12.75" customHeight="1" x14ac:dyDescent="0.15">
      <c r="AE6527" s="13"/>
    </row>
    <row r="6528" spans="31:31" ht="12.75" customHeight="1" x14ac:dyDescent="0.15">
      <c r="AE6528" s="13"/>
    </row>
    <row r="6529" spans="31:31" ht="12.75" customHeight="1" x14ac:dyDescent="0.15">
      <c r="AE6529" s="13"/>
    </row>
    <row r="6530" spans="31:31" ht="12.75" customHeight="1" x14ac:dyDescent="0.15">
      <c r="AE6530" s="13"/>
    </row>
    <row r="6531" spans="31:31" ht="12.75" customHeight="1" x14ac:dyDescent="0.15">
      <c r="AE6531" s="13"/>
    </row>
    <row r="6532" spans="31:31" ht="12.75" customHeight="1" x14ac:dyDescent="0.15">
      <c r="AE6532" s="13"/>
    </row>
    <row r="6533" spans="31:31" ht="12.75" customHeight="1" x14ac:dyDescent="0.15">
      <c r="AE6533" s="13"/>
    </row>
    <row r="6534" spans="31:31" ht="12.75" customHeight="1" x14ac:dyDescent="0.15">
      <c r="AE6534" s="13"/>
    </row>
    <row r="6535" spans="31:31" ht="12.75" customHeight="1" x14ac:dyDescent="0.15">
      <c r="AE6535" s="13"/>
    </row>
    <row r="6536" spans="31:31" ht="12.75" customHeight="1" x14ac:dyDescent="0.15">
      <c r="AE6536" s="13"/>
    </row>
    <row r="6537" spans="31:31" ht="12.75" customHeight="1" x14ac:dyDescent="0.15">
      <c r="AE6537" s="13"/>
    </row>
    <row r="6538" spans="31:31" ht="12.75" customHeight="1" x14ac:dyDescent="0.15">
      <c r="AE6538" s="13"/>
    </row>
    <row r="6539" spans="31:31" ht="12.75" customHeight="1" x14ac:dyDescent="0.15">
      <c r="AE6539" s="13"/>
    </row>
    <row r="6540" spans="31:31" ht="12.75" customHeight="1" x14ac:dyDescent="0.15">
      <c r="AE6540" s="13"/>
    </row>
    <row r="6541" spans="31:31" ht="12.75" customHeight="1" x14ac:dyDescent="0.15">
      <c r="AE6541" s="13"/>
    </row>
    <row r="6542" spans="31:31" ht="12.75" customHeight="1" x14ac:dyDescent="0.15">
      <c r="AE6542" s="13"/>
    </row>
    <row r="6543" spans="31:31" ht="12.75" customHeight="1" x14ac:dyDescent="0.15">
      <c r="AE6543" s="13"/>
    </row>
    <row r="6544" spans="31:31" ht="12.75" customHeight="1" x14ac:dyDescent="0.15">
      <c r="AE6544" s="13"/>
    </row>
    <row r="6545" spans="31:31" ht="12.75" customHeight="1" x14ac:dyDescent="0.15">
      <c r="AE6545" s="13"/>
    </row>
    <row r="6546" spans="31:31" ht="12.75" customHeight="1" x14ac:dyDescent="0.15">
      <c r="AE6546" s="13"/>
    </row>
    <row r="6547" spans="31:31" ht="12.75" customHeight="1" x14ac:dyDescent="0.15">
      <c r="AE6547" s="13"/>
    </row>
    <row r="6548" spans="31:31" ht="12.75" customHeight="1" x14ac:dyDescent="0.15">
      <c r="AE6548" s="13"/>
    </row>
    <row r="6549" spans="31:31" ht="12.75" customHeight="1" x14ac:dyDescent="0.15">
      <c r="AE6549" s="13"/>
    </row>
    <row r="6550" spans="31:31" ht="12.75" customHeight="1" x14ac:dyDescent="0.15">
      <c r="AE6550" s="13"/>
    </row>
    <row r="6551" spans="31:31" ht="12.75" customHeight="1" x14ac:dyDescent="0.15">
      <c r="AE6551" s="13"/>
    </row>
    <row r="6552" spans="31:31" ht="12.75" customHeight="1" x14ac:dyDescent="0.15">
      <c r="AE6552" s="13"/>
    </row>
    <row r="6553" spans="31:31" ht="12.75" customHeight="1" x14ac:dyDescent="0.15">
      <c r="AE6553" s="13"/>
    </row>
    <row r="6554" spans="31:31" ht="12.75" customHeight="1" x14ac:dyDescent="0.15">
      <c r="AE6554" s="13"/>
    </row>
    <row r="6555" spans="31:31" ht="12.75" customHeight="1" x14ac:dyDescent="0.15">
      <c r="AE6555" s="13"/>
    </row>
    <row r="6556" spans="31:31" ht="12.75" customHeight="1" x14ac:dyDescent="0.15">
      <c r="AE6556" s="13"/>
    </row>
    <row r="6557" spans="31:31" ht="12.75" customHeight="1" x14ac:dyDescent="0.15">
      <c r="AE6557" s="13"/>
    </row>
    <row r="6558" spans="31:31" ht="12.75" customHeight="1" x14ac:dyDescent="0.15">
      <c r="AE6558" s="13"/>
    </row>
    <row r="6559" spans="31:31" ht="12.75" customHeight="1" x14ac:dyDescent="0.15">
      <c r="AE6559" s="13"/>
    </row>
    <row r="6560" spans="31:31" ht="12.75" customHeight="1" x14ac:dyDescent="0.15">
      <c r="AE6560" s="13"/>
    </row>
    <row r="6561" spans="31:31" ht="12.75" customHeight="1" x14ac:dyDescent="0.15">
      <c r="AE6561" s="13"/>
    </row>
    <row r="6562" spans="31:31" ht="12.75" customHeight="1" x14ac:dyDescent="0.15">
      <c r="AE6562" s="13"/>
    </row>
    <row r="6563" spans="31:31" ht="12.75" customHeight="1" x14ac:dyDescent="0.15">
      <c r="AE6563" s="13"/>
    </row>
    <row r="6564" spans="31:31" ht="12.75" customHeight="1" x14ac:dyDescent="0.15">
      <c r="AE6564" s="13"/>
    </row>
    <row r="6565" spans="31:31" ht="12.75" customHeight="1" x14ac:dyDescent="0.15">
      <c r="AE6565" s="13"/>
    </row>
    <row r="6566" spans="31:31" ht="12.75" customHeight="1" x14ac:dyDescent="0.15">
      <c r="AE6566" s="13"/>
    </row>
    <row r="6567" spans="31:31" ht="12.75" customHeight="1" x14ac:dyDescent="0.15">
      <c r="AE6567" s="13"/>
    </row>
    <row r="6568" spans="31:31" ht="12.75" customHeight="1" x14ac:dyDescent="0.15">
      <c r="AE6568" s="13"/>
    </row>
    <row r="6569" spans="31:31" ht="12.75" customHeight="1" x14ac:dyDescent="0.15">
      <c r="AE6569" s="13"/>
    </row>
    <row r="6570" spans="31:31" ht="12.75" customHeight="1" x14ac:dyDescent="0.15">
      <c r="AE6570" s="13"/>
    </row>
    <row r="6571" spans="31:31" ht="12.75" customHeight="1" x14ac:dyDescent="0.15">
      <c r="AE6571" s="13"/>
    </row>
    <row r="6572" spans="31:31" ht="12.75" customHeight="1" x14ac:dyDescent="0.15">
      <c r="AE6572" s="13"/>
    </row>
    <row r="6573" spans="31:31" ht="12.75" customHeight="1" x14ac:dyDescent="0.15">
      <c r="AE6573" s="13"/>
    </row>
    <row r="6574" spans="31:31" ht="12.75" customHeight="1" x14ac:dyDescent="0.15">
      <c r="AE6574" s="13"/>
    </row>
    <row r="6575" spans="31:31" ht="12.75" customHeight="1" x14ac:dyDescent="0.15">
      <c r="AE6575" s="13"/>
    </row>
    <row r="6576" spans="31:31" ht="12.75" customHeight="1" x14ac:dyDescent="0.15">
      <c r="AE6576" s="13"/>
    </row>
    <row r="6577" spans="31:31" ht="12.75" customHeight="1" x14ac:dyDescent="0.15">
      <c r="AE6577" s="13"/>
    </row>
    <row r="6578" spans="31:31" ht="12.75" customHeight="1" x14ac:dyDescent="0.15">
      <c r="AE6578" s="13"/>
    </row>
    <row r="6579" spans="31:31" ht="12.75" customHeight="1" x14ac:dyDescent="0.15">
      <c r="AE6579" s="13"/>
    </row>
    <row r="6580" spans="31:31" ht="12.75" customHeight="1" x14ac:dyDescent="0.15">
      <c r="AE6580" s="13"/>
    </row>
    <row r="6581" spans="31:31" ht="12.75" customHeight="1" x14ac:dyDescent="0.15">
      <c r="AE6581" s="13"/>
    </row>
    <row r="6582" spans="31:31" ht="12.75" customHeight="1" x14ac:dyDescent="0.15">
      <c r="AE6582" s="13"/>
    </row>
    <row r="6583" spans="31:31" ht="12.75" customHeight="1" x14ac:dyDescent="0.15">
      <c r="AE6583" s="13"/>
    </row>
    <row r="6584" spans="31:31" ht="12.75" customHeight="1" x14ac:dyDescent="0.15">
      <c r="AE6584" s="13"/>
    </row>
    <row r="6585" spans="31:31" ht="12.75" customHeight="1" x14ac:dyDescent="0.15">
      <c r="AE6585" s="13"/>
    </row>
    <row r="6586" spans="31:31" ht="12.75" customHeight="1" x14ac:dyDescent="0.15">
      <c r="AE6586" s="13"/>
    </row>
    <row r="6587" spans="31:31" ht="12.75" customHeight="1" x14ac:dyDescent="0.15">
      <c r="AE6587" s="13"/>
    </row>
    <row r="6588" spans="31:31" ht="12.75" customHeight="1" x14ac:dyDescent="0.15">
      <c r="AE6588" s="13"/>
    </row>
    <row r="6589" spans="31:31" ht="12.75" customHeight="1" x14ac:dyDescent="0.15">
      <c r="AE6589" s="13"/>
    </row>
    <row r="6590" spans="31:31" ht="12.75" customHeight="1" x14ac:dyDescent="0.15">
      <c r="AE6590" s="13"/>
    </row>
    <row r="6591" spans="31:31" ht="12.75" customHeight="1" x14ac:dyDescent="0.15">
      <c r="AE6591" s="13"/>
    </row>
    <row r="6592" spans="31:31" ht="12.75" customHeight="1" x14ac:dyDescent="0.15">
      <c r="AE6592" s="13"/>
    </row>
    <row r="6593" spans="31:31" ht="12.75" customHeight="1" x14ac:dyDescent="0.15">
      <c r="AE6593" s="13"/>
    </row>
    <row r="6594" spans="31:31" ht="12.75" customHeight="1" x14ac:dyDescent="0.15">
      <c r="AE6594" s="13"/>
    </row>
    <row r="6595" spans="31:31" ht="12.75" customHeight="1" x14ac:dyDescent="0.15">
      <c r="AE6595" s="13"/>
    </row>
    <row r="6596" spans="31:31" ht="12.75" customHeight="1" x14ac:dyDescent="0.15">
      <c r="AE6596" s="13"/>
    </row>
    <row r="6597" spans="31:31" ht="12.75" customHeight="1" x14ac:dyDescent="0.15">
      <c r="AE6597" s="13"/>
    </row>
    <row r="6598" spans="31:31" ht="12.75" customHeight="1" x14ac:dyDescent="0.15">
      <c r="AE6598" s="13"/>
    </row>
    <row r="6599" spans="31:31" ht="12.75" customHeight="1" x14ac:dyDescent="0.15">
      <c r="AE6599" s="13"/>
    </row>
    <row r="6600" spans="31:31" ht="12.75" customHeight="1" x14ac:dyDescent="0.15">
      <c r="AE6600" s="13"/>
    </row>
    <row r="6601" spans="31:31" ht="12.75" customHeight="1" x14ac:dyDescent="0.15">
      <c r="AE6601" s="13"/>
    </row>
    <row r="6602" spans="31:31" ht="12.75" customHeight="1" x14ac:dyDescent="0.15">
      <c r="AE6602" s="13"/>
    </row>
    <row r="6603" spans="31:31" ht="12.75" customHeight="1" x14ac:dyDescent="0.15">
      <c r="AE6603" s="13"/>
    </row>
    <row r="6604" spans="31:31" ht="12.75" customHeight="1" x14ac:dyDescent="0.15">
      <c r="AE6604" s="13"/>
    </row>
    <row r="6605" spans="31:31" ht="12.75" customHeight="1" x14ac:dyDescent="0.15">
      <c r="AE6605" s="13"/>
    </row>
    <row r="6606" spans="31:31" ht="12.75" customHeight="1" x14ac:dyDescent="0.15">
      <c r="AE6606" s="13"/>
    </row>
    <row r="6607" spans="31:31" ht="12.75" customHeight="1" x14ac:dyDescent="0.15">
      <c r="AE6607" s="13"/>
    </row>
    <row r="6608" spans="31:31" ht="12.75" customHeight="1" x14ac:dyDescent="0.15">
      <c r="AE6608" s="13"/>
    </row>
    <row r="6609" spans="31:31" ht="12.75" customHeight="1" x14ac:dyDescent="0.15">
      <c r="AE6609" s="13"/>
    </row>
    <row r="6610" spans="31:31" ht="12.75" customHeight="1" x14ac:dyDescent="0.15">
      <c r="AE6610" s="13"/>
    </row>
    <row r="6611" spans="31:31" ht="12.75" customHeight="1" x14ac:dyDescent="0.15">
      <c r="AE6611" s="13"/>
    </row>
    <row r="6612" spans="31:31" ht="12.75" customHeight="1" x14ac:dyDescent="0.15">
      <c r="AE6612" s="13"/>
    </row>
    <row r="6613" spans="31:31" ht="12.75" customHeight="1" x14ac:dyDescent="0.15">
      <c r="AE6613" s="13"/>
    </row>
    <row r="6614" spans="31:31" ht="12.75" customHeight="1" x14ac:dyDescent="0.15">
      <c r="AE6614" s="13"/>
    </row>
    <row r="6615" spans="31:31" ht="12.75" customHeight="1" x14ac:dyDescent="0.15">
      <c r="AE6615" s="13"/>
    </row>
    <row r="6616" spans="31:31" ht="12.75" customHeight="1" x14ac:dyDescent="0.15">
      <c r="AE6616" s="13"/>
    </row>
    <row r="6617" spans="31:31" ht="12.75" customHeight="1" x14ac:dyDescent="0.15">
      <c r="AE6617" s="13"/>
    </row>
    <row r="6618" spans="31:31" ht="12.75" customHeight="1" x14ac:dyDescent="0.15">
      <c r="AE6618" s="13"/>
    </row>
    <row r="6619" spans="31:31" ht="12.75" customHeight="1" x14ac:dyDescent="0.15">
      <c r="AE6619" s="13"/>
    </row>
    <row r="6620" spans="31:31" ht="12.75" customHeight="1" x14ac:dyDescent="0.15">
      <c r="AE6620" s="13"/>
    </row>
    <row r="6621" spans="31:31" ht="12.75" customHeight="1" x14ac:dyDescent="0.15">
      <c r="AE6621" s="13"/>
    </row>
    <row r="6622" spans="31:31" ht="12.75" customHeight="1" x14ac:dyDescent="0.15">
      <c r="AE6622" s="13"/>
    </row>
    <row r="6623" spans="31:31" ht="12.75" customHeight="1" x14ac:dyDescent="0.15">
      <c r="AE6623" s="13"/>
    </row>
    <row r="6624" spans="31:31" ht="12.75" customHeight="1" x14ac:dyDescent="0.15">
      <c r="AE6624" s="13"/>
    </row>
    <row r="6625" spans="31:31" ht="12.75" customHeight="1" x14ac:dyDescent="0.15">
      <c r="AE6625" s="13"/>
    </row>
    <row r="6626" spans="31:31" ht="12.75" customHeight="1" x14ac:dyDescent="0.15">
      <c r="AE6626" s="13"/>
    </row>
    <row r="6627" spans="31:31" ht="12.75" customHeight="1" x14ac:dyDescent="0.15">
      <c r="AE6627" s="13"/>
    </row>
    <row r="6628" spans="31:31" ht="12.75" customHeight="1" x14ac:dyDescent="0.15">
      <c r="AE6628" s="13"/>
    </row>
    <row r="6629" spans="31:31" ht="12.75" customHeight="1" x14ac:dyDescent="0.15">
      <c r="AE6629" s="13"/>
    </row>
    <row r="6630" spans="31:31" ht="12.75" customHeight="1" x14ac:dyDescent="0.15">
      <c r="AE6630" s="13"/>
    </row>
    <row r="6631" spans="31:31" ht="12.75" customHeight="1" x14ac:dyDescent="0.15">
      <c r="AE6631" s="13"/>
    </row>
    <row r="6632" spans="31:31" ht="12.75" customHeight="1" x14ac:dyDescent="0.15">
      <c r="AE6632" s="13"/>
    </row>
    <row r="6633" spans="31:31" ht="12.75" customHeight="1" x14ac:dyDescent="0.15">
      <c r="AE6633" s="13"/>
    </row>
    <row r="6634" spans="31:31" ht="12.75" customHeight="1" x14ac:dyDescent="0.15">
      <c r="AE6634" s="13"/>
    </row>
    <row r="6635" spans="31:31" ht="12.75" customHeight="1" x14ac:dyDescent="0.15">
      <c r="AE6635" s="13"/>
    </row>
    <row r="6636" spans="31:31" ht="12.75" customHeight="1" x14ac:dyDescent="0.15">
      <c r="AE6636" s="13"/>
    </row>
    <row r="6637" spans="31:31" ht="12.75" customHeight="1" x14ac:dyDescent="0.15">
      <c r="AE6637" s="13"/>
    </row>
    <row r="6638" spans="31:31" ht="12.75" customHeight="1" x14ac:dyDescent="0.15">
      <c r="AE6638" s="13"/>
    </row>
    <row r="6639" spans="31:31" ht="12.75" customHeight="1" x14ac:dyDescent="0.15">
      <c r="AE6639" s="13"/>
    </row>
    <row r="6640" spans="31:31" ht="12.75" customHeight="1" x14ac:dyDescent="0.15">
      <c r="AE6640" s="13"/>
    </row>
    <row r="6641" spans="31:31" ht="12.75" customHeight="1" x14ac:dyDescent="0.15">
      <c r="AE6641" s="13"/>
    </row>
    <row r="6642" spans="31:31" ht="12.75" customHeight="1" x14ac:dyDescent="0.15">
      <c r="AE6642" s="13"/>
    </row>
    <row r="6643" spans="31:31" ht="12.75" customHeight="1" x14ac:dyDescent="0.15">
      <c r="AE6643" s="13"/>
    </row>
    <row r="6644" spans="31:31" ht="12.75" customHeight="1" x14ac:dyDescent="0.15">
      <c r="AE6644" s="13"/>
    </row>
    <row r="6645" spans="31:31" ht="12.75" customHeight="1" x14ac:dyDescent="0.15">
      <c r="AE6645" s="13"/>
    </row>
    <row r="6646" spans="31:31" ht="12.75" customHeight="1" x14ac:dyDescent="0.15">
      <c r="AE6646" s="13"/>
    </row>
    <row r="6647" spans="31:31" ht="12.75" customHeight="1" x14ac:dyDescent="0.15">
      <c r="AE6647" s="13"/>
    </row>
    <row r="6648" spans="31:31" ht="12.75" customHeight="1" x14ac:dyDescent="0.15">
      <c r="AE6648" s="13"/>
    </row>
    <row r="6649" spans="31:31" ht="12.75" customHeight="1" x14ac:dyDescent="0.15">
      <c r="AE6649" s="13"/>
    </row>
    <row r="6650" spans="31:31" ht="12.75" customHeight="1" x14ac:dyDescent="0.15">
      <c r="AE6650" s="13"/>
    </row>
    <row r="6651" spans="31:31" ht="12.75" customHeight="1" x14ac:dyDescent="0.15">
      <c r="AE6651" s="13"/>
    </row>
    <row r="6652" spans="31:31" ht="12.75" customHeight="1" x14ac:dyDescent="0.15">
      <c r="AE6652" s="13"/>
    </row>
    <row r="6653" spans="31:31" ht="12.75" customHeight="1" x14ac:dyDescent="0.15">
      <c r="AE6653" s="13"/>
    </row>
    <row r="6654" spans="31:31" ht="12.75" customHeight="1" x14ac:dyDescent="0.15">
      <c r="AE6654" s="13"/>
    </row>
    <row r="6655" spans="31:31" ht="12.75" customHeight="1" x14ac:dyDescent="0.15">
      <c r="AE6655" s="13"/>
    </row>
    <row r="6656" spans="31:31" ht="12.75" customHeight="1" x14ac:dyDescent="0.15">
      <c r="AE6656" s="13"/>
    </row>
    <row r="6657" spans="31:31" ht="12.75" customHeight="1" x14ac:dyDescent="0.15">
      <c r="AE6657" s="13"/>
    </row>
    <row r="6658" spans="31:31" ht="12.75" customHeight="1" x14ac:dyDescent="0.15">
      <c r="AE6658" s="13"/>
    </row>
    <row r="6659" spans="31:31" ht="12.75" customHeight="1" x14ac:dyDescent="0.15">
      <c r="AE6659" s="13"/>
    </row>
    <row r="6660" spans="31:31" ht="12.75" customHeight="1" x14ac:dyDescent="0.15">
      <c r="AE6660" s="13"/>
    </row>
    <row r="6661" spans="31:31" ht="12.75" customHeight="1" x14ac:dyDescent="0.15">
      <c r="AE6661" s="13"/>
    </row>
    <row r="6662" spans="31:31" ht="12.75" customHeight="1" x14ac:dyDescent="0.15">
      <c r="AE6662" s="13"/>
    </row>
    <row r="6663" spans="31:31" ht="12.75" customHeight="1" x14ac:dyDescent="0.15">
      <c r="AE6663" s="13"/>
    </row>
    <row r="6664" spans="31:31" ht="12.75" customHeight="1" x14ac:dyDescent="0.15">
      <c r="AE6664" s="13"/>
    </row>
    <row r="6665" spans="31:31" ht="12.75" customHeight="1" x14ac:dyDescent="0.15">
      <c r="AE6665" s="13"/>
    </row>
    <row r="6666" spans="31:31" ht="12.75" customHeight="1" x14ac:dyDescent="0.15">
      <c r="AE6666" s="13"/>
    </row>
    <row r="6667" spans="31:31" ht="12.75" customHeight="1" x14ac:dyDescent="0.15">
      <c r="AE6667" s="13"/>
    </row>
    <row r="6668" spans="31:31" ht="12.75" customHeight="1" x14ac:dyDescent="0.15">
      <c r="AE6668" s="13"/>
    </row>
    <row r="6669" spans="31:31" ht="12.75" customHeight="1" x14ac:dyDescent="0.15">
      <c r="AE6669" s="13"/>
    </row>
    <row r="6670" spans="31:31" ht="12.75" customHeight="1" x14ac:dyDescent="0.15">
      <c r="AE6670" s="13"/>
    </row>
    <row r="6671" spans="31:31" ht="12.75" customHeight="1" x14ac:dyDescent="0.15">
      <c r="AE6671" s="13"/>
    </row>
    <row r="6672" spans="31:31" ht="12.75" customHeight="1" x14ac:dyDescent="0.15">
      <c r="AE6672" s="13"/>
    </row>
    <row r="6673" spans="31:31" ht="12.75" customHeight="1" x14ac:dyDescent="0.15">
      <c r="AE6673" s="13"/>
    </row>
    <row r="6674" spans="31:31" ht="12.75" customHeight="1" x14ac:dyDescent="0.15">
      <c r="AE6674" s="13"/>
    </row>
    <row r="6675" spans="31:31" ht="12.75" customHeight="1" x14ac:dyDescent="0.15">
      <c r="AE6675" s="13"/>
    </row>
    <row r="6676" spans="31:31" ht="12.75" customHeight="1" x14ac:dyDescent="0.15">
      <c r="AE6676" s="13"/>
    </row>
    <row r="6677" spans="31:31" ht="12.75" customHeight="1" x14ac:dyDescent="0.15">
      <c r="AE6677" s="13"/>
    </row>
    <row r="6678" spans="31:31" ht="12.75" customHeight="1" x14ac:dyDescent="0.15">
      <c r="AE6678" s="13"/>
    </row>
    <row r="6679" spans="31:31" ht="12.75" customHeight="1" x14ac:dyDescent="0.15">
      <c r="AE6679" s="13"/>
    </row>
    <row r="6680" spans="31:31" ht="12.75" customHeight="1" x14ac:dyDescent="0.15">
      <c r="AE6680" s="13"/>
    </row>
    <row r="6681" spans="31:31" ht="12.75" customHeight="1" x14ac:dyDescent="0.15">
      <c r="AE6681" s="13"/>
    </row>
    <row r="6682" spans="31:31" ht="12.75" customHeight="1" x14ac:dyDescent="0.15">
      <c r="AE6682" s="13"/>
    </row>
    <row r="6683" spans="31:31" ht="12.75" customHeight="1" x14ac:dyDescent="0.15">
      <c r="AE6683" s="13"/>
    </row>
    <row r="6684" spans="31:31" ht="12.75" customHeight="1" x14ac:dyDescent="0.15">
      <c r="AE6684" s="13"/>
    </row>
    <row r="6685" spans="31:31" ht="12.75" customHeight="1" x14ac:dyDescent="0.15">
      <c r="AE6685" s="13"/>
    </row>
    <row r="6686" spans="31:31" ht="12.75" customHeight="1" x14ac:dyDescent="0.15">
      <c r="AE6686" s="13"/>
    </row>
    <row r="6687" spans="31:31" ht="12.75" customHeight="1" x14ac:dyDescent="0.15">
      <c r="AE6687" s="13"/>
    </row>
    <row r="6688" spans="31:31" ht="12.75" customHeight="1" x14ac:dyDescent="0.15">
      <c r="AE6688" s="13"/>
    </row>
    <row r="6689" spans="31:31" ht="12.75" customHeight="1" x14ac:dyDescent="0.15">
      <c r="AE6689" s="13"/>
    </row>
    <row r="6690" spans="31:31" ht="12.75" customHeight="1" x14ac:dyDescent="0.15">
      <c r="AE6690" s="13"/>
    </row>
    <row r="6691" spans="31:31" ht="12.75" customHeight="1" x14ac:dyDescent="0.15">
      <c r="AE6691" s="13"/>
    </row>
    <row r="6692" spans="31:31" ht="12.75" customHeight="1" x14ac:dyDescent="0.15">
      <c r="AE6692" s="13"/>
    </row>
    <row r="6693" spans="31:31" ht="12.75" customHeight="1" x14ac:dyDescent="0.15">
      <c r="AE6693" s="13"/>
    </row>
    <row r="6694" spans="31:31" ht="12.75" customHeight="1" x14ac:dyDescent="0.15">
      <c r="AE6694" s="13"/>
    </row>
    <row r="6695" spans="31:31" ht="12.75" customHeight="1" x14ac:dyDescent="0.15">
      <c r="AE6695" s="13"/>
    </row>
    <row r="6696" spans="31:31" ht="12.75" customHeight="1" x14ac:dyDescent="0.15">
      <c r="AE6696" s="13"/>
    </row>
    <row r="6697" spans="31:31" ht="12.75" customHeight="1" x14ac:dyDescent="0.15">
      <c r="AE6697" s="13"/>
    </row>
    <row r="6698" spans="31:31" ht="12.75" customHeight="1" x14ac:dyDescent="0.15">
      <c r="AE6698" s="13"/>
    </row>
    <row r="6699" spans="31:31" ht="12.75" customHeight="1" x14ac:dyDescent="0.15">
      <c r="AE6699" s="13"/>
    </row>
    <row r="6700" spans="31:31" ht="12.75" customHeight="1" x14ac:dyDescent="0.15">
      <c r="AE6700" s="13"/>
    </row>
    <row r="6701" spans="31:31" ht="12.75" customHeight="1" x14ac:dyDescent="0.15">
      <c r="AE6701" s="13"/>
    </row>
    <row r="6702" spans="31:31" ht="12.75" customHeight="1" x14ac:dyDescent="0.15">
      <c r="AE6702" s="13"/>
    </row>
    <row r="6703" spans="31:31" ht="12.75" customHeight="1" x14ac:dyDescent="0.15">
      <c r="AE6703" s="13"/>
    </row>
    <row r="6704" spans="31:31" ht="12.75" customHeight="1" x14ac:dyDescent="0.15">
      <c r="AE6704" s="13"/>
    </row>
    <row r="6705" spans="31:31" ht="12.75" customHeight="1" x14ac:dyDescent="0.15">
      <c r="AE6705" s="13"/>
    </row>
    <row r="6706" spans="31:31" ht="12.75" customHeight="1" x14ac:dyDescent="0.15">
      <c r="AE6706" s="13"/>
    </row>
    <row r="6707" spans="31:31" ht="12.75" customHeight="1" x14ac:dyDescent="0.15">
      <c r="AE6707" s="13"/>
    </row>
    <row r="6708" spans="31:31" ht="12.75" customHeight="1" x14ac:dyDescent="0.15">
      <c r="AE6708" s="13"/>
    </row>
    <row r="6709" spans="31:31" ht="12.75" customHeight="1" x14ac:dyDescent="0.15">
      <c r="AE6709" s="13"/>
    </row>
    <row r="6710" spans="31:31" ht="12.75" customHeight="1" x14ac:dyDescent="0.15">
      <c r="AE6710" s="13"/>
    </row>
    <row r="6711" spans="31:31" ht="12.75" customHeight="1" x14ac:dyDescent="0.15">
      <c r="AE6711" s="13"/>
    </row>
    <row r="6712" spans="31:31" ht="12.75" customHeight="1" x14ac:dyDescent="0.15">
      <c r="AE6712" s="13"/>
    </row>
    <row r="6713" spans="31:31" ht="12.75" customHeight="1" x14ac:dyDescent="0.15">
      <c r="AE6713" s="13"/>
    </row>
    <row r="6714" spans="31:31" ht="12.75" customHeight="1" x14ac:dyDescent="0.15">
      <c r="AE6714" s="13"/>
    </row>
    <row r="6715" spans="31:31" ht="12.75" customHeight="1" x14ac:dyDescent="0.15">
      <c r="AE6715" s="13"/>
    </row>
    <row r="6716" spans="31:31" ht="12.75" customHeight="1" x14ac:dyDescent="0.15">
      <c r="AE6716" s="13"/>
    </row>
    <row r="6717" spans="31:31" ht="12.75" customHeight="1" x14ac:dyDescent="0.15">
      <c r="AE6717" s="13"/>
    </row>
    <row r="6718" spans="31:31" ht="12.75" customHeight="1" x14ac:dyDescent="0.15">
      <c r="AE6718" s="13"/>
    </row>
    <row r="6719" spans="31:31" ht="12.75" customHeight="1" x14ac:dyDescent="0.15">
      <c r="AE6719" s="13"/>
    </row>
    <row r="6720" spans="31:31" ht="12.75" customHeight="1" x14ac:dyDescent="0.15">
      <c r="AE6720" s="13"/>
    </row>
    <row r="6721" spans="31:31" ht="12.75" customHeight="1" x14ac:dyDescent="0.15">
      <c r="AE6721" s="13"/>
    </row>
    <row r="6722" spans="31:31" ht="12.75" customHeight="1" x14ac:dyDescent="0.15">
      <c r="AE6722" s="13"/>
    </row>
    <row r="6723" spans="31:31" ht="12.75" customHeight="1" x14ac:dyDescent="0.15">
      <c r="AE6723" s="13"/>
    </row>
    <row r="6724" spans="31:31" ht="12.75" customHeight="1" x14ac:dyDescent="0.15">
      <c r="AE6724" s="13"/>
    </row>
    <row r="6725" spans="31:31" ht="12.75" customHeight="1" x14ac:dyDescent="0.15">
      <c r="AE6725" s="13"/>
    </row>
    <row r="6726" spans="31:31" ht="12.75" customHeight="1" x14ac:dyDescent="0.15">
      <c r="AE6726" s="13"/>
    </row>
    <row r="6727" spans="31:31" ht="12.75" customHeight="1" x14ac:dyDescent="0.15">
      <c r="AE6727" s="13"/>
    </row>
    <row r="6728" spans="31:31" ht="12.75" customHeight="1" x14ac:dyDescent="0.15">
      <c r="AE6728" s="13"/>
    </row>
    <row r="6729" spans="31:31" ht="12.75" customHeight="1" x14ac:dyDescent="0.15">
      <c r="AE6729" s="13"/>
    </row>
    <row r="6730" spans="31:31" ht="12.75" customHeight="1" x14ac:dyDescent="0.15">
      <c r="AE6730" s="13"/>
    </row>
    <row r="6731" spans="31:31" ht="12.75" customHeight="1" x14ac:dyDescent="0.15">
      <c r="AE6731" s="13"/>
    </row>
    <row r="6732" spans="31:31" ht="12.75" customHeight="1" x14ac:dyDescent="0.15">
      <c r="AE6732" s="13"/>
    </row>
    <row r="6733" spans="31:31" ht="12.75" customHeight="1" x14ac:dyDescent="0.15">
      <c r="AE6733" s="13"/>
    </row>
    <row r="6734" spans="31:31" ht="12.75" customHeight="1" x14ac:dyDescent="0.15">
      <c r="AE6734" s="13"/>
    </row>
    <row r="6735" spans="31:31" ht="12.75" customHeight="1" x14ac:dyDescent="0.15">
      <c r="AE6735" s="13"/>
    </row>
    <row r="6736" spans="31:31" ht="12.75" customHeight="1" x14ac:dyDescent="0.15">
      <c r="AE6736" s="13"/>
    </row>
    <row r="6737" spans="31:31" ht="12.75" customHeight="1" x14ac:dyDescent="0.15">
      <c r="AE6737" s="13"/>
    </row>
    <row r="6738" spans="31:31" ht="12.75" customHeight="1" x14ac:dyDescent="0.15">
      <c r="AE6738" s="13"/>
    </row>
    <row r="6739" spans="31:31" ht="12.75" customHeight="1" x14ac:dyDescent="0.15">
      <c r="AE6739" s="13"/>
    </row>
    <row r="6740" spans="31:31" ht="12.75" customHeight="1" x14ac:dyDescent="0.15">
      <c r="AE6740" s="13"/>
    </row>
    <row r="6741" spans="31:31" ht="12.75" customHeight="1" x14ac:dyDescent="0.15">
      <c r="AE6741" s="13"/>
    </row>
    <row r="6742" spans="31:31" ht="12.75" customHeight="1" x14ac:dyDescent="0.15">
      <c r="AE6742" s="13"/>
    </row>
    <row r="6743" spans="31:31" ht="12.75" customHeight="1" x14ac:dyDescent="0.15">
      <c r="AE6743" s="13"/>
    </row>
    <row r="6744" spans="31:31" ht="12.75" customHeight="1" x14ac:dyDescent="0.15">
      <c r="AE6744" s="13"/>
    </row>
    <row r="6745" spans="31:31" ht="12.75" customHeight="1" x14ac:dyDescent="0.15">
      <c r="AE6745" s="13"/>
    </row>
    <row r="6746" spans="31:31" ht="12.75" customHeight="1" x14ac:dyDescent="0.15">
      <c r="AE6746" s="13"/>
    </row>
    <row r="6747" spans="31:31" ht="12.75" customHeight="1" x14ac:dyDescent="0.15">
      <c r="AE6747" s="13"/>
    </row>
    <row r="6748" spans="31:31" ht="12.75" customHeight="1" x14ac:dyDescent="0.15">
      <c r="AE6748" s="13"/>
    </row>
    <row r="6749" spans="31:31" ht="12.75" customHeight="1" x14ac:dyDescent="0.15">
      <c r="AE6749" s="13"/>
    </row>
    <row r="6750" spans="31:31" ht="12.75" customHeight="1" x14ac:dyDescent="0.15">
      <c r="AE6750" s="13"/>
    </row>
    <row r="6751" spans="31:31" ht="12.75" customHeight="1" x14ac:dyDescent="0.15">
      <c r="AE6751" s="13"/>
    </row>
    <row r="6752" spans="31:31" ht="12.75" customHeight="1" x14ac:dyDescent="0.15">
      <c r="AE6752" s="13"/>
    </row>
    <row r="6753" spans="31:31" ht="12.75" customHeight="1" x14ac:dyDescent="0.15">
      <c r="AE6753" s="13"/>
    </row>
    <row r="6754" spans="31:31" ht="12.75" customHeight="1" x14ac:dyDescent="0.15">
      <c r="AE6754" s="13"/>
    </row>
    <row r="6755" spans="31:31" ht="12.75" customHeight="1" x14ac:dyDescent="0.15">
      <c r="AE6755" s="13"/>
    </row>
    <row r="6756" spans="31:31" ht="12.75" customHeight="1" x14ac:dyDescent="0.15">
      <c r="AE6756" s="13"/>
    </row>
    <row r="6757" spans="31:31" ht="12.75" customHeight="1" x14ac:dyDescent="0.15">
      <c r="AE6757" s="13"/>
    </row>
    <row r="6758" spans="31:31" ht="12.75" customHeight="1" x14ac:dyDescent="0.15">
      <c r="AE6758" s="13"/>
    </row>
    <row r="6759" spans="31:31" ht="12.75" customHeight="1" x14ac:dyDescent="0.15">
      <c r="AE6759" s="13"/>
    </row>
    <row r="6760" spans="31:31" ht="12.75" customHeight="1" x14ac:dyDescent="0.15">
      <c r="AE6760" s="13"/>
    </row>
    <row r="6761" spans="31:31" ht="12.75" customHeight="1" x14ac:dyDescent="0.15">
      <c r="AE6761" s="13"/>
    </row>
    <row r="6762" spans="31:31" ht="12.75" customHeight="1" x14ac:dyDescent="0.15">
      <c r="AE6762" s="13"/>
    </row>
    <row r="6763" spans="31:31" ht="12.75" customHeight="1" x14ac:dyDescent="0.15">
      <c r="AE6763" s="13"/>
    </row>
    <row r="6764" spans="31:31" ht="12.75" customHeight="1" x14ac:dyDescent="0.15">
      <c r="AE6764" s="13"/>
    </row>
    <row r="6765" spans="31:31" ht="12.75" customHeight="1" x14ac:dyDescent="0.15">
      <c r="AE6765" s="13"/>
    </row>
    <row r="6766" spans="31:31" ht="12.75" customHeight="1" x14ac:dyDescent="0.15">
      <c r="AE6766" s="13"/>
    </row>
    <row r="6767" spans="31:31" ht="12.75" customHeight="1" x14ac:dyDescent="0.15">
      <c r="AE6767" s="13"/>
    </row>
    <row r="6768" spans="31:31" ht="12.75" customHeight="1" x14ac:dyDescent="0.15">
      <c r="AE6768" s="13"/>
    </row>
    <row r="6769" spans="31:31" ht="12.75" customHeight="1" x14ac:dyDescent="0.15">
      <c r="AE6769" s="13"/>
    </row>
    <row r="6770" spans="31:31" ht="12.75" customHeight="1" x14ac:dyDescent="0.15">
      <c r="AE6770" s="13"/>
    </row>
    <row r="6771" spans="31:31" ht="12.75" customHeight="1" x14ac:dyDescent="0.15">
      <c r="AE6771" s="13"/>
    </row>
    <row r="6772" spans="31:31" ht="12.75" customHeight="1" x14ac:dyDescent="0.15">
      <c r="AE6772" s="13"/>
    </row>
    <row r="6773" spans="31:31" ht="12.75" customHeight="1" x14ac:dyDescent="0.15">
      <c r="AE6773" s="13"/>
    </row>
    <row r="6774" spans="31:31" ht="12.75" customHeight="1" x14ac:dyDescent="0.15">
      <c r="AE6774" s="13"/>
    </row>
    <row r="6775" spans="31:31" ht="12.75" customHeight="1" x14ac:dyDescent="0.15">
      <c r="AE6775" s="13"/>
    </row>
    <row r="6776" spans="31:31" ht="12.75" customHeight="1" x14ac:dyDescent="0.15">
      <c r="AE6776" s="13"/>
    </row>
    <row r="6777" spans="31:31" ht="12.75" customHeight="1" x14ac:dyDescent="0.15">
      <c r="AE6777" s="13"/>
    </row>
    <row r="6778" spans="31:31" ht="12.75" customHeight="1" x14ac:dyDescent="0.15">
      <c r="AE6778" s="13"/>
    </row>
    <row r="6779" spans="31:31" ht="12.75" customHeight="1" x14ac:dyDescent="0.15">
      <c r="AE6779" s="13"/>
    </row>
    <row r="6780" spans="31:31" ht="12.75" customHeight="1" x14ac:dyDescent="0.15">
      <c r="AE6780" s="13"/>
    </row>
    <row r="6781" spans="31:31" ht="12.75" customHeight="1" x14ac:dyDescent="0.15">
      <c r="AE6781" s="13"/>
    </row>
    <row r="6782" spans="31:31" ht="12.75" customHeight="1" x14ac:dyDescent="0.15">
      <c r="AE6782" s="13"/>
    </row>
    <row r="6783" spans="31:31" ht="12.75" customHeight="1" x14ac:dyDescent="0.15">
      <c r="AE6783" s="13"/>
    </row>
    <row r="6784" spans="31:31" ht="12.75" customHeight="1" x14ac:dyDescent="0.15">
      <c r="AE6784" s="13"/>
    </row>
    <row r="6785" spans="31:31" ht="12.75" customHeight="1" x14ac:dyDescent="0.15">
      <c r="AE6785" s="13"/>
    </row>
    <row r="6786" spans="31:31" ht="12.75" customHeight="1" x14ac:dyDescent="0.15">
      <c r="AE6786" s="13"/>
    </row>
    <row r="6787" spans="31:31" ht="12.75" customHeight="1" x14ac:dyDescent="0.15">
      <c r="AE6787" s="13"/>
    </row>
    <row r="6788" spans="31:31" ht="12.75" customHeight="1" x14ac:dyDescent="0.15">
      <c r="AE6788" s="13"/>
    </row>
    <row r="6789" spans="31:31" ht="12.75" customHeight="1" x14ac:dyDescent="0.15">
      <c r="AE6789" s="13"/>
    </row>
    <row r="6790" spans="31:31" ht="12.75" customHeight="1" x14ac:dyDescent="0.15">
      <c r="AE6790" s="13"/>
    </row>
    <row r="6791" spans="31:31" ht="12.75" customHeight="1" x14ac:dyDescent="0.15">
      <c r="AE6791" s="13"/>
    </row>
    <row r="6792" spans="31:31" ht="12.75" customHeight="1" x14ac:dyDescent="0.15">
      <c r="AE6792" s="13"/>
    </row>
    <row r="6793" spans="31:31" ht="12.75" customHeight="1" x14ac:dyDescent="0.15">
      <c r="AE6793" s="13"/>
    </row>
    <row r="6794" spans="31:31" ht="12.75" customHeight="1" x14ac:dyDescent="0.15">
      <c r="AE6794" s="13"/>
    </row>
    <row r="6795" spans="31:31" ht="12.75" customHeight="1" x14ac:dyDescent="0.15">
      <c r="AE6795" s="13"/>
    </row>
    <row r="6796" spans="31:31" ht="12.75" customHeight="1" x14ac:dyDescent="0.15">
      <c r="AE6796" s="13"/>
    </row>
    <row r="6797" spans="31:31" ht="12.75" customHeight="1" x14ac:dyDescent="0.15">
      <c r="AE6797" s="13"/>
    </row>
    <row r="6798" spans="31:31" ht="12.75" customHeight="1" x14ac:dyDescent="0.15">
      <c r="AE6798" s="13"/>
    </row>
    <row r="6799" spans="31:31" ht="12.75" customHeight="1" x14ac:dyDescent="0.15">
      <c r="AE6799" s="13"/>
    </row>
    <row r="6800" spans="31:31" ht="12.75" customHeight="1" x14ac:dyDescent="0.15">
      <c r="AE6800" s="13"/>
    </row>
    <row r="6801" spans="31:31" ht="12.75" customHeight="1" x14ac:dyDescent="0.15">
      <c r="AE6801" s="13"/>
    </row>
    <row r="6802" spans="31:31" ht="12.75" customHeight="1" x14ac:dyDescent="0.15">
      <c r="AE6802" s="13"/>
    </row>
    <row r="6803" spans="31:31" ht="12.75" customHeight="1" x14ac:dyDescent="0.15">
      <c r="AE6803" s="13"/>
    </row>
    <row r="6804" spans="31:31" ht="12.75" customHeight="1" x14ac:dyDescent="0.15">
      <c r="AE6804" s="13"/>
    </row>
    <row r="6805" spans="31:31" ht="12.75" customHeight="1" x14ac:dyDescent="0.15">
      <c r="AE6805" s="13"/>
    </row>
    <row r="6806" spans="31:31" ht="12.75" customHeight="1" x14ac:dyDescent="0.15">
      <c r="AE6806" s="13"/>
    </row>
    <row r="6807" spans="31:31" ht="12.75" customHeight="1" x14ac:dyDescent="0.15">
      <c r="AE6807" s="13"/>
    </row>
    <row r="6808" spans="31:31" ht="12.75" customHeight="1" x14ac:dyDescent="0.15">
      <c r="AE6808" s="13"/>
    </row>
    <row r="6809" spans="31:31" ht="12.75" customHeight="1" x14ac:dyDescent="0.15">
      <c r="AE6809" s="13"/>
    </row>
    <row r="6810" spans="31:31" ht="12.75" customHeight="1" x14ac:dyDescent="0.15">
      <c r="AE6810" s="13"/>
    </row>
    <row r="6811" spans="31:31" ht="12.75" customHeight="1" x14ac:dyDescent="0.15">
      <c r="AE6811" s="13"/>
    </row>
    <row r="6812" spans="31:31" ht="12.75" customHeight="1" x14ac:dyDescent="0.15">
      <c r="AE6812" s="13"/>
    </row>
    <row r="6813" spans="31:31" ht="12.75" customHeight="1" x14ac:dyDescent="0.15">
      <c r="AE6813" s="13"/>
    </row>
    <row r="6814" spans="31:31" ht="12.75" customHeight="1" x14ac:dyDescent="0.15">
      <c r="AE6814" s="13"/>
    </row>
    <row r="6815" spans="31:31" ht="12.75" customHeight="1" x14ac:dyDescent="0.15">
      <c r="AE6815" s="13"/>
    </row>
    <row r="6816" spans="31:31" ht="12.75" customHeight="1" x14ac:dyDescent="0.15">
      <c r="AE6816" s="13"/>
    </row>
    <row r="6817" spans="31:31" ht="12.75" customHeight="1" x14ac:dyDescent="0.15">
      <c r="AE6817" s="13"/>
    </row>
    <row r="6818" spans="31:31" ht="12.75" customHeight="1" x14ac:dyDescent="0.15">
      <c r="AE6818" s="13"/>
    </row>
    <row r="6819" spans="31:31" ht="12.75" customHeight="1" x14ac:dyDescent="0.15">
      <c r="AE6819" s="13"/>
    </row>
    <row r="6820" spans="31:31" ht="12.75" customHeight="1" x14ac:dyDescent="0.15">
      <c r="AE6820" s="13"/>
    </row>
    <row r="6821" spans="31:31" ht="12.75" customHeight="1" x14ac:dyDescent="0.15">
      <c r="AE6821" s="13"/>
    </row>
    <row r="6822" spans="31:31" ht="12.75" customHeight="1" x14ac:dyDescent="0.15">
      <c r="AE6822" s="13"/>
    </row>
    <row r="6823" spans="31:31" ht="12.75" customHeight="1" x14ac:dyDescent="0.15">
      <c r="AE6823" s="13"/>
    </row>
    <row r="6824" spans="31:31" ht="12.75" customHeight="1" x14ac:dyDescent="0.15">
      <c r="AE6824" s="13"/>
    </row>
    <row r="6825" spans="31:31" ht="12.75" customHeight="1" x14ac:dyDescent="0.15">
      <c r="AE6825" s="13"/>
    </row>
    <row r="6826" spans="31:31" ht="12.75" customHeight="1" x14ac:dyDescent="0.15">
      <c r="AE6826" s="13"/>
    </row>
    <row r="6827" spans="31:31" ht="12.75" customHeight="1" x14ac:dyDescent="0.15">
      <c r="AE6827" s="13"/>
    </row>
    <row r="6828" spans="31:31" ht="12.75" customHeight="1" x14ac:dyDescent="0.15">
      <c r="AE6828" s="13"/>
    </row>
    <row r="6829" spans="31:31" ht="12.75" customHeight="1" x14ac:dyDescent="0.15">
      <c r="AE6829" s="13"/>
    </row>
    <row r="6830" spans="31:31" ht="12.75" customHeight="1" x14ac:dyDescent="0.15">
      <c r="AE6830" s="13"/>
    </row>
    <row r="6831" spans="31:31" ht="12.75" customHeight="1" x14ac:dyDescent="0.15">
      <c r="AE6831" s="13"/>
    </row>
    <row r="6832" spans="31:31" ht="12.75" customHeight="1" x14ac:dyDescent="0.15">
      <c r="AE6832" s="13"/>
    </row>
    <row r="6833" spans="31:31" ht="12.75" customHeight="1" x14ac:dyDescent="0.15">
      <c r="AE6833" s="13"/>
    </row>
    <row r="6834" spans="31:31" ht="12.75" customHeight="1" x14ac:dyDescent="0.15">
      <c r="AE6834" s="13"/>
    </row>
    <row r="6835" spans="31:31" ht="12.75" customHeight="1" x14ac:dyDescent="0.15">
      <c r="AE6835" s="13"/>
    </row>
    <row r="6836" spans="31:31" ht="12.75" customHeight="1" x14ac:dyDescent="0.15">
      <c r="AE6836" s="13"/>
    </row>
    <row r="6837" spans="31:31" ht="12.75" customHeight="1" x14ac:dyDescent="0.15">
      <c r="AE6837" s="13"/>
    </row>
    <row r="6838" spans="31:31" ht="12.75" customHeight="1" x14ac:dyDescent="0.15">
      <c r="AE6838" s="13"/>
    </row>
    <row r="6839" spans="31:31" ht="12.75" customHeight="1" x14ac:dyDescent="0.15">
      <c r="AE6839" s="13"/>
    </row>
    <row r="6840" spans="31:31" ht="12.75" customHeight="1" x14ac:dyDescent="0.15">
      <c r="AE6840" s="13"/>
    </row>
    <row r="6841" spans="31:31" ht="12.75" customHeight="1" x14ac:dyDescent="0.15">
      <c r="AE6841" s="13"/>
    </row>
    <row r="6842" spans="31:31" ht="12.75" customHeight="1" x14ac:dyDescent="0.15">
      <c r="AE6842" s="13"/>
    </row>
    <row r="6843" spans="31:31" ht="12.75" customHeight="1" x14ac:dyDescent="0.15">
      <c r="AE6843" s="13"/>
    </row>
    <row r="6844" spans="31:31" ht="12.75" customHeight="1" x14ac:dyDescent="0.15">
      <c r="AE6844" s="13"/>
    </row>
    <row r="6845" spans="31:31" ht="12.75" customHeight="1" x14ac:dyDescent="0.15">
      <c r="AE6845" s="13"/>
    </row>
    <row r="6846" spans="31:31" ht="12.75" customHeight="1" x14ac:dyDescent="0.15">
      <c r="AE6846" s="13"/>
    </row>
    <row r="6847" spans="31:31" ht="12.75" customHeight="1" x14ac:dyDescent="0.15">
      <c r="AE6847" s="13"/>
    </row>
    <row r="6848" spans="31:31" ht="12.75" customHeight="1" x14ac:dyDescent="0.15">
      <c r="AE6848" s="13"/>
    </row>
    <row r="6849" spans="31:31" ht="12.75" customHeight="1" x14ac:dyDescent="0.15">
      <c r="AE6849" s="13"/>
    </row>
    <row r="6850" spans="31:31" ht="12.75" customHeight="1" x14ac:dyDescent="0.15">
      <c r="AE6850" s="13"/>
    </row>
    <row r="6851" spans="31:31" ht="12.75" customHeight="1" x14ac:dyDescent="0.15">
      <c r="AE6851" s="13"/>
    </row>
    <row r="6852" spans="31:31" ht="12.75" customHeight="1" x14ac:dyDescent="0.15">
      <c r="AE6852" s="13"/>
    </row>
    <row r="6853" spans="31:31" ht="12.75" customHeight="1" x14ac:dyDescent="0.15">
      <c r="AE6853" s="13"/>
    </row>
    <row r="6854" spans="31:31" ht="12.75" customHeight="1" x14ac:dyDescent="0.15">
      <c r="AE6854" s="13"/>
    </row>
    <row r="6855" spans="31:31" ht="12.75" customHeight="1" x14ac:dyDescent="0.15">
      <c r="AE6855" s="13"/>
    </row>
    <row r="6856" spans="31:31" ht="12.75" customHeight="1" x14ac:dyDescent="0.15">
      <c r="AE6856" s="13"/>
    </row>
    <row r="6857" spans="31:31" ht="12.75" customHeight="1" x14ac:dyDescent="0.15">
      <c r="AE6857" s="13"/>
    </row>
    <row r="6858" spans="31:31" ht="12.75" customHeight="1" x14ac:dyDescent="0.15">
      <c r="AE6858" s="13"/>
    </row>
    <row r="6859" spans="31:31" ht="12.75" customHeight="1" x14ac:dyDescent="0.15">
      <c r="AE6859" s="13"/>
    </row>
    <row r="6860" spans="31:31" ht="12.75" customHeight="1" x14ac:dyDescent="0.15">
      <c r="AE6860" s="13"/>
    </row>
    <row r="6861" spans="31:31" ht="12.75" customHeight="1" x14ac:dyDescent="0.15">
      <c r="AE6861" s="13"/>
    </row>
    <row r="6862" spans="31:31" ht="12.75" customHeight="1" x14ac:dyDescent="0.15">
      <c r="AE6862" s="13"/>
    </row>
    <row r="6863" spans="31:31" ht="12.75" customHeight="1" x14ac:dyDescent="0.15">
      <c r="AE6863" s="13"/>
    </row>
    <row r="6864" spans="31:31" ht="12.75" customHeight="1" x14ac:dyDescent="0.15">
      <c r="AE6864" s="13"/>
    </row>
    <row r="6865" spans="31:31" ht="12.75" customHeight="1" x14ac:dyDescent="0.15">
      <c r="AE6865" s="13"/>
    </row>
    <row r="6866" spans="31:31" ht="12.75" customHeight="1" x14ac:dyDescent="0.15">
      <c r="AE6866" s="13"/>
    </row>
    <row r="6867" spans="31:31" ht="12.75" customHeight="1" x14ac:dyDescent="0.15">
      <c r="AE6867" s="13"/>
    </row>
    <row r="6868" spans="31:31" ht="12.75" customHeight="1" x14ac:dyDescent="0.15">
      <c r="AE6868" s="13"/>
    </row>
    <row r="6869" spans="31:31" ht="12.75" customHeight="1" x14ac:dyDescent="0.15">
      <c r="AE6869" s="13"/>
    </row>
    <row r="6870" spans="31:31" ht="12.75" customHeight="1" x14ac:dyDescent="0.15">
      <c r="AE6870" s="13"/>
    </row>
    <row r="6871" spans="31:31" ht="12.75" customHeight="1" x14ac:dyDescent="0.15">
      <c r="AE6871" s="13"/>
    </row>
    <row r="6872" spans="31:31" ht="12.75" customHeight="1" x14ac:dyDescent="0.15">
      <c r="AE6872" s="13"/>
    </row>
    <row r="6873" spans="31:31" ht="12.75" customHeight="1" x14ac:dyDescent="0.15">
      <c r="AE6873" s="13"/>
    </row>
    <row r="6874" spans="31:31" ht="12.75" customHeight="1" x14ac:dyDescent="0.15">
      <c r="AE6874" s="13"/>
    </row>
    <row r="6875" spans="31:31" ht="12.75" customHeight="1" x14ac:dyDescent="0.15">
      <c r="AE6875" s="13"/>
    </row>
    <row r="6876" spans="31:31" ht="12.75" customHeight="1" x14ac:dyDescent="0.15">
      <c r="AE6876" s="13"/>
    </row>
    <row r="6877" spans="31:31" ht="12.75" customHeight="1" x14ac:dyDescent="0.15">
      <c r="AE6877" s="13"/>
    </row>
    <row r="6878" spans="31:31" ht="12.75" customHeight="1" x14ac:dyDescent="0.15">
      <c r="AE6878" s="13"/>
    </row>
    <row r="6879" spans="31:31" ht="12.75" customHeight="1" x14ac:dyDescent="0.15">
      <c r="AE6879" s="13"/>
    </row>
    <row r="6880" spans="31:31" ht="12.75" customHeight="1" x14ac:dyDescent="0.15">
      <c r="AE6880" s="13"/>
    </row>
    <row r="6881" spans="31:31" ht="12.75" customHeight="1" x14ac:dyDescent="0.15">
      <c r="AE6881" s="13"/>
    </row>
    <row r="6882" spans="31:31" ht="12.75" customHeight="1" x14ac:dyDescent="0.15">
      <c r="AE6882" s="13"/>
    </row>
    <row r="6883" spans="31:31" ht="12.75" customHeight="1" x14ac:dyDescent="0.15">
      <c r="AE6883" s="13"/>
    </row>
    <row r="6884" spans="31:31" ht="12.75" customHeight="1" x14ac:dyDescent="0.15">
      <c r="AE6884" s="13"/>
    </row>
    <row r="6885" spans="31:31" ht="12.75" customHeight="1" x14ac:dyDescent="0.15">
      <c r="AE6885" s="13"/>
    </row>
    <row r="6886" spans="31:31" ht="12.75" customHeight="1" x14ac:dyDescent="0.15">
      <c r="AE6886" s="13"/>
    </row>
    <row r="6887" spans="31:31" ht="12.75" customHeight="1" x14ac:dyDescent="0.15">
      <c r="AE6887" s="13"/>
    </row>
    <row r="6888" spans="31:31" ht="12.75" customHeight="1" x14ac:dyDescent="0.15">
      <c r="AE6888" s="13"/>
    </row>
    <row r="6889" spans="31:31" ht="12.75" customHeight="1" x14ac:dyDescent="0.15">
      <c r="AE6889" s="13"/>
    </row>
    <row r="6890" spans="31:31" ht="12.75" customHeight="1" x14ac:dyDescent="0.15">
      <c r="AE6890" s="13"/>
    </row>
    <row r="6891" spans="31:31" ht="12.75" customHeight="1" x14ac:dyDescent="0.15">
      <c r="AE6891" s="13"/>
    </row>
    <row r="6892" spans="31:31" ht="12.75" customHeight="1" x14ac:dyDescent="0.15">
      <c r="AE6892" s="13"/>
    </row>
    <row r="6893" spans="31:31" ht="12.75" customHeight="1" x14ac:dyDescent="0.15">
      <c r="AE6893" s="13"/>
    </row>
    <row r="6894" spans="31:31" ht="12.75" customHeight="1" x14ac:dyDescent="0.15">
      <c r="AE6894" s="13"/>
    </row>
    <row r="6895" spans="31:31" ht="12.75" customHeight="1" x14ac:dyDescent="0.15">
      <c r="AE6895" s="13"/>
    </row>
    <row r="6896" spans="31:31" ht="12.75" customHeight="1" x14ac:dyDescent="0.15">
      <c r="AE6896" s="13"/>
    </row>
    <row r="6897" spans="31:31" ht="12.75" customHeight="1" x14ac:dyDescent="0.15">
      <c r="AE6897" s="13"/>
    </row>
    <row r="6898" spans="31:31" ht="12.75" customHeight="1" x14ac:dyDescent="0.15">
      <c r="AE6898" s="13"/>
    </row>
    <row r="6899" spans="31:31" ht="12.75" customHeight="1" x14ac:dyDescent="0.15">
      <c r="AE6899" s="13"/>
    </row>
    <row r="6900" spans="31:31" ht="12.75" customHeight="1" x14ac:dyDescent="0.15">
      <c r="AE6900" s="13"/>
    </row>
    <row r="6901" spans="31:31" ht="12.75" customHeight="1" x14ac:dyDescent="0.15">
      <c r="AE6901" s="13"/>
    </row>
    <row r="6902" spans="31:31" ht="12.75" customHeight="1" x14ac:dyDescent="0.15">
      <c r="AE6902" s="13"/>
    </row>
    <row r="6903" spans="31:31" ht="12.75" customHeight="1" x14ac:dyDescent="0.15">
      <c r="AE6903" s="13"/>
    </row>
    <row r="6904" spans="31:31" ht="12.75" customHeight="1" x14ac:dyDescent="0.15">
      <c r="AE6904" s="13"/>
    </row>
    <row r="6905" spans="31:31" ht="12.75" customHeight="1" x14ac:dyDescent="0.15">
      <c r="AE6905" s="13"/>
    </row>
    <row r="6906" spans="31:31" ht="12.75" customHeight="1" x14ac:dyDescent="0.15">
      <c r="AE6906" s="13"/>
    </row>
    <row r="6907" spans="31:31" ht="12.75" customHeight="1" x14ac:dyDescent="0.15">
      <c r="AE6907" s="13"/>
    </row>
    <row r="6908" spans="31:31" ht="12.75" customHeight="1" x14ac:dyDescent="0.15">
      <c r="AE6908" s="13"/>
    </row>
    <row r="6909" spans="31:31" ht="12.75" customHeight="1" x14ac:dyDescent="0.15">
      <c r="AE6909" s="13"/>
    </row>
    <row r="6910" spans="31:31" ht="12.75" customHeight="1" x14ac:dyDescent="0.15">
      <c r="AE6910" s="13"/>
    </row>
    <row r="6911" spans="31:31" ht="12.75" customHeight="1" x14ac:dyDescent="0.15">
      <c r="AE6911" s="13"/>
    </row>
    <row r="6912" spans="31:31" ht="12.75" customHeight="1" x14ac:dyDescent="0.15">
      <c r="AE6912" s="13"/>
    </row>
    <row r="6913" spans="31:31" ht="12.75" customHeight="1" x14ac:dyDescent="0.15">
      <c r="AE6913" s="13"/>
    </row>
    <row r="6914" spans="31:31" ht="12.75" customHeight="1" x14ac:dyDescent="0.15">
      <c r="AE6914" s="13"/>
    </row>
    <row r="6915" spans="31:31" ht="12.75" customHeight="1" x14ac:dyDescent="0.15">
      <c r="AE6915" s="13"/>
    </row>
    <row r="6916" spans="31:31" ht="12.75" customHeight="1" x14ac:dyDescent="0.15">
      <c r="AE6916" s="13"/>
    </row>
    <row r="6917" spans="31:31" ht="12.75" customHeight="1" x14ac:dyDescent="0.15">
      <c r="AE6917" s="13"/>
    </row>
    <row r="6918" spans="31:31" ht="12.75" customHeight="1" x14ac:dyDescent="0.15">
      <c r="AE6918" s="13"/>
    </row>
    <row r="6919" spans="31:31" ht="12.75" customHeight="1" x14ac:dyDescent="0.15">
      <c r="AE6919" s="13"/>
    </row>
    <row r="6920" spans="31:31" ht="12.75" customHeight="1" x14ac:dyDescent="0.15">
      <c r="AE6920" s="13"/>
    </row>
    <row r="6921" spans="31:31" ht="12.75" customHeight="1" x14ac:dyDescent="0.15">
      <c r="AE6921" s="13"/>
    </row>
    <row r="6922" spans="31:31" ht="12.75" customHeight="1" x14ac:dyDescent="0.15">
      <c r="AE6922" s="13"/>
    </row>
    <row r="6923" spans="31:31" ht="12.75" customHeight="1" x14ac:dyDescent="0.15">
      <c r="AE6923" s="13"/>
    </row>
    <row r="6924" spans="31:31" ht="12.75" customHeight="1" x14ac:dyDescent="0.15">
      <c r="AE6924" s="13"/>
    </row>
    <row r="6925" spans="31:31" ht="12.75" customHeight="1" x14ac:dyDescent="0.15">
      <c r="AE6925" s="13"/>
    </row>
    <row r="6926" spans="31:31" ht="12.75" customHeight="1" x14ac:dyDescent="0.15">
      <c r="AE6926" s="13"/>
    </row>
    <row r="6927" spans="31:31" ht="12.75" customHeight="1" x14ac:dyDescent="0.15">
      <c r="AE6927" s="13"/>
    </row>
    <row r="6928" spans="31:31" ht="12.75" customHeight="1" x14ac:dyDescent="0.15">
      <c r="AE6928" s="13"/>
    </row>
    <row r="6929" spans="31:31" ht="12.75" customHeight="1" x14ac:dyDescent="0.15">
      <c r="AE6929" s="13"/>
    </row>
    <row r="6930" spans="31:31" ht="12.75" customHeight="1" x14ac:dyDescent="0.15">
      <c r="AE6930" s="13"/>
    </row>
    <row r="6931" spans="31:31" ht="12.75" customHeight="1" x14ac:dyDescent="0.15">
      <c r="AE6931" s="13"/>
    </row>
    <row r="6932" spans="31:31" ht="12.75" customHeight="1" x14ac:dyDescent="0.15">
      <c r="AE6932" s="13"/>
    </row>
    <row r="6933" spans="31:31" ht="12.75" customHeight="1" x14ac:dyDescent="0.15">
      <c r="AE6933" s="13"/>
    </row>
    <row r="6934" spans="31:31" ht="12.75" customHeight="1" x14ac:dyDescent="0.15">
      <c r="AE6934" s="13"/>
    </row>
    <row r="6935" spans="31:31" ht="12.75" customHeight="1" x14ac:dyDescent="0.15">
      <c r="AE6935" s="13"/>
    </row>
    <row r="6936" spans="31:31" ht="12.75" customHeight="1" x14ac:dyDescent="0.15">
      <c r="AE6936" s="13"/>
    </row>
    <row r="6937" spans="31:31" ht="12.75" customHeight="1" x14ac:dyDescent="0.15">
      <c r="AE6937" s="13"/>
    </row>
    <row r="6938" spans="31:31" ht="12.75" customHeight="1" x14ac:dyDescent="0.15">
      <c r="AE6938" s="13"/>
    </row>
    <row r="6939" spans="31:31" ht="12.75" customHeight="1" x14ac:dyDescent="0.15">
      <c r="AE6939" s="13"/>
    </row>
    <row r="6940" spans="31:31" ht="12.75" customHeight="1" x14ac:dyDescent="0.15">
      <c r="AE6940" s="13"/>
    </row>
    <row r="6941" spans="31:31" ht="12.75" customHeight="1" x14ac:dyDescent="0.15">
      <c r="AE6941" s="13"/>
    </row>
    <row r="6942" spans="31:31" ht="12.75" customHeight="1" x14ac:dyDescent="0.15">
      <c r="AE6942" s="13"/>
    </row>
    <row r="6943" spans="31:31" ht="12.75" customHeight="1" x14ac:dyDescent="0.15">
      <c r="AE6943" s="13"/>
    </row>
    <row r="6944" spans="31:31" ht="12.75" customHeight="1" x14ac:dyDescent="0.15">
      <c r="AE6944" s="13"/>
    </row>
    <row r="6945" spans="31:31" ht="12.75" customHeight="1" x14ac:dyDescent="0.15">
      <c r="AE6945" s="13"/>
    </row>
    <row r="6946" spans="31:31" ht="12.75" customHeight="1" x14ac:dyDescent="0.15">
      <c r="AE6946" s="13"/>
    </row>
    <row r="6947" spans="31:31" ht="12.75" customHeight="1" x14ac:dyDescent="0.15">
      <c r="AE6947" s="13"/>
    </row>
    <row r="6948" spans="31:31" ht="12.75" customHeight="1" x14ac:dyDescent="0.15">
      <c r="AE6948" s="13"/>
    </row>
    <row r="6949" spans="31:31" ht="12.75" customHeight="1" x14ac:dyDescent="0.15">
      <c r="AE6949" s="13"/>
    </row>
    <row r="6950" spans="31:31" ht="12.75" customHeight="1" x14ac:dyDescent="0.15">
      <c r="AE6950" s="13"/>
    </row>
    <row r="6951" spans="31:31" ht="12.75" customHeight="1" x14ac:dyDescent="0.15">
      <c r="AE6951" s="13"/>
    </row>
    <row r="6952" spans="31:31" ht="12.75" customHeight="1" x14ac:dyDescent="0.15">
      <c r="AE6952" s="13"/>
    </row>
    <row r="6953" spans="31:31" ht="12.75" customHeight="1" x14ac:dyDescent="0.15">
      <c r="AE6953" s="13"/>
    </row>
    <row r="6954" spans="31:31" ht="12.75" customHeight="1" x14ac:dyDescent="0.15">
      <c r="AE6954" s="13"/>
    </row>
    <row r="6955" spans="31:31" ht="12.75" customHeight="1" x14ac:dyDescent="0.15">
      <c r="AE6955" s="13"/>
    </row>
    <row r="6956" spans="31:31" ht="12.75" customHeight="1" x14ac:dyDescent="0.15">
      <c r="AE6956" s="13"/>
    </row>
    <row r="6957" spans="31:31" ht="12.75" customHeight="1" x14ac:dyDescent="0.15">
      <c r="AE6957" s="13"/>
    </row>
    <row r="6958" spans="31:31" ht="12.75" customHeight="1" x14ac:dyDescent="0.15">
      <c r="AE6958" s="13"/>
    </row>
    <row r="6959" spans="31:31" ht="12.75" customHeight="1" x14ac:dyDescent="0.15">
      <c r="AE6959" s="13"/>
    </row>
    <row r="6960" spans="31:31" ht="12.75" customHeight="1" x14ac:dyDescent="0.15">
      <c r="AE6960" s="13"/>
    </row>
    <row r="6961" spans="31:31" ht="12.75" customHeight="1" x14ac:dyDescent="0.15">
      <c r="AE6961" s="13"/>
    </row>
    <row r="6962" spans="31:31" ht="12.75" customHeight="1" x14ac:dyDescent="0.15">
      <c r="AE6962" s="13"/>
    </row>
    <row r="6963" spans="31:31" ht="12.75" customHeight="1" x14ac:dyDescent="0.15">
      <c r="AE6963" s="13"/>
    </row>
    <row r="6964" spans="31:31" ht="12.75" customHeight="1" x14ac:dyDescent="0.15">
      <c r="AE6964" s="13"/>
    </row>
    <row r="6965" spans="31:31" ht="12.75" customHeight="1" x14ac:dyDescent="0.15">
      <c r="AE6965" s="13"/>
    </row>
    <row r="6966" spans="31:31" ht="12.75" customHeight="1" x14ac:dyDescent="0.15">
      <c r="AE6966" s="13"/>
    </row>
    <row r="6967" spans="31:31" ht="12.75" customHeight="1" x14ac:dyDescent="0.15">
      <c r="AE6967" s="13"/>
    </row>
    <row r="6968" spans="31:31" ht="12.75" customHeight="1" x14ac:dyDescent="0.15">
      <c r="AE6968" s="13"/>
    </row>
    <row r="6969" spans="31:31" ht="12.75" customHeight="1" x14ac:dyDescent="0.15">
      <c r="AE6969" s="13"/>
    </row>
    <row r="6970" spans="31:31" ht="12.75" customHeight="1" x14ac:dyDescent="0.15">
      <c r="AE6970" s="13"/>
    </row>
    <row r="6971" spans="31:31" ht="12.75" customHeight="1" x14ac:dyDescent="0.15">
      <c r="AE6971" s="13"/>
    </row>
    <row r="6972" spans="31:31" ht="12.75" customHeight="1" x14ac:dyDescent="0.15">
      <c r="AE6972" s="13"/>
    </row>
    <row r="6973" spans="31:31" ht="12.75" customHeight="1" x14ac:dyDescent="0.15">
      <c r="AE6973" s="13"/>
    </row>
    <row r="6974" spans="31:31" ht="12.75" customHeight="1" x14ac:dyDescent="0.15">
      <c r="AE6974" s="13"/>
    </row>
    <row r="6975" spans="31:31" ht="12.75" customHeight="1" x14ac:dyDescent="0.15">
      <c r="AE6975" s="13"/>
    </row>
    <row r="6976" spans="31:31" ht="12.75" customHeight="1" x14ac:dyDescent="0.15">
      <c r="AE6976" s="13"/>
    </row>
    <row r="6977" spans="31:31" ht="12.75" customHeight="1" x14ac:dyDescent="0.15">
      <c r="AE6977" s="13"/>
    </row>
    <row r="6978" spans="31:31" ht="12.75" customHeight="1" x14ac:dyDescent="0.15">
      <c r="AE6978" s="13"/>
    </row>
    <row r="6979" spans="31:31" ht="12.75" customHeight="1" x14ac:dyDescent="0.15">
      <c r="AE6979" s="13"/>
    </row>
    <row r="6980" spans="31:31" ht="12.75" customHeight="1" x14ac:dyDescent="0.15">
      <c r="AE6980" s="13"/>
    </row>
    <row r="6981" spans="31:31" ht="12.75" customHeight="1" x14ac:dyDescent="0.15">
      <c r="AE6981" s="13"/>
    </row>
    <row r="6982" spans="31:31" ht="12.75" customHeight="1" x14ac:dyDescent="0.15">
      <c r="AE6982" s="13"/>
    </row>
    <row r="6983" spans="31:31" ht="12.75" customHeight="1" x14ac:dyDescent="0.15">
      <c r="AE6983" s="13"/>
    </row>
    <row r="6984" spans="31:31" ht="12.75" customHeight="1" x14ac:dyDescent="0.15">
      <c r="AE6984" s="13"/>
    </row>
    <row r="6985" spans="31:31" ht="12.75" customHeight="1" x14ac:dyDescent="0.15">
      <c r="AE6985" s="13"/>
    </row>
    <row r="6986" spans="31:31" ht="12.75" customHeight="1" x14ac:dyDescent="0.15">
      <c r="AE6986" s="13"/>
    </row>
    <row r="6987" spans="31:31" ht="12.75" customHeight="1" x14ac:dyDescent="0.15">
      <c r="AE6987" s="13"/>
    </row>
    <row r="6988" spans="31:31" ht="12.75" customHeight="1" x14ac:dyDescent="0.15">
      <c r="AE6988" s="13"/>
    </row>
    <row r="6989" spans="31:31" ht="12.75" customHeight="1" x14ac:dyDescent="0.15">
      <c r="AE6989" s="13"/>
    </row>
    <row r="6990" spans="31:31" ht="12.75" customHeight="1" x14ac:dyDescent="0.15">
      <c r="AE6990" s="13"/>
    </row>
    <row r="6991" spans="31:31" ht="12.75" customHeight="1" x14ac:dyDescent="0.15">
      <c r="AE6991" s="13"/>
    </row>
    <row r="6992" spans="31:31" ht="12.75" customHeight="1" x14ac:dyDescent="0.15">
      <c r="AE6992" s="13"/>
    </row>
    <row r="6993" spans="31:31" ht="12.75" customHeight="1" x14ac:dyDescent="0.15">
      <c r="AE6993" s="13"/>
    </row>
    <row r="6994" spans="31:31" ht="12.75" customHeight="1" x14ac:dyDescent="0.15">
      <c r="AE6994" s="13"/>
    </row>
    <row r="6995" spans="31:31" ht="12.75" customHeight="1" x14ac:dyDescent="0.15">
      <c r="AE6995" s="13"/>
    </row>
    <row r="6996" spans="31:31" ht="12.75" customHeight="1" x14ac:dyDescent="0.15">
      <c r="AE6996" s="13"/>
    </row>
    <row r="6997" spans="31:31" ht="12.75" customHeight="1" x14ac:dyDescent="0.15">
      <c r="AE6997" s="13"/>
    </row>
    <row r="6998" spans="31:31" ht="12.75" customHeight="1" x14ac:dyDescent="0.15">
      <c r="AE6998" s="13"/>
    </row>
    <row r="6999" spans="31:31" ht="12.75" customHeight="1" x14ac:dyDescent="0.15">
      <c r="AE6999" s="13"/>
    </row>
    <row r="7000" spans="31:31" ht="12.75" customHeight="1" x14ac:dyDescent="0.15">
      <c r="AE7000" s="13"/>
    </row>
    <row r="7001" spans="31:31" ht="12.75" customHeight="1" x14ac:dyDescent="0.15">
      <c r="AE7001" s="13"/>
    </row>
    <row r="7002" spans="31:31" ht="12.75" customHeight="1" x14ac:dyDescent="0.15">
      <c r="AE7002" s="13"/>
    </row>
    <row r="7003" spans="31:31" ht="12.75" customHeight="1" x14ac:dyDescent="0.15">
      <c r="AE7003" s="13"/>
    </row>
    <row r="7004" spans="31:31" ht="12.75" customHeight="1" x14ac:dyDescent="0.15">
      <c r="AE7004" s="13"/>
    </row>
    <row r="7005" spans="31:31" ht="12.75" customHeight="1" x14ac:dyDescent="0.15">
      <c r="AE7005" s="13"/>
    </row>
    <row r="7006" spans="31:31" ht="12.75" customHeight="1" x14ac:dyDescent="0.15">
      <c r="AE7006" s="13"/>
    </row>
    <row r="7007" spans="31:31" ht="12.75" customHeight="1" x14ac:dyDescent="0.15">
      <c r="AE7007" s="13"/>
    </row>
    <row r="7008" spans="31:31" ht="12.75" customHeight="1" x14ac:dyDescent="0.15">
      <c r="AE7008" s="13"/>
    </row>
    <row r="7009" spans="31:31" ht="12.75" customHeight="1" x14ac:dyDescent="0.15">
      <c r="AE7009" s="13"/>
    </row>
    <row r="7010" spans="31:31" ht="12.75" customHeight="1" x14ac:dyDescent="0.15">
      <c r="AE7010" s="13"/>
    </row>
    <row r="7011" spans="31:31" ht="12.75" customHeight="1" x14ac:dyDescent="0.15">
      <c r="AE7011" s="13"/>
    </row>
    <row r="7012" spans="31:31" ht="12.75" customHeight="1" x14ac:dyDescent="0.15">
      <c r="AE7012" s="13"/>
    </row>
    <row r="7013" spans="31:31" ht="12.75" customHeight="1" x14ac:dyDescent="0.15">
      <c r="AE7013" s="13"/>
    </row>
    <row r="7014" spans="31:31" ht="12.75" customHeight="1" x14ac:dyDescent="0.15">
      <c r="AE7014" s="13"/>
    </row>
    <row r="7015" spans="31:31" ht="12.75" customHeight="1" x14ac:dyDescent="0.15">
      <c r="AE7015" s="13"/>
    </row>
    <row r="7016" spans="31:31" ht="12.75" customHeight="1" x14ac:dyDescent="0.15">
      <c r="AE7016" s="13"/>
    </row>
    <row r="7017" spans="31:31" ht="12.75" customHeight="1" x14ac:dyDescent="0.15">
      <c r="AE7017" s="13"/>
    </row>
    <row r="7018" spans="31:31" ht="12.75" customHeight="1" x14ac:dyDescent="0.15">
      <c r="AE7018" s="13"/>
    </row>
    <row r="7019" spans="31:31" ht="12.75" customHeight="1" x14ac:dyDescent="0.15">
      <c r="AE7019" s="13"/>
    </row>
    <row r="7020" spans="31:31" ht="12.75" customHeight="1" x14ac:dyDescent="0.15">
      <c r="AE7020" s="13"/>
    </row>
    <row r="7021" spans="31:31" ht="12.75" customHeight="1" x14ac:dyDescent="0.15">
      <c r="AE7021" s="13"/>
    </row>
    <row r="7022" spans="31:31" ht="12.75" customHeight="1" x14ac:dyDescent="0.15">
      <c r="AE7022" s="13"/>
    </row>
    <row r="7023" spans="31:31" ht="12.75" customHeight="1" x14ac:dyDescent="0.15">
      <c r="AE7023" s="13"/>
    </row>
    <row r="7024" spans="31:31" ht="12.75" customHeight="1" x14ac:dyDescent="0.15">
      <c r="AE7024" s="13"/>
    </row>
    <row r="7025" spans="31:31" ht="12.75" customHeight="1" x14ac:dyDescent="0.15">
      <c r="AE7025" s="13"/>
    </row>
    <row r="7026" spans="31:31" ht="12.75" customHeight="1" x14ac:dyDescent="0.15">
      <c r="AE7026" s="13"/>
    </row>
    <row r="7027" spans="31:31" ht="12.75" customHeight="1" x14ac:dyDescent="0.15">
      <c r="AE7027" s="13"/>
    </row>
    <row r="7028" spans="31:31" ht="12.75" customHeight="1" x14ac:dyDescent="0.15">
      <c r="AE7028" s="13"/>
    </row>
    <row r="7029" spans="31:31" ht="12.75" customHeight="1" x14ac:dyDescent="0.15">
      <c r="AE7029" s="13"/>
    </row>
    <row r="7030" spans="31:31" ht="12.75" customHeight="1" x14ac:dyDescent="0.15">
      <c r="AE7030" s="13"/>
    </row>
    <row r="7031" spans="31:31" ht="12.75" customHeight="1" x14ac:dyDescent="0.15">
      <c r="AE7031" s="13"/>
    </row>
    <row r="7032" spans="31:31" ht="12.75" customHeight="1" x14ac:dyDescent="0.15">
      <c r="AE7032" s="13"/>
    </row>
    <row r="7033" spans="31:31" ht="12.75" customHeight="1" x14ac:dyDescent="0.15">
      <c r="AE7033" s="13"/>
    </row>
    <row r="7034" spans="31:31" ht="12.75" customHeight="1" x14ac:dyDescent="0.15">
      <c r="AE7034" s="13"/>
    </row>
    <row r="7035" spans="31:31" ht="12.75" customHeight="1" x14ac:dyDescent="0.15">
      <c r="AE7035" s="13"/>
    </row>
    <row r="7036" spans="31:31" ht="12.75" customHeight="1" x14ac:dyDescent="0.15">
      <c r="AE7036" s="13"/>
    </row>
    <row r="7037" spans="31:31" ht="12.75" customHeight="1" x14ac:dyDescent="0.15">
      <c r="AE7037" s="13"/>
    </row>
    <row r="7038" spans="31:31" ht="12.75" customHeight="1" x14ac:dyDescent="0.15">
      <c r="AE7038" s="13"/>
    </row>
    <row r="7039" spans="31:31" ht="12.75" customHeight="1" x14ac:dyDescent="0.15">
      <c r="AE7039" s="13"/>
    </row>
    <row r="7040" spans="31:31" ht="12.75" customHeight="1" x14ac:dyDescent="0.15">
      <c r="AE7040" s="13"/>
    </row>
    <row r="7041" spans="31:31" ht="12.75" customHeight="1" x14ac:dyDescent="0.15">
      <c r="AE7041" s="13"/>
    </row>
    <row r="7042" spans="31:31" ht="12.75" customHeight="1" x14ac:dyDescent="0.15">
      <c r="AE7042" s="13"/>
    </row>
    <row r="7043" spans="31:31" ht="12.75" customHeight="1" x14ac:dyDescent="0.15">
      <c r="AE7043" s="13"/>
    </row>
    <row r="7044" spans="31:31" ht="12.75" customHeight="1" x14ac:dyDescent="0.15">
      <c r="AE7044" s="13"/>
    </row>
    <row r="7045" spans="31:31" ht="12.75" customHeight="1" x14ac:dyDescent="0.15">
      <c r="AE7045" s="13"/>
    </row>
    <row r="7046" spans="31:31" ht="12.75" customHeight="1" x14ac:dyDescent="0.15">
      <c r="AE7046" s="13"/>
    </row>
    <row r="7047" spans="31:31" ht="12.75" customHeight="1" x14ac:dyDescent="0.15">
      <c r="AE7047" s="13"/>
    </row>
    <row r="7048" spans="31:31" ht="12.75" customHeight="1" x14ac:dyDescent="0.15">
      <c r="AE7048" s="13"/>
    </row>
    <row r="7049" spans="31:31" ht="12.75" customHeight="1" x14ac:dyDescent="0.15">
      <c r="AE7049" s="13"/>
    </row>
    <row r="7050" spans="31:31" ht="12.75" customHeight="1" x14ac:dyDescent="0.15">
      <c r="AE7050" s="13"/>
    </row>
    <row r="7051" spans="31:31" ht="12.75" customHeight="1" x14ac:dyDescent="0.15">
      <c r="AE7051" s="13"/>
    </row>
    <row r="7052" spans="31:31" ht="12.75" customHeight="1" x14ac:dyDescent="0.15">
      <c r="AE7052" s="13"/>
    </row>
    <row r="7053" spans="31:31" ht="12.75" customHeight="1" x14ac:dyDescent="0.15">
      <c r="AE7053" s="13"/>
    </row>
    <row r="7054" spans="31:31" ht="12.75" customHeight="1" x14ac:dyDescent="0.15">
      <c r="AE7054" s="13"/>
    </row>
    <row r="7055" spans="31:31" ht="12.75" customHeight="1" x14ac:dyDescent="0.15">
      <c r="AE7055" s="13"/>
    </row>
    <row r="7056" spans="31:31" ht="12.75" customHeight="1" x14ac:dyDescent="0.15">
      <c r="AE7056" s="13"/>
    </row>
    <row r="7057" spans="31:31" ht="12.75" customHeight="1" x14ac:dyDescent="0.15">
      <c r="AE7057" s="13"/>
    </row>
    <row r="7058" spans="31:31" ht="12.75" customHeight="1" x14ac:dyDescent="0.15">
      <c r="AE7058" s="13"/>
    </row>
    <row r="7059" spans="31:31" ht="12.75" customHeight="1" x14ac:dyDescent="0.15">
      <c r="AE7059" s="13"/>
    </row>
    <row r="7060" spans="31:31" ht="12.75" customHeight="1" x14ac:dyDescent="0.15">
      <c r="AE7060" s="13"/>
    </row>
    <row r="7061" spans="31:31" ht="12.75" customHeight="1" x14ac:dyDescent="0.15">
      <c r="AE7061" s="13"/>
    </row>
    <row r="7062" spans="31:31" ht="12.75" customHeight="1" x14ac:dyDescent="0.15">
      <c r="AE7062" s="13"/>
    </row>
    <row r="7063" spans="31:31" ht="12.75" customHeight="1" x14ac:dyDescent="0.15">
      <c r="AE7063" s="13"/>
    </row>
    <row r="7064" spans="31:31" ht="12.75" customHeight="1" x14ac:dyDescent="0.15">
      <c r="AE7064" s="13"/>
    </row>
    <row r="7065" spans="31:31" ht="12.75" customHeight="1" x14ac:dyDescent="0.15">
      <c r="AE7065" s="13"/>
    </row>
    <row r="7066" spans="31:31" ht="12.75" customHeight="1" x14ac:dyDescent="0.15">
      <c r="AE7066" s="13"/>
    </row>
    <row r="7067" spans="31:31" ht="12.75" customHeight="1" x14ac:dyDescent="0.15">
      <c r="AE7067" s="13"/>
    </row>
    <row r="7068" spans="31:31" ht="12.75" customHeight="1" x14ac:dyDescent="0.15">
      <c r="AE7068" s="13"/>
    </row>
    <row r="7069" spans="31:31" ht="12.75" customHeight="1" x14ac:dyDescent="0.15">
      <c r="AE7069" s="13"/>
    </row>
    <row r="7070" spans="31:31" ht="12.75" customHeight="1" x14ac:dyDescent="0.15">
      <c r="AE7070" s="13"/>
    </row>
    <row r="7071" spans="31:31" ht="12.75" customHeight="1" x14ac:dyDescent="0.15">
      <c r="AE7071" s="13"/>
    </row>
    <row r="7072" spans="31:31" ht="12.75" customHeight="1" x14ac:dyDescent="0.15">
      <c r="AE7072" s="13"/>
    </row>
    <row r="7073" spans="31:31" ht="12.75" customHeight="1" x14ac:dyDescent="0.15">
      <c r="AE7073" s="13"/>
    </row>
    <row r="7074" spans="31:31" ht="12.75" customHeight="1" x14ac:dyDescent="0.15">
      <c r="AE7074" s="13"/>
    </row>
    <row r="7075" spans="31:31" ht="12.75" customHeight="1" x14ac:dyDescent="0.15">
      <c r="AE7075" s="13"/>
    </row>
    <row r="7076" spans="31:31" ht="12.75" customHeight="1" x14ac:dyDescent="0.15">
      <c r="AE7076" s="13"/>
    </row>
    <row r="7077" spans="31:31" ht="12.75" customHeight="1" x14ac:dyDescent="0.15">
      <c r="AE7077" s="13"/>
    </row>
    <row r="7078" spans="31:31" ht="12.75" customHeight="1" x14ac:dyDescent="0.15">
      <c r="AE7078" s="13"/>
    </row>
    <row r="7079" spans="31:31" ht="12.75" customHeight="1" x14ac:dyDescent="0.15">
      <c r="AE7079" s="13"/>
    </row>
    <row r="7080" spans="31:31" ht="12.75" customHeight="1" x14ac:dyDescent="0.15">
      <c r="AE7080" s="13"/>
    </row>
    <row r="7081" spans="31:31" ht="12.75" customHeight="1" x14ac:dyDescent="0.15">
      <c r="AE7081" s="13"/>
    </row>
    <row r="7082" spans="31:31" ht="12.75" customHeight="1" x14ac:dyDescent="0.15">
      <c r="AE7082" s="13"/>
    </row>
    <row r="7083" spans="31:31" ht="12.75" customHeight="1" x14ac:dyDescent="0.15">
      <c r="AE7083" s="13"/>
    </row>
    <row r="7084" spans="31:31" ht="12.75" customHeight="1" x14ac:dyDescent="0.15">
      <c r="AE7084" s="13"/>
    </row>
    <row r="7085" spans="31:31" ht="12.75" customHeight="1" x14ac:dyDescent="0.15">
      <c r="AE7085" s="13"/>
    </row>
    <row r="7086" spans="31:31" ht="12.75" customHeight="1" x14ac:dyDescent="0.15">
      <c r="AE7086" s="13"/>
    </row>
    <row r="7087" spans="31:31" ht="12.75" customHeight="1" x14ac:dyDescent="0.15">
      <c r="AE7087" s="13"/>
    </row>
    <row r="7088" spans="31:31" ht="12.75" customHeight="1" x14ac:dyDescent="0.15">
      <c r="AE7088" s="13"/>
    </row>
    <row r="7089" spans="31:31" ht="12.75" customHeight="1" x14ac:dyDescent="0.15">
      <c r="AE7089" s="13"/>
    </row>
    <row r="7090" spans="31:31" ht="12.75" customHeight="1" x14ac:dyDescent="0.15">
      <c r="AE7090" s="13"/>
    </row>
    <row r="7091" spans="31:31" ht="12.75" customHeight="1" x14ac:dyDescent="0.15">
      <c r="AE7091" s="13"/>
    </row>
    <row r="7092" spans="31:31" ht="12.75" customHeight="1" x14ac:dyDescent="0.15">
      <c r="AE7092" s="13"/>
    </row>
    <row r="7093" spans="31:31" ht="12.75" customHeight="1" x14ac:dyDescent="0.15">
      <c r="AE7093" s="13"/>
    </row>
    <row r="7094" spans="31:31" ht="12.75" customHeight="1" x14ac:dyDescent="0.15">
      <c r="AE7094" s="13"/>
    </row>
    <row r="7095" spans="31:31" ht="12.75" customHeight="1" x14ac:dyDescent="0.15">
      <c r="AE7095" s="13"/>
    </row>
    <row r="7096" spans="31:31" ht="12.75" customHeight="1" x14ac:dyDescent="0.15">
      <c r="AE7096" s="13"/>
    </row>
    <row r="7097" spans="31:31" ht="12.75" customHeight="1" x14ac:dyDescent="0.15">
      <c r="AE7097" s="13"/>
    </row>
    <row r="7098" spans="31:31" ht="12.75" customHeight="1" x14ac:dyDescent="0.15">
      <c r="AE7098" s="13"/>
    </row>
    <row r="7099" spans="31:31" ht="12.75" customHeight="1" x14ac:dyDescent="0.15">
      <c r="AE7099" s="13"/>
    </row>
    <row r="7100" spans="31:31" ht="12.75" customHeight="1" x14ac:dyDescent="0.15">
      <c r="AE7100" s="13"/>
    </row>
    <row r="7101" spans="31:31" ht="12.75" customHeight="1" x14ac:dyDescent="0.15">
      <c r="AE7101" s="13"/>
    </row>
    <row r="7102" spans="31:31" ht="12.75" customHeight="1" x14ac:dyDescent="0.15">
      <c r="AE7102" s="13"/>
    </row>
    <row r="7103" spans="31:31" ht="12.75" customHeight="1" x14ac:dyDescent="0.15">
      <c r="AE7103" s="13"/>
    </row>
    <row r="7104" spans="31:31" ht="12.75" customHeight="1" x14ac:dyDescent="0.15">
      <c r="AE7104" s="13"/>
    </row>
    <row r="7105" spans="31:31" ht="12.75" customHeight="1" x14ac:dyDescent="0.15">
      <c r="AE7105" s="13"/>
    </row>
    <row r="7106" spans="31:31" ht="12.75" customHeight="1" x14ac:dyDescent="0.15">
      <c r="AE7106" s="13"/>
    </row>
    <row r="7107" spans="31:31" ht="12.75" customHeight="1" x14ac:dyDescent="0.15">
      <c r="AE7107" s="13"/>
    </row>
    <row r="7108" spans="31:31" ht="12.75" customHeight="1" x14ac:dyDescent="0.15">
      <c r="AE7108" s="13"/>
    </row>
    <row r="7109" spans="31:31" ht="12.75" customHeight="1" x14ac:dyDescent="0.15">
      <c r="AE7109" s="13"/>
    </row>
    <row r="7110" spans="31:31" ht="12.75" customHeight="1" x14ac:dyDescent="0.15">
      <c r="AE7110" s="13"/>
    </row>
    <row r="7111" spans="31:31" ht="12.75" customHeight="1" x14ac:dyDescent="0.15">
      <c r="AE7111" s="13"/>
    </row>
    <row r="7112" spans="31:31" ht="12.75" customHeight="1" x14ac:dyDescent="0.15">
      <c r="AE7112" s="13"/>
    </row>
    <row r="7113" spans="31:31" ht="12.75" customHeight="1" x14ac:dyDescent="0.15">
      <c r="AE7113" s="13"/>
    </row>
    <row r="7114" spans="31:31" ht="12.75" customHeight="1" x14ac:dyDescent="0.15">
      <c r="AE7114" s="13"/>
    </row>
    <row r="7115" spans="31:31" ht="12.75" customHeight="1" x14ac:dyDescent="0.15">
      <c r="AE7115" s="13"/>
    </row>
    <row r="7116" spans="31:31" ht="12.75" customHeight="1" x14ac:dyDescent="0.15">
      <c r="AE7116" s="13"/>
    </row>
    <row r="7117" spans="31:31" ht="12.75" customHeight="1" x14ac:dyDescent="0.15">
      <c r="AE7117" s="13"/>
    </row>
    <row r="7118" spans="31:31" ht="12.75" customHeight="1" x14ac:dyDescent="0.15">
      <c r="AE7118" s="13"/>
    </row>
    <row r="7119" spans="31:31" ht="12.75" customHeight="1" x14ac:dyDescent="0.15">
      <c r="AE7119" s="13"/>
    </row>
    <row r="7120" spans="31:31" ht="12.75" customHeight="1" x14ac:dyDescent="0.15">
      <c r="AE7120" s="13"/>
    </row>
    <row r="7121" spans="31:31" ht="12.75" customHeight="1" x14ac:dyDescent="0.15">
      <c r="AE7121" s="13"/>
    </row>
    <row r="7122" spans="31:31" ht="12.75" customHeight="1" x14ac:dyDescent="0.15">
      <c r="AE7122" s="13"/>
    </row>
    <row r="7123" spans="31:31" ht="12.75" customHeight="1" x14ac:dyDescent="0.15">
      <c r="AE7123" s="13"/>
    </row>
    <row r="7124" spans="31:31" ht="12.75" customHeight="1" x14ac:dyDescent="0.15">
      <c r="AE7124" s="13"/>
    </row>
    <row r="7125" spans="31:31" ht="12.75" customHeight="1" x14ac:dyDescent="0.15">
      <c r="AE7125" s="13"/>
    </row>
    <row r="7126" spans="31:31" ht="12.75" customHeight="1" x14ac:dyDescent="0.15">
      <c r="AE7126" s="13"/>
    </row>
    <row r="7127" spans="31:31" ht="12.75" customHeight="1" x14ac:dyDescent="0.15">
      <c r="AE7127" s="13"/>
    </row>
    <row r="7128" spans="31:31" ht="12.75" customHeight="1" x14ac:dyDescent="0.15">
      <c r="AE7128" s="13"/>
    </row>
    <row r="7129" spans="31:31" ht="12.75" customHeight="1" x14ac:dyDescent="0.15">
      <c r="AE7129" s="13"/>
    </row>
    <row r="7130" spans="31:31" ht="12.75" customHeight="1" x14ac:dyDescent="0.15">
      <c r="AE7130" s="13"/>
    </row>
    <row r="7131" spans="31:31" ht="12.75" customHeight="1" x14ac:dyDescent="0.15">
      <c r="AE7131" s="13"/>
    </row>
    <row r="7132" spans="31:31" ht="12.75" customHeight="1" x14ac:dyDescent="0.15">
      <c r="AE7132" s="13"/>
    </row>
    <row r="7133" spans="31:31" ht="12.75" customHeight="1" x14ac:dyDescent="0.15">
      <c r="AE7133" s="13"/>
    </row>
    <row r="7134" spans="31:31" ht="12.75" customHeight="1" x14ac:dyDescent="0.15">
      <c r="AE7134" s="13"/>
    </row>
    <row r="7135" spans="31:31" ht="12.75" customHeight="1" x14ac:dyDescent="0.15">
      <c r="AE7135" s="13"/>
    </row>
    <row r="7136" spans="31:31" ht="12.75" customHeight="1" x14ac:dyDescent="0.15">
      <c r="AE7136" s="13"/>
    </row>
    <row r="7137" spans="31:31" ht="12.75" customHeight="1" x14ac:dyDescent="0.15">
      <c r="AE7137" s="13"/>
    </row>
    <row r="7138" spans="31:31" ht="12.75" customHeight="1" x14ac:dyDescent="0.15">
      <c r="AE7138" s="13"/>
    </row>
    <row r="7139" spans="31:31" ht="12.75" customHeight="1" x14ac:dyDescent="0.15">
      <c r="AE7139" s="13"/>
    </row>
    <row r="7140" spans="31:31" ht="12.75" customHeight="1" x14ac:dyDescent="0.15">
      <c r="AE7140" s="13"/>
    </row>
    <row r="7141" spans="31:31" ht="12.75" customHeight="1" x14ac:dyDescent="0.15">
      <c r="AE7141" s="13"/>
    </row>
    <row r="7142" spans="31:31" ht="12.75" customHeight="1" x14ac:dyDescent="0.15">
      <c r="AE7142" s="13"/>
    </row>
    <row r="7143" spans="31:31" ht="12.75" customHeight="1" x14ac:dyDescent="0.15">
      <c r="AE7143" s="13"/>
    </row>
    <row r="7144" spans="31:31" ht="12.75" customHeight="1" x14ac:dyDescent="0.15">
      <c r="AE7144" s="13"/>
    </row>
    <row r="7145" spans="31:31" ht="12.75" customHeight="1" x14ac:dyDescent="0.15">
      <c r="AE7145" s="13"/>
    </row>
    <row r="7146" spans="31:31" ht="12.75" customHeight="1" x14ac:dyDescent="0.15">
      <c r="AE7146" s="13"/>
    </row>
    <row r="7147" spans="31:31" ht="12.75" customHeight="1" x14ac:dyDescent="0.15">
      <c r="AE7147" s="13"/>
    </row>
    <row r="7148" spans="31:31" ht="12.75" customHeight="1" x14ac:dyDescent="0.15">
      <c r="AE7148" s="13"/>
    </row>
    <row r="7149" spans="31:31" ht="12.75" customHeight="1" x14ac:dyDescent="0.15">
      <c r="AE7149" s="13"/>
    </row>
    <row r="7150" spans="31:31" ht="12.75" customHeight="1" x14ac:dyDescent="0.15">
      <c r="AE7150" s="13"/>
    </row>
    <row r="7151" spans="31:31" ht="12.75" customHeight="1" x14ac:dyDescent="0.15">
      <c r="AE7151" s="13"/>
    </row>
    <row r="7152" spans="31:31" ht="12.75" customHeight="1" x14ac:dyDescent="0.15">
      <c r="AE7152" s="13"/>
    </row>
    <row r="7153" spans="31:31" ht="12.75" customHeight="1" x14ac:dyDescent="0.15">
      <c r="AE7153" s="13"/>
    </row>
    <row r="7154" spans="31:31" ht="12.75" customHeight="1" x14ac:dyDescent="0.15">
      <c r="AE7154" s="13"/>
    </row>
    <row r="7155" spans="31:31" ht="12.75" customHeight="1" x14ac:dyDescent="0.15">
      <c r="AE7155" s="13"/>
    </row>
    <row r="7156" spans="31:31" ht="12.75" customHeight="1" x14ac:dyDescent="0.15">
      <c r="AE7156" s="13"/>
    </row>
    <row r="7157" spans="31:31" ht="12.75" customHeight="1" x14ac:dyDescent="0.15">
      <c r="AE7157" s="13"/>
    </row>
    <row r="7158" spans="31:31" ht="12.75" customHeight="1" x14ac:dyDescent="0.15">
      <c r="AE7158" s="13"/>
    </row>
    <row r="7159" spans="31:31" ht="12.75" customHeight="1" x14ac:dyDescent="0.15">
      <c r="AE7159" s="13"/>
    </row>
    <row r="7160" spans="31:31" ht="12.75" customHeight="1" x14ac:dyDescent="0.15">
      <c r="AE7160" s="13"/>
    </row>
    <row r="7161" spans="31:31" ht="12.75" customHeight="1" x14ac:dyDescent="0.15">
      <c r="AE7161" s="13"/>
    </row>
    <row r="7162" spans="31:31" ht="12.75" customHeight="1" x14ac:dyDescent="0.15">
      <c r="AE7162" s="13"/>
    </row>
    <row r="7163" spans="31:31" ht="12.75" customHeight="1" x14ac:dyDescent="0.15">
      <c r="AE7163" s="13"/>
    </row>
    <row r="7164" spans="31:31" ht="12.75" customHeight="1" x14ac:dyDescent="0.15">
      <c r="AE7164" s="13"/>
    </row>
    <row r="7165" spans="31:31" ht="12.75" customHeight="1" x14ac:dyDescent="0.15">
      <c r="AE7165" s="13"/>
    </row>
    <row r="7166" spans="31:31" ht="12.75" customHeight="1" x14ac:dyDescent="0.15">
      <c r="AE7166" s="13"/>
    </row>
    <row r="7167" spans="31:31" ht="12.75" customHeight="1" x14ac:dyDescent="0.15">
      <c r="AE7167" s="13"/>
    </row>
    <row r="7168" spans="31:31" ht="12.75" customHeight="1" x14ac:dyDescent="0.15">
      <c r="AE7168" s="13"/>
    </row>
    <row r="7169" spans="31:31" ht="12.75" customHeight="1" x14ac:dyDescent="0.15">
      <c r="AE7169" s="13"/>
    </row>
    <row r="7170" spans="31:31" ht="12.75" customHeight="1" x14ac:dyDescent="0.15">
      <c r="AE7170" s="13"/>
    </row>
    <row r="7171" spans="31:31" ht="12.75" customHeight="1" x14ac:dyDescent="0.15">
      <c r="AE7171" s="13"/>
    </row>
    <row r="7172" spans="31:31" ht="12.75" customHeight="1" x14ac:dyDescent="0.15">
      <c r="AE7172" s="13"/>
    </row>
    <row r="7173" spans="31:31" ht="12.75" customHeight="1" x14ac:dyDescent="0.15">
      <c r="AE7173" s="13"/>
    </row>
    <row r="7174" spans="31:31" ht="12.75" customHeight="1" x14ac:dyDescent="0.15">
      <c r="AE7174" s="13"/>
    </row>
    <row r="7175" spans="31:31" ht="12.75" customHeight="1" x14ac:dyDescent="0.15">
      <c r="AE7175" s="13"/>
    </row>
    <row r="7176" spans="31:31" ht="12.75" customHeight="1" x14ac:dyDescent="0.15">
      <c r="AE7176" s="13"/>
    </row>
    <row r="7177" spans="31:31" ht="12.75" customHeight="1" x14ac:dyDescent="0.15">
      <c r="AE7177" s="13"/>
    </row>
    <row r="7178" spans="31:31" ht="12.75" customHeight="1" x14ac:dyDescent="0.15">
      <c r="AE7178" s="13"/>
    </row>
    <row r="7179" spans="31:31" ht="12.75" customHeight="1" x14ac:dyDescent="0.15">
      <c r="AE7179" s="13"/>
    </row>
    <row r="7180" spans="31:31" ht="12.75" customHeight="1" x14ac:dyDescent="0.15">
      <c r="AE7180" s="13"/>
    </row>
    <row r="7181" spans="31:31" ht="12.75" customHeight="1" x14ac:dyDescent="0.15">
      <c r="AE7181" s="13"/>
    </row>
    <row r="7182" spans="31:31" ht="12.75" customHeight="1" x14ac:dyDescent="0.15">
      <c r="AE7182" s="13"/>
    </row>
    <row r="7183" spans="31:31" ht="12.75" customHeight="1" x14ac:dyDescent="0.15">
      <c r="AE7183" s="13"/>
    </row>
    <row r="7184" spans="31:31" ht="12.75" customHeight="1" x14ac:dyDescent="0.15">
      <c r="AE7184" s="13"/>
    </row>
    <row r="7185" spans="31:31" ht="12.75" customHeight="1" x14ac:dyDescent="0.15">
      <c r="AE7185" s="13"/>
    </row>
    <row r="7186" spans="31:31" ht="12.75" customHeight="1" x14ac:dyDescent="0.15">
      <c r="AE7186" s="13"/>
    </row>
    <row r="7187" spans="31:31" ht="12.75" customHeight="1" x14ac:dyDescent="0.15">
      <c r="AE7187" s="13"/>
    </row>
    <row r="7188" spans="31:31" ht="12.75" customHeight="1" x14ac:dyDescent="0.15">
      <c r="AE7188" s="13"/>
    </row>
    <row r="7189" spans="31:31" ht="12.75" customHeight="1" x14ac:dyDescent="0.15">
      <c r="AE7189" s="13"/>
    </row>
    <row r="7190" spans="31:31" ht="12.75" customHeight="1" x14ac:dyDescent="0.15">
      <c r="AE7190" s="13"/>
    </row>
    <row r="7191" spans="31:31" ht="12.75" customHeight="1" x14ac:dyDescent="0.15">
      <c r="AE7191" s="13"/>
    </row>
    <row r="7192" spans="31:31" ht="12.75" customHeight="1" x14ac:dyDescent="0.15">
      <c r="AE7192" s="13"/>
    </row>
    <row r="7193" spans="31:31" ht="12.75" customHeight="1" x14ac:dyDescent="0.15">
      <c r="AE7193" s="13"/>
    </row>
    <row r="7194" spans="31:31" ht="12.75" customHeight="1" x14ac:dyDescent="0.15">
      <c r="AE7194" s="13"/>
    </row>
    <row r="7195" spans="31:31" ht="12.75" customHeight="1" x14ac:dyDescent="0.15">
      <c r="AE7195" s="13"/>
    </row>
    <row r="7196" spans="31:31" ht="12.75" customHeight="1" x14ac:dyDescent="0.15">
      <c r="AE7196" s="13"/>
    </row>
    <row r="7197" spans="31:31" ht="12.75" customHeight="1" x14ac:dyDescent="0.15">
      <c r="AE7197" s="13"/>
    </row>
    <row r="7198" spans="31:31" ht="12.75" customHeight="1" x14ac:dyDescent="0.15">
      <c r="AE7198" s="13"/>
    </row>
    <row r="7199" spans="31:31" ht="12.75" customHeight="1" x14ac:dyDescent="0.15">
      <c r="AE7199" s="13"/>
    </row>
    <row r="7200" spans="31:31" ht="12.75" customHeight="1" x14ac:dyDescent="0.15">
      <c r="AE7200" s="13"/>
    </row>
    <row r="7201" spans="31:31" ht="12.75" customHeight="1" x14ac:dyDescent="0.15">
      <c r="AE7201" s="13"/>
    </row>
    <row r="7202" spans="31:31" ht="12.75" customHeight="1" x14ac:dyDescent="0.15">
      <c r="AE7202" s="13"/>
    </row>
    <row r="7203" spans="31:31" ht="12.75" customHeight="1" x14ac:dyDescent="0.15">
      <c r="AE7203" s="13"/>
    </row>
    <row r="7204" spans="31:31" ht="12.75" customHeight="1" x14ac:dyDescent="0.15">
      <c r="AE7204" s="13"/>
    </row>
    <row r="7205" spans="31:31" ht="12.75" customHeight="1" x14ac:dyDescent="0.15">
      <c r="AE7205" s="13"/>
    </row>
    <row r="7206" spans="31:31" ht="12.75" customHeight="1" x14ac:dyDescent="0.15">
      <c r="AE7206" s="13"/>
    </row>
    <row r="7207" spans="31:31" ht="12.75" customHeight="1" x14ac:dyDescent="0.15">
      <c r="AE7207" s="13"/>
    </row>
    <row r="7208" spans="31:31" ht="12.75" customHeight="1" x14ac:dyDescent="0.15">
      <c r="AE7208" s="13"/>
    </row>
    <row r="7209" spans="31:31" ht="12.75" customHeight="1" x14ac:dyDescent="0.15">
      <c r="AE7209" s="13"/>
    </row>
    <row r="7210" spans="31:31" ht="12.75" customHeight="1" x14ac:dyDescent="0.15">
      <c r="AE7210" s="13"/>
    </row>
    <row r="7211" spans="31:31" ht="12.75" customHeight="1" x14ac:dyDescent="0.15">
      <c r="AE7211" s="13"/>
    </row>
    <row r="7212" spans="31:31" ht="12.75" customHeight="1" x14ac:dyDescent="0.15">
      <c r="AE7212" s="13"/>
    </row>
    <row r="7213" spans="31:31" ht="12.75" customHeight="1" x14ac:dyDescent="0.15">
      <c r="AE7213" s="13"/>
    </row>
    <row r="7214" spans="31:31" ht="12.75" customHeight="1" x14ac:dyDescent="0.15">
      <c r="AE7214" s="13"/>
    </row>
    <row r="7215" spans="31:31" ht="12.75" customHeight="1" x14ac:dyDescent="0.15">
      <c r="AE7215" s="13"/>
    </row>
    <row r="7216" spans="31:31" ht="12.75" customHeight="1" x14ac:dyDescent="0.15">
      <c r="AE7216" s="13"/>
    </row>
    <row r="7217" spans="31:31" ht="12.75" customHeight="1" x14ac:dyDescent="0.15">
      <c r="AE7217" s="13"/>
    </row>
    <row r="7218" spans="31:31" ht="12.75" customHeight="1" x14ac:dyDescent="0.15">
      <c r="AE7218" s="13"/>
    </row>
    <row r="7219" spans="31:31" ht="12.75" customHeight="1" x14ac:dyDescent="0.15">
      <c r="AE7219" s="13"/>
    </row>
    <row r="7220" spans="31:31" ht="12.75" customHeight="1" x14ac:dyDescent="0.15">
      <c r="AE7220" s="13"/>
    </row>
    <row r="7221" spans="31:31" ht="12.75" customHeight="1" x14ac:dyDescent="0.15">
      <c r="AE7221" s="13"/>
    </row>
    <row r="7222" spans="31:31" ht="12.75" customHeight="1" x14ac:dyDescent="0.15">
      <c r="AE7222" s="13"/>
    </row>
    <row r="7223" spans="31:31" ht="12.75" customHeight="1" x14ac:dyDescent="0.15">
      <c r="AE7223" s="13"/>
    </row>
    <row r="7224" spans="31:31" ht="12.75" customHeight="1" x14ac:dyDescent="0.15">
      <c r="AE7224" s="13"/>
    </row>
    <row r="7225" spans="31:31" ht="12.75" customHeight="1" x14ac:dyDescent="0.15">
      <c r="AE7225" s="13"/>
    </row>
    <row r="7226" spans="31:31" ht="12.75" customHeight="1" x14ac:dyDescent="0.15">
      <c r="AE7226" s="13"/>
    </row>
    <row r="7227" spans="31:31" ht="12.75" customHeight="1" x14ac:dyDescent="0.15">
      <c r="AE7227" s="13"/>
    </row>
    <row r="7228" spans="31:31" ht="12.75" customHeight="1" x14ac:dyDescent="0.15">
      <c r="AE7228" s="13"/>
    </row>
    <row r="7229" spans="31:31" ht="12.75" customHeight="1" x14ac:dyDescent="0.15">
      <c r="AE7229" s="13"/>
    </row>
    <row r="7230" spans="31:31" ht="12.75" customHeight="1" x14ac:dyDescent="0.15">
      <c r="AE7230" s="13"/>
    </row>
    <row r="7231" spans="31:31" ht="12.75" customHeight="1" x14ac:dyDescent="0.15">
      <c r="AE7231" s="13"/>
    </row>
    <row r="7232" spans="31:31" ht="12.75" customHeight="1" x14ac:dyDescent="0.15">
      <c r="AE7232" s="13"/>
    </row>
    <row r="7233" spans="31:31" ht="12.75" customHeight="1" x14ac:dyDescent="0.15">
      <c r="AE7233" s="13"/>
    </row>
    <row r="7234" spans="31:31" ht="12.75" customHeight="1" x14ac:dyDescent="0.15">
      <c r="AE7234" s="13"/>
    </row>
    <row r="7235" spans="31:31" ht="12.75" customHeight="1" x14ac:dyDescent="0.15">
      <c r="AE7235" s="13"/>
    </row>
    <row r="7236" spans="31:31" ht="12.75" customHeight="1" x14ac:dyDescent="0.15">
      <c r="AE7236" s="13"/>
    </row>
    <row r="7237" spans="31:31" ht="12.75" customHeight="1" x14ac:dyDescent="0.15">
      <c r="AE7237" s="13"/>
    </row>
    <row r="7238" spans="31:31" ht="12.75" customHeight="1" x14ac:dyDescent="0.15">
      <c r="AE7238" s="13"/>
    </row>
    <row r="7239" spans="31:31" ht="12.75" customHeight="1" x14ac:dyDescent="0.15">
      <c r="AE7239" s="13"/>
    </row>
    <row r="7240" spans="31:31" ht="12.75" customHeight="1" x14ac:dyDescent="0.15">
      <c r="AE7240" s="13"/>
    </row>
    <row r="7241" spans="31:31" ht="12.75" customHeight="1" x14ac:dyDescent="0.15">
      <c r="AE7241" s="13"/>
    </row>
    <row r="7242" spans="31:31" ht="12.75" customHeight="1" x14ac:dyDescent="0.15">
      <c r="AE7242" s="13"/>
    </row>
    <row r="7243" spans="31:31" ht="12.75" customHeight="1" x14ac:dyDescent="0.15">
      <c r="AE7243" s="13"/>
    </row>
    <row r="7244" spans="31:31" ht="12.75" customHeight="1" x14ac:dyDescent="0.15">
      <c r="AE7244" s="13"/>
    </row>
    <row r="7245" spans="31:31" ht="12.75" customHeight="1" x14ac:dyDescent="0.15">
      <c r="AE7245" s="13"/>
    </row>
    <row r="7246" spans="31:31" ht="12.75" customHeight="1" x14ac:dyDescent="0.15">
      <c r="AE7246" s="13"/>
    </row>
    <row r="7247" spans="31:31" ht="12.75" customHeight="1" x14ac:dyDescent="0.15">
      <c r="AE7247" s="13"/>
    </row>
    <row r="7248" spans="31:31" ht="12.75" customHeight="1" x14ac:dyDescent="0.15">
      <c r="AE7248" s="13"/>
    </row>
    <row r="7249" spans="31:31" ht="12.75" customHeight="1" x14ac:dyDescent="0.15">
      <c r="AE7249" s="13"/>
    </row>
    <row r="7250" spans="31:31" ht="12.75" customHeight="1" x14ac:dyDescent="0.15">
      <c r="AE7250" s="13"/>
    </row>
    <row r="7251" spans="31:31" ht="12.75" customHeight="1" x14ac:dyDescent="0.15">
      <c r="AE7251" s="13"/>
    </row>
    <row r="7252" spans="31:31" ht="12.75" customHeight="1" x14ac:dyDescent="0.15">
      <c r="AE7252" s="13"/>
    </row>
    <row r="7253" spans="31:31" ht="12.75" customHeight="1" x14ac:dyDescent="0.15">
      <c r="AE7253" s="13"/>
    </row>
    <row r="7254" spans="31:31" ht="12.75" customHeight="1" x14ac:dyDescent="0.15">
      <c r="AE7254" s="13"/>
    </row>
    <row r="7255" spans="31:31" ht="12.75" customHeight="1" x14ac:dyDescent="0.15">
      <c r="AE7255" s="13"/>
    </row>
    <row r="7256" spans="31:31" ht="12.75" customHeight="1" x14ac:dyDescent="0.15">
      <c r="AE7256" s="13"/>
    </row>
    <row r="7257" spans="31:31" ht="12.75" customHeight="1" x14ac:dyDescent="0.15">
      <c r="AE7257" s="13"/>
    </row>
    <row r="7258" spans="31:31" ht="12.75" customHeight="1" x14ac:dyDescent="0.15">
      <c r="AE7258" s="13"/>
    </row>
    <row r="7259" spans="31:31" ht="12.75" customHeight="1" x14ac:dyDescent="0.15">
      <c r="AE7259" s="13"/>
    </row>
    <row r="7260" spans="31:31" ht="12.75" customHeight="1" x14ac:dyDescent="0.15">
      <c r="AE7260" s="13"/>
    </row>
    <row r="7261" spans="31:31" ht="12.75" customHeight="1" x14ac:dyDescent="0.15">
      <c r="AE7261" s="13"/>
    </row>
    <row r="7262" spans="31:31" ht="12.75" customHeight="1" x14ac:dyDescent="0.15">
      <c r="AE7262" s="13"/>
    </row>
    <row r="7263" spans="31:31" ht="12.75" customHeight="1" x14ac:dyDescent="0.15">
      <c r="AE7263" s="13"/>
    </row>
    <row r="7264" spans="31:31" ht="12.75" customHeight="1" x14ac:dyDescent="0.15">
      <c r="AE7264" s="13"/>
    </row>
    <row r="7265" spans="31:31" ht="12.75" customHeight="1" x14ac:dyDescent="0.15">
      <c r="AE7265" s="13"/>
    </row>
    <row r="7266" spans="31:31" ht="12.75" customHeight="1" x14ac:dyDescent="0.15">
      <c r="AE7266" s="13"/>
    </row>
    <row r="7267" spans="31:31" ht="12.75" customHeight="1" x14ac:dyDescent="0.15">
      <c r="AE7267" s="13"/>
    </row>
    <row r="7268" spans="31:31" ht="12.75" customHeight="1" x14ac:dyDescent="0.15">
      <c r="AE7268" s="13"/>
    </row>
    <row r="7269" spans="31:31" ht="12.75" customHeight="1" x14ac:dyDescent="0.15">
      <c r="AE7269" s="13"/>
    </row>
    <row r="7270" spans="31:31" ht="12.75" customHeight="1" x14ac:dyDescent="0.15">
      <c r="AE7270" s="13"/>
    </row>
    <row r="7271" spans="31:31" ht="12.75" customHeight="1" x14ac:dyDescent="0.15">
      <c r="AE7271" s="13"/>
    </row>
    <row r="7272" spans="31:31" ht="12.75" customHeight="1" x14ac:dyDescent="0.15">
      <c r="AE7272" s="13"/>
    </row>
    <row r="7273" spans="31:31" ht="12.75" customHeight="1" x14ac:dyDescent="0.15">
      <c r="AE7273" s="13"/>
    </row>
    <row r="7274" spans="31:31" ht="12.75" customHeight="1" x14ac:dyDescent="0.15">
      <c r="AE7274" s="13"/>
    </row>
    <row r="7275" spans="31:31" ht="12.75" customHeight="1" x14ac:dyDescent="0.15">
      <c r="AE7275" s="13"/>
    </row>
    <row r="7276" spans="31:31" ht="12.75" customHeight="1" x14ac:dyDescent="0.15">
      <c r="AE7276" s="13"/>
    </row>
    <row r="7277" spans="31:31" ht="12.75" customHeight="1" x14ac:dyDescent="0.15">
      <c r="AE7277" s="13"/>
    </row>
    <row r="7278" spans="31:31" ht="12.75" customHeight="1" x14ac:dyDescent="0.15">
      <c r="AE7278" s="13"/>
    </row>
    <row r="7279" spans="31:31" ht="12.75" customHeight="1" x14ac:dyDescent="0.15">
      <c r="AE7279" s="13"/>
    </row>
    <row r="7280" spans="31:31" ht="12.75" customHeight="1" x14ac:dyDescent="0.15">
      <c r="AE7280" s="13"/>
    </row>
    <row r="7281" spans="31:31" ht="12.75" customHeight="1" x14ac:dyDescent="0.15">
      <c r="AE7281" s="13"/>
    </row>
    <row r="7282" spans="31:31" ht="12.75" customHeight="1" x14ac:dyDescent="0.15">
      <c r="AE7282" s="13"/>
    </row>
    <row r="7283" spans="31:31" ht="12.75" customHeight="1" x14ac:dyDescent="0.15">
      <c r="AE7283" s="13"/>
    </row>
    <row r="7284" spans="31:31" ht="12.75" customHeight="1" x14ac:dyDescent="0.15">
      <c r="AE7284" s="13"/>
    </row>
    <row r="7285" spans="31:31" ht="12.75" customHeight="1" x14ac:dyDescent="0.15">
      <c r="AE7285" s="13"/>
    </row>
    <row r="7286" spans="31:31" ht="12.75" customHeight="1" x14ac:dyDescent="0.15">
      <c r="AE7286" s="13"/>
    </row>
    <row r="7287" spans="31:31" ht="12.75" customHeight="1" x14ac:dyDescent="0.15">
      <c r="AE7287" s="13"/>
    </row>
    <row r="7288" spans="31:31" ht="12.75" customHeight="1" x14ac:dyDescent="0.15">
      <c r="AE7288" s="13"/>
    </row>
    <row r="7289" spans="31:31" ht="12.75" customHeight="1" x14ac:dyDescent="0.15">
      <c r="AE7289" s="13"/>
    </row>
    <row r="7290" spans="31:31" ht="12.75" customHeight="1" x14ac:dyDescent="0.15">
      <c r="AE7290" s="13"/>
    </row>
    <row r="7291" spans="31:31" ht="12.75" customHeight="1" x14ac:dyDescent="0.15">
      <c r="AE7291" s="13"/>
    </row>
    <row r="7292" spans="31:31" ht="12.75" customHeight="1" x14ac:dyDescent="0.15">
      <c r="AE7292" s="13"/>
    </row>
    <row r="7293" spans="31:31" ht="12.75" customHeight="1" x14ac:dyDescent="0.15">
      <c r="AE7293" s="13"/>
    </row>
    <row r="7294" spans="31:31" ht="12.75" customHeight="1" x14ac:dyDescent="0.15">
      <c r="AE7294" s="13"/>
    </row>
    <row r="7295" spans="31:31" ht="12.75" customHeight="1" x14ac:dyDescent="0.15">
      <c r="AE7295" s="13"/>
    </row>
    <row r="7296" spans="31:31" ht="12.75" customHeight="1" x14ac:dyDescent="0.15">
      <c r="AE7296" s="13"/>
    </row>
    <row r="7297" spans="31:31" ht="12.75" customHeight="1" x14ac:dyDescent="0.15">
      <c r="AE7297" s="13"/>
    </row>
    <row r="7298" spans="31:31" ht="12.75" customHeight="1" x14ac:dyDescent="0.15">
      <c r="AE7298" s="13"/>
    </row>
    <row r="7299" spans="31:31" ht="12.75" customHeight="1" x14ac:dyDescent="0.15">
      <c r="AE7299" s="13"/>
    </row>
    <row r="7300" spans="31:31" ht="12.75" customHeight="1" x14ac:dyDescent="0.15">
      <c r="AE7300" s="13"/>
    </row>
    <row r="7301" spans="31:31" ht="12.75" customHeight="1" x14ac:dyDescent="0.15">
      <c r="AE7301" s="13"/>
    </row>
    <row r="7302" spans="31:31" ht="12.75" customHeight="1" x14ac:dyDescent="0.15">
      <c r="AE7302" s="13"/>
    </row>
    <row r="7303" spans="31:31" ht="12.75" customHeight="1" x14ac:dyDescent="0.15">
      <c r="AE7303" s="13"/>
    </row>
    <row r="7304" spans="31:31" ht="12.75" customHeight="1" x14ac:dyDescent="0.15">
      <c r="AE7304" s="13"/>
    </row>
    <row r="7305" spans="31:31" ht="12.75" customHeight="1" x14ac:dyDescent="0.15">
      <c r="AE7305" s="13"/>
    </row>
    <row r="7306" spans="31:31" ht="12.75" customHeight="1" x14ac:dyDescent="0.15">
      <c r="AE7306" s="13"/>
    </row>
    <row r="7307" spans="31:31" ht="12.75" customHeight="1" x14ac:dyDescent="0.15">
      <c r="AE7307" s="13"/>
    </row>
    <row r="7308" spans="31:31" ht="12.75" customHeight="1" x14ac:dyDescent="0.15">
      <c r="AE7308" s="13"/>
    </row>
    <row r="7309" spans="31:31" ht="12.75" customHeight="1" x14ac:dyDescent="0.15">
      <c r="AE7309" s="13"/>
    </row>
    <row r="7310" spans="31:31" ht="12.75" customHeight="1" x14ac:dyDescent="0.15">
      <c r="AE7310" s="13"/>
    </row>
    <row r="7311" spans="31:31" ht="12.75" customHeight="1" x14ac:dyDescent="0.15">
      <c r="AE7311" s="13"/>
    </row>
    <row r="7312" spans="31:31" ht="12.75" customHeight="1" x14ac:dyDescent="0.15">
      <c r="AE7312" s="13"/>
    </row>
    <row r="7313" spans="31:31" ht="12.75" customHeight="1" x14ac:dyDescent="0.15">
      <c r="AE7313" s="13"/>
    </row>
    <row r="7314" spans="31:31" ht="12.75" customHeight="1" x14ac:dyDescent="0.15">
      <c r="AE7314" s="13"/>
    </row>
    <row r="7315" spans="31:31" ht="12.75" customHeight="1" x14ac:dyDescent="0.15">
      <c r="AE7315" s="13"/>
    </row>
    <row r="7316" spans="31:31" ht="12.75" customHeight="1" x14ac:dyDescent="0.15">
      <c r="AE7316" s="13"/>
    </row>
    <row r="7317" spans="31:31" ht="12.75" customHeight="1" x14ac:dyDescent="0.15">
      <c r="AE7317" s="13"/>
    </row>
    <row r="7318" spans="31:31" ht="12.75" customHeight="1" x14ac:dyDescent="0.15">
      <c r="AE7318" s="13"/>
    </row>
    <row r="7319" spans="31:31" ht="12.75" customHeight="1" x14ac:dyDescent="0.15">
      <c r="AE7319" s="13"/>
    </row>
    <row r="7320" spans="31:31" ht="12.75" customHeight="1" x14ac:dyDescent="0.15">
      <c r="AE7320" s="13"/>
    </row>
    <row r="7321" spans="31:31" ht="12.75" customHeight="1" x14ac:dyDescent="0.15">
      <c r="AE7321" s="13"/>
    </row>
    <row r="7322" spans="31:31" ht="12.75" customHeight="1" x14ac:dyDescent="0.15">
      <c r="AE7322" s="13"/>
    </row>
    <row r="7323" spans="31:31" ht="12.75" customHeight="1" x14ac:dyDescent="0.15">
      <c r="AE7323" s="13"/>
    </row>
    <row r="7324" spans="31:31" ht="12.75" customHeight="1" x14ac:dyDescent="0.15">
      <c r="AE7324" s="13"/>
    </row>
    <row r="7325" spans="31:31" ht="12.75" customHeight="1" x14ac:dyDescent="0.15">
      <c r="AE7325" s="13"/>
    </row>
    <row r="7326" spans="31:31" ht="12.75" customHeight="1" x14ac:dyDescent="0.15">
      <c r="AE7326" s="13"/>
    </row>
    <row r="7327" spans="31:31" ht="12.75" customHeight="1" x14ac:dyDescent="0.15">
      <c r="AE7327" s="13"/>
    </row>
    <row r="7328" spans="31:31" ht="12.75" customHeight="1" x14ac:dyDescent="0.15">
      <c r="AE7328" s="13"/>
    </row>
    <row r="7329" spans="31:31" ht="12.75" customHeight="1" x14ac:dyDescent="0.15">
      <c r="AE7329" s="13"/>
    </row>
    <row r="7330" spans="31:31" ht="12.75" customHeight="1" x14ac:dyDescent="0.15">
      <c r="AE7330" s="13"/>
    </row>
    <row r="7331" spans="31:31" ht="12.75" customHeight="1" x14ac:dyDescent="0.15">
      <c r="AE7331" s="13"/>
    </row>
    <row r="7332" spans="31:31" ht="12.75" customHeight="1" x14ac:dyDescent="0.15">
      <c r="AE7332" s="13"/>
    </row>
    <row r="7333" spans="31:31" ht="12.75" customHeight="1" x14ac:dyDescent="0.15">
      <c r="AE7333" s="13"/>
    </row>
    <row r="7334" spans="31:31" ht="12.75" customHeight="1" x14ac:dyDescent="0.15">
      <c r="AE7334" s="13"/>
    </row>
    <row r="7335" spans="31:31" ht="12.75" customHeight="1" x14ac:dyDescent="0.15">
      <c r="AE7335" s="13"/>
    </row>
    <row r="7336" spans="31:31" ht="12.75" customHeight="1" x14ac:dyDescent="0.15">
      <c r="AE7336" s="13"/>
    </row>
    <row r="7337" spans="31:31" ht="12.75" customHeight="1" x14ac:dyDescent="0.15">
      <c r="AE7337" s="13"/>
    </row>
    <row r="7338" spans="31:31" ht="12.75" customHeight="1" x14ac:dyDescent="0.15">
      <c r="AE7338" s="13"/>
    </row>
    <row r="7339" spans="31:31" ht="12.75" customHeight="1" x14ac:dyDescent="0.15">
      <c r="AE7339" s="13"/>
    </row>
    <row r="7340" spans="31:31" ht="12.75" customHeight="1" x14ac:dyDescent="0.15">
      <c r="AE7340" s="13"/>
    </row>
    <row r="7341" spans="31:31" ht="12.75" customHeight="1" x14ac:dyDescent="0.15">
      <c r="AE7341" s="13"/>
    </row>
    <row r="7342" spans="31:31" ht="12.75" customHeight="1" x14ac:dyDescent="0.15">
      <c r="AE7342" s="13"/>
    </row>
    <row r="7343" spans="31:31" ht="12.75" customHeight="1" x14ac:dyDescent="0.15">
      <c r="AE7343" s="13"/>
    </row>
    <row r="7344" spans="31:31" ht="12.75" customHeight="1" x14ac:dyDescent="0.15">
      <c r="AE7344" s="13"/>
    </row>
    <row r="7345" spans="31:31" ht="12.75" customHeight="1" x14ac:dyDescent="0.15">
      <c r="AE7345" s="13"/>
    </row>
    <row r="7346" spans="31:31" ht="12.75" customHeight="1" x14ac:dyDescent="0.15">
      <c r="AE7346" s="13"/>
    </row>
    <row r="7347" spans="31:31" ht="12.75" customHeight="1" x14ac:dyDescent="0.15">
      <c r="AE7347" s="13"/>
    </row>
    <row r="7348" spans="31:31" ht="12.75" customHeight="1" x14ac:dyDescent="0.15">
      <c r="AE7348" s="13"/>
    </row>
    <row r="7349" spans="31:31" ht="12.75" customHeight="1" x14ac:dyDescent="0.15">
      <c r="AE7349" s="13"/>
    </row>
    <row r="7350" spans="31:31" ht="12.75" customHeight="1" x14ac:dyDescent="0.15">
      <c r="AE7350" s="13"/>
    </row>
    <row r="7351" spans="31:31" ht="12.75" customHeight="1" x14ac:dyDescent="0.15">
      <c r="AE7351" s="13"/>
    </row>
    <row r="7352" spans="31:31" ht="12.75" customHeight="1" x14ac:dyDescent="0.15">
      <c r="AE7352" s="13"/>
    </row>
    <row r="7353" spans="31:31" ht="12.75" customHeight="1" x14ac:dyDescent="0.15">
      <c r="AE7353" s="13"/>
    </row>
    <row r="7354" spans="31:31" ht="12.75" customHeight="1" x14ac:dyDescent="0.15">
      <c r="AE7354" s="13"/>
    </row>
    <row r="7355" spans="31:31" ht="12.75" customHeight="1" x14ac:dyDescent="0.15">
      <c r="AE7355" s="13"/>
    </row>
    <row r="7356" spans="31:31" ht="12.75" customHeight="1" x14ac:dyDescent="0.15">
      <c r="AE7356" s="13"/>
    </row>
    <row r="7357" spans="31:31" ht="12.75" customHeight="1" x14ac:dyDescent="0.15">
      <c r="AE7357" s="13"/>
    </row>
    <row r="7358" spans="31:31" ht="12.75" customHeight="1" x14ac:dyDescent="0.15">
      <c r="AE7358" s="13"/>
    </row>
    <row r="7359" spans="31:31" ht="12.75" customHeight="1" x14ac:dyDescent="0.15">
      <c r="AE7359" s="13"/>
    </row>
    <row r="7360" spans="31:31" ht="12.75" customHeight="1" x14ac:dyDescent="0.15">
      <c r="AE7360" s="13"/>
    </row>
    <row r="7361" spans="31:31" ht="12.75" customHeight="1" x14ac:dyDescent="0.15">
      <c r="AE7361" s="13"/>
    </row>
    <row r="7362" spans="31:31" ht="12.75" customHeight="1" x14ac:dyDescent="0.15">
      <c r="AE7362" s="13"/>
    </row>
    <row r="7363" spans="31:31" ht="12.75" customHeight="1" x14ac:dyDescent="0.15">
      <c r="AE7363" s="13"/>
    </row>
    <row r="7364" spans="31:31" ht="12.75" customHeight="1" x14ac:dyDescent="0.15">
      <c r="AE7364" s="13"/>
    </row>
    <row r="7365" spans="31:31" ht="12.75" customHeight="1" x14ac:dyDescent="0.15">
      <c r="AE7365" s="13"/>
    </row>
    <row r="7366" spans="31:31" ht="12.75" customHeight="1" x14ac:dyDescent="0.15">
      <c r="AE7366" s="13"/>
    </row>
    <row r="7367" spans="31:31" ht="12.75" customHeight="1" x14ac:dyDescent="0.15">
      <c r="AE7367" s="13"/>
    </row>
    <row r="7368" spans="31:31" ht="12.75" customHeight="1" x14ac:dyDescent="0.15">
      <c r="AE7368" s="13"/>
    </row>
    <row r="7369" spans="31:31" ht="12.75" customHeight="1" x14ac:dyDescent="0.15">
      <c r="AE7369" s="13"/>
    </row>
    <row r="7370" spans="31:31" ht="12.75" customHeight="1" x14ac:dyDescent="0.15">
      <c r="AE7370" s="13"/>
    </row>
    <row r="7371" spans="31:31" ht="12.75" customHeight="1" x14ac:dyDescent="0.15">
      <c r="AE7371" s="13"/>
    </row>
    <row r="7372" spans="31:31" ht="12.75" customHeight="1" x14ac:dyDescent="0.15">
      <c r="AE7372" s="13"/>
    </row>
    <row r="7373" spans="31:31" ht="12.75" customHeight="1" x14ac:dyDescent="0.15">
      <c r="AE7373" s="13"/>
    </row>
    <row r="7374" spans="31:31" ht="12.75" customHeight="1" x14ac:dyDescent="0.15">
      <c r="AE7374" s="13"/>
    </row>
    <row r="7375" spans="31:31" ht="12.75" customHeight="1" x14ac:dyDescent="0.15">
      <c r="AE7375" s="13"/>
    </row>
    <row r="7376" spans="31:31" ht="12.75" customHeight="1" x14ac:dyDescent="0.15">
      <c r="AE7376" s="13"/>
    </row>
    <row r="7377" spans="31:31" ht="12.75" customHeight="1" x14ac:dyDescent="0.15">
      <c r="AE7377" s="13"/>
    </row>
    <row r="7378" spans="31:31" ht="12.75" customHeight="1" x14ac:dyDescent="0.15">
      <c r="AE7378" s="13"/>
    </row>
    <row r="7379" spans="31:31" ht="12.75" customHeight="1" x14ac:dyDescent="0.15">
      <c r="AE7379" s="13"/>
    </row>
    <row r="7380" spans="31:31" ht="12.75" customHeight="1" x14ac:dyDescent="0.15">
      <c r="AE7380" s="13"/>
    </row>
    <row r="7381" spans="31:31" ht="12.75" customHeight="1" x14ac:dyDescent="0.15">
      <c r="AE7381" s="13"/>
    </row>
    <row r="7382" spans="31:31" ht="12.75" customHeight="1" x14ac:dyDescent="0.15">
      <c r="AE7382" s="13"/>
    </row>
    <row r="7383" spans="31:31" ht="12.75" customHeight="1" x14ac:dyDescent="0.15">
      <c r="AE7383" s="13"/>
    </row>
    <row r="7384" spans="31:31" ht="12.75" customHeight="1" x14ac:dyDescent="0.15">
      <c r="AE7384" s="13"/>
    </row>
    <row r="7385" spans="31:31" ht="12.75" customHeight="1" x14ac:dyDescent="0.15">
      <c r="AE7385" s="13"/>
    </row>
    <row r="7386" spans="31:31" ht="12.75" customHeight="1" x14ac:dyDescent="0.15">
      <c r="AE7386" s="13"/>
    </row>
    <row r="7387" spans="31:31" ht="12.75" customHeight="1" x14ac:dyDescent="0.15">
      <c r="AE7387" s="13"/>
    </row>
    <row r="7388" spans="31:31" ht="12.75" customHeight="1" x14ac:dyDescent="0.15">
      <c r="AE7388" s="13"/>
    </row>
    <row r="7389" spans="31:31" ht="12.75" customHeight="1" x14ac:dyDescent="0.15">
      <c r="AE7389" s="13"/>
    </row>
    <row r="7390" spans="31:31" ht="12.75" customHeight="1" x14ac:dyDescent="0.15">
      <c r="AE7390" s="13"/>
    </row>
    <row r="7391" spans="31:31" ht="12.75" customHeight="1" x14ac:dyDescent="0.15">
      <c r="AE7391" s="13"/>
    </row>
    <row r="7392" spans="31:31" ht="12.75" customHeight="1" x14ac:dyDescent="0.15">
      <c r="AE7392" s="13"/>
    </row>
    <row r="7393" spans="31:31" ht="12.75" customHeight="1" x14ac:dyDescent="0.15">
      <c r="AE7393" s="13"/>
    </row>
    <row r="7394" spans="31:31" ht="12.75" customHeight="1" x14ac:dyDescent="0.15">
      <c r="AE7394" s="13"/>
    </row>
    <row r="7395" spans="31:31" ht="12.75" customHeight="1" x14ac:dyDescent="0.15">
      <c r="AE7395" s="13"/>
    </row>
    <row r="7396" spans="31:31" ht="12.75" customHeight="1" x14ac:dyDescent="0.15">
      <c r="AE7396" s="13"/>
    </row>
    <row r="7397" spans="31:31" ht="12.75" customHeight="1" x14ac:dyDescent="0.15">
      <c r="AE7397" s="13"/>
    </row>
    <row r="7398" spans="31:31" ht="12.75" customHeight="1" x14ac:dyDescent="0.15">
      <c r="AE7398" s="13"/>
    </row>
    <row r="7399" spans="31:31" ht="12.75" customHeight="1" x14ac:dyDescent="0.15">
      <c r="AE7399" s="13"/>
    </row>
    <row r="7400" spans="31:31" ht="12.75" customHeight="1" x14ac:dyDescent="0.15">
      <c r="AE7400" s="13"/>
    </row>
    <row r="7401" spans="31:31" ht="12.75" customHeight="1" x14ac:dyDescent="0.15">
      <c r="AE7401" s="13"/>
    </row>
    <row r="7402" spans="31:31" ht="12.75" customHeight="1" x14ac:dyDescent="0.15">
      <c r="AE7402" s="13"/>
    </row>
    <row r="7403" spans="31:31" ht="12.75" customHeight="1" x14ac:dyDescent="0.15">
      <c r="AE7403" s="13"/>
    </row>
    <row r="7404" spans="31:31" ht="12.75" customHeight="1" x14ac:dyDescent="0.15">
      <c r="AE7404" s="13"/>
    </row>
    <row r="7405" spans="31:31" ht="12.75" customHeight="1" x14ac:dyDescent="0.15">
      <c r="AE7405" s="13"/>
    </row>
    <row r="7406" spans="31:31" ht="12.75" customHeight="1" x14ac:dyDescent="0.15">
      <c r="AE7406" s="13"/>
    </row>
    <row r="7407" spans="31:31" ht="12.75" customHeight="1" x14ac:dyDescent="0.15">
      <c r="AE7407" s="13"/>
    </row>
    <row r="7408" spans="31:31" ht="12.75" customHeight="1" x14ac:dyDescent="0.15">
      <c r="AE7408" s="13"/>
    </row>
    <row r="7409" spans="31:31" ht="12.75" customHeight="1" x14ac:dyDescent="0.15">
      <c r="AE7409" s="13"/>
    </row>
    <row r="7410" spans="31:31" ht="12.75" customHeight="1" x14ac:dyDescent="0.15">
      <c r="AE7410" s="13"/>
    </row>
    <row r="7411" spans="31:31" ht="12.75" customHeight="1" x14ac:dyDescent="0.15">
      <c r="AE7411" s="13"/>
    </row>
    <row r="7412" spans="31:31" ht="12.75" customHeight="1" x14ac:dyDescent="0.15">
      <c r="AE7412" s="13"/>
    </row>
    <row r="7413" spans="31:31" ht="12.75" customHeight="1" x14ac:dyDescent="0.15">
      <c r="AE7413" s="13"/>
    </row>
    <row r="7414" spans="31:31" ht="12.75" customHeight="1" x14ac:dyDescent="0.15">
      <c r="AE7414" s="13"/>
    </row>
    <row r="7415" spans="31:31" ht="12.75" customHeight="1" x14ac:dyDescent="0.15">
      <c r="AE7415" s="13"/>
    </row>
    <row r="7416" spans="31:31" ht="12.75" customHeight="1" x14ac:dyDescent="0.15">
      <c r="AE7416" s="13"/>
    </row>
    <row r="7417" spans="31:31" ht="12.75" customHeight="1" x14ac:dyDescent="0.15">
      <c r="AE7417" s="13"/>
    </row>
    <row r="7418" spans="31:31" ht="12.75" customHeight="1" x14ac:dyDescent="0.15">
      <c r="AE7418" s="13"/>
    </row>
    <row r="7419" spans="31:31" ht="12.75" customHeight="1" x14ac:dyDescent="0.15">
      <c r="AE7419" s="13"/>
    </row>
    <row r="7420" spans="31:31" ht="12.75" customHeight="1" x14ac:dyDescent="0.15">
      <c r="AE7420" s="13"/>
    </row>
    <row r="7421" spans="31:31" ht="12.75" customHeight="1" x14ac:dyDescent="0.15">
      <c r="AE7421" s="13"/>
    </row>
    <row r="7422" spans="31:31" ht="12.75" customHeight="1" x14ac:dyDescent="0.15">
      <c r="AE7422" s="13"/>
    </row>
    <row r="7423" spans="31:31" ht="12.75" customHeight="1" x14ac:dyDescent="0.15">
      <c r="AE7423" s="13"/>
    </row>
    <row r="7424" spans="31:31" ht="12.75" customHeight="1" x14ac:dyDescent="0.15">
      <c r="AE7424" s="13"/>
    </row>
    <row r="7425" spans="31:31" ht="12.75" customHeight="1" x14ac:dyDescent="0.15">
      <c r="AE7425" s="13"/>
    </row>
    <row r="7426" spans="31:31" ht="12.75" customHeight="1" x14ac:dyDescent="0.15">
      <c r="AE7426" s="13"/>
    </row>
    <row r="7427" spans="31:31" ht="12.75" customHeight="1" x14ac:dyDescent="0.15">
      <c r="AE7427" s="13"/>
    </row>
    <row r="7428" spans="31:31" ht="12.75" customHeight="1" x14ac:dyDescent="0.15">
      <c r="AE7428" s="13"/>
    </row>
    <row r="7429" spans="31:31" ht="12.75" customHeight="1" x14ac:dyDescent="0.15">
      <c r="AE7429" s="13"/>
    </row>
    <row r="7430" spans="31:31" ht="12.75" customHeight="1" x14ac:dyDescent="0.15">
      <c r="AE7430" s="13"/>
    </row>
    <row r="7431" spans="31:31" ht="12.75" customHeight="1" x14ac:dyDescent="0.15">
      <c r="AE7431" s="13"/>
    </row>
    <row r="7432" spans="31:31" ht="12.75" customHeight="1" x14ac:dyDescent="0.15">
      <c r="AE7432" s="13"/>
    </row>
    <row r="7433" spans="31:31" ht="12.75" customHeight="1" x14ac:dyDescent="0.15">
      <c r="AE7433" s="13"/>
    </row>
    <row r="7434" spans="31:31" ht="12.75" customHeight="1" x14ac:dyDescent="0.15">
      <c r="AE7434" s="13"/>
    </row>
    <row r="7435" spans="31:31" ht="12.75" customHeight="1" x14ac:dyDescent="0.15">
      <c r="AE7435" s="13"/>
    </row>
    <row r="7436" spans="31:31" ht="12.75" customHeight="1" x14ac:dyDescent="0.15">
      <c r="AE7436" s="13"/>
    </row>
    <row r="7437" spans="31:31" ht="12.75" customHeight="1" x14ac:dyDescent="0.15">
      <c r="AE7437" s="13"/>
    </row>
    <row r="7438" spans="31:31" ht="12.75" customHeight="1" x14ac:dyDescent="0.15">
      <c r="AE7438" s="13"/>
    </row>
    <row r="7439" spans="31:31" ht="12.75" customHeight="1" x14ac:dyDescent="0.15">
      <c r="AE7439" s="13"/>
    </row>
    <row r="7440" spans="31:31" ht="12.75" customHeight="1" x14ac:dyDescent="0.15">
      <c r="AE7440" s="13"/>
    </row>
    <row r="7441" spans="31:31" ht="12.75" customHeight="1" x14ac:dyDescent="0.15">
      <c r="AE7441" s="13"/>
    </row>
    <row r="7442" spans="31:31" ht="12.75" customHeight="1" x14ac:dyDescent="0.15">
      <c r="AE7442" s="13"/>
    </row>
    <row r="7443" spans="31:31" ht="12.75" customHeight="1" x14ac:dyDescent="0.15">
      <c r="AE7443" s="13"/>
    </row>
    <row r="7444" spans="31:31" ht="12.75" customHeight="1" x14ac:dyDescent="0.15">
      <c r="AE7444" s="13"/>
    </row>
    <row r="7445" spans="31:31" ht="12.75" customHeight="1" x14ac:dyDescent="0.15">
      <c r="AE7445" s="13"/>
    </row>
    <row r="7446" spans="31:31" ht="12.75" customHeight="1" x14ac:dyDescent="0.15">
      <c r="AE7446" s="13"/>
    </row>
    <row r="7447" spans="31:31" ht="12.75" customHeight="1" x14ac:dyDescent="0.15">
      <c r="AE7447" s="13"/>
    </row>
    <row r="7448" spans="31:31" ht="12.75" customHeight="1" x14ac:dyDescent="0.15">
      <c r="AE7448" s="13"/>
    </row>
    <row r="7449" spans="31:31" ht="12.75" customHeight="1" x14ac:dyDescent="0.15">
      <c r="AE7449" s="13"/>
    </row>
    <row r="7450" spans="31:31" ht="12.75" customHeight="1" x14ac:dyDescent="0.15">
      <c r="AE7450" s="13"/>
    </row>
    <row r="7451" spans="31:31" ht="12.75" customHeight="1" x14ac:dyDescent="0.15">
      <c r="AE7451" s="13"/>
    </row>
    <row r="7452" spans="31:31" ht="12.75" customHeight="1" x14ac:dyDescent="0.15">
      <c r="AE7452" s="13"/>
    </row>
    <row r="7453" spans="31:31" ht="12.75" customHeight="1" x14ac:dyDescent="0.15">
      <c r="AE7453" s="13"/>
    </row>
    <row r="7454" spans="31:31" ht="12.75" customHeight="1" x14ac:dyDescent="0.15">
      <c r="AE7454" s="13"/>
    </row>
    <row r="7455" spans="31:31" ht="12.75" customHeight="1" x14ac:dyDescent="0.15">
      <c r="AE7455" s="13"/>
    </row>
    <row r="7456" spans="31:31" ht="12.75" customHeight="1" x14ac:dyDescent="0.15">
      <c r="AE7456" s="13"/>
    </row>
    <row r="7457" spans="31:31" ht="12.75" customHeight="1" x14ac:dyDescent="0.15">
      <c r="AE7457" s="13"/>
    </row>
    <row r="7458" spans="31:31" ht="12.75" customHeight="1" x14ac:dyDescent="0.15">
      <c r="AE7458" s="13"/>
    </row>
    <row r="7459" spans="31:31" ht="12.75" customHeight="1" x14ac:dyDescent="0.15">
      <c r="AE7459" s="13"/>
    </row>
    <row r="7460" spans="31:31" ht="12.75" customHeight="1" x14ac:dyDescent="0.15">
      <c r="AE7460" s="13"/>
    </row>
    <row r="7461" spans="31:31" ht="12.75" customHeight="1" x14ac:dyDescent="0.15">
      <c r="AE7461" s="13"/>
    </row>
    <row r="7462" spans="31:31" ht="12.75" customHeight="1" x14ac:dyDescent="0.15">
      <c r="AE7462" s="13"/>
    </row>
    <row r="7463" spans="31:31" ht="12.75" customHeight="1" x14ac:dyDescent="0.15">
      <c r="AE7463" s="13"/>
    </row>
    <row r="7464" spans="31:31" ht="12.75" customHeight="1" x14ac:dyDescent="0.15">
      <c r="AE7464" s="13"/>
    </row>
    <row r="7465" spans="31:31" ht="12.75" customHeight="1" x14ac:dyDescent="0.15">
      <c r="AE7465" s="13"/>
    </row>
    <row r="7466" spans="31:31" ht="12.75" customHeight="1" x14ac:dyDescent="0.15">
      <c r="AE7466" s="13"/>
    </row>
    <row r="7467" spans="31:31" ht="12.75" customHeight="1" x14ac:dyDescent="0.15">
      <c r="AE7467" s="13"/>
    </row>
    <row r="7468" spans="31:31" ht="12.75" customHeight="1" x14ac:dyDescent="0.15">
      <c r="AE7468" s="13"/>
    </row>
    <row r="7469" spans="31:31" ht="12.75" customHeight="1" x14ac:dyDescent="0.15">
      <c r="AE7469" s="13"/>
    </row>
    <row r="7470" spans="31:31" ht="12.75" customHeight="1" x14ac:dyDescent="0.15">
      <c r="AE7470" s="13"/>
    </row>
    <row r="7471" spans="31:31" ht="12.75" customHeight="1" x14ac:dyDescent="0.15">
      <c r="AE7471" s="13"/>
    </row>
    <row r="7472" spans="31:31" ht="12.75" customHeight="1" x14ac:dyDescent="0.15">
      <c r="AE7472" s="13"/>
    </row>
    <row r="7473" spans="31:31" ht="12.75" customHeight="1" x14ac:dyDescent="0.15">
      <c r="AE7473" s="13"/>
    </row>
    <row r="7474" spans="31:31" ht="12.75" customHeight="1" x14ac:dyDescent="0.15">
      <c r="AE7474" s="13"/>
    </row>
    <row r="7475" spans="31:31" ht="12.75" customHeight="1" x14ac:dyDescent="0.15">
      <c r="AE7475" s="13"/>
    </row>
    <row r="7476" spans="31:31" ht="12.75" customHeight="1" x14ac:dyDescent="0.15">
      <c r="AE7476" s="13"/>
    </row>
    <row r="7477" spans="31:31" ht="12.75" customHeight="1" x14ac:dyDescent="0.15">
      <c r="AE7477" s="13"/>
    </row>
    <row r="7478" spans="31:31" ht="12.75" customHeight="1" x14ac:dyDescent="0.15">
      <c r="AE7478" s="13"/>
    </row>
    <row r="7479" spans="31:31" ht="12.75" customHeight="1" x14ac:dyDescent="0.15">
      <c r="AE7479" s="13"/>
    </row>
    <row r="7480" spans="31:31" ht="12.75" customHeight="1" x14ac:dyDescent="0.15">
      <c r="AE7480" s="13"/>
    </row>
    <row r="7481" spans="31:31" ht="12.75" customHeight="1" x14ac:dyDescent="0.15">
      <c r="AE7481" s="13"/>
    </row>
    <row r="7482" spans="31:31" ht="12.75" customHeight="1" x14ac:dyDescent="0.15">
      <c r="AE7482" s="13"/>
    </row>
    <row r="7483" spans="31:31" ht="12.75" customHeight="1" x14ac:dyDescent="0.15">
      <c r="AE7483" s="13"/>
    </row>
    <row r="7484" spans="31:31" ht="12.75" customHeight="1" x14ac:dyDescent="0.15">
      <c r="AE7484" s="13"/>
    </row>
    <row r="7485" spans="31:31" ht="12.75" customHeight="1" x14ac:dyDescent="0.15">
      <c r="AE7485" s="13"/>
    </row>
    <row r="7486" spans="31:31" ht="12.75" customHeight="1" x14ac:dyDescent="0.15">
      <c r="AE7486" s="13"/>
    </row>
    <row r="7487" spans="31:31" ht="12.75" customHeight="1" x14ac:dyDescent="0.15">
      <c r="AE7487" s="13"/>
    </row>
    <row r="7488" spans="31:31" ht="12.75" customHeight="1" x14ac:dyDescent="0.15">
      <c r="AE7488" s="13"/>
    </row>
    <row r="7489" spans="31:31" ht="12.75" customHeight="1" x14ac:dyDescent="0.15">
      <c r="AE7489" s="13"/>
    </row>
    <row r="7490" spans="31:31" ht="12.75" customHeight="1" x14ac:dyDescent="0.15">
      <c r="AE7490" s="13"/>
    </row>
    <row r="7491" spans="31:31" ht="12.75" customHeight="1" x14ac:dyDescent="0.15">
      <c r="AE7491" s="13"/>
    </row>
    <row r="7492" spans="31:31" ht="12.75" customHeight="1" x14ac:dyDescent="0.15">
      <c r="AE7492" s="13"/>
    </row>
    <row r="7493" spans="31:31" ht="12.75" customHeight="1" x14ac:dyDescent="0.15">
      <c r="AE7493" s="13"/>
    </row>
    <row r="7494" spans="31:31" ht="12.75" customHeight="1" x14ac:dyDescent="0.15">
      <c r="AE7494" s="13"/>
    </row>
    <row r="7495" spans="31:31" ht="12.75" customHeight="1" x14ac:dyDescent="0.15">
      <c r="AE7495" s="13"/>
    </row>
    <row r="7496" spans="31:31" ht="12.75" customHeight="1" x14ac:dyDescent="0.15">
      <c r="AE7496" s="13"/>
    </row>
    <row r="7497" spans="31:31" ht="12.75" customHeight="1" x14ac:dyDescent="0.15">
      <c r="AE7497" s="13"/>
    </row>
    <row r="7498" spans="31:31" ht="12.75" customHeight="1" x14ac:dyDescent="0.15">
      <c r="AE7498" s="13"/>
    </row>
    <row r="7499" spans="31:31" ht="12.75" customHeight="1" x14ac:dyDescent="0.15">
      <c r="AE7499" s="13"/>
    </row>
    <row r="7500" spans="31:31" ht="12.75" customHeight="1" x14ac:dyDescent="0.15">
      <c r="AE7500" s="13"/>
    </row>
    <row r="7501" spans="31:31" ht="12.75" customHeight="1" x14ac:dyDescent="0.15">
      <c r="AE7501" s="13"/>
    </row>
    <row r="7502" spans="31:31" ht="12.75" customHeight="1" x14ac:dyDescent="0.15">
      <c r="AE7502" s="13"/>
    </row>
    <row r="7503" spans="31:31" ht="12.75" customHeight="1" x14ac:dyDescent="0.15">
      <c r="AE7503" s="13"/>
    </row>
    <row r="7504" spans="31:31" ht="12.75" customHeight="1" x14ac:dyDescent="0.15">
      <c r="AE7504" s="13"/>
    </row>
    <row r="7505" spans="31:31" ht="12.75" customHeight="1" x14ac:dyDescent="0.15">
      <c r="AE7505" s="13"/>
    </row>
    <row r="7506" spans="31:31" ht="12.75" customHeight="1" x14ac:dyDescent="0.15">
      <c r="AE7506" s="13"/>
    </row>
    <row r="7507" spans="31:31" ht="12.75" customHeight="1" x14ac:dyDescent="0.15">
      <c r="AE7507" s="13"/>
    </row>
    <row r="7508" spans="31:31" ht="12.75" customHeight="1" x14ac:dyDescent="0.15">
      <c r="AE7508" s="13"/>
    </row>
    <row r="7509" spans="31:31" ht="12.75" customHeight="1" x14ac:dyDescent="0.15">
      <c r="AE7509" s="13"/>
    </row>
    <row r="7510" spans="31:31" ht="12.75" customHeight="1" x14ac:dyDescent="0.15">
      <c r="AE7510" s="13"/>
    </row>
    <row r="7511" spans="31:31" ht="12.75" customHeight="1" x14ac:dyDescent="0.15">
      <c r="AE7511" s="13"/>
    </row>
    <row r="7512" spans="31:31" ht="12.75" customHeight="1" x14ac:dyDescent="0.15">
      <c r="AE7512" s="13"/>
    </row>
    <row r="7513" spans="31:31" ht="12.75" customHeight="1" x14ac:dyDescent="0.15">
      <c r="AE7513" s="13"/>
    </row>
    <row r="7514" spans="31:31" ht="12.75" customHeight="1" x14ac:dyDescent="0.15">
      <c r="AE7514" s="13"/>
    </row>
    <row r="7515" spans="31:31" ht="12.75" customHeight="1" x14ac:dyDescent="0.15">
      <c r="AE7515" s="13"/>
    </row>
    <row r="7516" spans="31:31" ht="12.75" customHeight="1" x14ac:dyDescent="0.15">
      <c r="AE7516" s="13"/>
    </row>
    <row r="7517" spans="31:31" ht="12.75" customHeight="1" x14ac:dyDescent="0.15">
      <c r="AE7517" s="13"/>
    </row>
    <row r="7518" spans="31:31" ht="12.75" customHeight="1" x14ac:dyDescent="0.15">
      <c r="AE7518" s="13"/>
    </row>
    <row r="7519" spans="31:31" ht="12.75" customHeight="1" x14ac:dyDescent="0.15">
      <c r="AE7519" s="13"/>
    </row>
    <row r="7520" spans="31:31" ht="12.75" customHeight="1" x14ac:dyDescent="0.15">
      <c r="AE7520" s="13"/>
    </row>
    <row r="7521" spans="31:31" ht="12.75" customHeight="1" x14ac:dyDescent="0.15">
      <c r="AE7521" s="13"/>
    </row>
    <row r="7522" spans="31:31" ht="12.75" customHeight="1" x14ac:dyDescent="0.15">
      <c r="AE7522" s="13"/>
    </row>
    <row r="7523" spans="31:31" ht="12.75" customHeight="1" x14ac:dyDescent="0.15">
      <c r="AE7523" s="13"/>
    </row>
    <row r="7524" spans="31:31" ht="12.75" customHeight="1" x14ac:dyDescent="0.15">
      <c r="AE7524" s="13"/>
    </row>
    <row r="7525" spans="31:31" ht="12.75" customHeight="1" x14ac:dyDescent="0.15">
      <c r="AE7525" s="13"/>
    </row>
    <row r="7526" spans="31:31" ht="12.75" customHeight="1" x14ac:dyDescent="0.15">
      <c r="AE7526" s="13"/>
    </row>
    <row r="7527" spans="31:31" ht="12.75" customHeight="1" x14ac:dyDescent="0.15">
      <c r="AE7527" s="13"/>
    </row>
    <row r="7528" spans="31:31" ht="12.75" customHeight="1" x14ac:dyDescent="0.15">
      <c r="AE7528" s="13"/>
    </row>
    <row r="7529" spans="31:31" ht="12.75" customHeight="1" x14ac:dyDescent="0.15">
      <c r="AE7529" s="13"/>
    </row>
    <row r="7530" spans="31:31" ht="12.75" customHeight="1" x14ac:dyDescent="0.15">
      <c r="AE7530" s="13"/>
    </row>
    <row r="7531" spans="31:31" ht="12.75" customHeight="1" x14ac:dyDescent="0.15">
      <c r="AE7531" s="13"/>
    </row>
    <row r="7532" spans="31:31" ht="12.75" customHeight="1" x14ac:dyDescent="0.15">
      <c r="AE7532" s="13"/>
    </row>
    <row r="7533" spans="31:31" ht="12.75" customHeight="1" x14ac:dyDescent="0.15">
      <c r="AE7533" s="13"/>
    </row>
    <row r="7534" spans="31:31" ht="12.75" customHeight="1" x14ac:dyDescent="0.15">
      <c r="AE7534" s="13"/>
    </row>
    <row r="7535" spans="31:31" ht="12.75" customHeight="1" x14ac:dyDescent="0.15">
      <c r="AE7535" s="13"/>
    </row>
    <row r="7536" spans="31:31" ht="12.75" customHeight="1" x14ac:dyDescent="0.15">
      <c r="AE7536" s="13"/>
    </row>
    <row r="7537" spans="31:31" ht="12.75" customHeight="1" x14ac:dyDescent="0.15">
      <c r="AE7537" s="13"/>
    </row>
    <row r="7538" spans="31:31" ht="12.75" customHeight="1" x14ac:dyDescent="0.15">
      <c r="AE7538" s="13"/>
    </row>
    <row r="7539" spans="31:31" ht="12.75" customHeight="1" x14ac:dyDescent="0.15">
      <c r="AE7539" s="13"/>
    </row>
    <row r="7540" spans="31:31" ht="12.75" customHeight="1" x14ac:dyDescent="0.15">
      <c r="AE7540" s="13"/>
    </row>
    <row r="7541" spans="31:31" ht="12.75" customHeight="1" x14ac:dyDescent="0.15">
      <c r="AE7541" s="13"/>
    </row>
    <row r="7542" spans="31:31" ht="12.75" customHeight="1" x14ac:dyDescent="0.15">
      <c r="AE7542" s="13"/>
    </row>
    <row r="7543" spans="31:31" ht="12.75" customHeight="1" x14ac:dyDescent="0.15">
      <c r="AE7543" s="13"/>
    </row>
    <row r="7544" spans="31:31" ht="12.75" customHeight="1" x14ac:dyDescent="0.15">
      <c r="AE7544" s="13"/>
    </row>
    <row r="7545" spans="31:31" ht="12.75" customHeight="1" x14ac:dyDescent="0.15">
      <c r="AE7545" s="13"/>
    </row>
    <row r="7546" spans="31:31" ht="12.75" customHeight="1" x14ac:dyDescent="0.15">
      <c r="AE7546" s="13"/>
    </row>
    <row r="7547" spans="31:31" ht="12.75" customHeight="1" x14ac:dyDescent="0.15">
      <c r="AE7547" s="13"/>
    </row>
    <row r="7548" spans="31:31" ht="12.75" customHeight="1" x14ac:dyDescent="0.15">
      <c r="AE7548" s="13"/>
    </row>
    <row r="7549" spans="31:31" ht="12.75" customHeight="1" x14ac:dyDescent="0.15">
      <c r="AE7549" s="13"/>
    </row>
    <row r="7550" spans="31:31" ht="12.75" customHeight="1" x14ac:dyDescent="0.15">
      <c r="AE7550" s="13"/>
    </row>
    <row r="7551" spans="31:31" ht="12.75" customHeight="1" x14ac:dyDescent="0.15">
      <c r="AE7551" s="13"/>
    </row>
    <row r="7552" spans="31:31" ht="12.75" customHeight="1" x14ac:dyDescent="0.15">
      <c r="AE7552" s="13"/>
    </row>
    <row r="7553" spans="31:31" ht="12.75" customHeight="1" x14ac:dyDescent="0.15">
      <c r="AE7553" s="13"/>
    </row>
    <row r="7554" spans="31:31" ht="12.75" customHeight="1" x14ac:dyDescent="0.15">
      <c r="AE7554" s="13"/>
    </row>
    <row r="7555" spans="31:31" ht="12.75" customHeight="1" x14ac:dyDescent="0.15">
      <c r="AE7555" s="13"/>
    </row>
    <row r="7556" spans="31:31" ht="12.75" customHeight="1" x14ac:dyDescent="0.15">
      <c r="AE7556" s="13"/>
    </row>
    <row r="7557" spans="31:31" ht="12.75" customHeight="1" x14ac:dyDescent="0.15">
      <c r="AE7557" s="13"/>
    </row>
    <row r="7558" spans="31:31" ht="12.75" customHeight="1" x14ac:dyDescent="0.15">
      <c r="AE7558" s="13"/>
    </row>
    <row r="7559" spans="31:31" ht="12.75" customHeight="1" x14ac:dyDescent="0.15">
      <c r="AE7559" s="13"/>
    </row>
    <row r="7560" spans="31:31" ht="12.75" customHeight="1" x14ac:dyDescent="0.15">
      <c r="AE7560" s="13"/>
    </row>
    <row r="7561" spans="31:31" ht="12.75" customHeight="1" x14ac:dyDescent="0.15">
      <c r="AE7561" s="13"/>
    </row>
    <row r="7562" spans="31:31" ht="12.75" customHeight="1" x14ac:dyDescent="0.15">
      <c r="AE7562" s="13"/>
    </row>
    <row r="7563" spans="31:31" ht="12.75" customHeight="1" x14ac:dyDescent="0.15">
      <c r="AE7563" s="13"/>
    </row>
    <row r="7564" spans="31:31" ht="12.75" customHeight="1" x14ac:dyDescent="0.15">
      <c r="AE7564" s="13"/>
    </row>
    <row r="7565" spans="31:31" ht="12.75" customHeight="1" x14ac:dyDescent="0.15">
      <c r="AE7565" s="13"/>
    </row>
    <row r="7566" spans="31:31" ht="12.75" customHeight="1" x14ac:dyDescent="0.15">
      <c r="AE7566" s="13"/>
    </row>
    <row r="7567" spans="31:31" ht="12.75" customHeight="1" x14ac:dyDescent="0.15">
      <c r="AE7567" s="13"/>
    </row>
    <row r="7568" spans="31:31" ht="12.75" customHeight="1" x14ac:dyDescent="0.15">
      <c r="AE7568" s="13"/>
    </row>
    <row r="7569" spans="31:31" ht="12.75" customHeight="1" x14ac:dyDescent="0.15">
      <c r="AE7569" s="13"/>
    </row>
    <row r="7570" spans="31:31" ht="12.75" customHeight="1" x14ac:dyDescent="0.15">
      <c r="AE7570" s="13"/>
    </row>
    <row r="7571" spans="31:31" ht="12.75" customHeight="1" x14ac:dyDescent="0.15">
      <c r="AE7571" s="13"/>
    </row>
    <row r="7572" spans="31:31" ht="12.75" customHeight="1" x14ac:dyDescent="0.15">
      <c r="AE7572" s="13"/>
    </row>
    <row r="7573" spans="31:31" ht="12.75" customHeight="1" x14ac:dyDescent="0.15">
      <c r="AE7573" s="13"/>
    </row>
    <row r="7574" spans="31:31" ht="12.75" customHeight="1" x14ac:dyDescent="0.15">
      <c r="AE7574" s="13"/>
    </row>
    <row r="7575" spans="31:31" ht="12.75" customHeight="1" x14ac:dyDescent="0.15">
      <c r="AE7575" s="13"/>
    </row>
    <row r="7576" spans="31:31" ht="12.75" customHeight="1" x14ac:dyDescent="0.15">
      <c r="AE7576" s="13"/>
    </row>
    <row r="7577" spans="31:31" ht="12.75" customHeight="1" x14ac:dyDescent="0.15">
      <c r="AE7577" s="13"/>
    </row>
    <row r="7578" spans="31:31" ht="12.75" customHeight="1" x14ac:dyDescent="0.15">
      <c r="AE7578" s="13"/>
    </row>
    <row r="7579" spans="31:31" ht="12.75" customHeight="1" x14ac:dyDescent="0.15">
      <c r="AE7579" s="13"/>
    </row>
    <row r="7580" spans="31:31" ht="12.75" customHeight="1" x14ac:dyDescent="0.15">
      <c r="AE7580" s="13"/>
    </row>
    <row r="7581" spans="31:31" ht="12.75" customHeight="1" x14ac:dyDescent="0.15">
      <c r="AE7581" s="13"/>
    </row>
    <row r="7582" spans="31:31" ht="12.75" customHeight="1" x14ac:dyDescent="0.15">
      <c r="AE7582" s="13"/>
    </row>
    <row r="7583" spans="31:31" ht="12.75" customHeight="1" x14ac:dyDescent="0.15">
      <c r="AE7583" s="13"/>
    </row>
    <row r="7584" spans="31:31" ht="12.75" customHeight="1" x14ac:dyDescent="0.15">
      <c r="AE7584" s="13"/>
    </row>
    <row r="7585" spans="31:31" ht="12.75" customHeight="1" x14ac:dyDescent="0.15">
      <c r="AE7585" s="13"/>
    </row>
    <row r="7586" spans="31:31" ht="12.75" customHeight="1" x14ac:dyDescent="0.15">
      <c r="AE7586" s="13"/>
    </row>
    <row r="7587" spans="31:31" ht="12.75" customHeight="1" x14ac:dyDescent="0.15">
      <c r="AE7587" s="13"/>
    </row>
    <row r="7588" spans="31:31" ht="12.75" customHeight="1" x14ac:dyDescent="0.15">
      <c r="AE7588" s="13"/>
    </row>
    <row r="7589" spans="31:31" ht="12.75" customHeight="1" x14ac:dyDescent="0.15">
      <c r="AE7589" s="13"/>
    </row>
    <row r="7590" spans="31:31" ht="12.75" customHeight="1" x14ac:dyDescent="0.15">
      <c r="AE7590" s="13"/>
    </row>
    <row r="7591" spans="31:31" ht="12.75" customHeight="1" x14ac:dyDescent="0.15">
      <c r="AE7591" s="13"/>
    </row>
    <row r="7592" spans="31:31" ht="12.75" customHeight="1" x14ac:dyDescent="0.15">
      <c r="AE7592" s="13"/>
    </row>
    <row r="7593" spans="31:31" ht="12.75" customHeight="1" x14ac:dyDescent="0.15">
      <c r="AE7593" s="13"/>
    </row>
    <row r="7594" spans="31:31" ht="12.75" customHeight="1" x14ac:dyDescent="0.15">
      <c r="AE7594" s="13"/>
    </row>
    <row r="7595" spans="31:31" ht="12.75" customHeight="1" x14ac:dyDescent="0.15">
      <c r="AE7595" s="13"/>
    </row>
    <row r="7596" spans="31:31" ht="12.75" customHeight="1" x14ac:dyDescent="0.15">
      <c r="AE7596" s="13"/>
    </row>
    <row r="7597" spans="31:31" ht="12.75" customHeight="1" x14ac:dyDescent="0.15">
      <c r="AE7597" s="13"/>
    </row>
    <row r="7598" spans="31:31" ht="12.75" customHeight="1" x14ac:dyDescent="0.15">
      <c r="AE7598" s="13"/>
    </row>
    <row r="7599" spans="31:31" ht="12.75" customHeight="1" x14ac:dyDescent="0.15">
      <c r="AE7599" s="13"/>
    </row>
    <row r="7600" spans="31:31" ht="12.75" customHeight="1" x14ac:dyDescent="0.15">
      <c r="AE7600" s="13"/>
    </row>
    <row r="7601" spans="31:31" ht="12.75" customHeight="1" x14ac:dyDescent="0.15">
      <c r="AE7601" s="13"/>
    </row>
    <row r="7602" spans="31:31" ht="12.75" customHeight="1" x14ac:dyDescent="0.15">
      <c r="AE7602" s="13"/>
    </row>
    <row r="7603" spans="31:31" ht="12.75" customHeight="1" x14ac:dyDescent="0.15">
      <c r="AE7603" s="13"/>
    </row>
    <row r="7604" spans="31:31" ht="12.75" customHeight="1" x14ac:dyDescent="0.15">
      <c r="AE7604" s="13"/>
    </row>
    <row r="7605" spans="31:31" ht="12.75" customHeight="1" x14ac:dyDescent="0.15">
      <c r="AE7605" s="13"/>
    </row>
    <row r="7606" spans="31:31" ht="12.75" customHeight="1" x14ac:dyDescent="0.15">
      <c r="AE7606" s="13"/>
    </row>
    <row r="7607" spans="31:31" ht="12.75" customHeight="1" x14ac:dyDescent="0.15">
      <c r="AE7607" s="13"/>
    </row>
    <row r="7608" spans="31:31" ht="12.75" customHeight="1" x14ac:dyDescent="0.15">
      <c r="AE7608" s="13"/>
    </row>
    <row r="7609" spans="31:31" ht="12.75" customHeight="1" x14ac:dyDescent="0.15">
      <c r="AE7609" s="13"/>
    </row>
    <row r="7610" spans="31:31" ht="12.75" customHeight="1" x14ac:dyDescent="0.15">
      <c r="AE7610" s="13"/>
    </row>
    <row r="7611" spans="31:31" ht="12.75" customHeight="1" x14ac:dyDescent="0.15">
      <c r="AE7611" s="13"/>
    </row>
    <row r="7612" spans="31:31" ht="12.75" customHeight="1" x14ac:dyDescent="0.15">
      <c r="AE7612" s="13"/>
    </row>
    <row r="7613" spans="31:31" ht="12.75" customHeight="1" x14ac:dyDescent="0.15">
      <c r="AE7613" s="13"/>
    </row>
    <row r="7614" spans="31:31" ht="12.75" customHeight="1" x14ac:dyDescent="0.15">
      <c r="AE7614" s="13"/>
    </row>
    <row r="7615" spans="31:31" ht="12.75" customHeight="1" x14ac:dyDescent="0.15">
      <c r="AE7615" s="13"/>
    </row>
    <row r="7616" spans="31:31" ht="12.75" customHeight="1" x14ac:dyDescent="0.15">
      <c r="AE7616" s="13"/>
    </row>
    <row r="7617" spans="31:31" ht="12.75" customHeight="1" x14ac:dyDescent="0.15">
      <c r="AE7617" s="13"/>
    </row>
    <row r="7618" spans="31:31" ht="12.75" customHeight="1" x14ac:dyDescent="0.15">
      <c r="AE7618" s="13"/>
    </row>
    <row r="7619" spans="31:31" ht="12.75" customHeight="1" x14ac:dyDescent="0.15">
      <c r="AE7619" s="13"/>
    </row>
    <row r="7620" spans="31:31" ht="12.75" customHeight="1" x14ac:dyDescent="0.15">
      <c r="AE7620" s="13"/>
    </row>
    <row r="7621" spans="31:31" ht="12.75" customHeight="1" x14ac:dyDescent="0.15">
      <c r="AE7621" s="13"/>
    </row>
    <row r="7622" spans="31:31" ht="12.75" customHeight="1" x14ac:dyDescent="0.15">
      <c r="AE7622" s="13"/>
    </row>
    <row r="7623" spans="31:31" ht="12.75" customHeight="1" x14ac:dyDescent="0.15">
      <c r="AE7623" s="13"/>
    </row>
    <row r="7624" spans="31:31" ht="12.75" customHeight="1" x14ac:dyDescent="0.15">
      <c r="AE7624" s="13"/>
    </row>
    <row r="7625" spans="31:31" ht="12.75" customHeight="1" x14ac:dyDescent="0.15">
      <c r="AE7625" s="13"/>
    </row>
    <row r="7626" spans="31:31" ht="12.75" customHeight="1" x14ac:dyDescent="0.15">
      <c r="AE7626" s="13"/>
    </row>
    <row r="7627" spans="31:31" ht="12.75" customHeight="1" x14ac:dyDescent="0.15">
      <c r="AE7627" s="13"/>
    </row>
    <row r="7628" spans="31:31" ht="12.75" customHeight="1" x14ac:dyDescent="0.15">
      <c r="AE7628" s="13"/>
    </row>
    <row r="7629" spans="31:31" ht="12.75" customHeight="1" x14ac:dyDescent="0.15">
      <c r="AE7629" s="13"/>
    </row>
    <row r="7630" spans="31:31" ht="12.75" customHeight="1" x14ac:dyDescent="0.15">
      <c r="AE7630" s="13"/>
    </row>
    <row r="7631" spans="31:31" ht="12.75" customHeight="1" x14ac:dyDescent="0.15">
      <c r="AE7631" s="13"/>
    </row>
    <row r="7632" spans="31:31" ht="12.75" customHeight="1" x14ac:dyDescent="0.15">
      <c r="AE7632" s="13"/>
    </row>
    <row r="7633" spans="31:31" ht="12.75" customHeight="1" x14ac:dyDescent="0.15">
      <c r="AE7633" s="13"/>
    </row>
    <row r="7634" spans="31:31" ht="12.75" customHeight="1" x14ac:dyDescent="0.15">
      <c r="AE7634" s="13"/>
    </row>
    <row r="7635" spans="31:31" ht="12.75" customHeight="1" x14ac:dyDescent="0.15">
      <c r="AE7635" s="13"/>
    </row>
    <row r="7636" spans="31:31" ht="12.75" customHeight="1" x14ac:dyDescent="0.15">
      <c r="AE7636" s="13"/>
    </row>
    <row r="7637" spans="31:31" ht="12.75" customHeight="1" x14ac:dyDescent="0.15">
      <c r="AE7637" s="13"/>
    </row>
    <row r="7638" spans="31:31" ht="12.75" customHeight="1" x14ac:dyDescent="0.15">
      <c r="AE7638" s="13"/>
    </row>
    <row r="7639" spans="31:31" ht="12.75" customHeight="1" x14ac:dyDescent="0.15">
      <c r="AE7639" s="13"/>
    </row>
    <row r="7640" spans="31:31" ht="12.75" customHeight="1" x14ac:dyDescent="0.15">
      <c r="AE7640" s="13"/>
    </row>
    <row r="7641" spans="31:31" ht="12.75" customHeight="1" x14ac:dyDescent="0.15">
      <c r="AE7641" s="13"/>
    </row>
    <row r="7642" spans="31:31" ht="12.75" customHeight="1" x14ac:dyDescent="0.15">
      <c r="AE7642" s="13"/>
    </row>
    <row r="7643" spans="31:31" ht="12.75" customHeight="1" x14ac:dyDescent="0.15">
      <c r="AE7643" s="13"/>
    </row>
    <row r="7644" spans="31:31" ht="12.75" customHeight="1" x14ac:dyDescent="0.15">
      <c r="AE7644" s="13"/>
    </row>
    <row r="7645" spans="31:31" ht="12.75" customHeight="1" x14ac:dyDescent="0.15">
      <c r="AE7645" s="13"/>
    </row>
    <row r="7646" spans="31:31" ht="12.75" customHeight="1" x14ac:dyDescent="0.15">
      <c r="AE7646" s="13"/>
    </row>
    <row r="7647" spans="31:31" ht="12.75" customHeight="1" x14ac:dyDescent="0.15">
      <c r="AE7647" s="13"/>
    </row>
    <row r="7648" spans="31:31" ht="12.75" customHeight="1" x14ac:dyDescent="0.15">
      <c r="AE7648" s="13"/>
    </row>
    <row r="7649" spans="31:31" ht="12.75" customHeight="1" x14ac:dyDescent="0.15">
      <c r="AE7649" s="13"/>
    </row>
    <row r="7650" spans="31:31" ht="12.75" customHeight="1" x14ac:dyDescent="0.15">
      <c r="AE7650" s="13"/>
    </row>
    <row r="7651" spans="31:31" ht="12.75" customHeight="1" x14ac:dyDescent="0.15">
      <c r="AE7651" s="13"/>
    </row>
    <row r="7652" spans="31:31" ht="12.75" customHeight="1" x14ac:dyDescent="0.15">
      <c r="AE7652" s="13"/>
    </row>
    <row r="7653" spans="31:31" ht="12.75" customHeight="1" x14ac:dyDescent="0.15">
      <c r="AE7653" s="13"/>
    </row>
    <row r="7654" spans="31:31" ht="12.75" customHeight="1" x14ac:dyDescent="0.15">
      <c r="AE7654" s="13"/>
    </row>
    <row r="7655" spans="31:31" ht="12.75" customHeight="1" x14ac:dyDescent="0.15">
      <c r="AE7655" s="13"/>
    </row>
    <row r="7656" spans="31:31" ht="12.75" customHeight="1" x14ac:dyDescent="0.15">
      <c r="AE7656" s="13"/>
    </row>
    <row r="7657" spans="31:31" ht="12.75" customHeight="1" x14ac:dyDescent="0.15">
      <c r="AE7657" s="13"/>
    </row>
    <row r="7658" spans="31:31" ht="12.75" customHeight="1" x14ac:dyDescent="0.15">
      <c r="AE7658" s="13"/>
    </row>
    <row r="7659" spans="31:31" ht="12.75" customHeight="1" x14ac:dyDescent="0.15">
      <c r="AE7659" s="13"/>
    </row>
    <row r="7660" spans="31:31" ht="12.75" customHeight="1" x14ac:dyDescent="0.15">
      <c r="AE7660" s="13"/>
    </row>
    <row r="7661" spans="31:31" ht="12.75" customHeight="1" x14ac:dyDescent="0.15">
      <c r="AE7661" s="13"/>
    </row>
    <row r="7662" spans="31:31" ht="12.75" customHeight="1" x14ac:dyDescent="0.15">
      <c r="AE7662" s="13"/>
    </row>
    <row r="7663" spans="31:31" ht="12.75" customHeight="1" x14ac:dyDescent="0.15">
      <c r="AE7663" s="13"/>
    </row>
    <row r="7664" spans="31:31" ht="12.75" customHeight="1" x14ac:dyDescent="0.15">
      <c r="AE7664" s="13"/>
    </row>
    <row r="7665" spans="31:31" ht="12.75" customHeight="1" x14ac:dyDescent="0.15">
      <c r="AE7665" s="13"/>
    </row>
    <row r="7666" spans="31:31" ht="12.75" customHeight="1" x14ac:dyDescent="0.15">
      <c r="AE7666" s="13"/>
    </row>
    <row r="7667" spans="31:31" ht="12.75" customHeight="1" x14ac:dyDescent="0.15">
      <c r="AE7667" s="13"/>
    </row>
    <row r="7668" spans="31:31" ht="12.75" customHeight="1" x14ac:dyDescent="0.15">
      <c r="AE7668" s="13"/>
    </row>
    <row r="7669" spans="31:31" ht="12.75" customHeight="1" x14ac:dyDescent="0.15">
      <c r="AE7669" s="13"/>
    </row>
    <row r="7670" spans="31:31" ht="12.75" customHeight="1" x14ac:dyDescent="0.15">
      <c r="AE7670" s="13"/>
    </row>
    <row r="7671" spans="31:31" ht="12.75" customHeight="1" x14ac:dyDescent="0.15">
      <c r="AE7671" s="13"/>
    </row>
    <row r="7672" spans="31:31" ht="12.75" customHeight="1" x14ac:dyDescent="0.15">
      <c r="AE7672" s="13"/>
    </row>
    <row r="7673" spans="31:31" ht="12.75" customHeight="1" x14ac:dyDescent="0.15">
      <c r="AE7673" s="13"/>
    </row>
    <row r="7674" spans="31:31" ht="12.75" customHeight="1" x14ac:dyDescent="0.15">
      <c r="AE7674" s="13"/>
    </row>
    <row r="7675" spans="31:31" ht="12.75" customHeight="1" x14ac:dyDescent="0.15">
      <c r="AE7675" s="13"/>
    </row>
    <row r="7676" spans="31:31" ht="12.75" customHeight="1" x14ac:dyDescent="0.15">
      <c r="AE7676" s="13"/>
    </row>
    <row r="7677" spans="31:31" ht="12.75" customHeight="1" x14ac:dyDescent="0.15">
      <c r="AE7677" s="13"/>
    </row>
    <row r="7678" spans="31:31" ht="12.75" customHeight="1" x14ac:dyDescent="0.15">
      <c r="AE7678" s="13"/>
    </row>
    <row r="7679" spans="31:31" ht="12.75" customHeight="1" x14ac:dyDescent="0.15">
      <c r="AE7679" s="13"/>
    </row>
    <row r="7680" spans="31:31" ht="12.75" customHeight="1" x14ac:dyDescent="0.15">
      <c r="AE7680" s="13"/>
    </row>
    <row r="7681" spans="31:31" ht="12.75" customHeight="1" x14ac:dyDescent="0.15">
      <c r="AE7681" s="13"/>
    </row>
    <row r="7682" spans="31:31" ht="12.75" customHeight="1" x14ac:dyDescent="0.15">
      <c r="AE7682" s="13"/>
    </row>
    <row r="7683" spans="31:31" ht="12.75" customHeight="1" x14ac:dyDescent="0.15">
      <c r="AE7683" s="13"/>
    </row>
    <row r="7684" spans="31:31" ht="12.75" customHeight="1" x14ac:dyDescent="0.15">
      <c r="AE7684" s="13"/>
    </row>
    <row r="7685" spans="31:31" ht="12.75" customHeight="1" x14ac:dyDescent="0.15">
      <c r="AE7685" s="13"/>
    </row>
    <row r="7686" spans="31:31" ht="12.75" customHeight="1" x14ac:dyDescent="0.15">
      <c r="AE7686" s="13"/>
    </row>
    <row r="7687" spans="31:31" ht="12.75" customHeight="1" x14ac:dyDescent="0.15">
      <c r="AE7687" s="13"/>
    </row>
    <row r="7688" spans="31:31" ht="12.75" customHeight="1" x14ac:dyDescent="0.15">
      <c r="AE7688" s="13"/>
    </row>
    <row r="7689" spans="31:31" ht="12.75" customHeight="1" x14ac:dyDescent="0.15">
      <c r="AE7689" s="13"/>
    </row>
    <row r="7690" spans="31:31" ht="12.75" customHeight="1" x14ac:dyDescent="0.15">
      <c r="AE7690" s="13"/>
    </row>
    <row r="7691" spans="31:31" ht="12.75" customHeight="1" x14ac:dyDescent="0.15">
      <c r="AE7691" s="13"/>
    </row>
    <row r="7692" spans="31:31" ht="12.75" customHeight="1" x14ac:dyDescent="0.15">
      <c r="AE7692" s="13"/>
    </row>
    <row r="7693" spans="31:31" ht="12.75" customHeight="1" x14ac:dyDescent="0.15">
      <c r="AE7693" s="13"/>
    </row>
    <row r="7694" spans="31:31" ht="12.75" customHeight="1" x14ac:dyDescent="0.15">
      <c r="AE7694" s="13"/>
    </row>
    <row r="7695" spans="31:31" ht="12.75" customHeight="1" x14ac:dyDescent="0.15">
      <c r="AE7695" s="13"/>
    </row>
    <row r="7696" spans="31:31" ht="12.75" customHeight="1" x14ac:dyDescent="0.15">
      <c r="AE7696" s="13"/>
    </row>
    <row r="7697" spans="31:31" ht="12.75" customHeight="1" x14ac:dyDescent="0.15">
      <c r="AE7697" s="13"/>
    </row>
    <row r="7698" spans="31:31" ht="12.75" customHeight="1" x14ac:dyDescent="0.15">
      <c r="AE7698" s="13"/>
    </row>
    <row r="7699" spans="31:31" ht="12.75" customHeight="1" x14ac:dyDescent="0.15">
      <c r="AE7699" s="13"/>
    </row>
    <row r="7700" spans="31:31" ht="12.75" customHeight="1" x14ac:dyDescent="0.15">
      <c r="AE7700" s="13"/>
    </row>
    <row r="7701" spans="31:31" ht="12.75" customHeight="1" x14ac:dyDescent="0.15">
      <c r="AE7701" s="13"/>
    </row>
    <row r="7702" spans="31:31" ht="12.75" customHeight="1" x14ac:dyDescent="0.15">
      <c r="AE7702" s="13"/>
    </row>
    <row r="7703" spans="31:31" ht="12.75" customHeight="1" x14ac:dyDescent="0.15">
      <c r="AE7703" s="13"/>
    </row>
    <row r="7704" spans="31:31" ht="12.75" customHeight="1" x14ac:dyDescent="0.15">
      <c r="AE7704" s="13"/>
    </row>
    <row r="7705" spans="31:31" ht="12.75" customHeight="1" x14ac:dyDescent="0.15">
      <c r="AE7705" s="13"/>
    </row>
    <row r="7706" spans="31:31" ht="12.75" customHeight="1" x14ac:dyDescent="0.15">
      <c r="AE7706" s="13"/>
    </row>
    <row r="7707" spans="31:31" ht="12.75" customHeight="1" x14ac:dyDescent="0.15">
      <c r="AE7707" s="13"/>
    </row>
    <row r="7708" spans="31:31" ht="12.75" customHeight="1" x14ac:dyDescent="0.15">
      <c r="AE7708" s="13"/>
    </row>
    <row r="7709" spans="31:31" ht="12.75" customHeight="1" x14ac:dyDescent="0.15">
      <c r="AE7709" s="13"/>
    </row>
    <row r="7710" spans="31:31" ht="12.75" customHeight="1" x14ac:dyDescent="0.15">
      <c r="AE7710" s="13"/>
    </row>
    <row r="7711" spans="31:31" ht="12.75" customHeight="1" x14ac:dyDescent="0.15">
      <c r="AE7711" s="13"/>
    </row>
    <row r="7712" spans="31:31" ht="12.75" customHeight="1" x14ac:dyDescent="0.15">
      <c r="AE7712" s="13"/>
    </row>
    <row r="7713" spans="31:31" ht="12.75" customHeight="1" x14ac:dyDescent="0.15">
      <c r="AE7713" s="13"/>
    </row>
    <row r="7714" spans="31:31" ht="12.75" customHeight="1" x14ac:dyDescent="0.15">
      <c r="AE7714" s="13"/>
    </row>
    <row r="7715" spans="31:31" ht="12.75" customHeight="1" x14ac:dyDescent="0.15">
      <c r="AE7715" s="13"/>
    </row>
    <row r="7716" spans="31:31" ht="12.75" customHeight="1" x14ac:dyDescent="0.15">
      <c r="AE7716" s="13"/>
    </row>
    <row r="7717" spans="31:31" ht="12.75" customHeight="1" x14ac:dyDescent="0.15">
      <c r="AE7717" s="13"/>
    </row>
    <row r="7718" spans="31:31" ht="12.75" customHeight="1" x14ac:dyDescent="0.15">
      <c r="AE7718" s="13"/>
    </row>
    <row r="7719" spans="31:31" ht="12.75" customHeight="1" x14ac:dyDescent="0.15">
      <c r="AE7719" s="13"/>
    </row>
    <row r="7720" spans="31:31" ht="12.75" customHeight="1" x14ac:dyDescent="0.15">
      <c r="AE7720" s="13"/>
    </row>
    <row r="7721" spans="31:31" ht="12.75" customHeight="1" x14ac:dyDescent="0.15">
      <c r="AE7721" s="13"/>
    </row>
    <row r="7722" spans="31:31" ht="12.75" customHeight="1" x14ac:dyDescent="0.15">
      <c r="AE7722" s="13"/>
    </row>
    <row r="7723" spans="31:31" ht="12.75" customHeight="1" x14ac:dyDescent="0.15">
      <c r="AE7723" s="13"/>
    </row>
    <row r="7724" spans="31:31" ht="12.75" customHeight="1" x14ac:dyDescent="0.15">
      <c r="AE7724" s="13"/>
    </row>
    <row r="7725" spans="31:31" ht="12.75" customHeight="1" x14ac:dyDescent="0.15">
      <c r="AE7725" s="13"/>
    </row>
    <row r="7726" spans="31:31" ht="12.75" customHeight="1" x14ac:dyDescent="0.15">
      <c r="AE7726" s="13"/>
    </row>
    <row r="7727" spans="31:31" ht="12.75" customHeight="1" x14ac:dyDescent="0.15">
      <c r="AE7727" s="13"/>
    </row>
    <row r="7728" spans="31:31" ht="12.75" customHeight="1" x14ac:dyDescent="0.15">
      <c r="AE7728" s="13"/>
    </row>
    <row r="7729" spans="31:31" ht="12.75" customHeight="1" x14ac:dyDescent="0.15">
      <c r="AE7729" s="13"/>
    </row>
    <row r="7730" spans="31:31" ht="12.75" customHeight="1" x14ac:dyDescent="0.15">
      <c r="AE7730" s="13"/>
    </row>
    <row r="7731" spans="31:31" ht="12.75" customHeight="1" x14ac:dyDescent="0.15">
      <c r="AE7731" s="13"/>
    </row>
    <row r="7732" spans="31:31" ht="12.75" customHeight="1" x14ac:dyDescent="0.15">
      <c r="AE7732" s="13"/>
    </row>
    <row r="7733" spans="31:31" ht="12.75" customHeight="1" x14ac:dyDescent="0.15">
      <c r="AE7733" s="13"/>
    </row>
    <row r="7734" spans="31:31" ht="12.75" customHeight="1" x14ac:dyDescent="0.15">
      <c r="AE7734" s="13"/>
    </row>
    <row r="7735" spans="31:31" ht="12.75" customHeight="1" x14ac:dyDescent="0.15">
      <c r="AE7735" s="13"/>
    </row>
    <row r="7736" spans="31:31" ht="12.75" customHeight="1" x14ac:dyDescent="0.15">
      <c r="AE7736" s="13"/>
    </row>
    <row r="7737" spans="31:31" ht="12.75" customHeight="1" x14ac:dyDescent="0.15">
      <c r="AE7737" s="13"/>
    </row>
    <row r="7738" spans="31:31" ht="12.75" customHeight="1" x14ac:dyDescent="0.15">
      <c r="AE7738" s="13"/>
    </row>
    <row r="7739" spans="31:31" ht="12.75" customHeight="1" x14ac:dyDescent="0.15">
      <c r="AE7739" s="13"/>
    </row>
    <row r="7740" spans="31:31" ht="12.75" customHeight="1" x14ac:dyDescent="0.15">
      <c r="AE7740" s="13"/>
    </row>
    <row r="7741" spans="31:31" ht="12.75" customHeight="1" x14ac:dyDescent="0.15">
      <c r="AE7741" s="13"/>
    </row>
    <row r="7742" spans="31:31" ht="12.75" customHeight="1" x14ac:dyDescent="0.15">
      <c r="AE7742" s="13"/>
    </row>
    <row r="7743" spans="31:31" ht="12.75" customHeight="1" x14ac:dyDescent="0.15">
      <c r="AE7743" s="13"/>
    </row>
    <row r="7744" spans="31:31" ht="12.75" customHeight="1" x14ac:dyDescent="0.15">
      <c r="AE7744" s="13"/>
    </row>
    <row r="7745" spans="31:31" ht="12.75" customHeight="1" x14ac:dyDescent="0.15">
      <c r="AE7745" s="13"/>
    </row>
    <row r="7746" spans="31:31" ht="12.75" customHeight="1" x14ac:dyDescent="0.15">
      <c r="AE7746" s="13"/>
    </row>
    <row r="7747" spans="31:31" ht="12.75" customHeight="1" x14ac:dyDescent="0.15">
      <c r="AE7747" s="13"/>
    </row>
    <row r="7748" spans="31:31" ht="12.75" customHeight="1" x14ac:dyDescent="0.15">
      <c r="AE7748" s="13"/>
    </row>
    <row r="7749" spans="31:31" ht="12.75" customHeight="1" x14ac:dyDescent="0.15">
      <c r="AE7749" s="13"/>
    </row>
    <row r="7750" spans="31:31" ht="12.75" customHeight="1" x14ac:dyDescent="0.15">
      <c r="AE7750" s="13"/>
    </row>
    <row r="7751" spans="31:31" ht="12.75" customHeight="1" x14ac:dyDescent="0.15">
      <c r="AE7751" s="13"/>
    </row>
    <row r="7752" spans="31:31" ht="12.75" customHeight="1" x14ac:dyDescent="0.15">
      <c r="AE7752" s="13"/>
    </row>
    <row r="7753" spans="31:31" ht="12.75" customHeight="1" x14ac:dyDescent="0.15">
      <c r="AE7753" s="13"/>
    </row>
    <row r="7754" spans="31:31" ht="12.75" customHeight="1" x14ac:dyDescent="0.15">
      <c r="AE7754" s="13"/>
    </row>
    <row r="7755" spans="31:31" ht="12.75" customHeight="1" x14ac:dyDescent="0.15">
      <c r="AE7755" s="13"/>
    </row>
    <row r="7756" spans="31:31" ht="12.75" customHeight="1" x14ac:dyDescent="0.15">
      <c r="AE7756" s="13"/>
    </row>
    <row r="7757" spans="31:31" ht="12.75" customHeight="1" x14ac:dyDescent="0.15">
      <c r="AE7757" s="13"/>
    </row>
    <row r="7758" spans="31:31" ht="12.75" customHeight="1" x14ac:dyDescent="0.15">
      <c r="AE7758" s="13"/>
    </row>
    <row r="7759" spans="31:31" ht="12.75" customHeight="1" x14ac:dyDescent="0.15">
      <c r="AE7759" s="13"/>
    </row>
    <row r="7760" spans="31:31" ht="12.75" customHeight="1" x14ac:dyDescent="0.15">
      <c r="AE7760" s="13"/>
    </row>
    <row r="7761" spans="31:31" ht="12.75" customHeight="1" x14ac:dyDescent="0.15">
      <c r="AE7761" s="13"/>
    </row>
    <row r="7762" spans="31:31" ht="12.75" customHeight="1" x14ac:dyDescent="0.15">
      <c r="AE7762" s="13"/>
    </row>
    <row r="7763" spans="31:31" ht="12.75" customHeight="1" x14ac:dyDescent="0.15">
      <c r="AE7763" s="13"/>
    </row>
    <row r="7764" spans="31:31" ht="12.75" customHeight="1" x14ac:dyDescent="0.15">
      <c r="AE7764" s="13"/>
    </row>
    <row r="7765" spans="31:31" ht="12.75" customHeight="1" x14ac:dyDescent="0.15">
      <c r="AE7765" s="13"/>
    </row>
    <row r="7766" spans="31:31" ht="12.75" customHeight="1" x14ac:dyDescent="0.15">
      <c r="AE7766" s="13"/>
    </row>
    <row r="7767" spans="31:31" ht="12.75" customHeight="1" x14ac:dyDescent="0.15">
      <c r="AE7767" s="13"/>
    </row>
    <row r="7768" spans="31:31" ht="12.75" customHeight="1" x14ac:dyDescent="0.15">
      <c r="AE7768" s="13"/>
    </row>
    <row r="7769" spans="31:31" ht="12.75" customHeight="1" x14ac:dyDescent="0.15">
      <c r="AE7769" s="13"/>
    </row>
    <row r="7770" spans="31:31" ht="12.75" customHeight="1" x14ac:dyDescent="0.15">
      <c r="AE7770" s="13"/>
    </row>
    <row r="7771" spans="31:31" ht="12.75" customHeight="1" x14ac:dyDescent="0.15">
      <c r="AE7771" s="13"/>
    </row>
    <row r="7772" spans="31:31" ht="12.75" customHeight="1" x14ac:dyDescent="0.15">
      <c r="AE7772" s="13"/>
    </row>
    <row r="7773" spans="31:31" ht="12.75" customHeight="1" x14ac:dyDescent="0.15">
      <c r="AE7773" s="13"/>
    </row>
    <row r="7774" spans="31:31" ht="12.75" customHeight="1" x14ac:dyDescent="0.15">
      <c r="AE7774" s="13"/>
    </row>
    <row r="7775" spans="31:31" ht="12.75" customHeight="1" x14ac:dyDescent="0.15">
      <c r="AE7775" s="13"/>
    </row>
    <row r="7776" spans="31:31" ht="12.75" customHeight="1" x14ac:dyDescent="0.15">
      <c r="AE7776" s="13"/>
    </row>
    <row r="7777" spans="31:31" ht="12.75" customHeight="1" x14ac:dyDescent="0.15">
      <c r="AE7777" s="13"/>
    </row>
    <row r="7778" spans="31:31" ht="12.75" customHeight="1" x14ac:dyDescent="0.15">
      <c r="AE7778" s="13"/>
    </row>
    <row r="7779" spans="31:31" ht="12.75" customHeight="1" x14ac:dyDescent="0.15">
      <c r="AE7779" s="13"/>
    </row>
    <row r="7780" spans="31:31" ht="12.75" customHeight="1" x14ac:dyDescent="0.15">
      <c r="AE7780" s="13"/>
    </row>
    <row r="7781" spans="31:31" ht="12.75" customHeight="1" x14ac:dyDescent="0.15">
      <c r="AE7781" s="13"/>
    </row>
    <row r="7782" spans="31:31" ht="12.75" customHeight="1" x14ac:dyDescent="0.15">
      <c r="AE7782" s="13"/>
    </row>
    <row r="7783" spans="31:31" ht="12.75" customHeight="1" x14ac:dyDescent="0.15">
      <c r="AE7783" s="13"/>
    </row>
    <row r="7784" spans="31:31" ht="12.75" customHeight="1" x14ac:dyDescent="0.15">
      <c r="AE7784" s="13"/>
    </row>
    <row r="7785" spans="31:31" ht="12.75" customHeight="1" x14ac:dyDescent="0.15">
      <c r="AE7785" s="13"/>
    </row>
    <row r="7786" spans="31:31" ht="12.75" customHeight="1" x14ac:dyDescent="0.15">
      <c r="AE7786" s="13"/>
    </row>
    <row r="7787" spans="31:31" ht="12.75" customHeight="1" x14ac:dyDescent="0.15">
      <c r="AE7787" s="13"/>
    </row>
    <row r="7788" spans="31:31" ht="12.75" customHeight="1" x14ac:dyDescent="0.15">
      <c r="AE7788" s="13"/>
    </row>
    <row r="7789" spans="31:31" ht="12.75" customHeight="1" x14ac:dyDescent="0.15">
      <c r="AE7789" s="13"/>
    </row>
    <row r="7790" spans="31:31" ht="12.75" customHeight="1" x14ac:dyDescent="0.15">
      <c r="AE7790" s="13"/>
    </row>
    <row r="7791" spans="31:31" ht="12.75" customHeight="1" x14ac:dyDescent="0.15">
      <c r="AE7791" s="13"/>
    </row>
    <row r="7792" spans="31:31" ht="12.75" customHeight="1" x14ac:dyDescent="0.15">
      <c r="AE7792" s="13"/>
    </row>
    <row r="7793" spans="31:31" ht="12.75" customHeight="1" x14ac:dyDescent="0.15">
      <c r="AE7793" s="13"/>
    </row>
    <row r="7794" spans="31:31" ht="12.75" customHeight="1" x14ac:dyDescent="0.15">
      <c r="AE7794" s="13"/>
    </row>
    <row r="7795" spans="31:31" ht="12.75" customHeight="1" x14ac:dyDescent="0.15">
      <c r="AE7795" s="13"/>
    </row>
    <row r="7796" spans="31:31" ht="12.75" customHeight="1" x14ac:dyDescent="0.15">
      <c r="AE7796" s="13"/>
    </row>
    <row r="7797" spans="31:31" ht="12.75" customHeight="1" x14ac:dyDescent="0.15">
      <c r="AE7797" s="13"/>
    </row>
    <row r="7798" spans="31:31" ht="12.75" customHeight="1" x14ac:dyDescent="0.15">
      <c r="AE7798" s="13"/>
    </row>
    <row r="7799" spans="31:31" ht="12.75" customHeight="1" x14ac:dyDescent="0.15">
      <c r="AE7799" s="13"/>
    </row>
    <row r="7800" spans="31:31" ht="12.75" customHeight="1" x14ac:dyDescent="0.15">
      <c r="AE7800" s="13"/>
    </row>
    <row r="7801" spans="31:31" ht="12.75" customHeight="1" x14ac:dyDescent="0.15">
      <c r="AE7801" s="13"/>
    </row>
    <row r="7802" spans="31:31" ht="12.75" customHeight="1" x14ac:dyDescent="0.15">
      <c r="AE7802" s="13"/>
    </row>
    <row r="7803" spans="31:31" ht="12.75" customHeight="1" x14ac:dyDescent="0.15">
      <c r="AE7803" s="13"/>
    </row>
    <row r="7804" spans="31:31" ht="12.75" customHeight="1" x14ac:dyDescent="0.15">
      <c r="AE7804" s="13"/>
    </row>
    <row r="7805" spans="31:31" ht="12.75" customHeight="1" x14ac:dyDescent="0.15">
      <c r="AE7805" s="13"/>
    </row>
    <row r="7806" spans="31:31" ht="12.75" customHeight="1" x14ac:dyDescent="0.15">
      <c r="AE7806" s="13"/>
    </row>
    <row r="7807" spans="31:31" ht="12.75" customHeight="1" x14ac:dyDescent="0.15">
      <c r="AE7807" s="13"/>
    </row>
    <row r="7808" spans="31:31" ht="12.75" customHeight="1" x14ac:dyDescent="0.15">
      <c r="AE7808" s="13"/>
    </row>
    <row r="7809" spans="31:31" ht="12.75" customHeight="1" x14ac:dyDescent="0.15">
      <c r="AE7809" s="13"/>
    </row>
    <row r="7810" spans="31:31" ht="12.75" customHeight="1" x14ac:dyDescent="0.15">
      <c r="AE7810" s="13"/>
    </row>
    <row r="7811" spans="31:31" ht="12.75" customHeight="1" x14ac:dyDescent="0.15">
      <c r="AE7811" s="13"/>
    </row>
    <row r="7812" spans="31:31" ht="12.75" customHeight="1" x14ac:dyDescent="0.15">
      <c r="AE7812" s="13"/>
    </row>
    <row r="7813" spans="31:31" ht="12.75" customHeight="1" x14ac:dyDescent="0.15">
      <c r="AE7813" s="13"/>
    </row>
    <row r="7814" spans="31:31" ht="12.75" customHeight="1" x14ac:dyDescent="0.15">
      <c r="AE7814" s="13"/>
    </row>
    <row r="7815" spans="31:31" ht="12.75" customHeight="1" x14ac:dyDescent="0.15">
      <c r="AE7815" s="13"/>
    </row>
    <row r="7816" spans="31:31" ht="12.75" customHeight="1" x14ac:dyDescent="0.15">
      <c r="AE7816" s="13"/>
    </row>
    <row r="7817" spans="31:31" ht="12.75" customHeight="1" x14ac:dyDescent="0.15">
      <c r="AE7817" s="13"/>
    </row>
    <row r="7818" spans="31:31" ht="12.75" customHeight="1" x14ac:dyDescent="0.15">
      <c r="AE7818" s="13"/>
    </row>
    <row r="7819" spans="31:31" ht="12.75" customHeight="1" x14ac:dyDescent="0.15">
      <c r="AE7819" s="13"/>
    </row>
    <row r="7820" spans="31:31" ht="12.75" customHeight="1" x14ac:dyDescent="0.15">
      <c r="AE7820" s="13"/>
    </row>
    <row r="7821" spans="31:31" ht="12.75" customHeight="1" x14ac:dyDescent="0.15">
      <c r="AE7821" s="13"/>
    </row>
    <row r="7822" spans="31:31" ht="12.75" customHeight="1" x14ac:dyDescent="0.15">
      <c r="AE7822" s="13"/>
    </row>
    <row r="7823" spans="31:31" ht="12.75" customHeight="1" x14ac:dyDescent="0.15">
      <c r="AE7823" s="13"/>
    </row>
    <row r="7824" spans="31:31" ht="12.75" customHeight="1" x14ac:dyDescent="0.15">
      <c r="AE7824" s="13"/>
    </row>
    <row r="7825" spans="31:31" ht="12.75" customHeight="1" x14ac:dyDescent="0.15">
      <c r="AE7825" s="13"/>
    </row>
    <row r="7826" spans="31:31" ht="12.75" customHeight="1" x14ac:dyDescent="0.15">
      <c r="AE7826" s="13"/>
    </row>
    <row r="7827" spans="31:31" ht="12.75" customHeight="1" x14ac:dyDescent="0.15">
      <c r="AE7827" s="13"/>
    </row>
    <row r="7828" spans="31:31" ht="12.75" customHeight="1" x14ac:dyDescent="0.15">
      <c r="AE7828" s="13"/>
    </row>
    <row r="7829" spans="31:31" ht="12.75" customHeight="1" x14ac:dyDescent="0.15">
      <c r="AE7829" s="13"/>
    </row>
    <row r="7830" spans="31:31" ht="12.75" customHeight="1" x14ac:dyDescent="0.15">
      <c r="AE7830" s="13"/>
    </row>
    <row r="7831" spans="31:31" ht="12.75" customHeight="1" x14ac:dyDescent="0.15">
      <c r="AE7831" s="13"/>
    </row>
    <row r="7832" spans="31:31" ht="12.75" customHeight="1" x14ac:dyDescent="0.15">
      <c r="AE7832" s="13"/>
    </row>
    <row r="7833" spans="31:31" ht="12.75" customHeight="1" x14ac:dyDescent="0.15">
      <c r="AE7833" s="13"/>
    </row>
    <row r="7834" spans="31:31" ht="12.75" customHeight="1" x14ac:dyDescent="0.15">
      <c r="AE7834" s="13"/>
    </row>
    <row r="7835" spans="31:31" ht="12.75" customHeight="1" x14ac:dyDescent="0.15">
      <c r="AE7835" s="13"/>
    </row>
    <row r="7836" spans="31:31" ht="12.75" customHeight="1" x14ac:dyDescent="0.15">
      <c r="AE7836" s="13"/>
    </row>
    <row r="7837" spans="31:31" ht="12.75" customHeight="1" x14ac:dyDescent="0.15">
      <c r="AE7837" s="13"/>
    </row>
    <row r="7838" spans="31:31" ht="12.75" customHeight="1" x14ac:dyDescent="0.15">
      <c r="AE7838" s="13"/>
    </row>
    <row r="7839" spans="31:31" ht="12.75" customHeight="1" x14ac:dyDescent="0.15">
      <c r="AE7839" s="13"/>
    </row>
    <row r="7840" spans="31:31" ht="12.75" customHeight="1" x14ac:dyDescent="0.15">
      <c r="AE7840" s="13"/>
    </row>
    <row r="7841" spans="31:31" ht="12.75" customHeight="1" x14ac:dyDescent="0.15">
      <c r="AE7841" s="13"/>
    </row>
    <row r="7842" spans="31:31" ht="12.75" customHeight="1" x14ac:dyDescent="0.15">
      <c r="AE7842" s="13"/>
    </row>
    <row r="7843" spans="31:31" ht="12.75" customHeight="1" x14ac:dyDescent="0.15">
      <c r="AE7843" s="13"/>
    </row>
    <row r="7844" spans="31:31" ht="12.75" customHeight="1" x14ac:dyDescent="0.15">
      <c r="AE7844" s="13"/>
    </row>
    <row r="7845" spans="31:31" ht="12.75" customHeight="1" x14ac:dyDescent="0.15">
      <c r="AE7845" s="13"/>
    </row>
    <row r="7846" spans="31:31" ht="12.75" customHeight="1" x14ac:dyDescent="0.15">
      <c r="AE7846" s="13"/>
    </row>
    <row r="7847" spans="31:31" ht="12.75" customHeight="1" x14ac:dyDescent="0.15">
      <c r="AE7847" s="13"/>
    </row>
    <row r="7848" spans="31:31" ht="12.75" customHeight="1" x14ac:dyDescent="0.15">
      <c r="AE7848" s="13"/>
    </row>
    <row r="7849" spans="31:31" ht="12.75" customHeight="1" x14ac:dyDescent="0.15">
      <c r="AE7849" s="13"/>
    </row>
    <row r="7850" spans="31:31" ht="12.75" customHeight="1" x14ac:dyDescent="0.15">
      <c r="AE7850" s="13"/>
    </row>
    <row r="7851" spans="31:31" ht="12.75" customHeight="1" x14ac:dyDescent="0.15">
      <c r="AE7851" s="13"/>
    </row>
    <row r="7852" spans="31:31" ht="12.75" customHeight="1" x14ac:dyDescent="0.15">
      <c r="AE7852" s="13"/>
    </row>
    <row r="7853" spans="31:31" ht="12.75" customHeight="1" x14ac:dyDescent="0.15">
      <c r="AE7853" s="13"/>
    </row>
    <row r="7854" spans="31:31" ht="12.75" customHeight="1" x14ac:dyDescent="0.15">
      <c r="AE7854" s="13"/>
    </row>
    <row r="7855" spans="31:31" ht="12.75" customHeight="1" x14ac:dyDescent="0.15">
      <c r="AE7855" s="13"/>
    </row>
    <row r="7856" spans="31:31" ht="12.75" customHeight="1" x14ac:dyDescent="0.15">
      <c r="AE7856" s="13"/>
    </row>
    <row r="7857" spans="31:31" ht="12.75" customHeight="1" x14ac:dyDescent="0.15">
      <c r="AE7857" s="13"/>
    </row>
    <row r="7858" spans="31:31" ht="12.75" customHeight="1" x14ac:dyDescent="0.15">
      <c r="AE7858" s="13"/>
    </row>
    <row r="7859" spans="31:31" ht="12.75" customHeight="1" x14ac:dyDescent="0.15">
      <c r="AE7859" s="13"/>
    </row>
    <row r="7860" spans="31:31" ht="12.75" customHeight="1" x14ac:dyDescent="0.15">
      <c r="AE7860" s="13"/>
    </row>
    <row r="7861" spans="31:31" ht="12.75" customHeight="1" x14ac:dyDescent="0.15">
      <c r="AE7861" s="13"/>
    </row>
    <row r="7862" spans="31:31" ht="12.75" customHeight="1" x14ac:dyDescent="0.15">
      <c r="AE7862" s="13"/>
    </row>
    <row r="7863" spans="31:31" ht="12.75" customHeight="1" x14ac:dyDescent="0.15">
      <c r="AE7863" s="13"/>
    </row>
    <row r="7864" spans="31:31" ht="12.75" customHeight="1" x14ac:dyDescent="0.15">
      <c r="AE7864" s="13"/>
    </row>
    <row r="7865" spans="31:31" ht="12.75" customHeight="1" x14ac:dyDescent="0.15">
      <c r="AE7865" s="13"/>
    </row>
    <row r="7866" spans="31:31" ht="12.75" customHeight="1" x14ac:dyDescent="0.15">
      <c r="AE7866" s="13"/>
    </row>
    <row r="7867" spans="31:31" ht="12.75" customHeight="1" x14ac:dyDescent="0.15">
      <c r="AE7867" s="13"/>
    </row>
    <row r="7868" spans="31:31" ht="12.75" customHeight="1" x14ac:dyDescent="0.15">
      <c r="AE7868" s="13"/>
    </row>
    <row r="7869" spans="31:31" ht="12.75" customHeight="1" x14ac:dyDescent="0.15">
      <c r="AE7869" s="13"/>
    </row>
    <row r="7870" spans="31:31" ht="12.75" customHeight="1" x14ac:dyDescent="0.15">
      <c r="AE7870" s="13"/>
    </row>
    <row r="7871" spans="31:31" ht="12.75" customHeight="1" x14ac:dyDescent="0.15">
      <c r="AE7871" s="13"/>
    </row>
    <row r="7872" spans="31:31" ht="12.75" customHeight="1" x14ac:dyDescent="0.15">
      <c r="AE7872" s="13"/>
    </row>
    <row r="7873" spans="31:31" ht="12.75" customHeight="1" x14ac:dyDescent="0.15">
      <c r="AE7873" s="13"/>
    </row>
    <row r="7874" spans="31:31" ht="12.75" customHeight="1" x14ac:dyDescent="0.15">
      <c r="AE7874" s="13"/>
    </row>
    <row r="7875" spans="31:31" ht="12.75" customHeight="1" x14ac:dyDescent="0.15">
      <c r="AE7875" s="13"/>
    </row>
    <row r="7876" spans="31:31" ht="12.75" customHeight="1" x14ac:dyDescent="0.15">
      <c r="AE7876" s="13"/>
    </row>
    <row r="7877" spans="31:31" ht="12.75" customHeight="1" x14ac:dyDescent="0.15">
      <c r="AE7877" s="13"/>
    </row>
    <row r="7878" spans="31:31" ht="12.75" customHeight="1" x14ac:dyDescent="0.15">
      <c r="AE7878" s="13"/>
    </row>
    <row r="7879" spans="31:31" ht="12.75" customHeight="1" x14ac:dyDescent="0.15">
      <c r="AE7879" s="13"/>
    </row>
    <row r="7880" spans="31:31" ht="12.75" customHeight="1" x14ac:dyDescent="0.15">
      <c r="AE7880" s="13"/>
    </row>
    <row r="7881" spans="31:31" ht="12.75" customHeight="1" x14ac:dyDescent="0.15">
      <c r="AE7881" s="13"/>
    </row>
    <row r="7882" spans="31:31" ht="12.75" customHeight="1" x14ac:dyDescent="0.15">
      <c r="AE7882" s="13"/>
    </row>
    <row r="7883" spans="31:31" ht="12.75" customHeight="1" x14ac:dyDescent="0.15">
      <c r="AE7883" s="13"/>
    </row>
    <row r="7884" spans="31:31" ht="12.75" customHeight="1" x14ac:dyDescent="0.15">
      <c r="AE7884" s="13"/>
    </row>
    <row r="7885" spans="31:31" ht="12.75" customHeight="1" x14ac:dyDescent="0.15">
      <c r="AE7885" s="13"/>
    </row>
    <row r="7886" spans="31:31" ht="12.75" customHeight="1" x14ac:dyDescent="0.15">
      <c r="AE7886" s="13"/>
    </row>
    <row r="7887" spans="31:31" ht="12.75" customHeight="1" x14ac:dyDescent="0.15">
      <c r="AE7887" s="13"/>
    </row>
    <row r="7888" spans="31:31" ht="12.75" customHeight="1" x14ac:dyDescent="0.15">
      <c r="AE7888" s="13"/>
    </row>
    <row r="7889" spans="31:31" ht="12.75" customHeight="1" x14ac:dyDescent="0.15">
      <c r="AE7889" s="13"/>
    </row>
    <row r="7890" spans="31:31" ht="12.75" customHeight="1" x14ac:dyDescent="0.15">
      <c r="AE7890" s="13"/>
    </row>
    <row r="7891" spans="31:31" ht="12.75" customHeight="1" x14ac:dyDescent="0.15">
      <c r="AE7891" s="13"/>
    </row>
    <row r="7892" spans="31:31" ht="12.75" customHeight="1" x14ac:dyDescent="0.15">
      <c r="AE7892" s="13"/>
    </row>
    <row r="7893" spans="31:31" ht="12.75" customHeight="1" x14ac:dyDescent="0.15">
      <c r="AE7893" s="13"/>
    </row>
    <row r="7894" spans="31:31" ht="12.75" customHeight="1" x14ac:dyDescent="0.15">
      <c r="AE7894" s="13"/>
    </row>
    <row r="7895" spans="31:31" ht="12.75" customHeight="1" x14ac:dyDescent="0.15">
      <c r="AE7895" s="13"/>
    </row>
    <row r="7896" spans="31:31" ht="12.75" customHeight="1" x14ac:dyDescent="0.15">
      <c r="AE7896" s="13"/>
    </row>
    <row r="7897" spans="31:31" ht="12.75" customHeight="1" x14ac:dyDescent="0.15">
      <c r="AE7897" s="13"/>
    </row>
    <row r="7898" spans="31:31" ht="12.75" customHeight="1" x14ac:dyDescent="0.15">
      <c r="AE7898" s="13"/>
    </row>
    <row r="7899" spans="31:31" ht="12.75" customHeight="1" x14ac:dyDescent="0.15">
      <c r="AE7899" s="13"/>
    </row>
    <row r="7900" spans="31:31" ht="12.75" customHeight="1" x14ac:dyDescent="0.15">
      <c r="AE7900" s="13"/>
    </row>
    <row r="7901" spans="31:31" ht="12.75" customHeight="1" x14ac:dyDescent="0.15">
      <c r="AE7901" s="13"/>
    </row>
    <row r="7902" spans="31:31" ht="12.75" customHeight="1" x14ac:dyDescent="0.15">
      <c r="AE7902" s="13"/>
    </row>
    <row r="7903" spans="31:31" ht="12.75" customHeight="1" x14ac:dyDescent="0.15">
      <c r="AE7903" s="13"/>
    </row>
    <row r="7904" spans="31:31" ht="12.75" customHeight="1" x14ac:dyDescent="0.15">
      <c r="AE7904" s="13"/>
    </row>
    <row r="7905" spans="31:31" ht="12.75" customHeight="1" x14ac:dyDescent="0.15">
      <c r="AE7905" s="13"/>
    </row>
    <row r="7906" spans="31:31" ht="12.75" customHeight="1" x14ac:dyDescent="0.15">
      <c r="AE7906" s="13"/>
    </row>
    <row r="7907" spans="31:31" ht="12.75" customHeight="1" x14ac:dyDescent="0.15">
      <c r="AE7907" s="13"/>
    </row>
    <row r="7908" spans="31:31" ht="12.75" customHeight="1" x14ac:dyDescent="0.15">
      <c r="AE7908" s="13"/>
    </row>
    <row r="7909" spans="31:31" ht="12.75" customHeight="1" x14ac:dyDescent="0.15">
      <c r="AE7909" s="13"/>
    </row>
    <row r="7910" spans="31:31" ht="12.75" customHeight="1" x14ac:dyDescent="0.15">
      <c r="AE7910" s="13"/>
    </row>
    <row r="7911" spans="31:31" ht="12.75" customHeight="1" x14ac:dyDescent="0.15">
      <c r="AE7911" s="13"/>
    </row>
    <row r="7912" spans="31:31" ht="12.75" customHeight="1" x14ac:dyDescent="0.15">
      <c r="AE7912" s="13"/>
    </row>
    <row r="7913" spans="31:31" ht="12.75" customHeight="1" x14ac:dyDescent="0.15">
      <c r="AE7913" s="13"/>
    </row>
    <row r="7914" spans="31:31" ht="12.75" customHeight="1" x14ac:dyDescent="0.15">
      <c r="AE7914" s="13"/>
    </row>
    <row r="7915" spans="31:31" ht="12.75" customHeight="1" x14ac:dyDescent="0.15">
      <c r="AE7915" s="13"/>
    </row>
    <row r="7916" spans="31:31" ht="12.75" customHeight="1" x14ac:dyDescent="0.15">
      <c r="AE7916" s="13"/>
    </row>
    <row r="7917" spans="31:31" ht="12.75" customHeight="1" x14ac:dyDescent="0.15">
      <c r="AE7917" s="13"/>
    </row>
    <row r="7918" spans="31:31" ht="12.75" customHeight="1" x14ac:dyDescent="0.15">
      <c r="AE7918" s="13"/>
    </row>
    <row r="7919" spans="31:31" ht="12.75" customHeight="1" x14ac:dyDescent="0.15">
      <c r="AE7919" s="13"/>
    </row>
    <row r="7920" spans="31:31" ht="12.75" customHeight="1" x14ac:dyDescent="0.15">
      <c r="AE7920" s="13"/>
    </row>
    <row r="7921" spans="31:31" ht="12.75" customHeight="1" x14ac:dyDescent="0.15">
      <c r="AE7921" s="13"/>
    </row>
    <row r="7922" spans="31:31" ht="12.75" customHeight="1" x14ac:dyDescent="0.15">
      <c r="AE7922" s="13"/>
    </row>
    <row r="7923" spans="31:31" ht="12.75" customHeight="1" x14ac:dyDescent="0.15">
      <c r="AE7923" s="13"/>
    </row>
    <row r="7924" spans="31:31" ht="12.75" customHeight="1" x14ac:dyDescent="0.15">
      <c r="AE7924" s="13"/>
    </row>
    <row r="7925" spans="31:31" ht="12.75" customHeight="1" x14ac:dyDescent="0.15">
      <c r="AE7925" s="13"/>
    </row>
    <row r="7926" spans="31:31" ht="12.75" customHeight="1" x14ac:dyDescent="0.15">
      <c r="AE7926" s="13"/>
    </row>
    <row r="7927" spans="31:31" ht="12.75" customHeight="1" x14ac:dyDescent="0.15">
      <c r="AE7927" s="13"/>
    </row>
    <row r="7928" spans="31:31" ht="12.75" customHeight="1" x14ac:dyDescent="0.15">
      <c r="AE7928" s="13"/>
    </row>
    <row r="7929" spans="31:31" ht="12.75" customHeight="1" x14ac:dyDescent="0.15">
      <c r="AE7929" s="13"/>
    </row>
    <row r="7930" spans="31:31" ht="12.75" customHeight="1" x14ac:dyDescent="0.15">
      <c r="AE7930" s="13"/>
    </row>
    <row r="7931" spans="31:31" ht="12.75" customHeight="1" x14ac:dyDescent="0.15">
      <c r="AE7931" s="13"/>
    </row>
    <row r="7932" spans="31:31" ht="12.75" customHeight="1" x14ac:dyDescent="0.15">
      <c r="AE7932" s="13"/>
    </row>
    <row r="7933" spans="31:31" ht="12.75" customHeight="1" x14ac:dyDescent="0.15">
      <c r="AE7933" s="13"/>
    </row>
    <row r="7934" spans="31:31" ht="12.75" customHeight="1" x14ac:dyDescent="0.15">
      <c r="AE7934" s="13"/>
    </row>
    <row r="7935" spans="31:31" ht="12.75" customHeight="1" x14ac:dyDescent="0.15">
      <c r="AE7935" s="13"/>
    </row>
    <row r="7936" spans="31:31" ht="12.75" customHeight="1" x14ac:dyDescent="0.15">
      <c r="AE7936" s="13"/>
    </row>
    <row r="7937" spans="31:31" ht="12.75" customHeight="1" x14ac:dyDescent="0.15">
      <c r="AE7937" s="13"/>
    </row>
    <row r="7938" spans="31:31" ht="12.75" customHeight="1" x14ac:dyDescent="0.15">
      <c r="AE7938" s="13"/>
    </row>
    <row r="7939" spans="31:31" ht="12.75" customHeight="1" x14ac:dyDescent="0.15">
      <c r="AE7939" s="13"/>
    </row>
    <row r="7940" spans="31:31" ht="12.75" customHeight="1" x14ac:dyDescent="0.15">
      <c r="AE7940" s="13"/>
    </row>
    <row r="7941" spans="31:31" ht="12.75" customHeight="1" x14ac:dyDescent="0.15">
      <c r="AE7941" s="13"/>
    </row>
    <row r="7942" spans="31:31" ht="12.75" customHeight="1" x14ac:dyDescent="0.15">
      <c r="AE7942" s="13"/>
    </row>
    <row r="7943" spans="31:31" ht="12.75" customHeight="1" x14ac:dyDescent="0.15">
      <c r="AE7943" s="13"/>
    </row>
    <row r="7944" spans="31:31" ht="12.75" customHeight="1" x14ac:dyDescent="0.15">
      <c r="AE7944" s="13"/>
    </row>
    <row r="7945" spans="31:31" ht="12.75" customHeight="1" x14ac:dyDescent="0.15">
      <c r="AE7945" s="13"/>
    </row>
    <row r="7946" spans="31:31" ht="12.75" customHeight="1" x14ac:dyDescent="0.15">
      <c r="AE7946" s="13"/>
    </row>
    <row r="7947" spans="31:31" ht="12.75" customHeight="1" x14ac:dyDescent="0.15">
      <c r="AE7947" s="13"/>
    </row>
    <row r="7948" spans="31:31" ht="12.75" customHeight="1" x14ac:dyDescent="0.15">
      <c r="AE7948" s="13"/>
    </row>
    <row r="7949" spans="31:31" ht="12.75" customHeight="1" x14ac:dyDescent="0.15">
      <c r="AE7949" s="13"/>
    </row>
    <row r="7950" spans="31:31" ht="12.75" customHeight="1" x14ac:dyDescent="0.15">
      <c r="AE7950" s="13"/>
    </row>
    <row r="7951" spans="31:31" ht="12.75" customHeight="1" x14ac:dyDescent="0.15">
      <c r="AE7951" s="13"/>
    </row>
    <row r="7952" spans="31:31" ht="12.75" customHeight="1" x14ac:dyDescent="0.15">
      <c r="AE7952" s="13"/>
    </row>
    <row r="7953" spans="31:31" ht="12.75" customHeight="1" x14ac:dyDescent="0.15">
      <c r="AE7953" s="13"/>
    </row>
    <row r="7954" spans="31:31" ht="12.75" customHeight="1" x14ac:dyDescent="0.15">
      <c r="AE7954" s="13"/>
    </row>
    <row r="7955" spans="31:31" ht="12.75" customHeight="1" x14ac:dyDescent="0.15">
      <c r="AE7955" s="13"/>
    </row>
    <row r="7956" spans="31:31" ht="12.75" customHeight="1" x14ac:dyDescent="0.15">
      <c r="AE7956" s="13"/>
    </row>
    <row r="7957" spans="31:31" ht="12.75" customHeight="1" x14ac:dyDescent="0.15">
      <c r="AE7957" s="13"/>
    </row>
    <row r="7958" spans="31:31" ht="12.75" customHeight="1" x14ac:dyDescent="0.15">
      <c r="AE7958" s="13"/>
    </row>
    <row r="7959" spans="31:31" ht="12.75" customHeight="1" x14ac:dyDescent="0.15">
      <c r="AE7959" s="13"/>
    </row>
    <row r="7960" spans="31:31" ht="12.75" customHeight="1" x14ac:dyDescent="0.15">
      <c r="AE7960" s="13"/>
    </row>
    <row r="7961" spans="31:31" ht="12.75" customHeight="1" x14ac:dyDescent="0.15">
      <c r="AE7961" s="13"/>
    </row>
    <row r="7962" spans="31:31" ht="12.75" customHeight="1" x14ac:dyDescent="0.15">
      <c r="AE7962" s="13"/>
    </row>
    <row r="7963" spans="31:31" ht="12.75" customHeight="1" x14ac:dyDescent="0.15">
      <c r="AE7963" s="13"/>
    </row>
    <row r="7964" spans="31:31" ht="12.75" customHeight="1" x14ac:dyDescent="0.15">
      <c r="AE7964" s="13"/>
    </row>
    <row r="7965" spans="31:31" ht="12.75" customHeight="1" x14ac:dyDescent="0.15">
      <c r="AE7965" s="13"/>
    </row>
    <row r="7966" spans="31:31" ht="12.75" customHeight="1" x14ac:dyDescent="0.15">
      <c r="AE7966" s="13"/>
    </row>
    <row r="7967" spans="31:31" ht="12.75" customHeight="1" x14ac:dyDescent="0.15">
      <c r="AE7967" s="13"/>
    </row>
    <row r="7968" spans="31:31" ht="12.75" customHeight="1" x14ac:dyDescent="0.15">
      <c r="AE7968" s="13"/>
    </row>
    <row r="7969" spans="31:31" ht="12.75" customHeight="1" x14ac:dyDescent="0.15">
      <c r="AE7969" s="13"/>
    </row>
    <row r="7970" spans="31:31" ht="12.75" customHeight="1" x14ac:dyDescent="0.15">
      <c r="AE7970" s="13"/>
    </row>
    <row r="7971" spans="31:31" ht="12.75" customHeight="1" x14ac:dyDescent="0.15">
      <c r="AE7971" s="13"/>
    </row>
    <row r="7972" spans="31:31" ht="12.75" customHeight="1" x14ac:dyDescent="0.15">
      <c r="AE7972" s="13"/>
    </row>
    <row r="7973" spans="31:31" ht="12.75" customHeight="1" x14ac:dyDescent="0.15">
      <c r="AE7973" s="13"/>
    </row>
    <row r="7974" spans="31:31" ht="12.75" customHeight="1" x14ac:dyDescent="0.15">
      <c r="AE7974" s="13"/>
    </row>
    <row r="7975" spans="31:31" ht="12.75" customHeight="1" x14ac:dyDescent="0.15">
      <c r="AE7975" s="13"/>
    </row>
    <row r="7976" spans="31:31" ht="12.75" customHeight="1" x14ac:dyDescent="0.15">
      <c r="AE7976" s="13"/>
    </row>
    <row r="7977" spans="31:31" ht="12.75" customHeight="1" x14ac:dyDescent="0.15">
      <c r="AE7977" s="13"/>
    </row>
    <row r="7978" spans="31:31" ht="12.75" customHeight="1" x14ac:dyDescent="0.15">
      <c r="AE7978" s="13"/>
    </row>
    <row r="7979" spans="31:31" ht="12.75" customHeight="1" x14ac:dyDescent="0.15">
      <c r="AE7979" s="13"/>
    </row>
    <row r="7980" spans="31:31" ht="12.75" customHeight="1" x14ac:dyDescent="0.15">
      <c r="AE7980" s="13"/>
    </row>
    <row r="7981" spans="31:31" ht="12.75" customHeight="1" x14ac:dyDescent="0.15">
      <c r="AE7981" s="13"/>
    </row>
    <row r="7982" spans="31:31" ht="12.75" customHeight="1" x14ac:dyDescent="0.15">
      <c r="AE7982" s="13"/>
    </row>
    <row r="7983" spans="31:31" ht="12.75" customHeight="1" x14ac:dyDescent="0.15">
      <c r="AE7983" s="13"/>
    </row>
    <row r="7984" spans="31:31" ht="12.75" customHeight="1" x14ac:dyDescent="0.15">
      <c r="AE7984" s="13"/>
    </row>
    <row r="7985" spans="31:31" ht="12.75" customHeight="1" x14ac:dyDescent="0.15">
      <c r="AE7985" s="13"/>
    </row>
    <row r="7986" spans="31:31" ht="12.75" customHeight="1" x14ac:dyDescent="0.15">
      <c r="AE7986" s="13"/>
    </row>
    <row r="7987" spans="31:31" ht="12.75" customHeight="1" x14ac:dyDescent="0.15">
      <c r="AE7987" s="13"/>
    </row>
    <row r="7988" spans="31:31" ht="12.75" customHeight="1" x14ac:dyDescent="0.15">
      <c r="AE7988" s="13"/>
    </row>
    <row r="7989" spans="31:31" ht="12.75" customHeight="1" x14ac:dyDescent="0.15">
      <c r="AE7989" s="13"/>
    </row>
    <row r="7990" spans="31:31" ht="12.75" customHeight="1" x14ac:dyDescent="0.15">
      <c r="AE7990" s="13"/>
    </row>
    <row r="7991" spans="31:31" ht="12.75" customHeight="1" x14ac:dyDescent="0.15">
      <c r="AE7991" s="13"/>
    </row>
    <row r="7992" spans="31:31" ht="12.75" customHeight="1" x14ac:dyDescent="0.15">
      <c r="AE7992" s="13"/>
    </row>
    <row r="7993" spans="31:31" ht="12.75" customHeight="1" x14ac:dyDescent="0.15">
      <c r="AE7993" s="13"/>
    </row>
    <row r="7994" spans="31:31" ht="12.75" customHeight="1" x14ac:dyDescent="0.15">
      <c r="AE7994" s="13"/>
    </row>
    <row r="7995" spans="31:31" ht="12.75" customHeight="1" x14ac:dyDescent="0.15">
      <c r="AE7995" s="13"/>
    </row>
    <row r="7996" spans="31:31" ht="12.75" customHeight="1" x14ac:dyDescent="0.15">
      <c r="AE7996" s="13"/>
    </row>
    <row r="7997" spans="31:31" ht="12.75" customHeight="1" x14ac:dyDescent="0.15">
      <c r="AE7997" s="13"/>
    </row>
    <row r="7998" spans="31:31" ht="12.75" customHeight="1" x14ac:dyDescent="0.15">
      <c r="AE7998" s="13"/>
    </row>
    <row r="7999" spans="31:31" ht="12.75" customHeight="1" x14ac:dyDescent="0.15">
      <c r="AE7999" s="13"/>
    </row>
    <row r="8000" spans="31:31" ht="12.75" customHeight="1" x14ac:dyDescent="0.15">
      <c r="AE8000" s="13"/>
    </row>
    <row r="8001" spans="31:31" ht="12.75" customHeight="1" x14ac:dyDescent="0.15">
      <c r="AE8001" s="13"/>
    </row>
    <row r="8002" spans="31:31" ht="12.75" customHeight="1" x14ac:dyDescent="0.15">
      <c r="AE8002" s="13"/>
    </row>
    <row r="8003" spans="31:31" ht="12.75" customHeight="1" x14ac:dyDescent="0.15">
      <c r="AE8003" s="13"/>
    </row>
    <row r="8004" spans="31:31" ht="12.75" customHeight="1" x14ac:dyDescent="0.15">
      <c r="AE8004" s="13"/>
    </row>
    <row r="8005" spans="31:31" ht="12.75" customHeight="1" x14ac:dyDescent="0.15">
      <c r="AE8005" s="13"/>
    </row>
    <row r="8006" spans="31:31" ht="12.75" customHeight="1" x14ac:dyDescent="0.15">
      <c r="AE8006" s="13"/>
    </row>
    <row r="8007" spans="31:31" ht="12.75" customHeight="1" x14ac:dyDescent="0.15">
      <c r="AE8007" s="13"/>
    </row>
    <row r="8008" spans="31:31" ht="12.75" customHeight="1" x14ac:dyDescent="0.15">
      <c r="AE8008" s="13"/>
    </row>
    <row r="8009" spans="31:31" ht="12.75" customHeight="1" x14ac:dyDescent="0.15">
      <c r="AE8009" s="13"/>
    </row>
    <row r="8010" spans="31:31" ht="12.75" customHeight="1" x14ac:dyDescent="0.15">
      <c r="AE8010" s="13"/>
    </row>
    <row r="8011" spans="31:31" ht="12.75" customHeight="1" x14ac:dyDescent="0.15">
      <c r="AE8011" s="13"/>
    </row>
    <row r="8012" spans="31:31" ht="12.75" customHeight="1" x14ac:dyDescent="0.15">
      <c r="AE8012" s="13"/>
    </row>
    <row r="8013" spans="31:31" ht="12.75" customHeight="1" x14ac:dyDescent="0.15">
      <c r="AE8013" s="13"/>
    </row>
    <row r="8014" spans="31:31" ht="12.75" customHeight="1" x14ac:dyDescent="0.15">
      <c r="AE8014" s="13"/>
    </row>
    <row r="8015" spans="31:31" ht="12.75" customHeight="1" x14ac:dyDescent="0.15">
      <c r="AE8015" s="13"/>
    </row>
    <row r="8016" spans="31:31" ht="12.75" customHeight="1" x14ac:dyDescent="0.15">
      <c r="AE8016" s="13"/>
    </row>
    <row r="8017" spans="31:31" ht="12.75" customHeight="1" x14ac:dyDescent="0.15">
      <c r="AE8017" s="13"/>
    </row>
    <row r="8018" spans="31:31" ht="12.75" customHeight="1" x14ac:dyDescent="0.15">
      <c r="AE8018" s="13"/>
    </row>
    <row r="8019" spans="31:31" ht="12.75" customHeight="1" x14ac:dyDescent="0.15">
      <c r="AE8019" s="13"/>
    </row>
    <row r="8020" spans="31:31" ht="12.75" customHeight="1" x14ac:dyDescent="0.15">
      <c r="AE8020" s="13"/>
    </row>
    <row r="8021" spans="31:31" ht="12.75" customHeight="1" x14ac:dyDescent="0.15">
      <c r="AE8021" s="13"/>
    </row>
    <row r="8022" spans="31:31" ht="12.75" customHeight="1" x14ac:dyDescent="0.15">
      <c r="AE8022" s="13"/>
    </row>
    <row r="8023" spans="31:31" ht="12.75" customHeight="1" x14ac:dyDescent="0.15">
      <c r="AE8023" s="13"/>
    </row>
    <row r="8024" spans="31:31" ht="12.75" customHeight="1" x14ac:dyDescent="0.15">
      <c r="AE8024" s="13"/>
    </row>
    <row r="8025" spans="31:31" ht="12.75" customHeight="1" x14ac:dyDescent="0.15">
      <c r="AE8025" s="13"/>
    </row>
    <row r="8026" spans="31:31" ht="12.75" customHeight="1" x14ac:dyDescent="0.15">
      <c r="AE8026" s="13"/>
    </row>
    <row r="8027" spans="31:31" ht="12.75" customHeight="1" x14ac:dyDescent="0.15">
      <c r="AE8027" s="13"/>
    </row>
    <row r="8028" spans="31:31" ht="12.75" customHeight="1" x14ac:dyDescent="0.15">
      <c r="AE8028" s="13"/>
    </row>
    <row r="8029" spans="31:31" ht="12.75" customHeight="1" x14ac:dyDescent="0.15">
      <c r="AE8029" s="13"/>
    </row>
    <row r="8030" spans="31:31" ht="12.75" customHeight="1" x14ac:dyDescent="0.15">
      <c r="AE8030" s="13"/>
    </row>
    <row r="8031" spans="31:31" ht="12.75" customHeight="1" x14ac:dyDescent="0.15">
      <c r="AE8031" s="13"/>
    </row>
    <row r="8032" spans="31:31" ht="12.75" customHeight="1" x14ac:dyDescent="0.15">
      <c r="AE8032" s="13"/>
    </row>
    <row r="8033" spans="31:31" ht="12.75" customHeight="1" x14ac:dyDescent="0.15">
      <c r="AE8033" s="13"/>
    </row>
    <row r="8034" spans="31:31" ht="12.75" customHeight="1" x14ac:dyDescent="0.15">
      <c r="AE8034" s="13"/>
    </row>
    <row r="8035" spans="31:31" ht="12.75" customHeight="1" x14ac:dyDescent="0.15">
      <c r="AE8035" s="13"/>
    </row>
    <row r="8036" spans="31:31" ht="12.75" customHeight="1" x14ac:dyDescent="0.15">
      <c r="AE8036" s="13"/>
    </row>
    <row r="8037" spans="31:31" ht="12.75" customHeight="1" x14ac:dyDescent="0.15">
      <c r="AE8037" s="13"/>
    </row>
    <row r="8038" spans="31:31" ht="12.75" customHeight="1" x14ac:dyDescent="0.15">
      <c r="AE8038" s="13"/>
    </row>
    <row r="8039" spans="31:31" ht="12.75" customHeight="1" x14ac:dyDescent="0.15">
      <c r="AE8039" s="13"/>
    </row>
    <row r="8040" spans="31:31" ht="12.75" customHeight="1" x14ac:dyDescent="0.15">
      <c r="AE8040" s="13"/>
    </row>
    <row r="8041" spans="31:31" ht="12.75" customHeight="1" x14ac:dyDescent="0.15">
      <c r="AE8041" s="13"/>
    </row>
    <row r="8042" spans="31:31" ht="12.75" customHeight="1" x14ac:dyDescent="0.15">
      <c r="AE8042" s="13"/>
    </row>
    <row r="8043" spans="31:31" ht="12.75" customHeight="1" x14ac:dyDescent="0.15">
      <c r="AE8043" s="13"/>
    </row>
    <row r="8044" spans="31:31" ht="12.75" customHeight="1" x14ac:dyDescent="0.15">
      <c r="AE8044" s="13"/>
    </row>
    <row r="8045" spans="31:31" ht="12.75" customHeight="1" x14ac:dyDescent="0.15">
      <c r="AE8045" s="13"/>
    </row>
    <row r="8046" spans="31:31" ht="12.75" customHeight="1" x14ac:dyDescent="0.15">
      <c r="AE8046" s="13"/>
    </row>
    <row r="8047" spans="31:31" ht="12.75" customHeight="1" x14ac:dyDescent="0.15">
      <c r="AE8047" s="13"/>
    </row>
    <row r="8048" spans="31:31" ht="12.75" customHeight="1" x14ac:dyDescent="0.15">
      <c r="AE8048" s="13"/>
    </row>
    <row r="8049" spans="31:31" ht="12.75" customHeight="1" x14ac:dyDescent="0.15">
      <c r="AE8049" s="13"/>
    </row>
    <row r="8050" spans="31:31" ht="12.75" customHeight="1" x14ac:dyDescent="0.15">
      <c r="AE8050" s="13"/>
    </row>
    <row r="8051" spans="31:31" ht="12.75" customHeight="1" x14ac:dyDescent="0.15">
      <c r="AE8051" s="13"/>
    </row>
    <row r="8052" spans="31:31" ht="12.75" customHeight="1" x14ac:dyDescent="0.15">
      <c r="AE8052" s="13"/>
    </row>
    <row r="8053" spans="31:31" ht="12.75" customHeight="1" x14ac:dyDescent="0.15">
      <c r="AE8053" s="13"/>
    </row>
    <row r="8054" spans="31:31" ht="12.75" customHeight="1" x14ac:dyDescent="0.15">
      <c r="AE8054" s="13"/>
    </row>
    <row r="8055" spans="31:31" ht="12.75" customHeight="1" x14ac:dyDescent="0.15">
      <c r="AE8055" s="13"/>
    </row>
    <row r="8056" spans="31:31" ht="12.75" customHeight="1" x14ac:dyDescent="0.15">
      <c r="AE8056" s="13"/>
    </row>
    <row r="8057" spans="31:31" ht="12.75" customHeight="1" x14ac:dyDescent="0.15">
      <c r="AE8057" s="13"/>
    </row>
    <row r="8058" spans="31:31" ht="12.75" customHeight="1" x14ac:dyDescent="0.15">
      <c r="AE8058" s="13"/>
    </row>
    <row r="8059" spans="31:31" ht="12.75" customHeight="1" x14ac:dyDescent="0.15">
      <c r="AE8059" s="13"/>
    </row>
    <row r="8060" spans="31:31" ht="12.75" customHeight="1" x14ac:dyDescent="0.15">
      <c r="AE8060" s="13"/>
    </row>
    <row r="8061" spans="31:31" ht="12.75" customHeight="1" x14ac:dyDescent="0.15">
      <c r="AE8061" s="13"/>
    </row>
    <row r="8062" spans="31:31" ht="12.75" customHeight="1" x14ac:dyDescent="0.15">
      <c r="AE8062" s="13"/>
    </row>
    <row r="8063" spans="31:31" ht="12.75" customHeight="1" x14ac:dyDescent="0.15">
      <c r="AE8063" s="13"/>
    </row>
    <row r="8064" spans="31:31" ht="12.75" customHeight="1" x14ac:dyDescent="0.15">
      <c r="AE8064" s="13"/>
    </row>
    <row r="8065" spans="31:31" ht="12.75" customHeight="1" x14ac:dyDescent="0.15">
      <c r="AE8065" s="13"/>
    </row>
    <row r="8066" spans="31:31" ht="12.75" customHeight="1" x14ac:dyDescent="0.15">
      <c r="AE8066" s="13"/>
    </row>
    <row r="8067" spans="31:31" ht="12.75" customHeight="1" x14ac:dyDescent="0.15">
      <c r="AE8067" s="13"/>
    </row>
    <row r="8068" spans="31:31" ht="12.75" customHeight="1" x14ac:dyDescent="0.15">
      <c r="AE8068" s="13"/>
    </row>
    <row r="8069" spans="31:31" ht="12.75" customHeight="1" x14ac:dyDescent="0.15">
      <c r="AE8069" s="13"/>
    </row>
    <row r="8070" spans="31:31" ht="12.75" customHeight="1" x14ac:dyDescent="0.15">
      <c r="AE8070" s="13"/>
    </row>
    <row r="8071" spans="31:31" ht="12.75" customHeight="1" x14ac:dyDescent="0.15">
      <c r="AE8071" s="13"/>
    </row>
    <row r="8072" spans="31:31" ht="12.75" customHeight="1" x14ac:dyDescent="0.15">
      <c r="AE8072" s="13"/>
    </row>
    <row r="8073" spans="31:31" ht="12.75" customHeight="1" x14ac:dyDescent="0.15">
      <c r="AE8073" s="13"/>
    </row>
    <row r="8074" spans="31:31" ht="12.75" customHeight="1" x14ac:dyDescent="0.15">
      <c r="AE8074" s="13"/>
    </row>
    <row r="8075" spans="31:31" ht="12.75" customHeight="1" x14ac:dyDescent="0.15">
      <c r="AE8075" s="13"/>
    </row>
    <row r="8076" spans="31:31" ht="12.75" customHeight="1" x14ac:dyDescent="0.15">
      <c r="AE8076" s="13"/>
    </row>
    <row r="8077" spans="31:31" ht="12.75" customHeight="1" x14ac:dyDescent="0.15">
      <c r="AE8077" s="13"/>
    </row>
    <row r="8078" spans="31:31" ht="12.75" customHeight="1" x14ac:dyDescent="0.15">
      <c r="AE8078" s="13"/>
    </row>
    <row r="8079" spans="31:31" ht="12.75" customHeight="1" x14ac:dyDescent="0.15">
      <c r="AE8079" s="13"/>
    </row>
    <row r="8080" spans="31:31" ht="12.75" customHeight="1" x14ac:dyDescent="0.15">
      <c r="AE8080" s="13"/>
    </row>
    <row r="8081" spans="31:31" ht="12.75" customHeight="1" x14ac:dyDescent="0.15">
      <c r="AE8081" s="13"/>
    </row>
    <row r="8082" spans="31:31" ht="12.75" customHeight="1" x14ac:dyDescent="0.15">
      <c r="AE8082" s="13"/>
    </row>
    <row r="8083" spans="31:31" ht="12.75" customHeight="1" x14ac:dyDescent="0.15">
      <c r="AE8083" s="13"/>
    </row>
    <row r="8084" spans="31:31" ht="12.75" customHeight="1" x14ac:dyDescent="0.15">
      <c r="AE8084" s="13"/>
    </row>
    <row r="8085" spans="31:31" ht="12.75" customHeight="1" x14ac:dyDescent="0.15">
      <c r="AE8085" s="13"/>
    </row>
    <row r="8086" spans="31:31" ht="12.75" customHeight="1" x14ac:dyDescent="0.15">
      <c r="AE8086" s="13"/>
    </row>
    <row r="8087" spans="31:31" ht="12.75" customHeight="1" x14ac:dyDescent="0.15">
      <c r="AE8087" s="13"/>
    </row>
    <row r="8088" spans="31:31" ht="12.75" customHeight="1" x14ac:dyDescent="0.15">
      <c r="AE8088" s="13"/>
    </row>
    <row r="8089" spans="31:31" ht="12.75" customHeight="1" x14ac:dyDescent="0.15">
      <c r="AE8089" s="13"/>
    </row>
    <row r="8090" spans="31:31" ht="12.75" customHeight="1" x14ac:dyDescent="0.15">
      <c r="AE8090" s="13"/>
    </row>
    <row r="8091" spans="31:31" ht="12.75" customHeight="1" x14ac:dyDescent="0.15">
      <c r="AE8091" s="13"/>
    </row>
    <row r="8092" spans="31:31" ht="12.75" customHeight="1" x14ac:dyDescent="0.15">
      <c r="AE8092" s="13"/>
    </row>
    <row r="8093" spans="31:31" ht="12.75" customHeight="1" x14ac:dyDescent="0.15">
      <c r="AE8093" s="13"/>
    </row>
    <row r="8094" spans="31:31" ht="12.75" customHeight="1" x14ac:dyDescent="0.15">
      <c r="AE8094" s="13"/>
    </row>
    <row r="8095" spans="31:31" ht="12.75" customHeight="1" x14ac:dyDescent="0.15">
      <c r="AE8095" s="13"/>
    </row>
    <row r="8096" spans="31:31" ht="12.75" customHeight="1" x14ac:dyDescent="0.15">
      <c r="AE8096" s="13"/>
    </row>
    <row r="8097" spans="31:31" ht="12.75" customHeight="1" x14ac:dyDescent="0.15">
      <c r="AE8097" s="13"/>
    </row>
    <row r="8098" spans="31:31" ht="12.75" customHeight="1" x14ac:dyDescent="0.15">
      <c r="AE8098" s="13"/>
    </row>
    <row r="8099" spans="31:31" ht="12.75" customHeight="1" x14ac:dyDescent="0.15">
      <c r="AE8099" s="13"/>
    </row>
    <row r="8100" spans="31:31" ht="12.75" customHeight="1" x14ac:dyDescent="0.15">
      <c r="AE8100" s="13"/>
    </row>
    <row r="8101" spans="31:31" ht="12.75" customHeight="1" x14ac:dyDescent="0.15">
      <c r="AE8101" s="13"/>
    </row>
    <row r="8102" spans="31:31" ht="12.75" customHeight="1" x14ac:dyDescent="0.15">
      <c r="AE8102" s="13"/>
    </row>
    <row r="8103" spans="31:31" ht="12.75" customHeight="1" x14ac:dyDescent="0.15">
      <c r="AE8103" s="13"/>
    </row>
    <row r="8104" spans="31:31" ht="12.75" customHeight="1" x14ac:dyDescent="0.15">
      <c r="AE8104" s="13"/>
    </row>
    <row r="8105" spans="31:31" ht="12.75" customHeight="1" x14ac:dyDescent="0.15">
      <c r="AE8105" s="13"/>
    </row>
    <row r="8106" spans="31:31" ht="12.75" customHeight="1" x14ac:dyDescent="0.15">
      <c r="AE8106" s="13"/>
    </row>
    <row r="8107" spans="31:31" ht="12.75" customHeight="1" x14ac:dyDescent="0.15">
      <c r="AE8107" s="13"/>
    </row>
    <row r="8108" spans="31:31" ht="12.75" customHeight="1" x14ac:dyDescent="0.15">
      <c r="AE8108" s="13"/>
    </row>
    <row r="8109" spans="31:31" ht="12.75" customHeight="1" x14ac:dyDescent="0.15">
      <c r="AE8109" s="13"/>
    </row>
    <row r="8110" spans="31:31" ht="12.75" customHeight="1" x14ac:dyDescent="0.15">
      <c r="AE8110" s="13"/>
    </row>
    <row r="8111" spans="31:31" ht="12.75" customHeight="1" x14ac:dyDescent="0.15">
      <c r="AE8111" s="13"/>
    </row>
    <row r="8112" spans="31:31" ht="12.75" customHeight="1" x14ac:dyDescent="0.15">
      <c r="AE8112" s="13"/>
    </row>
    <row r="8113" spans="31:31" ht="12.75" customHeight="1" x14ac:dyDescent="0.15">
      <c r="AE8113" s="13"/>
    </row>
    <row r="8114" spans="31:31" ht="12.75" customHeight="1" x14ac:dyDescent="0.15">
      <c r="AE8114" s="13"/>
    </row>
    <row r="8115" spans="31:31" ht="12.75" customHeight="1" x14ac:dyDescent="0.15">
      <c r="AE8115" s="13"/>
    </row>
    <row r="8116" spans="31:31" ht="12.75" customHeight="1" x14ac:dyDescent="0.15">
      <c r="AE8116" s="13"/>
    </row>
    <row r="8117" spans="31:31" ht="12.75" customHeight="1" x14ac:dyDescent="0.15">
      <c r="AE8117" s="13"/>
    </row>
    <row r="8118" spans="31:31" ht="12.75" customHeight="1" x14ac:dyDescent="0.15">
      <c r="AE8118" s="13"/>
    </row>
    <row r="8119" spans="31:31" ht="12.75" customHeight="1" x14ac:dyDescent="0.15">
      <c r="AE8119" s="13"/>
    </row>
    <row r="8120" spans="31:31" ht="12.75" customHeight="1" x14ac:dyDescent="0.15">
      <c r="AE8120" s="13"/>
    </row>
    <row r="8121" spans="31:31" ht="12.75" customHeight="1" x14ac:dyDescent="0.15">
      <c r="AE8121" s="13"/>
    </row>
    <row r="8122" spans="31:31" ht="12.75" customHeight="1" x14ac:dyDescent="0.15">
      <c r="AE8122" s="13"/>
    </row>
    <row r="8123" spans="31:31" ht="12.75" customHeight="1" x14ac:dyDescent="0.15">
      <c r="AE8123" s="13"/>
    </row>
    <row r="8124" spans="31:31" ht="12.75" customHeight="1" x14ac:dyDescent="0.15">
      <c r="AE8124" s="13"/>
    </row>
    <row r="8125" spans="31:31" ht="12.75" customHeight="1" x14ac:dyDescent="0.15">
      <c r="AE8125" s="13"/>
    </row>
    <row r="8126" spans="31:31" ht="12.75" customHeight="1" x14ac:dyDescent="0.15">
      <c r="AE8126" s="13"/>
    </row>
    <row r="8127" spans="31:31" ht="12.75" customHeight="1" x14ac:dyDescent="0.15">
      <c r="AE8127" s="13"/>
    </row>
    <row r="8128" spans="31:31" ht="12.75" customHeight="1" x14ac:dyDescent="0.15">
      <c r="AE8128" s="13"/>
    </row>
    <row r="8129" spans="31:31" ht="12.75" customHeight="1" x14ac:dyDescent="0.15">
      <c r="AE8129" s="13"/>
    </row>
    <row r="8130" spans="31:31" ht="12.75" customHeight="1" x14ac:dyDescent="0.15">
      <c r="AE8130" s="13"/>
    </row>
    <row r="8131" spans="31:31" ht="12.75" customHeight="1" x14ac:dyDescent="0.15">
      <c r="AE8131" s="13"/>
    </row>
    <row r="8132" spans="31:31" ht="12.75" customHeight="1" x14ac:dyDescent="0.15">
      <c r="AE8132" s="13"/>
    </row>
    <row r="8133" spans="31:31" ht="12.75" customHeight="1" x14ac:dyDescent="0.15">
      <c r="AE8133" s="13"/>
    </row>
    <row r="8134" spans="31:31" ht="12.75" customHeight="1" x14ac:dyDescent="0.15">
      <c r="AE8134" s="13"/>
    </row>
    <row r="8135" spans="31:31" ht="12.75" customHeight="1" x14ac:dyDescent="0.15">
      <c r="AE8135" s="13"/>
    </row>
    <row r="8136" spans="31:31" ht="12.75" customHeight="1" x14ac:dyDescent="0.15">
      <c r="AE8136" s="13"/>
    </row>
    <row r="8137" spans="31:31" ht="12.75" customHeight="1" x14ac:dyDescent="0.15">
      <c r="AE8137" s="13"/>
    </row>
    <row r="8138" spans="31:31" ht="12.75" customHeight="1" x14ac:dyDescent="0.15">
      <c r="AE8138" s="13"/>
    </row>
    <row r="8139" spans="31:31" ht="12.75" customHeight="1" x14ac:dyDescent="0.15">
      <c r="AE8139" s="13"/>
    </row>
    <row r="8140" spans="31:31" ht="12.75" customHeight="1" x14ac:dyDescent="0.15">
      <c r="AE8140" s="13"/>
    </row>
    <row r="8141" spans="31:31" ht="12.75" customHeight="1" x14ac:dyDescent="0.15">
      <c r="AE8141" s="13"/>
    </row>
    <row r="8142" spans="31:31" ht="12.75" customHeight="1" x14ac:dyDescent="0.15">
      <c r="AE8142" s="13"/>
    </row>
    <row r="8143" spans="31:31" ht="12.75" customHeight="1" x14ac:dyDescent="0.15">
      <c r="AE8143" s="13"/>
    </row>
    <row r="8144" spans="31:31" ht="12.75" customHeight="1" x14ac:dyDescent="0.15">
      <c r="AE8144" s="13"/>
    </row>
    <row r="8145" spans="31:31" ht="12.75" customHeight="1" x14ac:dyDescent="0.15">
      <c r="AE8145" s="13"/>
    </row>
    <row r="8146" spans="31:31" ht="12.75" customHeight="1" x14ac:dyDescent="0.15">
      <c r="AE8146" s="13"/>
    </row>
    <row r="8147" spans="31:31" ht="12.75" customHeight="1" x14ac:dyDescent="0.15">
      <c r="AE8147" s="13"/>
    </row>
    <row r="8148" spans="31:31" ht="12.75" customHeight="1" x14ac:dyDescent="0.15">
      <c r="AE8148" s="13"/>
    </row>
    <row r="8149" spans="31:31" ht="12.75" customHeight="1" x14ac:dyDescent="0.15">
      <c r="AE8149" s="13"/>
    </row>
    <row r="8150" spans="31:31" ht="12.75" customHeight="1" x14ac:dyDescent="0.15">
      <c r="AE8150" s="13"/>
    </row>
    <row r="8151" spans="31:31" ht="12.75" customHeight="1" x14ac:dyDescent="0.15">
      <c r="AE8151" s="13"/>
    </row>
    <row r="8152" spans="31:31" ht="12.75" customHeight="1" x14ac:dyDescent="0.15">
      <c r="AE8152" s="13"/>
    </row>
    <row r="8153" spans="31:31" ht="12.75" customHeight="1" x14ac:dyDescent="0.15">
      <c r="AE8153" s="13"/>
    </row>
    <row r="8154" spans="31:31" ht="12.75" customHeight="1" x14ac:dyDescent="0.15">
      <c r="AE8154" s="13"/>
    </row>
    <row r="8155" spans="31:31" ht="12.75" customHeight="1" x14ac:dyDescent="0.15">
      <c r="AE8155" s="13"/>
    </row>
    <row r="8156" spans="31:31" ht="12.75" customHeight="1" x14ac:dyDescent="0.15">
      <c r="AE8156" s="13"/>
    </row>
    <row r="8157" spans="31:31" ht="12.75" customHeight="1" x14ac:dyDescent="0.15">
      <c r="AE8157" s="13"/>
    </row>
    <row r="8158" spans="31:31" ht="12.75" customHeight="1" x14ac:dyDescent="0.15">
      <c r="AE8158" s="13"/>
    </row>
    <row r="8159" spans="31:31" ht="12.75" customHeight="1" x14ac:dyDescent="0.15">
      <c r="AE8159" s="13"/>
    </row>
    <row r="8160" spans="31:31" ht="12.75" customHeight="1" x14ac:dyDescent="0.15">
      <c r="AE8160" s="13"/>
    </row>
    <row r="8161" spans="31:31" ht="12.75" customHeight="1" x14ac:dyDescent="0.15">
      <c r="AE8161" s="13"/>
    </row>
    <row r="8162" spans="31:31" ht="12.75" customHeight="1" x14ac:dyDescent="0.15">
      <c r="AE8162" s="13"/>
    </row>
    <row r="8163" spans="31:31" ht="12.75" customHeight="1" x14ac:dyDescent="0.15">
      <c r="AE8163" s="13"/>
    </row>
    <row r="8164" spans="31:31" ht="12.75" customHeight="1" x14ac:dyDescent="0.15">
      <c r="AE8164" s="13"/>
    </row>
    <row r="8165" spans="31:31" ht="12.75" customHeight="1" x14ac:dyDescent="0.15">
      <c r="AE8165" s="13"/>
    </row>
    <row r="8166" spans="31:31" ht="12.75" customHeight="1" x14ac:dyDescent="0.15">
      <c r="AE8166" s="13"/>
    </row>
    <row r="8167" spans="31:31" ht="12.75" customHeight="1" x14ac:dyDescent="0.15">
      <c r="AE8167" s="13"/>
    </row>
    <row r="8168" spans="31:31" ht="12.75" customHeight="1" x14ac:dyDescent="0.15">
      <c r="AE8168" s="13"/>
    </row>
    <row r="8169" spans="31:31" ht="12.75" customHeight="1" x14ac:dyDescent="0.15">
      <c r="AE8169" s="13"/>
    </row>
    <row r="8170" spans="31:31" ht="12.75" customHeight="1" x14ac:dyDescent="0.15">
      <c r="AE8170" s="13"/>
    </row>
    <row r="8171" spans="31:31" ht="12.75" customHeight="1" x14ac:dyDescent="0.15">
      <c r="AE8171" s="13"/>
    </row>
    <row r="8172" spans="31:31" ht="12.75" customHeight="1" x14ac:dyDescent="0.15">
      <c r="AE8172" s="13"/>
    </row>
    <row r="8173" spans="31:31" ht="12.75" customHeight="1" x14ac:dyDescent="0.15">
      <c r="AE8173" s="13"/>
    </row>
    <row r="8174" spans="31:31" ht="12.75" customHeight="1" x14ac:dyDescent="0.15">
      <c r="AE8174" s="13"/>
    </row>
    <row r="8175" spans="31:31" ht="12.75" customHeight="1" x14ac:dyDescent="0.15">
      <c r="AE8175" s="13"/>
    </row>
    <row r="8176" spans="31:31" ht="12.75" customHeight="1" x14ac:dyDescent="0.15">
      <c r="AE8176" s="13"/>
    </row>
    <row r="8177" spans="31:31" ht="12.75" customHeight="1" x14ac:dyDescent="0.15">
      <c r="AE8177" s="13"/>
    </row>
    <row r="8178" spans="31:31" ht="12.75" customHeight="1" x14ac:dyDescent="0.15">
      <c r="AE8178" s="13"/>
    </row>
    <row r="8179" spans="31:31" ht="12.75" customHeight="1" x14ac:dyDescent="0.15">
      <c r="AE8179" s="13"/>
    </row>
    <row r="8180" spans="31:31" ht="12.75" customHeight="1" x14ac:dyDescent="0.15">
      <c r="AE8180" s="13"/>
    </row>
    <row r="8181" spans="31:31" ht="12.75" customHeight="1" x14ac:dyDescent="0.15">
      <c r="AE8181" s="13"/>
    </row>
    <row r="8182" spans="31:31" ht="12.75" customHeight="1" x14ac:dyDescent="0.15">
      <c r="AE8182" s="13"/>
    </row>
    <row r="8183" spans="31:31" ht="12.75" customHeight="1" x14ac:dyDescent="0.15">
      <c r="AE8183" s="13"/>
    </row>
    <row r="8184" spans="31:31" ht="12.75" customHeight="1" x14ac:dyDescent="0.15">
      <c r="AE8184" s="13"/>
    </row>
    <row r="8185" spans="31:31" ht="12.75" customHeight="1" x14ac:dyDescent="0.15">
      <c r="AE8185" s="13"/>
    </row>
    <row r="8186" spans="31:31" ht="12.75" customHeight="1" x14ac:dyDescent="0.15">
      <c r="AE8186" s="13"/>
    </row>
    <row r="8187" spans="31:31" ht="12.75" customHeight="1" x14ac:dyDescent="0.15">
      <c r="AE8187" s="13"/>
    </row>
    <row r="8188" spans="31:31" ht="12.75" customHeight="1" x14ac:dyDescent="0.15">
      <c r="AE8188" s="13"/>
    </row>
    <row r="8189" spans="31:31" ht="12.75" customHeight="1" x14ac:dyDescent="0.15">
      <c r="AE8189" s="13"/>
    </row>
    <row r="8190" spans="31:31" ht="12.75" customHeight="1" x14ac:dyDescent="0.15">
      <c r="AE8190" s="13"/>
    </row>
    <row r="8191" spans="31:31" ht="12.75" customHeight="1" x14ac:dyDescent="0.15">
      <c r="AE8191" s="13"/>
    </row>
    <row r="8192" spans="31:31" ht="12.75" customHeight="1" x14ac:dyDescent="0.15">
      <c r="AE8192" s="13"/>
    </row>
    <row r="8193" spans="31:31" ht="12.75" customHeight="1" x14ac:dyDescent="0.15">
      <c r="AE8193" s="13"/>
    </row>
    <row r="8194" spans="31:31" ht="12.75" customHeight="1" x14ac:dyDescent="0.15">
      <c r="AE8194" s="13"/>
    </row>
    <row r="8195" spans="31:31" ht="12.75" customHeight="1" x14ac:dyDescent="0.15">
      <c r="AE8195" s="13"/>
    </row>
    <row r="8196" spans="31:31" ht="12.75" customHeight="1" x14ac:dyDescent="0.15">
      <c r="AE8196" s="13"/>
    </row>
    <row r="8197" spans="31:31" ht="12.75" customHeight="1" x14ac:dyDescent="0.15">
      <c r="AE8197" s="13"/>
    </row>
    <row r="8198" spans="31:31" ht="12.75" customHeight="1" x14ac:dyDescent="0.15">
      <c r="AE8198" s="13"/>
    </row>
    <row r="8199" spans="31:31" ht="12.75" customHeight="1" x14ac:dyDescent="0.15">
      <c r="AE8199" s="13"/>
    </row>
    <row r="8200" spans="31:31" ht="12.75" customHeight="1" x14ac:dyDescent="0.15">
      <c r="AE8200" s="13"/>
    </row>
    <row r="8201" spans="31:31" ht="12.75" customHeight="1" x14ac:dyDescent="0.15">
      <c r="AE8201" s="13"/>
    </row>
    <row r="8202" spans="31:31" ht="12.75" customHeight="1" x14ac:dyDescent="0.15">
      <c r="AE8202" s="13"/>
    </row>
    <row r="8203" spans="31:31" ht="12.75" customHeight="1" x14ac:dyDescent="0.15">
      <c r="AE8203" s="13"/>
    </row>
    <row r="8204" spans="31:31" ht="12.75" customHeight="1" x14ac:dyDescent="0.15">
      <c r="AE8204" s="13"/>
    </row>
    <row r="8205" spans="31:31" ht="12.75" customHeight="1" x14ac:dyDescent="0.15">
      <c r="AE8205" s="13"/>
    </row>
    <row r="8206" spans="31:31" ht="12.75" customHeight="1" x14ac:dyDescent="0.15">
      <c r="AE8206" s="13"/>
    </row>
    <row r="8207" spans="31:31" ht="12.75" customHeight="1" x14ac:dyDescent="0.15">
      <c r="AE8207" s="13"/>
    </row>
    <row r="8208" spans="31:31" ht="12.75" customHeight="1" x14ac:dyDescent="0.15">
      <c r="AE8208" s="13"/>
    </row>
    <row r="8209" spans="31:31" ht="12.75" customHeight="1" x14ac:dyDescent="0.15">
      <c r="AE8209" s="13"/>
    </row>
    <row r="8210" spans="31:31" ht="12.75" customHeight="1" x14ac:dyDescent="0.15">
      <c r="AE8210" s="13"/>
    </row>
    <row r="8211" spans="31:31" ht="12.75" customHeight="1" x14ac:dyDescent="0.15">
      <c r="AE8211" s="13"/>
    </row>
    <row r="8212" spans="31:31" ht="12.75" customHeight="1" x14ac:dyDescent="0.15">
      <c r="AE8212" s="13"/>
    </row>
    <row r="8213" spans="31:31" ht="12.75" customHeight="1" x14ac:dyDescent="0.15">
      <c r="AE8213" s="13"/>
    </row>
    <row r="8214" spans="31:31" ht="12.75" customHeight="1" x14ac:dyDescent="0.15">
      <c r="AE8214" s="13"/>
    </row>
    <row r="8215" spans="31:31" ht="12.75" customHeight="1" x14ac:dyDescent="0.15">
      <c r="AE8215" s="13"/>
    </row>
    <row r="8216" spans="31:31" ht="12.75" customHeight="1" x14ac:dyDescent="0.15">
      <c r="AE8216" s="13"/>
    </row>
    <row r="8217" spans="31:31" ht="12.75" customHeight="1" x14ac:dyDescent="0.15">
      <c r="AE8217" s="13"/>
    </row>
    <row r="8218" spans="31:31" ht="12.75" customHeight="1" x14ac:dyDescent="0.15">
      <c r="AE8218" s="13"/>
    </row>
    <row r="8219" spans="31:31" ht="12.75" customHeight="1" x14ac:dyDescent="0.15">
      <c r="AE8219" s="13"/>
    </row>
    <row r="8220" spans="31:31" ht="12.75" customHeight="1" x14ac:dyDescent="0.15">
      <c r="AE8220" s="13"/>
    </row>
    <row r="8221" spans="31:31" ht="12.75" customHeight="1" x14ac:dyDescent="0.15">
      <c r="AE8221" s="13"/>
    </row>
    <row r="8222" spans="31:31" ht="12.75" customHeight="1" x14ac:dyDescent="0.15">
      <c r="AE8222" s="13"/>
    </row>
    <row r="8223" spans="31:31" ht="12.75" customHeight="1" x14ac:dyDescent="0.15">
      <c r="AE8223" s="13"/>
    </row>
    <row r="8224" spans="31:31" ht="12.75" customHeight="1" x14ac:dyDescent="0.15">
      <c r="AE8224" s="13"/>
    </row>
    <row r="8225" spans="31:31" ht="12.75" customHeight="1" x14ac:dyDescent="0.15">
      <c r="AE8225" s="13"/>
    </row>
    <row r="8226" spans="31:31" ht="12.75" customHeight="1" x14ac:dyDescent="0.15">
      <c r="AE8226" s="13"/>
    </row>
    <row r="8227" spans="31:31" ht="12.75" customHeight="1" x14ac:dyDescent="0.15">
      <c r="AE8227" s="13"/>
    </row>
    <row r="8228" spans="31:31" ht="12.75" customHeight="1" x14ac:dyDescent="0.15">
      <c r="AE8228" s="13"/>
    </row>
    <row r="8229" spans="31:31" ht="12.75" customHeight="1" x14ac:dyDescent="0.15">
      <c r="AE8229" s="13"/>
    </row>
    <row r="8230" spans="31:31" ht="12.75" customHeight="1" x14ac:dyDescent="0.15">
      <c r="AE8230" s="13"/>
    </row>
    <row r="8231" spans="31:31" ht="12.75" customHeight="1" x14ac:dyDescent="0.15">
      <c r="AE8231" s="13"/>
    </row>
    <row r="8232" spans="31:31" ht="12.75" customHeight="1" x14ac:dyDescent="0.15">
      <c r="AE8232" s="13"/>
    </row>
    <row r="8233" spans="31:31" ht="12.75" customHeight="1" x14ac:dyDescent="0.15">
      <c r="AE8233" s="13"/>
    </row>
    <row r="8234" spans="31:31" ht="12.75" customHeight="1" x14ac:dyDescent="0.15">
      <c r="AE8234" s="13"/>
    </row>
    <row r="8235" spans="31:31" ht="12.75" customHeight="1" x14ac:dyDescent="0.15">
      <c r="AE8235" s="13"/>
    </row>
    <row r="8236" spans="31:31" ht="12.75" customHeight="1" x14ac:dyDescent="0.15">
      <c r="AE8236" s="13"/>
    </row>
    <row r="8237" spans="31:31" ht="12.75" customHeight="1" x14ac:dyDescent="0.15">
      <c r="AE8237" s="13"/>
    </row>
    <row r="8238" spans="31:31" ht="12.75" customHeight="1" x14ac:dyDescent="0.15">
      <c r="AE8238" s="13"/>
    </row>
    <row r="8239" spans="31:31" ht="12.75" customHeight="1" x14ac:dyDescent="0.15">
      <c r="AE8239" s="13"/>
    </row>
    <row r="8240" spans="31:31" ht="12.75" customHeight="1" x14ac:dyDescent="0.15">
      <c r="AE8240" s="13"/>
    </row>
    <row r="8241" spans="31:31" ht="12.75" customHeight="1" x14ac:dyDescent="0.15">
      <c r="AE8241" s="13"/>
    </row>
    <row r="8242" spans="31:31" ht="12.75" customHeight="1" x14ac:dyDescent="0.15">
      <c r="AE8242" s="13"/>
    </row>
    <row r="8243" spans="31:31" ht="12.75" customHeight="1" x14ac:dyDescent="0.15">
      <c r="AE8243" s="13"/>
    </row>
    <row r="8244" spans="31:31" ht="12.75" customHeight="1" x14ac:dyDescent="0.15">
      <c r="AE8244" s="13"/>
    </row>
    <row r="8245" spans="31:31" ht="12.75" customHeight="1" x14ac:dyDescent="0.15">
      <c r="AE8245" s="13"/>
    </row>
    <row r="8246" spans="31:31" ht="12.75" customHeight="1" x14ac:dyDescent="0.15">
      <c r="AE8246" s="13"/>
    </row>
    <row r="8247" spans="31:31" ht="12.75" customHeight="1" x14ac:dyDescent="0.15">
      <c r="AE8247" s="13"/>
    </row>
    <row r="8248" spans="31:31" ht="12.75" customHeight="1" x14ac:dyDescent="0.15">
      <c r="AE8248" s="13"/>
    </row>
    <row r="8249" spans="31:31" ht="12.75" customHeight="1" x14ac:dyDescent="0.15">
      <c r="AE8249" s="13"/>
    </row>
    <row r="8250" spans="31:31" ht="12.75" customHeight="1" x14ac:dyDescent="0.15">
      <c r="AE8250" s="13"/>
    </row>
    <row r="8251" spans="31:31" ht="12.75" customHeight="1" x14ac:dyDescent="0.15">
      <c r="AE8251" s="13"/>
    </row>
    <row r="8252" spans="31:31" ht="12.75" customHeight="1" x14ac:dyDescent="0.15">
      <c r="AE8252" s="13"/>
    </row>
    <row r="8253" spans="31:31" ht="12.75" customHeight="1" x14ac:dyDescent="0.15">
      <c r="AE8253" s="13"/>
    </row>
    <row r="8254" spans="31:31" ht="12.75" customHeight="1" x14ac:dyDescent="0.15">
      <c r="AE8254" s="13"/>
    </row>
    <row r="8255" spans="31:31" ht="12.75" customHeight="1" x14ac:dyDescent="0.15">
      <c r="AE8255" s="13"/>
    </row>
    <row r="8256" spans="31:31" ht="12.75" customHeight="1" x14ac:dyDescent="0.15">
      <c r="AE8256" s="13"/>
    </row>
    <row r="8257" spans="31:31" ht="12.75" customHeight="1" x14ac:dyDescent="0.15">
      <c r="AE8257" s="13"/>
    </row>
    <row r="8258" spans="31:31" ht="12.75" customHeight="1" x14ac:dyDescent="0.15">
      <c r="AE8258" s="13"/>
    </row>
    <row r="8259" spans="31:31" ht="12.75" customHeight="1" x14ac:dyDescent="0.15">
      <c r="AE8259" s="13"/>
    </row>
    <row r="8260" spans="31:31" ht="12.75" customHeight="1" x14ac:dyDescent="0.15">
      <c r="AE8260" s="13"/>
    </row>
    <row r="8261" spans="31:31" ht="12.75" customHeight="1" x14ac:dyDescent="0.15">
      <c r="AE8261" s="13"/>
    </row>
    <row r="8262" spans="31:31" ht="12.75" customHeight="1" x14ac:dyDescent="0.15">
      <c r="AE8262" s="13"/>
    </row>
    <row r="8263" spans="31:31" ht="12.75" customHeight="1" x14ac:dyDescent="0.15">
      <c r="AE8263" s="13"/>
    </row>
    <row r="8264" spans="31:31" ht="12.75" customHeight="1" x14ac:dyDescent="0.15">
      <c r="AE8264" s="13"/>
    </row>
    <row r="8265" spans="31:31" ht="12.75" customHeight="1" x14ac:dyDescent="0.15">
      <c r="AE8265" s="13"/>
    </row>
    <row r="8266" spans="31:31" ht="12.75" customHeight="1" x14ac:dyDescent="0.15">
      <c r="AE8266" s="13"/>
    </row>
    <row r="8267" spans="31:31" ht="12.75" customHeight="1" x14ac:dyDescent="0.15">
      <c r="AE8267" s="13"/>
    </row>
    <row r="8268" spans="31:31" ht="12.75" customHeight="1" x14ac:dyDescent="0.15">
      <c r="AE8268" s="13"/>
    </row>
    <row r="8269" spans="31:31" ht="12.75" customHeight="1" x14ac:dyDescent="0.15">
      <c r="AE8269" s="13"/>
    </row>
    <row r="8270" spans="31:31" ht="12.75" customHeight="1" x14ac:dyDescent="0.15">
      <c r="AE8270" s="13"/>
    </row>
    <row r="8271" spans="31:31" ht="12.75" customHeight="1" x14ac:dyDescent="0.15">
      <c r="AE8271" s="13"/>
    </row>
    <row r="8272" spans="31:31" ht="12.75" customHeight="1" x14ac:dyDescent="0.15">
      <c r="AE8272" s="13"/>
    </row>
    <row r="8273" spans="31:31" ht="12.75" customHeight="1" x14ac:dyDescent="0.15">
      <c r="AE8273" s="13"/>
    </row>
    <row r="8274" spans="31:31" ht="12.75" customHeight="1" x14ac:dyDescent="0.15">
      <c r="AE8274" s="13"/>
    </row>
    <row r="8275" spans="31:31" ht="12.75" customHeight="1" x14ac:dyDescent="0.15">
      <c r="AE8275" s="13"/>
    </row>
    <row r="8276" spans="31:31" ht="12.75" customHeight="1" x14ac:dyDescent="0.15">
      <c r="AE8276" s="13"/>
    </row>
    <row r="8277" spans="31:31" ht="12.75" customHeight="1" x14ac:dyDescent="0.15">
      <c r="AE8277" s="13"/>
    </row>
    <row r="8278" spans="31:31" ht="12.75" customHeight="1" x14ac:dyDescent="0.15">
      <c r="AE8278" s="13"/>
    </row>
    <row r="8279" spans="31:31" ht="12.75" customHeight="1" x14ac:dyDescent="0.15">
      <c r="AE8279" s="13"/>
    </row>
    <row r="8280" spans="31:31" ht="12.75" customHeight="1" x14ac:dyDescent="0.15">
      <c r="AE8280" s="13"/>
    </row>
    <row r="8281" spans="31:31" ht="12.75" customHeight="1" x14ac:dyDescent="0.15">
      <c r="AE8281" s="13"/>
    </row>
    <row r="8282" spans="31:31" ht="12.75" customHeight="1" x14ac:dyDescent="0.15">
      <c r="AE8282" s="13"/>
    </row>
    <row r="8283" spans="31:31" ht="12.75" customHeight="1" x14ac:dyDescent="0.15">
      <c r="AE8283" s="13"/>
    </row>
    <row r="8284" spans="31:31" ht="12.75" customHeight="1" x14ac:dyDescent="0.15">
      <c r="AE8284" s="13"/>
    </row>
    <row r="8285" spans="31:31" ht="12.75" customHeight="1" x14ac:dyDescent="0.15">
      <c r="AE8285" s="13"/>
    </row>
    <row r="8286" spans="31:31" ht="12.75" customHeight="1" x14ac:dyDescent="0.15">
      <c r="AE8286" s="13"/>
    </row>
    <row r="8287" spans="31:31" ht="12.75" customHeight="1" x14ac:dyDescent="0.15">
      <c r="AE8287" s="13"/>
    </row>
    <row r="8288" spans="31:31" ht="12.75" customHeight="1" x14ac:dyDescent="0.15">
      <c r="AE8288" s="13"/>
    </row>
    <row r="8289" spans="31:31" ht="12.75" customHeight="1" x14ac:dyDescent="0.15">
      <c r="AE8289" s="13"/>
    </row>
    <row r="8290" spans="31:31" ht="12.75" customHeight="1" x14ac:dyDescent="0.15">
      <c r="AE8290" s="13"/>
    </row>
    <row r="8291" spans="31:31" ht="12.75" customHeight="1" x14ac:dyDescent="0.15">
      <c r="AE8291" s="13"/>
    </row>
    <row r="8292" spans="31:31" ht="12.75" customHeight="1" x14ac:dyDescent="0.15">
      <c r="AE8292" s="13"/>
    </row>
    <row r="8293" spans="31:31" ht="12.75" customHeight="1" x14ac:dyDescent="0.15">
      <c r="AE8293" s="13"/>
    </row>
    <row r="8294" spans="31:31" ht="12.75" customHeight="1" x14ac:dyDescent="0.15">
      <c r="AE8294" s="13"/>
    </row>
    <row r="8295" spans="31:31" ht="12.75" customHeight="1" x14ac:dyDescent="0.15">
      <c r="AE8295" s="13"/>
    </row>
    <row r="8296" spans="31:31" ht="12.75" customHeight="1" x14ac:dyDescent="0.15">
      <c r="AE8296" s="13"/>
    </row>
    <row r="8297" spans="31:31" ht="12.75" customHeight="1" x14ac:dyDescent="0.15">
      <c r="AE8297" s="13"/>
    </row>
    <row r="8298" spans="31:31" ht="12.75" customHeight="1" x14ac:dyDescent="0.15">
      <c r="AE8298" s="13"/>
    </row>
    <row r="8299" spans="31:31" ht="12.75" customHeight="1" x14ac:dyDescent="0.15">
      <c r="AE8299" s="13"/>
    </row>
    <row r="8300" spans="31:31" ht="12.75" customHeight="1" x14ac:dyDescent="0.15">
      <c r="AE8300" s="13"/>
    </row>
    <row r="8301" spans="31:31" ht="12.75" customHeight="1" x14ac:dyDescent="0.15">
      <c r="AE8301" s="13"/>
    </row>
    <row r="8302" spans="31:31" ht="12.75" customHeight="1" x14ac:dyDescent="0.15">
      <c r="AE8302" s="13"/>
    </row>
    <row r="8303" spans="31:31" ht="12.75" customHeight="1" x14ac:dyDescent="0.15">
      <c r="AE8303" s="13"/>
    </row>
    <row r="8304" spans="31:31" ht="12.75" customHeight="1" x14ac:dyDescent="0.15">
      <c r="AE8304" s="13"/>
    </row>
    <row r="8305" spans="31:31" ht="12.75" customHeight="1" x14ac:dyDescent="0.15">
      <c r="AE8305" s="13"/>
    </row>
    <row r="8306" spans="31:31" ht="12.75" customHeight="1" x14ac:dyDescent="0.15">
      <c r="AE8306" s="13"/>
    </row>
    <row r="8307" spans="31:31" ht="12.75" customHeight="1" x14ac:dyDescent="0.15">
      <c r="AE8307" s="13"/>
    </row>
    <row r="8308" spans="31:31" ht="12.75" customHeight="1" x14ac:dyDescent="0.15">
      <c r="AE8308" s="13"/>
    </row>
    <row r="8309" spans="31:31" ht="12.75" customHeight="1" x14ac:dyDescent="0.15">
      <c r="AE8309" s="13"/>
    </row>
    <row r="8310" spans="31:31" ht="12.75" customHeight="1" x14ac:dyDescent="0.15">
      <c r="AE8310" s="13"/>
    </row>
    <row r="8311" spans="31:31" ht="12.75" customHeight="1" x14ac:dyDescent="0.15">
      <c r="AE8311" s="13"/>
    </row>
    <row r="8312" spans="31:31" ht="12.75" customHeight="1" x14ac:dyDescent="0.15">
      <c r="AE8312" s="13"/>
    </row>
    <row r="8313" spans="31:31" ht="12.75" customHeight="1" x14ac:dyDescent="0.15">
      <c r="AE8313" s="13"/>
    </row>
    <row r="8314" spans="31:31" ht="12.75" customHeight="1" x14ac:dyDescent="0.15">
      <c r="AE8314" s="13"/>
    </row>
    <row r="8315" spans="31:31" ht="12.75" customHeight="1" x14ac:dyDescent="0.15">
      <c r="AE8315" s="13"/>
    </row>
    <row r="8316" spans="31:31" ht="12.75" customHeight="1" x14ac:dyDescent="0.15">
      <c r="AE8316" s="13"/>
    </row>
    <row r="8317" spans="31:31" ht="12.75" customHeight="1" x14ac:dyDescent="0.15">
      <c r="AE8317" s="13"/>
    </row>
    <row r="8318" spans="31:31" ht="12.75" customHeight="1" x14ac:dyDescent="0.15">
      <c r="AE8318" s="13"/>
    </row>
    <row r="8319" spans="31:31" ht="12.75" customHeight="1" x14ac:dyDescent="0.15">
      <c r="AE8319" s="13"/>
    </row>
    <row r="8320" spans="31:31" ht="12.75" customHeight="1" x14ac:dyDescent="0.15">
      <c r="AE8320" s="13"/>
    </row>
    <row r="8321" spans="31:31" ht="12.75" customHeight="1" x14ac:dyDescent="0.15">
      <c r="AE8321" s="13"/>
    </row>
    <row r="8322" spans="31:31" ht="12.75" customHeight="1" x14ac:dyDescent="0.15">
      <c r="AE8322" s="13"/>
    </row>
    <row r="8323" spans="31:31" ht="12.75" customHeight="1" x14ac:dyDescent="0.15">
      <c r="AE8323" s="13"/>
    </row>
    <row r="8324" spans="31:31" ht="12.75" customHeight="1" x14ac:dyDescent="0.15">
      <c r="AE8324" s="13"/>
    </row>
    <row r="8325" spans="31:31" ht="12.75" customHeight="1" x14ac:dyDescent="0.15">
      <c r="AE8325" s="13"/>
    </row>
    <row r="8326" spans="31:31" ht="12.75" customHeight="1" x14ac:dyDescent="0.15">
      <c r="AE8326" s="13"/>
    </row>
    <row r="8327" spans="31:31" ht="12.75" customHeight="1" x14ac:dyDescent="0.15">
      <c r="AE8327" s="13"/>
    </row>
    <row r="8328" spans="31:31" ht="12.75" customHeight="1" x14ac:dyDescent="0.15">
      <c r="AE8328" s="13"/>
    </row>
    <row r="8329" spans="31:31" ht="12.75" customHeight="1" x14ac:dyDescent="0.15">
      <c r="AE8329" s="13"/>
    </row>
    <row r="8330" spans="31:31" ht="12.75" customHeight="1" x14ac:dyDescent="0.15">
      <c r="AE8330" s="13"/>
    </row>
    <row r="8331" spans="31:31" ht="12.75" customHeight="1" x14ac:dyDescent="0.15">
      <c r="AE8331" s="13"/>
    </row>
    <row r="8332" spans="31:31" ht="12.75" customHeight="1" x14ac:dyDescent="0.15">
      <c r="AE8332" s="13"/>
    </row>
    <row r="8333" spans="31:31" ht="12.75" customHeight="1" x14ac:dyDescent="0.15">
      <c r="AE8333" s="13"/>
    </row>
    <row r="8334" spans="31:31" ht="12.75" customHeight="1" x14ac:dyDescent="0.15">
      <c r="AE8334" s="13"/>
    </row>
    <row r="8335" spans="31:31" ht="12.75" customHeight="1" x14ac:dyDescent="0.15">
      <c r="AE8335" s="13"/>
    </row>
    <row r="8336" spans="31:31" ht="12.75" customHeight="1" x14ac:dyDescent="0.15">
      <c r="AE8336" s="13"/>
    </row>
    <row r="8337" spans="31:31" ht="12.75" customHeight="1" x14ac:dyDescent="0.15">
      <c r="AE8337" s="13"/>
    </row>
    <row r="8338" spans="31:31" ht="12.75" customHeight="1" x14ac:dyDescent="0.15">
      <c r="AE8338" s="13"/>
    </row>
    <row r="8339" spans="31:31" ht="12.75" customHeight="1" x14ac:dyDescent="0.15">
      <c r="AE8339" s="13"/>
    </row>
    <row r="8340" spans="31:31" ht="12.75" customHeight="1" x14ac:dyDescent="0.15">
      <c r="AE8340" s="13"/>
    </row>
    <row r="8341" spans="31:31" ht="12.75" customHeight="1" x14ac:dyDescent="0.15">
      <c r="AE8341" s="13"/>
    </row>
    <row r="8342" spans="31:31" ht="12.75" customHeight="1" x14ac:dyDescent="0.15">
      <c r="AE8342" s="13"/>
    </row>
    <row r="8343" spans="31:31" ht="12.75" customHeight="1" x14ac:dyDescent="0.15">
      <c r="AE8343" s="13"/>
    </row>
    <row r="8344" spans="31:31" ht="12.75" customHeight="1" x14ac:dyDescent="0.15">
      <c r="AE8344" s="13"/>
    </row>
    <row r="8345" spans="31:31" ht="12.75" customHeight="1" x14ac:dyDescent="0.15">
      <c r="AE8345" s="13"/>
    </row>
    <row r="8346" spans="31:31" ht="12.75" customHeight="1" x14ac:dyDescent="0.15">
      <c r="AE8346" s="13"/>
    </row>
    <row r="8347" spans="31:31" ht="12.75" customHeight="1" x14ac:dyDescent="0.15">
      <c r="AE8347" s="13"/>
    </row>
    <row r="8348" spans="31:31" ht="12.75" customHeight="1" x14ac:dyDescent="0.15">
      <c r="AE8348" s="13"/>
    </row>
    <row r="8349" spans="31:31" ht="12.75" customHeight="1" x14ac:dyDescent="0.15">
      <c r="AE8349" s="13"/>
    </row>
    <row r="8350" spans="31:31" ht="12.75" customHeight="1" x14ac:dyDescent="0.15">
      <c r="AE8350" s="13"/>
    </row>
    <row r="8351" spans="31:31" ht="12.75" customHeight="1" x14ac:dyDescent="0.15">
      <c r="AE8351" s="13"/>
    </row>
    <row r="8352" spans="31:31" ht="12.75" customHeight="1" x14ac:dyDescent="0.15">
      <c r="AE8352" s="13"/>
    </row>
    <row r="8353" spans="31:31" ht="12.75" customHeight="1" x14ac:dyDescent="0.15">
      <c r="AE8353" s="13"/>
    </row>
    <row r="8354" spans="31:31" ht="12.75" customHeight="1" x14ac:dyDescent="0.15">
      <c r="AE8354" s="13"/>
    </row>
    <row r="8355" spans="31:31" ht="12.75" customHeight="1" x14ac:dyDescent="0.15">
      <c r="AE8355" s="13"/>
    </row>
    <row r="8356" spans="31:31" ht="12.75" customHeight="1" x14ac:dyDescent="0.15">
      <c r="AE8356" s="13"/>
    </row>
    <row r="8357" spans="31:31" ht="12.75" customHeight="1" x14ac:dyDescent="0.15">
      <c r="AE8357" s="13"/>
    </row>
    <row r="8358" spans="31:31" ht="12.75" customHeight="1" x14ac:dyDescent="0.15">
      <c r="AE8358" s="13"/>
    </row>
    <row r="8359" spans="31:31" ht="12.75" customHeight="1" x14ac:dyDescent="0.15">
      <c r="AE8359" s="13"/>
    </row>
    <row r="8360" spans="31:31" ht="12.75" customHeight="1" x14ac:dyDescent="0.15">
      <c r="AE8360" s="13"/>
    </row>
    <row r="8361" spans="31:31" ht="12.75" customHeight="1" x14ac:dyDescent="0.15">
      <c r="AE8361" s="13"/>
    </row>
    <row r="8362" spans="31:31" ht="12.75" customHeight="1" x14ac:dyDescent="0.15">
      <c r="AE8362" s="13"/>
    </row>
    <row r="8363" spans="31:31" ht="12.75" customHeight="1" x14ac:dyDescent="0.15">
      <c r="AE8363" s="13"/>
    </row>
    <row r="8364" spans="31:31" ht="12.75" customHeight="1" x14ac:dyDescent="0.15">
      <c r="AE8364" s="13"/>
    </row>
    <row r="8365" spans="31:31" ht="12.75" customHeight="1" x14ac:dyDescent="0.15">
      <c r="AE8365" s="13"/>
    </row>
    <row r="8366" spans="31:31" ht="12.75" customHeight="1" x14ac:dyDescent="0.15">
      <c r="AE8366" s="13"/>
    </row>
    <row r="8367" spans="31:31" ht="12.75" customHeight="1" x14ac:dyDescent="0.15">
      <c r="AE8367" s="13"/>
    </row>
    <row r="8368" spans="31:31" ht="12.75" customHeight="1" x14ac:dyDescent="0.15">
      <c r="AE8368" s="13"/>
    </row>
    <row r="8369" spans="31:31" ht="12.75" customHeight="1" x14ac:dyDescent="0.15">
      <c r="AE8369" s="13"/>
    </row>
    <row r="8370" spans="31:31" ht="12.75" customHeight="1" x14ac:dyDescent="0.15">
      <c r="AE8370" s="13"/>
    </row>
    <row r="8371" spans="31:31" ht="12.75" customHeight="1" x14ac:dyDescent="0.15">
      <c r="AE8371" s="13"/>
    </row>
    <row r="8372" spans="31:31" ht="12.75" customHeight="1" x14ac:dyDescent="0.15">
      <c r="AE8372" s="13"/>
    </row>
    <row r="8373" spans="31:31" ht="12.75" customHeight="1" x14ac:dyDescent="0.15">
      <c r="AE8373" s="13"/>
    </row>
    <row r="8374" spans="31:31" ht="12.75" customHeight="1" x14ac:dyDescent="0.15">
      <c r="AE8374" s="13"/>
    </row>
    <row r="8375" spans="31:31" ht="12.75" customHeight="1" x14ac:dyDescent="0.15">
      <c r="AE8375" s="13"/>
    </row>
    <row r="8376" spans="31:31" ht="12.75" customHeight="1" x14ac:dyDescent="0.15">
      <c r="AE8376" s="13"/>
    </row>
    <row r="8377" spans="31:31" ht="12.75" customHeight="1" x14ac:dyDescent="0.15">
      <c r="AE8377" s="13"/>
    </row>
    <row r="8378" spans="31:31" ht="12.75" customHeight="1" x14ac:dyDescent="0.15">
      <c r="AE8378" s="13"/>
    </row>
    <row r="8379" spans="31:31" ht="12.75" customHeight="1" x14ac:dyDescent="0.15">
      <c r="AE8379" s="13"/>
    </row>
    <row r="8380" spans="31:31" ht="12.75" customHeight="1" x14ac:dyDescent="0.15">
      <c r="AE8380" s="13"/>
    </row>
    <row r="8381" spans="31:31" ht="12.75" customHeight="1" x14ac:dyDescent="0.15">
      <c r="AE8381" s="13"/>
    </row>
    <row r="8382" spans="31:31" ht="12.75" customHeight="1" x14ac:dyDescent="0.15">
      <c r="AE8382" s="13"/>
    </row>
    <row r="8383" spans="31:31" ht="12.75" customHeight="1" x14ac:dyDescent="0.15">
      <c r="AE8383" s="13"/>
    </row>
    <row r="8384" spans="31:31" ht="12.75" customHeight="1" x14ac:dyDescent="0.15">
      <c r="AE8384" s="13"/>
    </row>
    <row r="8385" spans="31:31" ht="12.75" customHeight="1" x14ac:dyDescent="0.15">
      <c r="AE8385" s="13"/>
    </row>
    <row r="8386" spans="31:31" ht="12.75" customHeight="1" x14ac:dyDescent="0.15">
      <c r="AE8386" s="13"/>
    </row>
    <row r="8387" spans="31:31" ht="12.75" customHeight="1" x14ac:dyDescent="0.15">
      <c r="AE8387" s="13"/>
    </row>
    <row r="8388" spans="31:31" ht="12.75" customHeight="1" x14ac:dyDescent="0.15">
      <c r="AE8388" s="13"/>
    </row>
    <row r="8389" spans="31:31" ht="12.75" customHeight="1" x14ac:dyDescent="0.15">
      <c r="AE8389" s="13"/>
    </row>
    <row r="8390" spans="31:31" ht="12.75" customHeight="1" x14ac:dyDescent="0.15">
      <c r="AE8390" s="13"/>
    </row>
    <row r="8391" spans="31:31" ht="12.75" customHeight="1" x14ac:dyDescent="0.15">
      <c r="AE8391" s="13"/>
    </row>
    <row r="8392" spans="31:31" ht="12.75" customHeight="1" x14ac:dyDescent="0.15">
      <c r="AE8392" s="13"/>
    </row>
    <row r="8393" spans="31:31" ht="12.75" customHeight="1" x14ac:dyDescent="0.15">
      <c r="AE8393" s="13"/>
    </row>
    <row r="8394" spans="31:31" ht="12.75" customHeight="1" x14ac:dyDescent="0.15">
      <c r="AE8394" s="13"/>
    </row>
    <row r="8395" spans="31:31" ht="12.75" customHeight="1" x14ac:dyDescent="0.15">
      <c r="AE8395" s="13"/>
    </row>
    <row r="8396" spans="31:31" ht="12.75" customHeight="1" x14ac:dyDescent="0.15">
      <c r="AE8396" s="13"/>
    </row>
    <row r="8397" spans="31:31" ht="12.75" customHeight="1" x14ac:dyDescent="0.15">
      <c r="AE8397" s="13"/>
    </row>
    <row r="8398" spans="31:31" ht="12.75" customHeight="1" x14ac:dyDescent="0.15">
      <c r="AE8398" s="13"/>
    </row>
    <row r="8399" spans="31:31" ht="12.75" customHeight="1" x14ac:dyDescent="0.15">
      <c r="AE8399" s="13"/>
    </row>
    <row r="8400" spans="31:31" ht="12.75" customHeight="1" x14ac:dyDescent="0.15">
      <c r="AE8400" s="13"/>
    </row>
    <row r="8401" spans="31:31" ht="12.75" customHeight="1" x14ac:dyDescent="0.15">
      <c r="AE8401" s="13"/>
    </row>
    <row r="8402" spans="31:31" ht="12.75" customHeight="1" x14ac:dyDescent="0.15">
      <c r="AE8402" s="13"/>
    </row>
    <row r="8403" spans="31:31" ht="12.75" customHeight="1" x14ac:dyDescent="0.15">
      <c r="AE8403" s="13"/>
    </row>
    <row r="8404" spans="31:31" ht="12.75" customHeight="1" x14ac:dyDescent="0.15">
      <c r="AE8404" s="13"/>
    </row>
    <row r="8405" spans="31:31" ht="12.75" customHeight="1" x14ac:dyDescent="0.15">
      <c r="AE8405" s="13"/>
    </row>
    <row r="8406" spans="31:31" ht="12.75" customHeight="1" x14ac:dyDescent="0.15">
      <c r="AE8406" s="13"/>
    </row>
    <row r="8407" spans="31:31" ht="12.75" customHeight="1" x14ac:dyDescent="0.15">
      <c r="AE8407" s="13"/>
    </row>
    <row r="8408" spans="31:31" ht="12.75" customHeight="1" x14ac:dyDescent="0.15">
      <c r="AE8408" s="13"/>
    </row>
    <row r="8409" spans="31:31" ht="12.75" customHeight="1" x14ac:dyDescent="0.15">
      <c r="AE8409" s="13"/>
    </row>
    <row r="8410" spans="31:31" ht="12.75" customHeight="1" x14ac:dyDescent="0.15">
      <c r="AE8410" s="13"/>
    </row>
    <row r="8411" spans="31:31" ht="12.75" customHeight="1" x14ac:dyDescent="0.15">
      <c r="AE8411" s="13"/>
    </row>
    <row r="8412" spans="31:31" ht="12.75" customHeight="1" x14ac:dyDescent="0.15">
      <c r="AE8412" s="13"/>
    </row>
    <row r="8413" spans="31:31" ht="12.75" customHeight="1" x14ac:dyDescent="0.15">
      <c r="AE8413" s="13"/>
    </row>
    <row r="8414" spans="31:31" ht="12.75" customHeight="1" x14ac:dyDescent="0.15">
      <c r="AE8414" s="13"/>
    </row>
    <row r="8415" spans="31:31" ht="12.75" customHeight="1" x14ac:dyDescent="0.15">
      <c r="AE8415" s="13"/>
    </row>
    <row r="8416" spans="31:31" ht="12.75" customHeight="1" x14ac:dyDescent="0.15">
      <c r="AE8416" s="13"/>
    </row>
    <row r="8417" spans="31:31" ht="12.75" customHeight="1" x14ac:dyDescent="0.15">
      <c r="AE8417" s="13"/>
    </row>
    <row r="8418" spans="31:31" ht="12.75" customHeight="1" x14ac:dyDescent="0.15">
      <c r="AE8418" s="13"/>
    </row>
    <row r="8419" spans="31:31" ht="12.75" customHeight="1" x14ac:dyDescent="0.15">
      <c r="AE8419" s="13"/>
    </row>
    <row r="8420" spans="31:31" ht="12.75" customHeight="1" x14ac:dyDescent="0.15">
      <c r="AE8420" s="13"/>
    </row>
    <row r="8421" spans="31:31" ht="12.75" customHeight="1" x14ac:dyDescent="0.15">
      <c r="AE8421" s="13"/>
    </row>
    <row r="8422" spans="31:31" ht="12.75" customHeight="1" x14ac:dyDescent="0.15">
      <c r="AE8422" s="13"/>
    </row>
    <row r="8423" spans="31:31" ht="12.75" customHeight="1" x14ac:dyDescent="0.15">
      <c r="AE8423" s="13"/>
    </row>
    <row r="8424" spans="31:31" ht="12.75" customHeight="1" x14ac:dyDescent="0.15">
      <c r="AE8424" s="13"/>
    </row>
    <row r="8425" spans="31:31" ht="12.75" customHeight="1" x14ac:dyDescent="0.15">
      <c r="AE8425" s="13"/>
    </row>
    <row r="8426" spans="31:31" ht="12.75" customHeight="1" x14ac:dyDescent="0.15">
      <c r="AE8426" s="13"/>
    </row>
    <row r="8427" spans="31:31" ht="12.75" customHeight="1" x14ac:dyDescent="0.15">
      <c r="AE8427" s="13"/>
    </row>
    <row r="8428" spans="31:31" ht="12.75" customHeight="1" x14ac:dyDescent="0.15">
      <c r="AE8428" s="13"/>
    </row>
    <row r="8429" spans="31:31" ht="12.75" customHeight="1" x14ac:dyDescent="0.15">
      <c r="AE8429" s="13"/>
    </row>
    <row r="8430" spans="31:31" ht="12.75" customHeight="1" x14ac:dyDescent="0.15">
      <c r="AE8430" s="13"/>
    </row>
    <row r="8431" spans="31:31" ht="12.75" customHeight="1" x14ac:dyDescent="0.15">
      <c r="AE8431" s="13"/>
    </row>
    <row r="8432" spans="31:31" ht="12.75" customHeight="1" x14ac:dyDescent="0.15">
      <c r="AE8432" s="13"/>
    </row>
    <row r="8433" spans="31:31" ht="12.75" customHeight="1" x14ac:dyDescent="0.15">
      <c r="AE8433" s="13"/>
    </row>
    <row r="8434" spans="31:31" ht="12.75" customHeight="1" x14ac:dyDescent="0.15">
      <c r="AE8434" s="13"/>
    </row>
    <row r="8435" spans="31:31" ht="12.75" customHeight="1" x14ac:dyDescent="0.15">
      <c r="AE8435" s="13"/>
    </row>
    <row r="8436" spans="31:31" ht="12.75" customHeight="1" x14ac:dyDescent="0.15">
      <c r="AE8436" s="13"/>
    </row>
    <row r="8437" spans="31:31" ht="12.75" customHeight="1" x14ac:dyDescent="0.15">
      <c r="AE8437" s="13"/>
    </row>
    <row r="8438" spans="31:31" ht="12.75" customHeight="1" x14ac:dyDescent="0.15">
      <c r="AE8438" s="13"/>
    </row>
    <row r="8439" spans="31:31" ht="12.75" customHeight="1" x14ac:dyDescent="0.15">
      <c r="AE8439" s="13"/>
    </row>
    <row r="8440" spans="31:31" ht="12.75" customHeight="1" x14ac:dyDescent="0.15">
      <c r="AE8440" s="13"/>
    </row>
    <row r="8441" spans="31:31" ht="12.75" customHeight="1" x14ac:dyDescent="0.15">
      <c r="AE8441" s="13"/>
    </row>
    <row r="8442" spans="31:31" ht="12.75" customHeight="1" x14ac:dyDescent="0.15">
      <c r="AE8442" s="13"/>
    </row>
    <row r="8443" spans="31:31" ht="12.75" customHeight="1" x14ac:dyDescent="0.15">
      <c r="AE8443" s="13"/>
    </row>
    <row r="8444" spans="31:31" ht="12.75" customHeight="1" x14ac:dyDescent="0.15">
      <c r="AE8444" s="13"/>
    </row>
    <row r="8445" spans="31:31" ht="12.75" customHeight="1" x14ac:dyDescent="0.15">
      <c r="AE8445" s="13"/>
    </row>
    <row r="8446" spans="31:31" ht="12.75" customHeight="1" x14ac:dyDescent="0.15">
      <c r="AE8446" s="13"/>
    </row>
    <row r="8447" spans="31:31" ht="12.75" customHeight="1" x14ac:dyDescent="0.15">
      <c r="AE8447" s="13"/>
    </row>
    <row r="8448" spans="31:31" ht="12.75" customHeight="1" x14ac:dyDescent="0.15">
      <c r="AE8448" s="13"/>
    </row>
    <row r="8449" spans="31:31" ht="12.75" customHeight="1" x14ac:dyDescent="0.15">
      <c r="AE8449" s="13"/>
    </row>
    <row r="8450" spans="31:31" ht="12.75" customHeight="1" x14ac:dyDescent="0.15">
      <c r="AE8450" s="13"/>
    </row>
    <row r="8451" spans="31:31" ht="12.75" customHeight="1" x14ac:dyDescent="0.15">
      <c r="AE8451" s="13"/>
    </row>
    <row r="8452" spans="31:31" ht="12.75" customHeight="1" x14ac:dyDescent="0.15">
      <c r="AE8452" s="13"/>
    </row>
    <row r="8453" spans="31:31" ht="12.75" customHeight="1" x14ac:dyDescent="0.15">
      <c r="AE8453" s="13"/>
    </row>
    <row r="8454" spans="31:31" ht="12.75" customHeight="1" x14ac:dyDescent="0.15">
      <c r="AE8454" s="13"/>
    </row>
    <row r="8455" spans="31:31" ht="12.75" customHeight="1" x14ac:dyDescent="0.15">
      <c r="AE8455" s="13"/>
    </row>
    <row r="8456" spans="31:31" ht="12.75" customHeight="1" x14ac:dyDescent="0.15">
      <c r="AE8456" s="13"/>
    </row>
    <row r="8457" spans="31:31" ht="12.75" customHeight="1" x14ac:dyDescent="0.15">
      <c r="AE8457" s="13"/>
    </row>
    <row r="8458" spans="31:31" ht="12.75" customHeight="1" x14ac:dyDescent="0.15">
      <c r="AE8458" s="13"/>
    </row>
    <row r="8459" spans="31:31" ht="12.75" customHeight="1" x14ac:dyDescent="0.15">
      <c r="AE8459" s="13"/>
    </row>
    <row r="8460" spans="31:31" ht="12.75" customHeight="1" x14ac:dyDescent="0.15">
      <c r="AE8460" s="13"/>
    </row>
    <row r="8461" spans="31:31" ht="12.75" customHeight="1" x14ac:dyDescent="0.15">
      <c r="AE8461" s="13"/>
    </row>
    <row r="8462" spans="31:31" ht="12.75" customHeight="1" x14ac:dyDescent="0.15">
      <c r="AE8462" s="13"/>
    </row>
    <row r="8463" spans="31:31" ht="12.75" customHeight="1" x14ac:dyDescent="0.15">
      <c r="AE8463" s="13"/>
    </row>
    <row r="8464" spans="31:31" ht="12.75" customHeight="1" x14ac:dyDescent="0.15">
      <c r="AE8464" s="13"/>
    </row>
    <row r="8465" spans="31:31" ht="12.75" customHeight="1" x14ac:dyDescent="0.15">
      <c r="AE8465" s="13"/>
    </row>
    <row r="8466" spans="31:31" ht="12.75" customHeight="1" x14ac:dyDescent="0.15">
      <c r="AE8466" s="13"/>
    </row>
    <row r="8467" spans="31:31" ht="12.75" customHeight="1" x14ac:dyDescent="0.15">
      <c r="AE8467" s="13"/>
    </row>
    <row r="8468" spans="31:31" ht="12.75" customHeight="1" x14ac:dyDescent="0.15">
      <c r="AE8468" s="13"/>
    </row>
    <row r="8469" spans="31:31" ht="12.75" customHeight="1" x14ac:dyDescent="0.15">
      <c r="AE8469" s="13"/>
    </row>
    <row r="8470" spans="31:31" ht="12.75" customHeight="1" x14ac:dyDescent="0.15">
      <c r="AE8470" s="13"/>
    </row>
    <row r="8471" spans="31:31" ht="12.75" customHeight="1" x14ac:dyDescent="0.15">
      <c r="AE8471" s="13"/>
    </row>
    <row r="8472" spans="31:31" ht="12.75" customHeight="1" x14ac:dyDescent="0.15">
      <c r="AE8472" s="13"/>
    </row>
    <row r="8473" spans="31:31" ht="12.75" customHeight="1" x14ac:dyDescent="0.15">
      <c r="AE8473" s="13"/>
    </row>
    <row r="8474" spans="31:31" ht="12.75" customHeight="1" x14ac:dyDescent="0.15">
      <c r="AE8474" s="13"/>
    </row>
    <row r="8475" spans="31:31" ht="12.75" customHeight="1" x14ac:dyDescent="0.15">
      <c r="AE8475" s="13"/>
    </row>
    <row r="8476" spans="31:31" ht="12.75" customHeight="1" x14ac:dyDescent="0.15">
      <c r="AE8476" s="13"/>
    </row>
    <row r="8477" spans="31:31" ht="12.75" customHeight="1" x14ac:dyDescent="0.15">
      <c r="AE8477" s="13"/>
    </row>
    <row r="8478" spans="31:31" ht="12.75" customHeight="1" x14ac:dyDescent="0.15">
      <c r="AE8478" s="13"/>
    </row>
    <row r="8479" spans="31:31" ht="12.75" customHeight="1" x14ac:dyDescent="0.15">
      <c r="AE8479" s="13"/>
    </row>
    <row r="8480" spans="31:31" ht="12.75" customHeight="1" x14ac:dyDescent="0.15">
      <c r="AE8480" s="13"/>
    </row>
    <row r="8481" spans="31:31" ht="12.75" customHeight="1" x14ac:dyDescent="0.15">
      <c r="AE8481" s="13"/>
    </row>
    <row r="8482" spans="31:31" ht="12.75" customHeight="1" x14ac:dyDescent="0.15">
      <c r="AE8482" s="13"/>
    </row>
    <row r="8483" spans="31:31" ht="12.75" customHeight="1" x14ac:dyDescent="0.15">
      <c r="AE8483" s="13"/>
    </row>
    <row r="8484" spans="31:31" ht="12.75" customHeight="1" x14ac:dyDescent="0.15">
      <c r="AE8484" s="13"/>
    </row>
    <row r="8485" spans="31:31" ht="12.75" customHeight="1" x14ac:dyDescent="0.15">
      <c r="AE8485" s="13"/>
    </row>
    <row r="8486" spans="31:31" ht="12.75" customHeight="1" x14ac:dyDescent="0.15">
      <c r="AE8486" s="13"/>
    </row>
    <row r="8487" spans="31:31" ht="12.75" customHeight="1" x14ac:dyDescent="0.15">
      <c r="AE8487" s="13"/>
    </row>
    <row r="8488" spans="31:31" ht="12.75" customHeight="1" x14ac:dyDescent="0.15">
      <c r="AE8488" s="13"/>
    </row>
    <row r="8489" spans="31:31" ht="12.75" customHeight="1" x14ac:dyDescent="0.15">
      <c r="AE8489" s="13"/>
    </row>
    <row r="8490" spans="31:31" ht="12.75" customHeight="1" x14ac:dyDescent="0.15">
      <c r="AE8490" s="13"/>
    </row>
    <row r="8491" spans="31:31" ht="12.75" customHeight="1" x14ac:dyDescent="0.15">
      <c r="AE8491" s="13"/>
    </row>
    <row r="8492" spans="31:31" ht="12.75" customHeight="1" x14ac:dyDescent="0.15">
      <c r="AE8492" s="13"/>
    </row>
    <row r="8493" spans="31:31" ht="12.75" customHeight="1" x14ac:dyDescent="0.15">
      <c r="AE8493" s="13"/>
    </row>
    <row r="8494" spans="31:31" ht="12.75" customHeight="1" x14ac:dyDescent="0.15">
      <c r="AE8494" s="13"/>
    </row>
    <row r="8495" spans="31:31" ht="12.75" customHeight="1" x14ac:dyDescent="0.15">
      <c r="AE8495" s="13"/>
    </row>
    <row r="8496" spans="31:31" ht="12.75" customHeight="1" x14ac:dyDescent="0.15">
      <c r="AE8496" s="13"/>
    </row>
    <row r="8497" spans="31:31" ht="12.75" customHeight="1" x14ac:dyDescent="0.15">
      <c r="AE8497" s="13"/>
    </row>
    <row r="8498" spans="31:31" ht="12.75" customHeight="1" x14ac:dyDescent="0.15">
      <c r="AE8498" s="13"/>
    </row>
    <row r="8499" spans="31:31" ht="12.75" customHeight="1" x14ac:dyDescent="0.15">
      <c r="AE8499" s="13"/>
    </row>
    <row r="8500" spans="31:31" ht="12.75" customHeight="1" x14ac:dyDescent="0.15">
      <c r="AE8500" s="13"/>
    </row>
    <row r="8501" spans="31:31" ht="12.75" customHeight="1" x14ac:dyDescent="0.15">
      <c r="AE8501" s="13"/>
    </row>
    <row r="8502" spans="31:31" ht="12.75" customHeight="1" x14ac:dyDescent="0.15">
      <c r="AE8502" s="13"/>
    </row>
    <row r="8503" spans="31:31" ht="12.75" customHeight="1" x14ac:dyDescent="0.15">
      <c r="AE8503" s="13"/>
    </row>
    <row r="8504" spans="31:31" ht="12.75" customHeight="1" x14ac:dyDescent="0.15">
      <c r="AE8504" s="13"/>
    </row>
    <row r="8505" spans="31:31" ht="12.75" customHeight="1" x14ac:dyDescent="0.15">
      <c r="AE8505" s="13"/>
    </row>
    <row r="8506" spans="31:31" ht="12.75" customHeight="1" x14ac:dyDescent="0.15">
      <c r="AE8506" s="13"/>
    </row>
    <row r="8507" spans="31:31" ht="12.75" customHeight="1" x14ac:dyDescent="0.15">
      <c r="AE8507" s="13"/>
    </row>
    <row r="8508" spans="31:31" ht="12.75" customHeight="1" x14ac:dyDescent="0.15">
      <c r="AE8508" s="13"/>
    </row>
    <row r="8509" spans="31:31" ht="12.75" customHeight="1" x14ac:dyDescent="0.15">
      <c r="AE8509" s="13"/>
    </row>
    <row r="8510" spans="31:31" ht="12.75" customHeight="1" x14ac:dyDescent="0.15">
      <c r="AE8510" s="13"/>
    </row>
    <row r="8511" spans="31:31" ht="12.75" customHeight="1" x14ac:dyDescent="0.15">
      <c r="AE8511" s="13"/>
    </row>
    <row r="8512" spans="31:31" ht="12.75" customHeight="1" x14ac:dyDescent="0.15">
      <c r="AE8512" s="13"/>
    </row>
    <row r="8513" spans="31:31" ht="12.75" customHeight="1" x14ac:dyDescent="0.15">
      <c r="AE8513" s="13"/>
    </row>
    <row r="8514" spans="31:31" ht="12.75" customHeight="1" x14ac:dyDescent="0.15">
      <c r="AE8514" s="13"/>
    </row>
    <row r="8515" spans="31:31" ht="12.75" customHeight="1" x14ac:dyDescent="0.15">
      <c r="AE8515" s="13"/>
    </row>
    <row r="8516" spans="31:31" ht="12.75" customHeight="1" x14ac:dyDescent="0.15">
      <c r="AE8516" s="13"/>
    </row>
    <row r="8517" spans="31:31" ht="12.75" customHeight="1" x14ac:dyDescent="0.15">
      <c r="AE8517" s="13"/>
    </row>
    <row r="8518" spans="31:31" ht="12.75" customHeight="1" x14ac:dyDescent="0.15">
      <c r="AE8518" s="13"/>
    </row>
    <row r="8519" spans="31:31" ht="12.75" customHeight="1" x14ac:dyDescent="0.15">
      <c r="AE8519" s="13"/>
    </row>
    <row r="8520" spans="31:31" ht="12.75" customHeight="1" x14ac:dyDescent="0.15">
      <c r="AE8520" s="13"/>
    </row>
    <row r="8521" spans="31:31" ht="12.75" customHeight="1" x14ac:dyDescent="0.15">
      <c r="AE8521" s="13"/>
    </row>
    <row r="8522" spans="31:31" ht="12.75" customHeight="1" x14ac:dyDescent="0.15">
      <c r="AE8522" s="13"/>
    </row>
    <row r="8523" spans="31:31" ht="12.75" customHeight="1" x14ac:dyDescent="0.15">
      <c r="AE8523" s="13"/>
    </row>
    <row r="8524" spans="31:31" ht="12.75" customHeight="1" x14ac:dyDescent="0.15">
      <c r="AE8524" s="13"/>
    </row>
    <row r="8525" spans="31:31" ht="12.75" customHeight="1" x14ac:dyDescent="0.15">
      <c r="AE8525" s="13"/>
    </row>
    <row r="8526" spans="31:31" ht="12.75" customHeight="1" x14ac:dyDescent="0.15">
      <c r="AE8526" s="13"/>
    </row>
    <row r="8527" spans="31:31" ht="12.75" customHeight="1" x14ac:dyDescent="0.15">
      <c r="AE8527" s="13"/>
    </row>
    <row r="8528" spans="31:31" ht="12.75" customHeight="1" x14ac:dyDescent="0.15">
      <c r="AE8528" s="13"/>
    </row>
    <row r="8529" spans="31:31" ht="12.75" customHeight="1" x14ac:dyDescent="0.15">
      <c r="AE8529" s="13"/>
    </row>
    <row r="8530" spans="31:31" ht="12.75" customHeight="1" x14ac:dyDescent="0.15">
      <c r="AE8530" s="13"/>
    </row>
    <row r="8531" spans="31:31" ht="12.75" customHeight="1" x14ac:dyDescent="0.15">
      <c r="AE8531" s="13"/>
    </row>
    <row r="8532" spans="31:31" ht="12.75" customHeight="1" x14ac:dyDescent="0.15">
      <c r="AE8532" s="13"/>
    </row>
    <row r="8533" spans="31:31" ht="12.75" customHeight="1" x14ac:dyDescent="0.15">
      <c r="AE8533" s="13"/>
    </row>
    <row r="8534" spans="31:31" ht="12.75" customHeight="1" x14ac:dyDescent="0.15">
      <c r="AE8534" s="13"/>
    </row>
    <row r="8535" spans="31:31" ht="12.75" customHeight="1" x14ac:dyDescent="0.15">
      <c r="AE8535" s="13"/>
    </row>
    <row r="8536" spans="31:31" ht="12.75" customHeight="1" x14ac:dyDescent="0.15">
      <c r="AE8536" s="13"/>
    </row>
    <row r="8537" spans="31:31" ht="12.75" customHeight="1" x14ac:dyDescent="0.15">
      <c r="AE8537" s="13"/>
    </row>
    <row r="8538" spans="31:31" ht="12.75" customHeight="1" x14ac:dyDescent="0.15">
      <c r="AE8538" s="13"/>
    </row>
    <row r="8539" spans="31:31" ht="12.75" customHeight="1" x14ac:dyDescent="0.15">
      <c r="AE8539" s="13"/>
    </row>
    <row r="8540" spans="31:31" ht="12.75" customHeight="1" x14ac:dyDescent="0.15">
      <c r="AE8540" s="13"/>
    </row>
    <row r="8541" spans="31:31" ht="12.75" customHeight="1" x14ac:dyDescent="0.15">
      <c r="AE8541" s="13"/>
    </row>
    <row r="8542" spans="31:31" ht="12.75" customHeight="1" x14ac:dyDescent="0.15">
      <c r="AE8542" s="13"/>
    </row>
    <row r="8543" spans="31:31" ht="12.75" customHeight="1" x14ac:dyDescent="0.15">
      <c r="AE8543" s="13"/>
    </row>
    <row r="8544" spans="31:31" ht="12.75" customHeight="1" x14ac:dyDescent="0.15">
      <c r="AE8544" s="13"/>
    </row>
    <row r="8545" spans="31:31" ht="12.75" customHeight="1" x14ac:dyDescent="0.15">
      <c r="AE8545" s="13"/>
    </row>
    <row r="8546" spans="31:31" ht="12.75" customHeight="1" x14ac:dyDescent="0.15">
      <c r="AE8546" s="13"/>
    </row>
    <row r="8547" spans="31:31" ht="12.75" customHeight="1" x14ac:dyDescent="0.15">
      <c r="AE8547" s="13"/>
    </row>
    <row r="8548" spans="31:31" ht="12.75" customHeight="1" x14ac:dyDescent="0.15">
      <c r="AE8548" s="13"/>
    </row>
    <row r="8549" spans="31:31" ht="12.75" customHeight="1" x14ac:dyDescent="0.15">
      <c r="AE8549" s="13"/>
    </row>
    <row r="8550" spans="31:31" ht="12.75" customHeight="1" x14ac:dyDescent="0.15">
      <c r="AE8550" s="13"/>
    </row>
    <row r="8551" spans="31:31" ht="12.75" customHeight="1" x14ac:dyDescent="0.15">
      <c r="AE8551" s="13"/>
    </row>
    <row r="8552" spans="31:31" ht="12.75" customHeight="1" x14ac:dyDescent="0.15">
      <c r="AE8552" s="13"/>
    </row>
    <row r="8553" spans="31:31" ht="12.75" customHeight="1" x14ac:dyDescent="0.15">
      <c r="AE8553" s="13"/>
    </row>
    <row r="8554" spans="31:31" ht="12.75" customHeight="1" x14ac:dyDescent="0.15">
      <c r="AE8554" s="13"/>
    </row>
    <row r="8555" spans="31:31" ht="12.75" customHeight="1" x14ac:dyDescent="0.15">
      <c r="AE8555" s="13"/>
    </row>
    <row r="8556" spans="31:31" ht="12.75" customHeight="1" x14ac:dyDescent="0.15">
      <c r="AE8556" s="13"/>
    </row>
    <row r="8557" spans="31:31" ht="12.75" customHeight="1" x14ac:dyDescent="0.15">
      <c r="AE8557" s="13"/>
    </row>
    <row r="8558" spans="31:31" ht="12.75" customHeight="1" x14ac:dyDescent="0.15">
      <c r="AE8558" s="13"/>
    </row>
    <row r="8559" spans="31:31" ht="12.75" customHeight="1" x14ac:dyDescent="0.15">
      <c r="AE8559" s="13"/>
    </row>
    <row r="8560" spans="31:31" ht="12.75" customHeight="1" x14ac:dyDescent="0.15">
      <c r="AE8560" s="13"/>
    </row>
    <row r="8561" spans="31:31" ht="12.75" customHeight="1" x14ac:dyDescent="0.15">
      <c r="AE8561" s="13"/>
    </row>
    <row r="8562" spans="31:31" ht="12.75" customHeight="1" x14ac:dyDescent="0.15">
      <c r="AE8562" s="13"/>
    </row>
    <row r="8563" spans="31:31" ht="12.75" customHeight="1" x14ac:dyDescent="0.15">
      <c r="AE8563" s="13"/>
    </row>
    <row r="8564" spans="31:31" ht="12.75" customHeight="1" x14ac:dyDescent="0.15">
      <c r="AE8564" s="13"/>
    </row>
    <row r="8565" spans="31:31" ht="12.75" customHeight="1" x14ac:dyDescent="0.15">
      <c r="AE8565" s="13"/>
    </row>
    <row r="8566" spans="31:31" ht="12.75" customHeight="1" x14ac:dyDescent="0.15">
      <c r="AE8566" s="13"/>
    </row>
    <row r="8567" spans="31:31" ht="12.75" customHeight="1" x14ac:dyDescent="0.15">
      <c r="AE8567" s="13"/>
    </row>
    <row r="8568" spans="31:31" ht="12.75" customHeight="1" x14ac:dyDescent="0.15">
      <c r="AE8568" s="13"/>
    </row>
    <row r="8569" spans="31:31" ht="12.75" customHeight="1" x14ac:dyDescent="0.15">
      <c r="AE8569" s="13"/>
    </row>
    <row r="8570" spans="31:31" ht="12.75" customHeight="1" x14ac:dyDescent="0.15">
      <c r="AE8570" s="13"/>
    </row>
    <row r="8571" spans="31:31" ht="12.75" customHeight="1" x14ac:dyDescent="0.15">
      <c r="AE8571" s="13"/>
    </row>
    <row r="8572" spans="31:31" ht="12.75" customHeight="1" x14ac:dyDescent="0.15">
      <c r="AE8572" s="13"/>
    </row>
    <row r="8573" spans="31:31" ht="12.75" customHeight="1" x14ac:dyDescent="0.15">
      <c r="AE8573" s="13"/>
    </row>
    <row r="8574" spans="31:31" ht="12.75" customHeight="1" x14ac:dyDescent="0.15">
      <c r="AE8574" s="13"/>
    </row>
    <row r="8575" spans="31:31" ht="12.75" customHeight="1" x14ac:dyDescent="0.15">
      <c r="AE8575" s="13"/>
    </row>
    <row r="8576" spans="31:31" ht="12.75" customHeight="1" x14ac:dyDescent="0.15">
      <c r="AE8576" s="13"/>
    </row>
    <row r="8577" spans="31:31" ht="12.75" customHeight="1" x14ac:dyDescent="0.15">
      <c r="AE8577" s="13"/>
    </row>
    <row r="8578" spans="31:31" ht="12.75" customHeight="1" x14ac:dyDescent="0.15">
      <c r="AE8578" s="13"/>
    </row>
    <row r="8579" spans="31:31" ht="12.75" customHeight="1" x14ac:dyDescent="0.15">
      <c r="AE8579" s="13"/>
    </row>
    <row r="8580" spans="31:31" ht="12.75" customHeight="1" x14ac:dyDescent="0.15">
      <c r="AE8580" s="13"/>
    </row>
    <row r="8581" spans="31:31" ht="12.75" customHeight="1" x14ac:dyDescent="0.15">
      <c r="AE8581" s="13"/>
    </row>
    <row r="8582" spans="31:31" ht="12.75" customHeight="1" x14ac:dyDescent="0.15">
      <c r="AE8582" s="13"/>
    </row>
    <row r="8583" spans="31:31" ht="12.75" customHeight="1" x14ac:dyDescent="0.15">
      <c r="AE8583" s="13"/>
    </row>
    <row r="8584" spans="31:31" ht="12.75" customHeight="1" x14ac:dyDescent="0.15">
      <c r="AE8584" s="13"/>
    </row>
    <row r="8585" spans="31:31" ht="12.75" customHeight="1" x14ac:dyDescent="0.15">
      <c r="AE8585" s="13"/>
    </row>
    <row r="8586" spans="31:31" ht="12.75" customHeight="1" x14ac:dyDescent="0.15">
      <c r="AE8586" s="13"/>
    </row>
    <row r="8587" spans="31:31" ht="12.75" customHeight="1" x14ac:dyDescent="0.15">
      <c r="AE8587" s="13"/>
    </row>
    <row r="8588" spans="31:31" ht="12.75" customHeight="1" x14ac:dyDescent="0.15">
      <c r="AE8588" s="13"/>
    </row>
    <row r="8589" spans="31:31" ht="12.75" customHeight="1" x14ac:dyDescent="0.15">
      <c r="AE8589" s="13"/>
    </row>
    <row r="8590" spans="31:31" ht="12.75" customHeight="1" x14ac:dyDescent="0.15">
      <c r="AE8590" s="13"/>
    </row>
    <row r="8591" spans="31:31" ht="12.75" customHeight="1" x14ac:dyDescent="0.15">
      <c r="AE8591" s="13"/>
    </row>
    <row r="8592" spans="31:31" ht="12.75" customHeight="1" x14ac:dyDescent="0.15">
      <c r="AE8592" s="13"/>
    </row>
    <row r="8593" spans="31:31" ht="12.75" customHeight="1" x14ac:dyDescent="0.15">
      <c r="AE8593" s="13"/>
    </row>
    <row r="8594" spans="31:31" ht="12.75" customHeight="1" x14ac:dyDescent="0.15">
      <c r="AE8594" s="13"/>
    </row>
    <row r="8595" spans="31:31" ht="12.75" customHeight="1" x14ac:dyDescent="0.15">
      <c r="AE8595" s="13"/>
    </row>
    <row r="8596" spans="31:31" ht="12.75" customHeight="1" x14ac:dyDescent="0.15">
      <c r="AE8596" s="13"/>
    </row>
    <row r="8597" spans="31:31" ht="12.75" customHeight="1" x14ac:dyDescent="0.15">
      <c r="AE8597" s="13"/>
    </row>
    <row r="8598" spans="31:31" ht="12.75" customHeight="1" x14ac:dyDescent="0.15">
      <c r="AE8598" s="13"/>
    </row>
    <row r="8599" spans="31:31" ht="12.75" customHeight="1" x14ac:dyDescent="0.15">
      <c r="AE8599" s="13"/>
    </row>
    <row r="8600" spans="31:31" ht="12.75" customHeight="1" x14ac:dyDescent="0.15">
      <c r="AE8600" s="13"/>
    </row>
    <row r="8601" spans="31:31" ht="12.75" customHeight="1" x14ac:dyDescent="0.15">
      <c r="AE8601" s="13"/>
    </row>
    <row r="8602" spans="31:31" ht="12.75" customHeight="1" x14ac:dyDescent="0.15">
      <c r="AE8602" s="13"/>
    </row>
    <row r="8603" spans="31:31" ht="12.75" customHeight="1" x14ac:dyDescent="0.15">
      <c r="AE8603" s="13"/>
    </row>
    <row r="8604" spans="31:31" ht="12.75" customHeight="1" x14ac:dyDescent="0.15">
      <c r="AE8604" s="13"/>
    </row>
    <row r="8605" spans="31:31" ht="12.75" customHeight="1" x14ac:dyDescent="0.15">
      <c r="AE8605" s="13"/>
    </row>
    <row r="8606" spans="31:31" ht="12.75" customHeight="1" x14ac:dyDescent="0.15">
      <c r="AE8606" s="13"/>
    </row>
    <row r="8607" spans="31:31" ht="12.75" customHeight="1" x14ac:dyDescent="0.15">
      <c r="AE8607" s="13"/>
    </row>
    <row r="8608" spans="31:31" ht="12.75" customHeight="1" x14ac:dyDescent="0.15">
      <c r="AE8608" s="13"/>
    </row>
    <row r="8609" spans="31:31" ht="12.75" customHeight="1" x14ac:dyDescent="0.15">
      <c r="AE8609" s="13"/>
    </row>
    <row r="8610" spans="31:31" ht="12.75" customHeight="1" x14ac:dyDescent="0.15">
      <c r="AE8610" s="13"/>
    </row>
    <row r="8611" spans="31:31" ht="12.75" customHeight="1" x14ac:dyDescent="0.15">
      <c r="AE8611" s="13"/>
    </row>
    <row r="8612" spans="31:31" ht="12.75" customHeight="1" x14ac:dyDescent="0.15">
      <c r="AE8612" s="13"/>
    </row>
    <row r="8613" spans="31:31" ht="12.75" customHeight="1" x14ac:dyDescent="0.15">
      <c r="AE8613" s="13"/>
    </row>
    <row r="8614" spans="31:31" ht="12.75" customHeight="1" x14ac:dyDescent="0.15">
      <c r="AE8614" s="13"/>
    </row>
    <row r="8615" spans="31:31" ht="12.75" customHeight="1" x14ac:dyDescent="0.15">
      <c r="AE8615" s="13"/>
    </row>
    <row r="8616" spans="31:31" ht="12.75" customHeight="1" x14ac:dyDescent="0.15">
      <c r="AE8616" s="13"/>
    </row>
    <row r="8617" spans="31:31" ht="12.75" customHeight="1" x14ac:dyDescent="0.15">
      <c r="AE8617" s="13"/>
    </row>
    <row r="8618" spans="31:31" ht="12.75" customHeight="1" x14ac:dyDescent="0.15">
      <c r="AE8618" s="13"/>
    </row>
    <row r="8619" spans="31:31" ht="12.75" customHeight="1" x14ac:dyDescent="0.15">
      <c r="AE8619" s="13"/>
    </row>
    <row r="8620" spans="31:31" ht="12.75" customHeight="1" x14ac:dyDescent="0.15">
      <c r="AE8620" s="13"/>
    </row>
    <row r="8621" spans="31:31" ht="12.75" customHeight="1" x14ac:dyDescent="0.15">
      <c r="AE8621" s="13"/>
    </row>
    <row r="8622" spans="31:31" ht="12.75" customHeight="1" x14ac:dyDescent="0.15">
      <c r="AE8622" s="13"/>
    </row>
    <row r="8623" spans="31:31" ht="12.75" customHeight="1" x14ac:dyDescent="0.15">
      <c r="AE8623" s="13"/>
    </row>
    <row r="8624" spans="31:31" ht="12.75" customHeight="1" x14ac:dyDescent="0.15">
      <c r="AE8624" s="13"/>
    </row>
    <row r="8625" spans="31:31" ht="12.75" customHeight="1" x14ac:dyDescent="0.15">
      <c r="AE8625" s="13"/>
    </row>
    <row r="8626" spans="31:31" ht="12.75" customHeight="1" x14ac:dyDescent="0.15">
      <c r="AE8626" s="13"/>
    </row>
    <row r="8627" spans="31:31" ht="12.75" customHeight="1" x14ac:dyDescent="0.15">
      <c r="AE8627" s="13"/>
    </row>
    <row r="8628" spans="31:31" ht="12.75" customHeight="1" x14ac:dyDescent="0.15">
      <c r="AE8628" s="13"/>
    </row>
    <row r="8629" spans="31:31" ht="12.75" customHeight="1" x14ac:dyDescent="0.15">
      <c r="AE8629" s="13"/>
    </row>
    <row r="8630" spans="31:31" ht="12.75" customHeight="1" x14ac:dyDescent="0.15">
      <c r="AE8630" s="13"/>
    </row>
    <row r="8631" spans="31:31" ht="12.75" customHeight="1" x14ac:dyDescent="0.15">
      <c r="AE8631" s="13"/>
    </row>
    <row r="8632" spans="31:31" ht="12.75" customHeight="1" x14ac:dyDescent="0.15">
      <c r="AE8632" s="13"/>
    </row>
    <row r="8633" spans="31:31" ht="12.75" customHeight="1" x14ac:dyDescent="0.15">
      <c r="AE8633" s="13"/>
    </row>
    <row r="8634" spans="31:31" ht="12.75" customHeight="1" x14ac:dyDescent="0.15">
      <c r="AE8634" s="13"/>
    </row>
    <row r="8635" spans="31:31" ht="12.75" customHeight="1" x14ac:dyDescent="0.15">
      <c r="AE8635" s="13"/>
    </row>
    <row r="8636" spans="31:31" ht="12.75" customHeight="1" x14ac:dyDescent="0.15">
      <c r="AE8636" s="13"/>
    </row>
    <row r="8637" spans="31:31" ht="12.75" customHeight="1" x14ac:dyDescent="0.15">
      <c r="AE8637" s="13"/>
    </row>
    <row r="8638" spans="31:31" ht="12.75" customHeight="1" x14ac:dyDescent="0.15">
      <c r="AE8638" s="13"/>
    </row>
    <row r="8639" spans="31:31" ht="12.75" customHeight="1" x14ac:dyDescent="0.15">
      <c r="AE8639" s="13"/>
    </row>
    <row r="8640" spans="31:31" ht="12.75" customHeight="1" x14ac:dyDescent="0.15">
      <c r="AE8640" s="13"/>
    </row>
    <row r="8641" spans="31:31" ht="12.75" customHeight="1" x14ac:dyDescent="0.15">
      <c r="AE8641" s="13"/>
    </row>
    <row r="8642" spans="31:31" ht="12.75" customHeight="1" x14ac:dyDescent="0.15">
      <c r="AE8642" s="13"/>
    </row>
    <row r="8643" spans="31:31" ht="12.75" customHeight="1" x14ac:dyDescent="0.15">
      <c r="AE8643" s="13"/>
    </row>
    <row r="8644" spans="31:31" ht="12.75" customHeight="1" x14ac:dyDescent="0.15">
      <c r="AE8644" s="13"/>
    </row>
    <row r="8645" spans="31:31" ht="12.75" customHeight="1" x14ac:dyDescent="0.15">
      <c r="AE8645" s="13"/>
    </row>
    <row r="8646" spans="31:31" ht="12.75" customHeight="1" x14ac:dyDescent="0.15">
      <c r="AE8646" s="13"/>
    </row>
    <row r="8647" spans="31:31" ht="12.75" customHeight="1" x14ac:dyDescent="0.15">
      <c r="AE8647" s="13"/>
    </row>
    <row r="8648" spans="31:31" ht="12.75" customHeight="1" x14ac:dyDescent="0.15">
      <c r="AE8648" s="13"/>
    </row>
    <row r="8649" spans="31:31" ht="12.75" customHeight="1" x14ac:dyDescent="0.15">
      <c r="AE8649" s="13"/>
    </row>
    <row r="8650" spans="31:31" ht="12.75" customHeight="1" x14ac:dyDescent="0.15">
      <c r="AE8650" s="13"/>
    </row>
    <row r="8651" spans="31:31" ht="12.75" customHeight="1" x14ac:dyDescent="0.15">
      <c r="AE8651" s="13"/>
    </row>
    <row r="8652" spans="31:31" ht="12.75" customHeight="1" x14ac:dyDescent="0.15">
      <c r="AE8652" s="13"/>
    </row>
    <row r="8653" spans="31:31" ht="12.75" customHeight="1" x14ac:dyDescent="0.15">
      <c r="AE8653" s="13"/>
    </row>
    <row r="8654" spans="31:31" ht="12.75" customHeight="1" x14ac:dyDescent="0.15">
      <c r="AE8654" s="13"/>
    </row>
    <row r="8655" spans="31:31" ht="12.75" customHeight="1" x14ac:dyDescent="0.15">
      <c r="AE8655" s="13"/>
    </row>
    <row r="8656" spans="31:31" ht="12.75" customHeight="1" x14ac:dyDescent="0.15">
      <c r="AE8656" s="13"/>
    </row>
    <row r="8657" spans="31:31" ht="12.75" customHeight="1" x14ac:dyDescent="0.15">
      <c r="AE8657" s="13"/>
    </row>
    <row r="8658" spans="31:31" ht="12.75" customHeight="1" x14ac:dyDescent="0.15">
      <c r="AE8658" s="13"/>
    </row>
    <row r="8659" spans="31:31" ht="12.75" customHeight="1" x14ac:dyDescent="0.15">
      <c r="AE8659" s="13"/>
    </row>
    <row r="8660" spans="31:31" ht="12.75" customHeight="1" x14ac:dyDescent="0.15">
      <c r="AE8660" s="13"/>
    </row>
    <row r="8661" spans="31:31" ht="12.75" customHeight="1" x14ac:dyDescent="0.15">
      <c r="AE8661" s="13"/>
    </row>
    <row r="8662" spans="31:31" ht="12.75" customHeight="1" x14ac:dyDescent="0.15">
      <c r="AE8662" s="13"/>
    </row>
    <row r="8663" spans="31:31" ht="12.75" customHeight="1" x14ac:dyDescent="0.15">
      <c r="AE8663" s="13"/>
    </row>
    <row r="8664" spans="31:31" ht="12.75" customHeight="1" x14ac:dyDescent="0.15">
      <c r="AE8664" s="13"/>
    </row>
    <row r="8665" spans="31:31" ht="12.75" customHeight="1" x14ac:dyDescent="0.15">
      <c r="AE8665" s="13"/>
    </row>
    <row r="8666" spans="31:31" ht="12.75" customHeight="1" x14ac:dyDescent="0.15">
      <c r="AE8666" s="13"/>
    </row>
    <row r="8667" spans="31:31" ht="12.75" customHeight="1" x14ac:dyDescent="0.15">
      <c r="AE8667" s="13"/>
    </row>
    <row r="8668" spans="31:31" ht="12.75" customHeight="1" x14ac:dyDescent="0.15">
      <c r="AE8668" s="13"/>
    </row>
    <row r="8669" spans="31:31" ht="12.75" customHeight="1" x14ac:dyDescent="0.15">
      <c r="AE8669" s="13"/>
    </row>
    <row r="8670" spans="31:31" ht="12.75" customHeight="1" x14ac:dyDescent="0.15">
      <c r="AE8670" s="13"/>
    </row>
    <row r="8671" spans="31:31" ht="12.75" customHeight="1" x14ac:dyDescent="0.15">
      <c r="AE8671" s="13"/>
    </row>
    <row r="8672" spans="31:31" ht="12.75" customHeight="1" x14ac:dyDescent="0.15">
      <c r="AE8672" s="13"/>
    </row>
    <row r="8673" spans="31:31" ht="12.75" customHeight="1" x14ac:dyDescent="0.15">
      <c r="AE8673" s="13"/>
    </row>
    <row r="8674" spans="31:31" ht="12.75" customHeight="1" x14ac:dyDescent="0.15">
      <c r="AE8674" s="13"/>
    </row>
    <row r="8675" spans="31:31" ht="12.75" customHeight="1" x14ac:dyDescent="0.15">
      <c r="AE8675" s="13"/>
    </row>
    <row r="8676" spans="31:31" ht="12.75" customHeight="1" x14ac:dyDescent="0.15">
      <c r="AE8676" s="13"/>
    </row>
    <row r="8677" spans="31:31" ht="12.75" customHeight="1" x14ac:dyDescent="0.15">
      <c r="AE8677" s="13"/>
    </row>
    <row r="8678" spans="31:31" ht="12.75" customHeight="1" x14ac:dyDescent="0.15">
      <c r="AE8678" s="13"/>
    </row>
    <row r="8679" spans="31:31" ht="12.75" customHeight="1" x14ac:dyDescent="0.15">
      <c r="AE8679" s="13"/>
    </row>
    <row r="8680" spans="31:31" ht="12.75" customHeight="1" x14ac:dyDescent="0.15">
      <c r="AE8680" s="13"/>
    </row>
    <row r="8681" spans="31:31" ht="12.75" customHeight="1" x14ac:dyDescent="0.15">
      <c r="AE8681" s="13"/>
    </row>
    <row r="8682" spans="31:31" ht="12.75" customHeight="1" x14ac:dyDescent="0.15">
      <c r="AE8682" s="13"/>
    </row>
    <row r="8683" spans="31:31" ht="12.75" customHeight="1" x14ac:dyDescent="0.15">
      <c r="AE8683" s="13"/>
    </row>
    <row r="8684" spans="31:31" ht="12.75" customHeight="1" x14ac:dyDescent="0.15">
      <c r="AE8684" s="13"/>
    </row>
    <row r="8685" spans="31:31" ht="12.75" customHeight="1" x14ac:dyDescent="0.15">
      <c r="AE8685" s="13"/>
    </row>
    <row r="8686" spans="31:31" ht="12.75" customHeight="1" x14ac:dyDescent="0.15">
      <c r="AE8686" s="13"/>
    </row>
    <row r="8687" spans="31:31" ht="12.75" customHeight="1" x14ac:dyDescent="0.15">
      <c r="AE8687" s="13"/>
    </row>
    <row r="8688" spans="31:31" ht="12.75" customHeight="1" x14ac:dyDescent="0.15">
      <c r="AE8688" s="13"/>
    </row>
    <row r="8689" spans="31:31" ht="12.75" customHeight="1" x14ac:dyDescent="0.15">
      <c r="AE8689" s="13"/>
    </row>
    <row r="8690" spans="31:31" ht="12.75" customHeight="1" x14ac:dyDescent="0.15">
      <c r="AE8690" s="13"/>
    </row>
    <row r="8691" spans="31:31" ht="12.75" customHeight="1" x14ac:dyDescent="0.15">
      <c r="AE8691" s="13"/>
    </row>
    <row r="8692" spans="31:31" ht="12.75" customHeight="1" x14ac:dyDescent="0.15">
      <c r="AE8692" s="13"/>
    </row>
    <row r="8693" spans="31:31" ht="12.75" customHeight="1" x14ac:dyDescent="0.15">
      <c r="AE8693" s="13"/>
    </row>
    <row r="8694" spans="31:31" ht="12.75" customHeight="1" x14ac:dyDescent="0.15">
      <c r="AE8694" s="13"/>
    </row>
    <row r="8695" spans="31:31" ht="12.75" customHeight="1" x14ac:dyDescent="0.15">
      <c r="AE8695" s="13"/>
    </row>
    <row r="8696" spans="31:31" ht="12.75" customHeight="1" x14ac:dyDescent="0.15">
      <c r="AE8696" s="13"/>
    </row>
    <row r="8697" spans="31:31" ht="12.75" customHeight="1" x14ac:dyDescent="0.15">
      <c r="AE8697" s="13"/>
    </row>
    <row r="8698" spans="31:31" ht="12.75" customHeight="1" x14ac:dyDescent="0.15">
      <c r="AE8698" s="13"/>
    </row>
    <row r="8699" spans="31:31" ht="12.75" customHeight="1" x14ac:dyDescent="0.15">
      <c r="AE8699" s="13"/>
    </row>
    <row r="8700" spans="31:31" ht="12.75" customHeight="1" x14ac:dyDescent="0.15">
      <c r="AE8700" s="13"/>
    </row>
    <row r="8701" spans="31:31" ht="12.75" customHeight="1" x14ac:dyDescent="0.15">
      <c r="AE8701" s="13"/>
    </row>
    <row r="8702" spans="31:31" ht="12.75" customHeight="1" x14ac:dyDescent="0.15">
      <c r="AE8702" s="13"/>
    </row>
    <row r="8703" spans="31:31" ht="12.75" customHeight="1" x14ac:dyDescent="0.15">
      <c r="AE8703" s="13"/>
    </row>
    <row r="8704" spans="31:31" ht="12.75" customHeight="1" x14ac:dyDescent="0.15">
      <c r="AE8704" s="13"/>
    </row>
    <row r="8705" spans="31:31" ht="12.75" customHeight="1" x14ac:dyDescent="0.15">
      <c r="AE8705" s="13"/>
    </row>
    <row r="8706" spans="31:31" ht="12.75" customHeight="1" x14ac:dyDescent="0.15">
      <c r="AE8706" s="13"/>
    </row>
    <row r="8707" spans="31:31" ht="12.75" customHeight="1" x14ac:dyDescent="0.15">
      <c r="AE8707" s="13"/>
    </row>
    <row r="8708" spans="31:31" ht="12.75" customHeight="1" x14ac:dyDescent="0.15">
      <c r="AE8708" s="13"/>
    </row>
    <row r="8709" spans="31:31" ht="12.75" customHeight="1" x14ac:dyDescent="0.15">
      <c r="AE8709" s="13"/>
    </row>
    <row r="8710" spans="31:31" ht="12.75" customHeight="1" x14ac:dyDescent="0.15">
      <c r="AE8710" s="13"/>
    </row>
    <row r="8711" spans="31:31" ht="12.75" customHeight="1" x14ac:dyDescent="0.15">
      <c r="AE8711" s="13"/>
    </row>
    <row r="8712" spans="31:31" ht="12.75" customHeight="1" x14ac:dyDescent="0.15">
      <c r="AE8712" s="13"/>
    </row>
    <row r="8713" spans="31:31" ht="12.75" customHeight="1" x14ac:dyDescent="0.15">
      <c r="AE8713" s="13"/>
    </row>
    <row r="8714" spans="31:31" ht="12.75" customHeight="1" x14ac:dyDescent="0.15">
      <c r="AE8714" s="13"/>
    </row>
    <row r="8715" spans="31:31" ht="12.75" customHeight="1" x14ac:dyDescent="0.15">
      <c r="AE8715" s="13"/>
    </row>
    <row r="8716" spans="31:31" ht="12.75" customHeight="1" x14ac:dyDescent="0.15">
      <c r="AE8716" s="13"/>
    </row>
    <row r="8717" spans="31:31" ht="12.75" customHeight="1" x14ac:dyDescent="0.15">
      <c r="AE8717" s="13"/>
    </row>
    <row r="8718" spans="31:31" ht="12.75" customHeight="1" x14ac:dyDescent="0.15">
      <c r="AE8718" s="13"/>
    </row>
    <row r="8719" spans="31:31" ht="12.75" customHeight="1" x14ac:dyDescent="0.15">
      <c r="AE8719" s="13"/>
    </row>
    <row r="8720" spans="31:31" ht="12.75" customHeight="1" x14ac:dyDescent="0.15">
      <c r="AE8720" s="13"/>
    </row>
    <row r="8721" spans="31:31" ht="12.75" customHeight="1" x14ac:dyDescent="0.15">
      <c r="AE8721" s="13"/>
    </row>
    <row r="8722" spans="31:31" ht="12.75" customHeight="1" x14ac:dyDescent="0.15">
      <c r="AE8722" s="13"/>
    </row>
    <row r="8723" spans="31:31" ht="12.75" customHeight="1" x14ac:dyDescent="0.15">
      <c r="AE8723" s="13"/>
    </row>
    <row r="8724" spans="31:31" ht="12.75" customHeight="1" x14ac:dyDescent="0.15">
      <c r="AE8724" s="13"/>
    </row>
    <row r="8725" spans="31:31" ht="12.75" customHeight="1" x14ac:dyDescent="0.15">
      <c r="AE8725" s="13"/>
    </row>
    <row r="8726" spans="31:31" ht="12.75" customHeight="1" x14ac:dyDescent="0.15">
      <c r="AE8726" s="13"/>
    </row>
    <row r="8727" spans="31:31" ht="12.75" customHeight="1" x14ac:dyDescent="0.15">
      <c r="AE8727" s="13"/>
    </row>
    <row r="8728" spans="31:31" ht="12.75" customHeight="1" x14ac:dyDescent="0.15">
      <c r="AE8728" s="13"/>
    </row>
    <row r="8729" spans="31:31" ht="12.75" customHeight="1" x14ac:dyDescent="0.15">
      <c r="AE8729" s="13"/>
    </row>
    <row r="8730" spans="31:31" ht="12.75" customHeight="1" x14ac:dyDescent="0.15">
      <c r="AE8730" s="13"/>
    </row>
    <row r="8731" spans="31:31" ht="12.75" customHeight="1" x14ac:dyDescent="0.15">
      <c r="AE8731" s="13"/>
    </row>
    <row r="8732" spans="31:31" ht="12.75" customHeight="1" x14ac:dyDescent="0.15">
      <c r="AE8732" s="13"/>
    </row>
    <row r="8733" spans="31:31" ht="12.75" customHeight="1" x14ac:dyDescent="0.15">
      <c r="AE8733" s="13"/>
    </row>
    <row r="8734" spans="31:31" ht="12.75" customHeight="1" x14ac:dyDescent="0.15">
      <c r="AE8734" s="13"/>
    </row>
    <row r="8735" spans="31:31" ht="12.75" customHeight="1" x14ac:dyDescent="0.15">
      <c r="AE8735" s="13"/>
    </row>
    <row r="8736" spans="31:31" ht="12.75" customHeight="1" x14ac:dyDescent="0.15">
      <c r="AE8736" s="13"/>
    </row>
    <row r="8737" spans="31:31" ht="12.75" customHeight="1" x14ac:dyDescent="0.15">
      <c r="AE8737" s="13"/>
    </row>
    <row r="8738" spans="31:31" ht="12.75" customHeight="1" x14ac:dyDescent="0.15">
      <c r="AE8738" s="13"/>
    </row>
    <row r="8739" spans="31:31" ht="12.75" customHeight="1" x14ac:dyDescent="0.15">
      <c r="AE8739" s="13"/>
    </row>
    <row r="8740" spans="31:31" ht="12.75" customHeight="1" x14ac:dyDescent="0.15">
      <c r="AE8740" s="13"/>
    </row>
    <row r="8741" spans="31:31" ht="12.75" customHeight="1" x14ac:dyDescent="0.15">
      <c r="AE8741" s="13"/>
    </row>
    <row r="8742" spans="31:31" ht="12.75" customHeight="1" x14ac:dyDescent="0.15">
      <c r="AE8742" s="13"/>
    </row>
    <row r="8743" spans="31:31" ht="12.75" customHeight="1" x14ac:dyDescent="0.15">
      <c r="AE8743" s="13"/>
    </row>
    <row r="8744" spans="31:31" ht="12.75" customHeight="1" x14ac:dyDescent="0.15">
      <c r="AE8744" s="13"/>
    </row>
    <row r="8745" spans="31:31" ht="12.75" customHeight="1" x14ac:dyDescent="0.15">
      <c r="AE8745" s="13"/>
    </row>
    <row r="8746" spans="31:31" ht="12.75" customHeight="1" x14ac:dyDescent="0.15">
      <c r="AE8746" s="13"/>
    </row>
    <row r="8747" spans="31:31" ht="12.75" customHeight="1" x14ac:dyDescent="0.15">
      <c r="AE8747" s="13"/>
    </row>
    <row r="8748" spans="31:31" ht="12.75" customHeight="1" x14ac:dyDescent="0.15">
      <c r="AE8748" s="13"/>
    </row>
    <row r="8749" spans="31:31" ht="12.75" customHeight="1" x14ac:dyDescent="0.15">
      <c r="AE8749" s="13"/>
    </row>
    <row r="8750" spans="31:31" ht="12.75" customHeight="1" x14ac:dyDescent="0.15">
      <c r="AE8750" s="13"/>
    </row>
    <row r="8751" spans="31:31" ht="12.75" customHeight="1" x14ac:dyDescent="0.15">
      <c r="AE8751" s="13"/>
    </row>
    <row r="8752" spans="31:31" ht="12.75" customHeight="1" x14ac:dyDescent="0.15">
      <c r="AE8752" s="13"/>
    </row>
    <row r="8753" spans="31:31" ht="12.75" customHeight="1" x14ac:dyDescent="0.15">
      <c r="AE8753" s="13"/>
    </row>
    <row r="8754" spans="31:31" ht="12.75" customHeight="1" x14ac:dyDescent="0.15">
      <c r="AE8754" s="13"/>
    </row>
    <row r="8755" spans="31:31" ht="12.75" customHeight="1" x14ac:dyDescent="0.15">
      <c r="AE8755" s="13"/>
    </row>
    <row r="8756" spans="31:31" ht="12.75" customHeight="1" x14ac:dyDescent="0.15">
      <c r="AE8756" s="13"/>
    </row>
    <row r="8757" spans="31:31" ht="12.75" customHeight="1" x14ac:dyDescent="0.15">
      <c r="AE8757" s="13"/>
    </row>
    <row r="8758" spans="31:31" ht="12.75" customHeight="1" x14ac:dyDescent="0.15">
      <c r="AE8758" s="13"/>
    </row>
    <row r="8759" spans="31:31" ht="12.75" customHeight="1" x14ac:dyDescent="0.15">
      <c r="AE8759" s="13"/>
    </row>
    <row r="8760" spans="31:31" ht="12.75" customHeight="1" x14ac:dyDescent="0.15">
      <c r="AE8760" s="13"/>
    </row>
    <row r="8761" spans="31:31" ht="12.75" customHeight="1" x14ac:dyDescent="0.15">
      <c r="AE8761" s="13"/>
    </row>
    <row r="8762" spans="31:31" ht="12.75" customHeight="1" x14ac:dyDescent="0.15">
      <c r="AE8762" s="13"/>
    </row>
    <row r="8763" spans="31:31" ht="12.75" customHeight="1" x14ac:dyDescent="0.15">
      <c r="AE8763" s="13"/>
    </row>
    <row r="8764" spans="31:31" ht="12.75" customHeight="1" x14ac:dyDescent="0.15">
      <c r="AE8764" s="13"/>
    </row>
    <row r="8765" spans="31:31" ht="12.75" customHeight="1" x14ac:dyDescent="0.15">
      <c r="AE8765" s="13"/>
    </row>
    <row r="8766" spans="31:31" ht="12.75" customHeight="1" x14ac:dyDescent="0.15">
      <c r="AE8766" s="13"/>
    </row>
    <row r="8767" spans="31:31" ht="12.75" customHeight="1" x14ac:dyDescent="0.15">
      <c r="AE8767" s="13"/>
    </row>
    <row r="8768" spans="31:31" ht="12.75" customHeight="1" x14ac:dyDescent="0.15">
      <c r="AE8768" s="13"/>
    </row>
    <row r="8769" spans="31:31" ht="12.75" customHeight="1" x14ac:dyDescent="0.15">
      <c r="AE8769" s="13"/>
    </row>
    <row r="8770" spans="31:31" ht="12.75" customHeight="1" x14ac:dyDescent="0.15">
      <c r="AE8770" s="13"/>
    </row>
    <row r="8771" spans="31:31" ht="12.75" customHeight="1" x14ac:dyDescent="0.15">
      <c r="AE8771" s="13"/>
    </row>
    <row r="8772" spans="31:31" ht="12.75" customHeight="1" x14ac:dyDescent="0.15">
      <c r="AE8772" s="13"/>
    </row>
    <row r="8773" spans="31:31" ht="12.75" customHeight="1" x14ac:dyDescent="0.15">
      <c r="AE8773" s="13"/>
    </row>
    <row r="8774" spans="31:31" ht="12.75" customHeight="1" x14ac:dyDescent="0.15">
      <c r="AE8774" s="13"/>
    </row>
    <row r="8775" spans="31:31" ht="12.75" customHeight="1" x14ac:dyDescent="0.15">
      <c r="AE8775" s="13"/>
    </row>
    <row r="8776" spans="31:31" ht="12.75" customHeight="1" x14ac:dyDescent="0.15">
      <c r="AE8776" s="13"/>
    </row>
    <row r="8777" spans="31:31" ht="12.75" customHeight="1" x14ac:dyDescent="0.15">
      <c r="AE8777" s="13"/>
    </row>
    <row r="8778" spans="31:31" ht="12.75" customHeight="1" x14ac:dyDescent="0.15">
      <c r="AE8778" s="13"/>
    </row>
    <row r="8779" spans="31:31" ht="12.75" customHeight="1" x14ac:dyDescent="0.15">
      <c r="AE8779" s="13"/>
    </row>
    <row r="8780" spans="31:31" ht="12.75" customHeight="1" x14ac:dyDescent="0.15">
      <c r="AE8780" s="13"/>
    </row>
    <row r="8781" spans="31:31" ht="12.75" customHeight="1" x14ac:dyDescent="0.15">
      <c r="AE8781" s="13"/>
    </row>
    <row r="8782" spans="31:31" ht="12.75" customHeight="1" x14ac:dyDescent="0.15">
      <c r="AE8782" s="13"/>
    </row>
    <row r="8783" spans="31:31" ht="12.75" customHeight="1" x14ac:dyDescent="0.15">
      <c r="AE8783" s="13"/>
    </row>
    <row r="8784" spans="31:31" ht="12.75" customHeight="1" x14ac:dyDescent="0.15">
      <c r="AE8784" s="13"/>
    </row>
    <row r="8785" spans="31:31" ht="12.75" customHeight="1" x14ac:dyDescent="0.15">
      <c r="AE8785" s="13"/>
    </row>
    <row r="8786" spans="31:31" ht="12.75" customHeight="1" x14ac:dyDescent="0.15">
      <c r="AE8786" s="13"/>
    </row>
    <row r="8787" spans="31:31" ht="12.75" customHeight="1" x14ac:dyDescent="0.15">
      <c r="AE8787" s="13"/>
    </row>
    <row r="8788" spans="31:31" ht="12.75" customHeight="1" x14ac:dyDescent="0.15">
      <c r="AE8788" s="13"/>
    </row>
    <row r="8789" spans="31:31" ht="12.75" customHeight="1" x14ac:dyDescent="0.15">
      <c r="AE8789" s="13"/>
    </row>
    <row r="8790" spans="31:31" ht="12.75" customHeight="1" x14ac:dyDescent="0.15">
      <c r="AE8790" s="13"/>
    </row>
    <row r="8791" spans="31:31" ht="12.75" customHeight="1" x14ac:dyDescent="0.15">
      <c r="AE8791" s="13"/>
    </row>
    <row r="8792" spans="31:31" ht="12.75" customHeight="1" x14ac:dyDescent="0.15">
      <c r="AE8792" s="13"/>
    </row>
    <row r="8793" spans="31:31" ht="12.75" customHeight="1" x14ac:dyDescent="0.15">
      <c r="AE8793" s="13"/>
    </row>
    <row r="8794" spans="31:31" ht="12.75" customHeight="1" x14ac:dyDescent="0.15">
      <c r="AE8794" s="13"/>
    </row>
    <row r="8795" spans="31:31" ht="12.75" customHeight="1" x14ac:dyDescent="0.15">
      <c r="AE8795" s="13"/>
    </row>
    <row r="8796" spans="31:31" ht="12.75" customHeight="1" x14ac:dyDescent="0.15">
      <c r="AE8796" s="13"/>
    </row>
    <row r="8797" spans="31:31" ht="12.75" customHeight="1" x14ac:dyDescent="0.15">
      <c r="AE8797" s="13"/>
    </row>
    <row r="8798" spans="31:31" ht="12.75" customHeight="1" x14ac:dyDescent="0.15">
      <c r="AE8798" s="13"/>
    </row>
    <row r="8799" spans="31:31" ht="12.75" customHeight="1" x14ac:dyDescent="0.15">
      <c r="AE8799" s="13"/>
    </row>
    <row r="8800" spans="31:31" ht="12.75" customHeight="1" x14ac:dyDescent="0.15">
      <c r="AE8800" s="13"/>
    </row>
    <row r="8801" spans="31:31" ht="12.75" customHeight="1" x14ac:dyDescent="0.15">
      <c r="AE8801" s="13"/>
    </row>
    <row r="8802" spans="31:31" ht="12.75" customHeight="1" x14ac:dyDescent="0.15">
      <c r="AE8802" s="13"/>
    </row>
    <row r="8803" spans="31:31" ht="12.75" customHeight="1" x14ac:dyDescent="0.15">
      <c r="AE8803" s="13"/>
    </row>
    <row r="8804" spans="31:31" ht="12.75" customHeight="1" x14ac:dyDescent="0.15">
      <c r="AE8804" s="13"/>
    </row>
    <row r="8805" spans="31:31" ht="12.75" customHeight="1" x14ac:dyDescent="0.15">
      <c r="AE8805" s="13"/>
    </row>
    <row r="8806" spans="31:31" ht="12.75" customHeight="1" x14ac:dyDescent="0.15">
      <c r="AE8806" s="13"/>
    </row>
    <row r="8807" spans="31:31" ht="12.75" customHeight="1" x14ac:dyDescent="0.15">
      <c r="AE8807" s="13"/>
    </row>
    <row r="8808" spans="31:31" ht="12.75" customHeight="1" x14ac:dyDescent="0.15">
      <c r="AE8808" s="13"/>
    </row>
    <row r="8809" spans="31:31" ht="12.75" customHeight="1" x14ac:dyDescent="0.15">
      <c r="AE8809" s="13"/>
    </row>
    <row r="8810" spans="31:31" ht="12.75" customHeight="1" x14ac:dyDescent="0.15">
      <c r="AE8810" s="13"/>
    </row>
    <row r="8811" spans="31:31" ht="12.75" customHeight="1" x14ac:dyDescent="0.15">
      <c r="AE8811" s="13"/>
    </row>
    <row r="8812" spans="31:31" ht="12.75" customHeight="1" x14ac:dyDescent="0.15">
      <c r="AE8812" s="13"/>
    </row>
    <row r="8813" spans="31:31" ht="12.75" customHeight="1" x14ac:dyDescent="0.15">
      <c r="AE8813" s="13"/>
    </row>
    <row r="8814" spans="31:31" ht="12.75" customHeight="1" x14ac:dyDescent="0.15">
      <c r="AE8814" s="13"/>
    </row>
    <row r="8815" spans="31:31" ht="12.75" customHeight="1" x14ac:dyDescent="0.15">
      <c r="AE8815" s="13"/>
    </row>
    <row r="8816" spans="31:31" ht="12.75" customHeight="1" x14ac:dyDescent="0.15">
      <c r="AE8816" s="13"/>
    </row>
    <row r="8817" spans="31:31" ht="12.75" customHeight="1" x14ac:dyDescent="0.15">
      <c r="AE8817" s="13"/>
    </row>
    <row r="8818" spans="31:31" ht="12.75" customHeight="1" x14ac:dyDescent="0.15">
      <c r="AE8818" s="13"/>
    </row>
    <row r="8819" spans="31:31" ht="12.75" customHeight="1" x14ac:dyDescent="0.15">
      <c r="AE8819" s="13"/>
    </row>
    <row r="8820" spans="31:31" ht="12.75" customHeight="1" x14ac:dyDescent="0.15">
      <c r="AE8820" s="13"/>
    </row>
    <row r="8821" spans="31:31" ht="12.75" customHeight="1" x14ac:dyDescent="0.15">
      <c r="AE8821" s="13"/>
    </row>
    <row r="8822" spans="31:31" ht="12.75" customHeight="1" x14ac:dyDescent="0.15">
      <c r="AE8822" s="13"/>
    </row>
    <row r="8823" spans="31:31" ht="12.75" customHeight="1" x14ac:dyDescent="0.15">
      <c r="AE8823" s="13"/>
    </row>
    <row r="8824" spans="31:31" ht="12.75" customHeight="1" x14ac:dyDescent="0.15">
      <c r="AE8824" s="13"/>
    </row>
    <row r="8825" spans="31:31" ht="12.75" customHeight="1" x14ac:dyDescent="0.15">
      <c r="AE8825" s="13"/>
    </row>
    <row r="8826" spans="31:31" ht="12.75" customHeight="1" x14ac:dyDescent="0.15">
      <c r="AE8826" s="13"/>
    </row>
    <row r="8827" spans="31:31" ht="12.75" customHeight="1" x14ac:dyDescent="0.15">
      <c r="AE8827" s="13"/>
    </row>
    <row r="8828" spans="31:31" ht="12.75" customHeight="1" x14ac:dyDescent="0.15">
      <c r="AE8828" s="13"/>
    </row>
    <row r="8829" spans="31:31" ht="12.75" customHeight="1" x14ac:dyDescent="0.15">
      <c r="AE8829" s="13"/>
    </row>
    <row r="8830" spans="31:31" ht="12.75" customHeight="1" x14ac:dyDescent="0.15">
      <c r="AE8830" s="13"/>
    </row>
    <row r="8831" spans="31:31" ht="12.75" customHeight="1" x14ac:dyDescent="0.15">
      <c r="AE8831" s="13"/>
    </row>
    <row r="8832" spans="31:31" ht="12.75" customHeight="1" x14ac:dyDescent="0.15">
      <c r="AE8832" s="13"/>
    </row>
    <row r="8833" spans="31:31" ht="12.75" customHeight="1" x14ac:dyDescent="0.15">
      <c r="AE8833" s="13"/>
    </row>
    <row r="8834" spans="31:31" ht="12.75" customHeight="1" x14ac:dyDescent="0.15">
      <c r="AE8834" s="13"/>
    </row>
    <row r="8835" spans="31:31" ht="12.75" customHeight="1" x14ac:dyDescent="0.15">
      <c r="AE8835" s="13"/>
    </row>
    <row r="8836" spans="31:31" ht="12.75" customHeight="1" x14ac:dyDescent="0.15">
      <c r="AE8836" s="13"/>
    </row>
    <row r="8837" spans="31:31" ht="12.75" customHeight="1" x14ac:dyDescent="0.15">
      <c r="AE8837" s="13"/>
    </row>
    <row r="8838" spans="31:31" ht="12.75" customHeight="1" x14ac:dyDescent="0.15">
      <c r="AE8838" s="13"/>
    </row>
    <row r="8839" spans="31:31" ht="12.75" customHeight="1" x14ac:dyDescent="0.15">
      <c r="AE8839" s="13"/>
    </row>
    <row r="8840" spans="31:31" ht="12.75" customHeight="1" x14ac:dyDescent="0.15">
      <c r="AE8840" s="13"/>
    </row>
    <row r="8841" spans="31:31" ht="12.75" customHeight="1" x14ac:dyDescent="0.15">
      <c r="AE8841" s="13"/>
    </row>
    <row r="8842" spans="31:31" ht="12.75" customHeight="1" x14ac:dyDescent="0.15">
      <c r="AE8842" s="13"/>
    </row>
    <row r="8843" spans="31:31" ht="12.75" customHeight="1" x14ac:dyDescent="0.15">
      <c r="AE8843" s="13"/>
    </row>
    <row r="8844" spans="31:31" ht="12.75" customHeight="1" x14ac:dyDescent="0.15">
      <c r="AE8844" s="13"/>
    </row>
    <row r="8845" spans="31:31" ht="12.75" customHeight="1" x14ac:dyDescent="0.15">
      <c r="AE8845" s="13"/>
    </row>
    <row r="8846" spans="31:31" ht="12.75" customHeight="1" x14ac:dyDescent="0.15">
      <c r="AE8846" s="13"/>
    </row>
    <row r="8847" spans="31:31" ht="12.75" customHeight="1" x14ac:dyDescent="0.15">
      <c r="AE8847" s="13"/>
    </row>
    <row r="8848" spans="31:31" ht="12.75" customHeight="1" x14ac:dyDescent="0.15">
      <c r="AE8848" s="13"/>
    </row>
    <row r="8849" spans="31:31" ht="12.75" customHeight="1" x14ac:dyDescent="0.15">
      <c r="AE8849" s="13"/>
    </row>
    <row r="8850" spans="31:31" ht="12.75" customHeight="1" x14ac:dyDescent="0.15">
      <c r="AE8850" s="13"/>
    </row>
    <row r="8851" spans="31:31" ht="12.75" customHeight="1" x14ac:dyDescent="0.15">
      <c r="AE8851" s="13"/>
    </row>
    <row r="8852" spans="31:31" ht="12.75" customHeight="1" x14ac:dyDescent="0.15">
      <c r="AE8852" s="13"/>
    </row>
    <row r="8853" spans="31:31" ht="12.75" customHeight="1" x14ac:dyDescent="0.15">
      <c r="AE8853" s="13"/>
    </row>
    <row r="8854" spans="31:31" ht="12.75" customHeight="1" x14ac:dyDescent="0.15">
      <c r="AE8854" s="13"/>
    </row>
    <row r="8855" spans="31:31" ht="12.75" customHeight="1" x14ac:dyDescent="0.15">
      <c r="AE8855" s="13"/>
    </row>
    <row r="8856" spans="31:31" ht="12.75" customHeight="1" x14ac:dyDescent="0.15">
      <c r="AE8856" s="13"/>
    </row>
    <row r="8857" spans="31:31" ht="12.75" customHeight="1" x14ac:dyDescent="0.15">
      <c r="AE8857" s="13"/>
    </row>
    <row r="8858" spans="31:31" ht="12.75" customHeight="1" x14ac:dyDescent="0.15">
      <c r="AE8858" s="13"/>
    </row>
    <row r="8859" spans="31:31" ht="12.75" customHeight="1" x14ac:dyDescent="0.15">
      <c r="AE8859" s="13"/>
    </row>
    <row r="8860" spans="31:31" ht="12.75" customHeight="1" x14ac:dyDescent="0.15">
      <c r="AE8860" s="13"/>
    </row>
    <row r="8861" spans="31:31" ht="12.75" customHeight="1" x14ac:dyDescent="0.15">
      <c r="AE8861" s="13"/>
    </row>
    <row r="8862" spans="31:31" ht="12.75" customHeight="1" x14ac:dyDescent="0.15">
      <c r="AE8862" s="13"/>
    </row>
    <row r="8863" spans="31:31" ht="12.75" customHeight="1" x14ac:dyDescent="0.15">
      <c r="AE8863" s="13"/>
    </row>
    <row r="8864" spans="31:31" ht="12.75" customHeight="1" x14ac:dyDescent="0.15">
      <c r="AE8864" s="13"/>
    </row>
    <row r="8865" spans="31:31" ht="12.75" customHeight="1" x14ac:dyDescent="0.15">
      <c r="AE8865" s="13"/>
    </row>
    <row r="8866" spans="31:31" ht="12.75" customHeight="1" x14ac:dyDescent="0.15">
      <c r="AE8866" s="13"/>
    </row>
    <row r="8867" spans="31:31" ht="12.75" customHeight="1" x14ac:dyDescent="0.15">
      <c r="AE8867" s="13"/>
    </row>
    <row r="8868" spans="31:31" ht="12.75" customHeight="1" x14ac:dyDescent="0.15">
      <c r="AE8868" s="13"/>
    </row>
    <row r="8869" spans="31:31" ht="12.75" customHeight="1" x14ac:dyDescent="0.15">
      <c r="AE8869" s="13"/>
    </row>
    <row r="8870" spans="31:31" ht="12.75" customHeight="1" x14ac:dyDescent="0.15">
      <c r="AE8870" s="13"/>
    </row>
    <row r="8871" spans="31:31" ht="12.75" customHeight="1" x14ac:dyDescent="0.15">
      <c r="AE8871" s="13"/>
    </row>
    <row r="8872" spans="31:31" ht="12.75" customHeight="1" x14ac:dyDescent="0.15">
      <c r="AE8872" s="13"/>
    </row>
    <row r="8873" spans="31:31" ht="12.75" customHeight="1" x14ac:dyDescent="0.15">
      <c r="AE8873" s="13"/>
    </row>
    <row r="8874" spans="31:31" ht="12.75" customHeight="1" x14ac:dyDescent="0.15">
      <c r="AE8874" s="13"/>
    </row>
    <row r="8875" spans="31:31" ht="12.75" customHeight="1" x14ac:dyDescent="0.15">
      <c r="AE8875" s="13"/>
    </row>
    <row r="8876" spans="31:31" ht="12.75" customHeight="1" x14ac:dyDescent="0.15">
      <c r="AE8876" s="13"/>
    </row>
    <row r="8877" spans="31:31" ht="12.75" customHeight="1" x14ac:dyDescent="0.15">
      <c r="AE8877" s="13"/>
    </row>
    <row r="8878" spans="31:31" ht="12.75" customHeight="1" x14ac:dyDescent="0.15">
      <c r="AE8878" s="13"/>
    </row>
    <row r="8879" spans="31:31" ht="12.75" customHeight="1" x14ac:dyDescent="0.15">
      <c r="AE8879" s="13"/>
    </row>
    <row r="8880" spans="31:31" ht="12.75" customHeight="1" x14ac:dyDescent="0.15">
      <c r="AE8880" s="13"/>
    </row>
    <row r="8881" spans="31:31" ht="12.75" customHeight="1" x14ac:dyDescent="0.15">
      <c r="AE8881" s="13"/>
    </row>
    <row r="8882" spans="31:31" ht="12.75" customHeight="1" x14ac:dyDescent="0.15">
      <c r="AE8882" s="13"/>
    </row>
    <row r="8883" spans="31:31" ht="12.75" customHeight="1" x14ac:dyDescent="0.15">
      <c r="AE8883" s="13"/>
    </row>
    <row r="8884" spans="31:31" ht="12.75" customHeight="1" x14ac:dyDescent="0.15">
      <c r="AE8884" s="13"/>
    </row>
    <row r="8885" spans="31:31" ht="12.75" customHeight="1" x14ac:dyDescent="0.15">
      <c r="AE8885" s="13"/>
    </row>
    <row r="8886" spans="31:31" ht="12.75" customHeight="1" x14ac:dyDescent="0.15">
      <c r="AE8886" s="13"/>
    </row>
    <row r="8887" spans="31:31" ht="12.75" customHeight="1" x14ac:dyDescent="0.15">
      <c r="AE8887" s="13"/>
    </row>
    <row r="8888" spans="31:31" ht="12.75" customHeight="1" x14ac:dyDescent="0.15">
      <c r="AE8888" s="13"/>
    </row>
    <row r="8889" spans="31:31" ht="12.75" customHeight="1" x14ac:dyDescent="0.15">
      <c r="AE8889" s="13"/>
    </row>
    <row r="8890" spans="31:31" ht="12.75" customHeight="1" x14ac:dyDescent="0.15">
      <c r="AE8890" s="13"/>
    </row>
    <row r="8891" spans="31:31" ht="12.75" customHeight="1" x14ac:dyDescent="0.15">
      <c r="AE8891" s="13"/>
    </row>
    <row r="8892" spans="31:31" ht="12.75" customHeight="1" x14ac:dyDescent="0.15">
      <c r="AE8892" s="13"/>
    </row>
    <row r="8893" spans="31:31" ht="12.75" customHeight="1" x14ac:dyDescent="0.15">
      <c r="AE8893" s="13"/>
    </row>
    <row r="8894" spans="31:31" ht="12.75" customHeight="1" x14ac:dyDescent="0.15">
      <c r="AE8894" s="13"/>
    </row>
    <row r="8895" spans="31:31" ht="12.75" customHeight="1" x14ac:dyDescent="0.15">
      <c r="AE8895" s="13"/>
    </row>
    <row r="8896" spans="31:31" ht="12.75" customHeight="1" x14ac:dyDescent="0.15">
      <c r="AE8896" s="13"/>
    </row>
    <row r="8897" spans="31:31" ht="12.75" customHeight="1" x14ac:dyDescent="0.15">
      <c r="AE8897" s="13"/>
    </row>
    <row r="8898" spans="31:31" ht="12.75" customHeight="1" x14ac:dyDescent="0.15">
      <c r="AE8898" s="13"/>
    </row>
    <row r="8899" spans="31:31" ht="12.75" customHeight="1" x14ac:dyDescent="0.15">
      <c r="AE8899" s="13"/>
    </row>
    <row r="8900" spans="31:31" ht="12.75" customHeight="1" x14ac:dyDescent="0.15">
      <c r="AE8900" s="13"/>
    </row>
    <row r="8901" spans="31:31" ht="12.75" customHeight="1" x14ac:dyDescent="0.15">
      <c r="AE8901" s="13"/>
    </row>
    <row r="8902" spans="31:31" ht="12.75" customHeight="1" x14ac:dyDescent="0.15">
      <c r="AE8902" s="13"/>
    </row>
    <row r="8903" spans="31:31" ht="12.75" customHeight="1" x14ac:dyDescent="0.15">
      <c r="AE8903" s="13"/>
    </row>
    <row r="8904" spans="31:31" ht="12.75" customHeight="1" x14ac:dyDescent="0.15">
      <c r="AE8904" s="13"/>
    </row>
    <row r="8905" spans="31:31" ht="12.75" customHeight="1" x14ac:dyDescent="0.15">
      <c r="AE8905" s="13"/>
    </row>
    <row r="8906" spans="31:31" ht="12.75" customHeight="1" x14ac:dyDescent="0.15">
      <c r="AE8906" s="13"/>
    </row>
    <row r="8907" spans="31:31" ht="12.75" customHeight="1" x14ac:dyDescent="0.15">
      <c r="AE8907" s="13"/>
    </row>
    <row r="8908" spans="31:31" ht="12.75" customHeight="1" x14ac:dyDescent="0.15">
      <c r="AE8908" s="13"/>
    </row>
    <row r="8909" spans="31:31" ht="12.75" customHeight="1" x14ac:dyDescent="0.15">
      <c r="AE8909" s="13"/>
    </row>
    <row r="8910" spans="31:31" ht="12.75" customHeight="1" x14ac:dyDescent="0.15">
      <c r="AE8910" s="13"/>
    </row>
    <row r="8911" spans="31:31" ht="12.75" customHeight="1" x14ac:dyDescent="0.15">
      <c r="AE8911" s="13"/>
    </row>
    <row r="8912" spans="31:31" ht="12.75" customHeight="1" x14ac:dyDescent="0.15">
      <c r="AE8912" s="13"/>
    </row>
    <row r="8913" spans="31:31" ht="12.75" customHeight="1" x14ac:dyDescent="0.15">
      <c r="AE8913" s="13"/>
    </row>
    <row r="8914" spans="31:31" ht="12.75" customHeight="1" x14ac:dyDescent="0.15">
      <c r="AE8914" s="13"/>
    </row>
    <row r="8915" spans="31:31" ht="12.75" customHeight="1" x14ac:dyDescent="0.15">
      <c r="AE8915" s="13"/>
    </row>
    <row r="8916" spans="31:31" ht="12.75" customHeight="1" x14ac:dyDescent="0.15">
      <c r="AE8916" s="13"/>
    </row>
    <row r="8917" spans="31:31" ht="12.75" customHeight="1" x14ac:dyDescent="0.15">
      <c r="AE8917" s="13"/>
    </row>
    <row r="8918" spans="31:31" ht="12.75" customHeight="1" x14ac:dyDescent="0.15">
      <c r="AE8918" s="13"/>
    </row>
    <row r="8919" spans="31:31" ht="12.75" customHeight="1" x14ac:dyDescent="0.15">
      <c r="AE8919" s="13"/>
    </row>
    <row r="8920" spans="31:31" ht="12.75" customHeight="1" x14ac:dyDescent="0.15">
      <c r="AE8920" s="13"/>
    </row>
    <row r="8921" spans="31:31" ht="12.75" customHeight="1" x14ac:dyDescent="0.15">
      <c r="AE8921" s="13"/>
    </row>
    <row r="8922" spans="31:31" ht="12.75" customHeight="1" x14ac:dyDescent="0.15">
      <c r="AE8922" s="13"/>
    </row>
    <row r="8923" spans="31:31" ht="12.75" customHeight="1" x14ac:dyDescent="0.15">
      <c r="AE8923" s="13"/>
    </row>
    <row r="8924" spans="31:31" ht="12.75" customHeight="1" x14ac:dyDescent="0.15">
      <c r="AE8924" s="13"/>
    </row>
    <row r="8925" spans="31:31" ht="12.75" customHeight="1" x14ac:dyDescent="0.15">
      <c r="AE8925" s="13"/>
    </row>
    <row r="8926" spans="31:31" ht="12.75" customHeight="1" x14ac:dyDescent="0.15">
      <c r="AE8926" s="13"/>
    </row>
    <row r="8927" spans="31:31" ht="12.75" customHeight="1" x14ac:dyDescent="0.15">
      <c r="AE8927" s="13"/>
    </row>
    <row r="8928" spans="31:31" ht="12.75" customHeight="1" x14ac:dyDescent="0.15">
      <c r="AE8928" s="13"/>
    </row>
    <row r="8929" spans="31:31" ht="12.75" customHeight="1" x14ac:dyDescent="0.15">
      <c r="AE8929" s="13"/>
    </row>
    <row r="8930" spans="31:31" ht="12.75" customHeight="1" x14ac:dyDescent="0.15">
      <c r="AE8930" s="13"/>
    </row>
    <row r="8931" spans="31:31" ht="12.75" customHeight="1" x14ac:dyDescent="0.15">
      <c r="AE8931" s="13"/>
    </row>
    <row r="8932" spans="31:31" ht="12.75" customHeight="1" x14ac:dyDescent="0.15">
      <c r="AE8932" s="13"/>
    </row>
    <row r="8933" spans="31:31" ht="12.75" customHeight="1" x14ac:dyDescent="0.15">
      <c r="AE8933" s="13"/>
    </row>
    <row r="8934" spans="31:31" ht="12.75" customHeight="1" x14ac:dyDescent="0.15">
      <c r="AE8934" s="13"/>
    </row>
    <row r="8935" spans="31:31" ht="12.75" customHeight="1" x14ac:dyDescent="0.15">
      <c r="AE8935" s="13"/>
    </row>
    <row r="8936" spans="31:31" ht="12.75" customHeight="1" x14ac:dyDescent="0.15">
      <c r="AE8936" s="13"/>
    </row>
    <row r="8937" spans="31:31" ht="12.75" customHeight="1" x14ac:dyDescent="0.15">
      <c r="AE8937" s="13"/>
    </row>
    <row r="8938" spans="31:31" ht="12.75" customHeight="1" x14ac:dyDescent="0.15">
      <c r="AE8938" s="13"/>
    </row>
    <row r="8939" spans="31:31" ht="12.75" customHeight="1" x14ac:dyDescent="0.15">
      <c r="AE8939" s="13"/>
    </row>
    <row r="8940" spans="31:31" ht="12.75" customHeight="1" x14ac:dyDescent="0.15">
      <c r="AE8940" s="13"/>
    </row>
    <row r="8941" spans="31:31" ht="12.75" customHeight="1" x14ac:dyDescent="0.15">
      <c r="AE8941" s="13"/>
    </row>
    <row r="8942" spans="31:31" ht="12.75" customHeight="1" x14ac:dyDescent="0.15">
      <c r="AE8942" s="13"/>
    </row>
    <row r="8943" spans="31:31" ht="12.75" customHeight="1" x14ac:dyDescent="0.15">
      <c r="AE8943" s="13"/>
    </row>
    <row r="8944" spans="31:31" ht="12.75" customHeight="1" x14ac:dyDescent="0.15">
      <c r="AE8944" s="13"/>
    </row>
    <row r="8945" spans="31:31" ht="12.75" customHeight="1" x14ac:dyDescent="0.15">
      <c r="AE8945" s="13"/>
    </row>
    <row r="8946" spans="31:31" ht="12.75" customHeight="1" x14ac:dyDescent="0.15">
      <c r="AE8946" s="13"/>
    </row>
    <row r="8947" spans="31:31" ht="12.75" customHeight="1" x14ac:dyDescent="0.15">
      <c r="AE8947" s="13"/>
    </row>
    <row r="8948" spans="31:31" ht="12.75" customHeight="1" x14ac:dyDescent="0.15">
      <c r="AE8948" s="13"/>
    </row>
    <row r="8949" spans="31:31" ht="12.75" customHeight="1" x14ac:dyDescent="0.15">
      <c r="AE8949" s="13"/>
    </row>
    <row r="8950" spans="31:31" ht="12.75" customHeight="1" x14ac:dyDescent="0.15">
      <c r="AE8950" s="13"/>
    </row>
    <row r="8951" spans="31:31" ht="12.75" customHeight="1" x14ac:dyDescent="0.15">
      <c r="AE8951" s="13"/>
    </row>
    <row r="8952" spans="31:31" ht="12.75" customHeight="1" x14ac:dyDescent="0.15">
      <c r="AE8952" s="13"/>
    </row>
    <row r="8953" spans="31:31" ht="12.75" customHeight="1" x14ac:dyDescent="0.15">
      <c r="AE8953" s="13"/>
    </row>
    <row r="8954" spans="31:31" ht="12.75" customHeight="1" x14ac:dyDescent="0.15">
      <c r="AE8954" s="13"/>
    </row>
    <row r="8955" spans="31:31" ht="12.75" customHeight="1" x14ac:dyDescent="0.15">
      <c r="AE8955" s="13"/>
    </row>
    <row r="8956" spans="31:31" ht="12.75" customHeight="1" x14ac:dyDescent="0.15">
      <c r="AE8956" s="13"/>
    </row>
    <row r="8957" spans="31:31" ht="12.75" customHeight="1" x14ac:dyDescent="0.15">
      <c r="AE8957" s="13"/>
    </row>
    <row r="8958" spans="31:31" ht="12.75" customHeight="1" x14ac:dyDescent="0.15">
      <c r="AE8958" s="13"/>
    </row>
    <row r="8959" spans="31:31" ht="12.75" customHeight="1" x14ac:dyDescent="0.15">
      <c r="AE8959" s="13"/>
    </row>
    <row r="8960" spans="31:31" ht="12.75" customHeight="1" x14ac:dyDescent="0.15">
      <c r="AE8960" s="13"/>
    </row>
    <row r="8961" spans="31:31" ht="12.75" customHeight="1" x14ac:dyDescent="0.15">
      <c r="AE8961" s="13"/>
    </row>
    <row r="8962" spans="31:31" ht="12.75" customHeight="1" x14ac:dyDescent="0.15">
      <c r="AE8962" s="13"/>
    </row>
    <row r="8963" spans="31:31" ht="12.75" customHeight="1" x14ac:dyDescent="0.15">
      <c r="AE8963" s="13"/>
    </row>
    <row r="8964" spans="31:31" ht="12.75" customHeight="1" x14ac:dyDescent="0.15">
      <c r="AE8964" s="13"/>
    </row>
    <row r="8965" spans="31:31" ht="12.75" customHeight="1" x14ac:dyDescent="0.15">
      <c r="AE8965" s="13"/>
    </row>
    <row r="8966" spans="31:31" ht="12.75" customHeight="1" x14ac:dyDescent="0.15">
      <c r="AE8966" s="13"/>
    </row>
    <row r="8967" spans="31:31" ht="12.75" customHeight="1" x14ac:dyDescent="0.15">
      <c r="AE8967" s="13"/>
    </row>
    <row r="8968" spans="31:31" ht="12.75" customHeight="1" x14ac:dyDescent="0.15">
      <c r="AE8968" s="13"/>
    </row>
    <row r="8969" spans="31:31" ht="12.75" customHeight="1" x14ac:dyDescent="0.15">
      <c r="AE8969" s="13"/>
    </row>
    <row r="8970" spans="31:31" ht="12.75" customHeight="1" x14ac:dyDescent="0.15">
      <c r="AE8970" s="13"/>
    </row>
    <row r="8971" spans="31:31" ht="12.75" customHeight="1" x14ac:dyDescent="0.15">
      <c r="AE8971" s="13"/>
    </row>
    <row r="8972" spans="31:31" ht="12.75" customHeight="1" x14ac:dyDescent="0.15">
      <c r="AE8972" s="13"/>
    </row>
    <row r="8973" spans="31:31" ht="12.75" customHeight="1" x14ac:dyDescent="0.15">
      <c r="AE8973" s="13"/>
    </row>
    <row r="8974" spans="31:31" ht="12.75" customHeight="1" x14ac:dyDescent="0.15">
      <c r="AE8974" s="13"/>
    </row>
    <row r="8975" spans="31:31" ht="12.75" customHeight="1" x14ac:dyDescent="0.15">
      <c r="AE8975" s="13"/>
    </row>
    <row r="8976" spans="31:31" ht="12.75" customHeight="1" x14ac:dyDescent="0.15">
      <c r="AE8976" s="13"/>
    </row>
    <row r="8977" spans="31:31" ht="12.75" customHeight="1" x14ac:dyDescent="0.15">
      <c r="AE8977" s="13"/>
    </row>
    <row r="8978" spans="31:31" ht="12.75" customHeight="1" x14ac:dyDescent="0.15">
      <c r="AE8978" s="13"/>
    </row>
    <row r="8979" spans="31:31" ht="12.75" customHeight="1" x14ac:dyDescent="0.15">
      <c r="AE8979" s="13"/>
    </row>
    <row r="8980" spans="31:31" ht="12.75" customHeight="1" x14ac:dyDescent="0.15">
      <c r="AE8980" s="13"/>
    </row>
    <row r="8981" spans="31:31" ht="12.75" customHeight="1" x14ac:dyDescent="0.15">
      <c r="AE8981" s="13"/>
    </row>
    <row r="8982" spans="31:31" ht="12.75" customHeight="1" x14ac:dyDescent="0.15">
      <c r="AE8982" s="13"/>
    </row>
    <row r="8983" spans="31:31" ht="12.75" customHeight="1" x14ac:dyDescent="0.15">
      <c r="AE8983" s="13"/>
    </row>
    <row r="8984" spans="31:31" ht="12.75" customHeight="1" x14ac:dyDescent="0.15">
      <c r="AE8984" s="13"/>
    </row>
    <row r="8985" spans="31:31" ht="12.75" customHeight="1" x14ac:dyDescent="0.15">
      <c r="AE8985" s="13"/>
    </row>
    <row r="8986" spans="31:31" ht="12.75" customHeight="1" x14ac:dyDescent="0.15">
      <c r="AE8986" s="13"/>
    </row>
    <row r="8987" spans="31:31" ht="12.75" customHeight="1" x14ac:dyDescent="0.15">
      <c r="AE8987" s="13"/>
    </row>
    <row r="8988" spans="31:31" ht="12.75" customHeight="1" x14ac:dyDescent="0.15">
      <c r="AE8988" s="13"/>
    </row>
    <row r="8989" spans="31:31" ht="12.75" customHeight="1" x14ac:dyDescent="0.15">
      <c r="AE8989" s="13"/>
    </row>
    <row r="8990" spans="31:31" ht="12.75" customHeight="1" x14ac:dyDescent="0.15">
      <c r="AE8990" s="13"/>
    </row>
    <row r="8991" spans="31:31" ht="12.75" customHeight="1" x14ac:dyDescent="0.15">
      <c r="AE8991" s="13"/>
    </row>
    <row r="8992" spans="31:31" ht="12.75" customHeight="1" x14ac:dyDescent="0.15">
      <c r="AE8992" s="13"/>
    </row>
    <row r="8993" spans="31:31" ht="12.75" customHeight="1" x14ac:dyDescent="0.15">
      <c r="AE8993" s="13"/>
    </row>
    <row r="8994" spans="31:31" ht="12.75" customHeight="1" x14ac:dyDescent="0.15">
      <c r="AE8994" s="13"/>
    </row>
    <row r="8995" spans="31:31" ht="12.75" customHeight="1" x14ac:dyDescent="0.15">
      <c r="AE8995" s="13"/>
    </row>
    <row r="8996" spans="31:31" ht="12.75" customHeight="1" x14ac:dyDescent="0.15">
      <c r="AE8996" s="13"/>
    </row>
    <row r="8997" spans="31:31" ht="12.75" customHeight="1" x14ac:dyDescent="0.15">
      <c r="AE8997" s="13"/>
    </row>
    <row r="8998" spans="31:31" ht="12.75" customHeight="1" x14ac:dyDescent="0.15">
      <c r="AE8998" s="13"/>
    </row>
    <row r="8999" spans="31:31" ht="12.75" customHeight="1" x14ac:dyDescent="0.15">
      <c r="AE8999" s="13"/>
    </row>
    <row r="9000" spans="31:31" ht="12.75" customHeight="1" x14ac:dyDescent="0.15">
      <c r="AE9000" s="13"/>
    </row>
    <row r="9001" spans="31:31" ht="12.75" customHeight="1" x14ac:dyDescent="0.15">
      <c r="AE9001" s="13"/>
    </row>
    <row r="9002" spans="31:31" ht="12.75" customHeight="1" x14ac:dyDescent="0.15">
      <c r="AE9002" s="13"/>
    </row>
    <row r="9003" spans="31:31" ht="12.75" customHeight="1" x14ac:dyDescent="0.15">
      <c r="AE9003" s="13"/>
    </row>
    <row r="9004" spans="31:31" ht="12.75" customHeight="1" x14ac:dyDescent="0.15">
      <c r="AE9004" s="13"/>
    </row>
    <row r="9005" spans="31:31" ht="12.75" customHeight="1" x14ac:dyDescent="0.15">
      <c r="AE9005" s="13"/>
    </row>
    <row r="9006" spans="31:31" ht="12.75" customHeight="1" x14ac:dyDescent="0.15">
      <c r="AE9006" s="13"/>
    </row>
    <row r="9007" spans="31:31" ht="12.75" customHeight="1" x14ac:dyDescent="0.15">
      <c r="AE9007" s="13"/>
    </row>
    <row r="9008" spans="31:31" ht="12.75" customHeight="1" x14ac:dyDescent="0.15">
      <c r="AE9008" s="13"/>
    </row>
    <row r="9009" spans="31:31" ht="12.75" customHeight="1" x14ac:dyDescent="0.15">
      <c r="AE9009" s="13"/>
    </row>
    <row r="9010" spans="31:31" ht="12.75" customHeight="1" x14ac:dyDescent="0.15">
      <c r="AE9010" s="13"/>
    </row>
    <row r="9011" spans="31:31" ht="12.75" customHeight="1" x14ac:dyDescent="0.15">
      <c r="AE9011" s="13"/>
    </row>
    <row r="9012" spans="31:31" ht="12.75" customHeight="1" x14ac:dyDescent="0.15">
      <c r="AE9012" s="13"/>
    </row>
    <row r="9013" spans="31:31" ht="12.75" customHeight="1" x14ac:dyDescent="0.15">
      <c r="AE9013" s="13"/>
    </row>
    <row r="9014" spans="31:31" ht="12.75" customHeight="1" x14ac:dyDescent="0.15">
      <c r="AE9014" s="13"/>
    </row>
    <row r="9015" spans="31:31" ht="12.75" customHeight="1" x14ac:dyDescent="0.15">
      <c r="AE9015" s="13"/>
    </row>
    <row r="9016" spans="31:31" ht="12.75" customHeight="1" x14ac:dyDescent="0.15">
      <c r="AE9016" s="13"/>
    </row>
    <row r="9017" spans="31:31" ht="12.75" customHeight="1" x14ac:dyDescent="0.15">
      <c r="AE9017" s="13"/>
    </row>
    <row r="9018" spans="31:31" ht="12.75" customHeight="1" x14ac:dyDescent="0.15">
      <c r="AE9018" s="13"/>
    </row>
    <row r="9019" spans="31:31" ht="12.75" customHeight="1" x14ac:dyDescent="0.15">
      <c r="AE9019" s="13"/>
    </row>
    <row r="9020" spans="31:31" ht="12.75" customHeight="1" x14ac:dyDescent="0.15">
      <c r="AE9020" s="13"/>
    </row>
    <row r="9021" spans="31:31" ht="12.75" customHeight="1" x14ac:dyDescent="0.15">
      <c r="AE9021" s="13"/>
    </row>
    <row r="9022" spans="31:31" ht="12.75" customHeight="1" x14ac:dyDescent="0.15">
      <c r="AE9022" s="13"/>
    </row>
    <row r="9023" spans="31:31" ht="12.75" customHeight="1" x14ac:dyDescent="0.15">
      <c r="AE9023" s="13"/>
    </row>
    <row r="9024" spans="31:31" ht="12.75" customHeight="1" x14ac:dyDescent="0.15">
      <c r="AE9024" s="13"/>
    </row>
    <row r="9025" spans="31:31" ht="12.75" customHeight="1" x14ac:dyDescent="0.15">
      <c r="AE9025" s="13"/>
    </row>
    <row r="9026" spans="31:31" ht="12.75" customHeight="1" x14ac:dyDescent="0.15">
      <c r="AE9026" s="13"/>
    </row>
    <row r="9027" spans="31:31" ht="12.75" customHeight="1" x14ac:dyDescent="0.15">
      <c r="AE9027" s="13"/>
    </row>
    <row r="9028" spans="31:31" ht="12.75" customHeight="1" x14ac:dyDescent="0.15">
      <c r="AE9028" s="13"/>
    </row>
    <row r="9029" spans="31:31" ht="12.75" customHeight="1" x14ac:dyDescent="0.15">
      <c r="AE9029" s="13"/>
    </row>
    <row r="9030" spans="31:31" ht="12.75" customHeight="1" x14ac:dyDescent="0.15">
      <c r="AE9030" s="13"/>
    </row>
    <row r="9031" spans="31:31" ht="12.75" customHeight="1" x14ac:dyDescent="0.15">
      <c r="AE9031" s="13"/>
    </row>
    <row r="9032" spans="31:31" ht="12.75" customHeight="1" x14ac:dyDescent="0.15">
      <c r="AE9032" s="13"/>
    </row>
    <row r="9033" spans="31:31" ht="12.75" customHeight="1" x14ac:dyDescent="0.15">
      <c r="AE9033" s="13"/>
    </row>
    <row r="9034" spans="31:31" ht="12.75" customHeight="1" x14ac:dyDescent="0.15">
      <c r="AE9034" s="13"/>
    </row>
    <row r="9035" spans="31:31" ht="12.75" customHeight="1" x14ac:dyDescent="0.15">
      <c r="AE9035" s="13"/>
    </row>
    <row r="9036" spans="31:31" ht="12.75" customHeight="1" x14ac:dyDescent="0.15">
      <c r="AE9036" s="13"/>
    </row>
    <row r="9037" spans="31:31" ht="12.75" customHeight="1" x14ac:dyDescent="0.15">
      <c r="AE9037" s="13"/>
    </row>
    <row r="9038" spans="31:31" ht="12.75" customHeight="1" x14ac:dyDescent="0.15">
      <c r="AE9038" s="13"/>
    </row>
    <row r="9039" spans="31:31" ht="12.75" customHeight="1" x14ac:dyDescent="0.15">
      <c r="AE9039" s="13"/>
    </row>
    <row r="9040" spans="31:31" ht="12.75" customHeight="1" x14ac:dyDescent="0.15">
      <c r="AE9040" s="13"/>
    </row>
    <row r="9041" spans="31:31" ht="12.75" customHeight="1" x14ac:dyDescent="0.15">
      <c r="AE9041" s="13"/>
    </row>
    <row r="9042" spans="31:31" ht="12.75" customHeight="1" x14ac:dyDescent="0.15">
      <c r="AE9042" s="13"/>
    </row>
    <row r="9043" spans="31:31" ht="12.75" customHeight="1" x14ac:dyDescent="0.15">
      <c r="AE9043" s="13"/>
    </row>
    <row r="9044" spans="31:31" ht="12.75" customHeight="1" x14ac:dyDescent="0.15">
      <c r="AE9044" s="13"/>
    </row>
    <row r="9045" spans="31:31" ht="12.75" customHeight="1" x14ac:dyDescent="0.15">
      <c r="AE9045" s="13"/>
    </row>
    <row r="9046" spans="31:31" ht="12.75" customHeight="1" x14ac:dyDescent="0.15">
      <c r="AE9046" s="13"/>
    </row>
    <row r="9047" spans="31:31" ht="12.75" customHeight="1" x14ac:dyDescent="0.15">
      <c r="AE9047" s="13"/>
    </row>
    <row r="9048" spans="31:31" ht="12.75" customHeight="1" x14ac:dyDescent="0.15">
      <c r="AE9048" s="13"/>
    </row>
    <row r="9049" spans="31:31" ht="12.75" customHeight="1" x14ac:dyDescent="0.15">
      <c r="AE9049" s="13"/>
    </row>
    <row r="9050" spans="31:31" ht="12.75" customHeight="1" x14ac:dyDescent="0.15">
      <c r="AE9050" s="13"/>
    </row>
    <row r="9051" spans="31:31" ht="12.75" customHeight="1" x14ac:dyDescent="0.15">
      <c r="AE9051" s="13"/>
    </row>
    <row r="9052" spans="31:31" ht="12.75" customHeight="1" x14ac:dyDescent="0.15">
      <c r="AE9052" s="13"/>
    </row>
    <row r="9053" spans="31:31" ht="12.75" customHeight="1" x14ac:dyDescent="0.15">
      <c r="AE9053" s="13"/>
    </row>
    <row r="9054" spans="31:31" ht="12.75" customHeight="1" x14ac:dyDescent="0.15">
      <c r="AE9054" s="13"/>
    </row>
    <row r="9055" spans="31:31" ht="12.75" customHeight="1" x14ac:dyDescent="0.15">
      <c r="AE9055" s="13"/>
    </row>
    <row r="9056" spans="31:31" ht="12.75" customHeight="1" x14ac:dyDescent="0.15">
      <c r="AE9056" s="13"/>
    </row>
    <row r="9057" spans="31:31" ht="12.75" customHeight="1" x14ac:dyDescent="0.15">
      <c r="AE9057" s="13"/>
    </row>
    <row r="9058" spans="31:31" ht="12.75" customHeight="1" x14ac:dyDescent="0.15">
      <c r="AE9058" s="13"/>
    </row>
    <row r="9059" spans="31:31" ht="12.75" customHeight="1" x14ac:dyDescent="0.15">
      <c r="AE9059" s="13"/>
    </row>
    <row r="9060" spans="31:31" ht="12.75" customHeight="1" x14ac:dyDescent="0.15">
      <c r="AE9060" s="13"/>
    </row>
    <row r="9061" spans="31:31" ht="12.75" customHeight="1" x14ac:dyDescent="0.15">
      <c r="AE9061" s="13"/>
    </row>
    <row r="9062" spans="31:31" ht="12.75" customHeight="1" x14ac:dyDescent="0.15">
      <c r="AE9062" s="13"/>
    </row>
    <row r="9063" spans="31:31" ht="12.75" customHeight="1" x14ac:dyDescent="0.15">
      <c r="AE9063" s="13"/>
    </row>
    <row r="9064" spans="31:31" ht="12.75" customHeight="1" x14ac:dyDescent="0.15">
      <c r="AE9064" s="13"/>
    </row>
    <row r="9065" spans="31:31" ht="12.75" customHeight="1" x14ac:dyDescent="0.15">
      <c r="AE9065" s="13"/>
    </row>
    <row r="9066" spans="31:31" ht="12.75" customHeight="1" x14ac:dyDescent="0.15">
      <c r="AE9066" s="13"/>
    </row>
    <row r="9067" spans="31:31" ht="12.75" customHeight="1" x14ac:dyDescent="0.15">
      <c r="AE9067" s="13"/>
    </row>
    <row r="9068" spans="31:31" ht="12.75" customHeight="1" x14ac:dyDescent="0.15">
      <c r="AE9068" s="13"/>
    </row>
    <row r="9069" spans="31:31" ht="12.75" customHeight="1" x14ac:dyDescent="0.15">
      <c r="AE9069" s="13"/>
    </row>
    <row r="9070" spans="31:31" ht="12.75" customHeight="1" x14ac:dyDescent="0.15">
      <c r="AE9070" s="13"/>
    </row>
    <row r="9071" spans="31:31" ht="12.75" customHeight="1" x14ac:dyDescent="0.15">
      <c r="AE9071" s="13"/>
    </row>
    <row r="9072" spans="31:31" ht="12.75" customHeight="1" x14ac:dyDescent="0.15">
      <c r="AE9072" s="13"/>
    </row>
    <row r="9073" spans="31:31" ht="12.75" customHeight="1" x14ac:dyDescent="0.15">
      <c r="AE9073" s="13"/>
    </row>
    <row r="9074" spans="31:31" ht="12.75" customHeight="1" x14ac:dyDescent="0.15">
      <c r="AE9074" s="13"/>
    </row>
    <row r="9075" spans="31:31" ht="12.75" customHeight="1" x14ac:dyDescent="0.15">
      <c r="AE9075" s="13"/>
    </row>
    <row r="9076" spans="31:31" ht="12.75" customHeight="1" x14ac:dyDescent="0.15">
      <c r="AE9076" s="13"/>
    </row>
    <row r="9077" spans="31:31" ht="12.75" customHeight="1" x14ac:dyDescent="0.15">
      <c r="AE9077" s="13"/>
    </row>
    <row r="9078" spans="31:31" ht="12.75" customHeight="1" x14ac:dyDescent="0.15">
      <c r="AE9078" s="13"/>
    </row>
    <row r="9079" spans="31:31" ht="12.75" customHeight="1" x14ac:dyDescent="0.15">
      <c r="AE9079" s="13"/>
    </row>
    <row r="9080" spans="31:31" ht="12.75" customHeight="1" x14ac:dyDescent="0.15">
      <c r="AE9080" s="13"/>
    </row>
    <row r="9081" spans="31:31" ht="12.75" customHeight="1" x14ac:dyDescent="0.15">
      <c r="AE9081" s="13"/>
    </row>
    <row r="9082" spans="31:31" ht="12.75" customHeight="1" x14ac:dyDescent="0.15">
      <c r="AE9082" s="13"/>
    </row>
    <row r="9083" spans="31:31" ht="12.75" customHeight="1" x14ac:dyDescent="0.15">
      <c r="AE9083" s="13"/>
    </row>
    <row r="9084" spans="31:31" ht="12.75" customHeight="1" x14ac:dyDescent="0.15">
      <c r="AE9084" s="13"/>
    </row>
    <row r="9085" spans="31:31" ht="12.75" customHeight="1" x14ac:dyDescent="0.15">
      <c r="AE9085" s="13"/>
    </row>
    <row r="9086" spans="31:31" ht="12.75" customHeight="1" x14ac:dyDescent="0.15">
      <c r="AE9086" s="13"/>
    </row>
    <row r="9087" spans="31:31" ht="12.75" customHeight="1" x14ac:dyDescent="0.15">
      <c r="AE9087" s="13"/>
    </row>
    <row r="9088" spans="31:31" ht="12.75" customHeight="1" x14ac:dyDescent="0.15">
      <c r="AE9088" s="13"/>
    </row>
    <row r="9089" spans="31:31" ht="12.75" customHeight="1" x14ac:dyDescent="0.15">
      <c r="AE9089" s="13"/>
    </row>
    <row r="9090" spans="31:31" ht="12.75" customHeight="1" x14ac:dyDescent="0.15">
      <c r="AE9090" s="13"/>
    </row>
    <row r="9091" spans="31:31" ht="12.75" customHeight="1" x14ac:dyDescent="0.15">
      <c r="AE9091" s="13"/>
    </row>
    <row r="9092" spans="31:31" ht="12.75" customHeight="1" x14ac:dyDescent="0.15">
      <c r="AE9092" s="13"/>
    </row>
    <row r="9093" spans="31:31" ht="12.75" customHeight="1" x14ac:dyDescent="0.15">
      <c r="AE9093" s="13"/>
    </row>
    <row r="9094" spans="31:31" ht="12.75" customHeight="1" x14ac:dyDescent="0.15">
      <c r="AE9094" s="13"/>
    </row>
    <row r="9095" spans="31:31" ht="12.75" customHeight="1" x14ac:dyDescent="0.15">
      <c r="AE9095" s="13"/>
    </row>
    <row r="9096" spans="31:31" ht="12.75" customHeight="1" x14ac:dyDescent="0.15">
      <c r="AE9096" s="13"/>
    </row>
    <row r="9097" spans="31:31" ht="12.75" customHeight="1" x14ac:dyDescent="0.15">
      <c r="AE9097" s="13"/>
    </row>
    <row r="9098" spans="31:31" ht="12.75" customHeight="1" x14ac:dyDescent="0.15">
      <c r="AE9098" s="13"/>
    </row>
    <row r="9099" spans="31:31" ht="12.75" customHeight="1" x14ac:dyDescent="0.15">
      <c r="AE9099" s="13"/>
    </row>
    <row r="9100" spans="31:31" ht="12.75" customHeight="1" x14ac:dyDescent="0.15">
      <c r="AE9100" s="13"/>
    </row>
    <row r="9101" spans="31:31" ht="12.75" customHeight="1" x14ac:dyDescent="0.15">
      <c r="AE9101" s="13"/>
    </row>
    <row r="9102" spans="31:31" ht="12.75" customHeight="1" x14ac:dyDescent="0.15">
      <c r="AE9102" s="13"/>
    </row>
    <row r="9103" spans="31:31" ht="12.75" customHeight="1" x14ac:dyDescent="0.15">
      <c r="AE9103" s="13"/>
    </row>
    <row r="9104" spans="31:31" ht="12.75" customHeight="1" x14ac:dyDescent="0.15">
      <c r="AE9104" s="13"/>
    </row>
    <row r="9105" spans="31:31" ht="12.75" customHeight="1" x14ac:dyDescent="0.15">
      <c r="AE9105" s="13"/>
    </row>
    <row r="9106" spans="31:31" ht="12.75" customHeight="1" x14ac:dyDescent="0.15">
      <c r="AE9106" s="13"/>
    </row>
    <row r="9107" spans="31:31" ht="12.75" customHeight="1" x14ac:dyDescent="0.15">
      <c r="AE9107" s="13"/>
    </row>
    <row r="9108" spans="31:31" ht="12.75" customHeight="1" x14ac:dyDescent="0.15">
      <c r="AE9108" s="13"/>
    </row>
    <row r="9109" spans="31:31" ht="12.75" customHeight="1" x14ac:dyDescent="0.15">
      <c r="AE9109" s="13"/>
    </row>
    <row r="9110" spans="31:31" ht="12.75" customHeight="1" x14ac:dyDescent="0.15">
      <c r="AE9110" s="13"/>
    </row>
    <row r="9111" spans="31:31" ht="12.75" customHeight="1" x14ac:dyDescent="0.15">
      <c r="AE9111" s="13"/>
    </row>
    <row r="9112" spans="31:31" ht="12.75" customHeight="1" x14ac:dyDescent="0.15">
      <c r="AE9112" s="13"/>
    </row>
    <row r="9113" spans="31:31" ht="12.75" customHeight="1" x14ac:dyDescent="0.15">
      <c r="AE9113" s="13"/>
    </row>
    <row r="9114" spans="31:31" ht="12.75" customHeight="1" x14ac:dyDescent="0.15">
      <c r="AE9114" s="13"/>
    </row>
    <row r="9115" spans="31:31" ht="12.75" customHeight="1" x14ac:dyDescent="0.15">
      <c r="AE9115" s="13"/>
    </row>
    <row r="9116" spans="31:31" ht="12.75" customHeight="1" x14ac:dyDescent="0.15">
      <c r="AE9116" s="13"/>
    </row>
    <row r="9117" spans="31:31" ht="12.75" customHeight="1" x14ac:dyDescent="0.15">
      <c r="AE9117" s="13"/>
    </row>
    <row r="9118" spans="31:31" ht="12.75" customHeight="1" x14ac:dyDescent="0.15">
      <c r="AE9118" s="13"/>
    </row>
    <row r="9119" spans="31:31" ht="12.75" customHeight="1" x14ac:dyDescent="0.15">
      <c r="AE9119" s="13"/>
    </row>
    <row r="9120" spans="31:31" ht="12.75" customHeight="1" x14ac:dyDescent="0.15">
      <c r="AE9120" s="13"/>
    </row>
    <row r="9121" spans="31:31" ht="12.75" customHeight="1" x14ac:dyDescent="0.15">
      <c r="AE9121" s="13"/>
    </row>
    <row r="9122" spans="31:31" ht="12.75" customHeight="1" x14ac:dyDescent="0.15">
      <c r="AE9122" s="13"/>
    </row>
    <row r="9123" spans="31:31" ht="12.75" customHeight="1" x14ac:dyDescent="0.15">
      <c r="AE9123" s="13"/>
    </row>
    <row r="9124" spans="31:31" ht="12.75" customHeight="1" x14ac:dyDescent="0.15">
      <c r="AE9124" s="13"/>
    </row>
    <row r="9125" spans="31:31" ht="12.75" customHeight="1" x14ac:dyDescent="0.15">
      <c r="AE9125" s="13"/>
    </row>
    <row r="9126" spans="31:31" ht="12.75" customHeight="1" x14ac:dyDescent="0.15">
      <c r="AE9126" s="13"/>
    </row>
    <row r="9127" spans="31:31" ht="12.75" customHeight="1" x14ac:dyDescent="0.15">
      <c r="AE9127" s="13"/>
    </row>
    <row r="9128" spans="31:31" ht="12.75" customHeight="1" x14ac:dyDescent="0.15">
      <c r="AE9128" s="13"/>
    </row>
    <row r="9129" spans="31:31" ht="12.75" customHeight="1" x14ac:dyDescent="0.15">
      <c r="AE9129" s="13"/>
    </row>
    <row r="9130" spans="31:31" ht="12.75" customHeight="1" x14ac:dyDescent="0.15">
      <c r="AE9130" s="13"/>
    </row>
    <row r="9131" spans="31:31" ht="12.75" customHeight="1" x14ac:dyDescent="0.15">
      <c r="AE9131" s="13"/>
    </row>
    <row r="9132" spans="31:31" ht="12.75" customHeight="1" x14ac:dyDescent="0.15">
      <c r="AE9132" s="13"/>
    </row>
    <row r="9133" spans="31:31" ht="12.75" customHeight="1" x14ac:dyDescent="0.15">
      <c r="AE9133" s="13"/>
    </row>
    <row r="9134" spans="31:31" ht="12.75" customHeight="1" x14ac:dyDescent="0.15">
      <c r="AE9134" s="13"/>
    </row>
    <row r="9135" spans="31:31" ht="12.75" customHeight="1" x14ac:dyDescent="0.15">
      <c r="AE9135" s="13"/>
    </row>
    <row r="9136" spans="31:31" ht="12.75" customHeight="1" x14ac:dyDescent="0.15">
      <c r="AE9136" s="13"/>
    </row>
    <row r="9137" spans="31:31" ht="12.75" customHeight="1" x14ac:dyDescent="0.15">
      <c r="AE9137" s="13"/>
    </row>
    <row r="9138" spans="31:31" ht="12.75" customHeight="1" x14ac:dyDescent="0.15">
      <c r="AE9138" s="13"/>
    </row>
    <row r="9139" spans="31:31" ht="12.75" customHeight="1" x14ac:dyDescent="0.15">
      <c r="AE9139" s="13"/>
    </row>
    <row r="9140" spans="31:31" ht="12.75" customHeight="1" x14ac:dyDescent="0.15">
      <c r="AE9140" s="13"/>
    </row>
    <row r="9141" spans="31:31" ht="12.75" customHeight="1" x14ac:dyDescent="0.15">
      <c r="AE9141" s="13"/>
    </row>
    <row r="9142" spans="31:31" ht="12.75" customHeight="1" x14ac:dyDescent="0.15">
      <c r="AE9142" s="13"/>
    </row>
    <row r="9143" spans="31:31" ht="12.75" customHeight="1" x14ac:dyDescent="0.15">
      <c r="AE9143" s="13"/>
    </row>
    <row r="9144" spans="31:31" ht="12.75" customHeight="1" x14ac:dyDescent="0.15">
      <c r="AE9144" s="13"/>
    </row>
    <row r="9145" spans="31:31" ht="12.75" customHeight="1" x14ac:dyDescent="0.15">
      <c r="AE9145" s="13"/>
    </row>
    <row r="9146" spans="31:31" ht="12.75" customHeight="1" x14ac:dyDescent="0.15">
      <c r="AE9146" s="13"/>
    </row>
    <row r="9147" spans="31:31" ht="12.75" customHeight="1" x14ac:dyDescent="0.15">
      <c r="AE9147" s="13"/>
    </row>
    <row r="9148" spans="31:31" ht="12.75" customHeight="1" x14ac:dyDescent="0.15">
      <c r="AE9148" s="13"/>
    </row>
    <row r="9149" spans="31:31" ht="12.75" customHeight="1" x14ac:dyDescent="0.15">
      <c r="AE9149" s="13"/>
    </row>
    <row r="9150" spans="31:31" ht="12.75" customHeight="1" x14ac:dyDescent="0.15">
      <c r="AE9150" s="13"/>
    </row>
    <row r="9151" spans="31:31" ht="12.75" customHeight="1" x14ac:dyDescent="0.15">
      <c r="AE9151" s="13"/>
    </row>
    <row r="9152" spans="31:31" ht="12.75" customHeight="1" x14ac:dyDescent="0.15">
      <c r="AE9152" s="13"/>
    </row>
    <row r="9153" spans="31:31" ht="12.75" customHeight="1" x14ac:dyDescent="0.15">
      <c r="AE9153" s="13"/>
    </row>
    <row r="9154" spans="31:31" ht="12.75" customHeight="1" x14ac:dyDescent="0.15">
      <c r="AE9154" s="13"/>
    </row>
    <row r="9155" spans="31:31" ht="12.75" customHeight="1" x14ac:dyDescent="0.15">
      <c r="AE9155" s="13"/>
    </row>
    <row r="9156" spans="31:31" ht="12.75" customHeight="1" x14ac:dyDescent="0.15">
      <c r="AE9156" s="13"/>
    </row>
    <row r="9157" spans="31:31" ht="12.75" customHeight="1" x14ac:dyDescent="0.15">
      <c r="AE9157" s="13"/>
    </row>
    <row r="9158" spans="31:31" ht="12.75" customHeight="1" x14ac:dyDescent="0.15">
      <c r="AE9158" s="13"/>
    </row>
    <row r="9159" spans="31:31" ht="12.75" customHeight="1" x14ac:dyDescent="0.15">
      <c r="AE9159" s="13"/>
    </row>
    <row r="9160" spans="31:31" ht="12.75" customHeight="1" x14ac:dyDescent="0.15">
      <c r="AE9160" s="13"/>
    </row>
    <row r="9161" spans="31:31" ht="12.75" customHeight="1" x14ac:dyDescent="0.15">
      <c r="AE9161" s="13"/>
    </row>
    <row r="9162" spans="31:31" ht="12.75" customHeight="1" x14ac:dyDescent="0.15">
      <c r="AE9162" s="13"/>
    </row>
    <row r="9163" spans="31:31" ht="12.75" customHeight="1" x14ac:dyDescent="0.15">
      <c r="AE9163" s="13"/>
    </row>
    <row r="9164" spans="31:31" ht="12.75" customHeight="1" x14ac:dyDescent="0.15">
      <c r="AE9164" s="13"/>
    </row>
    <row r="9165" spans="31:31" ht="12.75" customHeight="1" x14ac:dyDescent="0.15">
      <c r="AE9165" s="13"/>
    </row>
    <row r="9166" spans="31:31" ht="12.75" customHeight="1" x14ac:dyDescent="0.15">
      <c r="AE9166" s="13"/>
    </row>
    <row r="9167" spans="31:31" ht="12.75" customHeight="1" x14ac:dyDescent="0.15">
      <c r="AE9167" s="13"/>
    </row>
    <row r="9168" spans="31:31" ht="12.75" customHeight="1" x14ac:dyDescent="0.15">
      <c r="AE9168" s="13"/>
    </row>
    <row r="9169" spans="31:31" ht="12.75" customHeight="1" x14ac:dyDescent="0.15">
      <c r="AE9169" s="13"/>
    </row>
    <row r="9170" spans="31:31" ht="12.75" customHeight="1" x14ac:dyDescent="0.15">
      <c r="AE9170" s="13"/>
    </row>
    <row r="9171" spans="31:31" ht="12.75" customHeight="1" x14ac:dyDescent="0.15">
      <c r="AE9171" s="13"/>
    </row>
    <row r="9172" spans="31:31" ht="12.75" customHeight="1" x14ac:dyDescent="0.15">
      <c r="AE9172" s="13"/>
    </row>
    <row r="9173" spans="31:31" ht="12.75" customHeight="1" x14ac:dyDescent="0.15">
      <c r="AE9173" s="13"/>
    </row>
    <row r="9174" spans="31:31" ht="12.75" customHeight="1" x14ac:dyDescent="0.15">
      <c r="AE9174" s="13"/>
    </row>
    <row r="9175" spans="31:31" ht="12.75" customHeight="1" x14ac:dyDescent="0.15">
      <c r="AE9175" s="13"/>
    </row>
    <row r="9176" spans="31:31" ht="12.75" customHeight="1" x14ac:dyDescent="0.15">
      <c r="AE9176" s="13"/>
    </row>
    <row r="9177" spans="31:31" ht="12.75" customHeight="1" x14ac:dyDescent="0.15">
      <c r="AE9177" s="13"/>
    </row>
    <row r="9178" spans="31:31" ht="12.75" customHeight="1" x14ac:dyDescent="0.15">
      <c r="AE9178" s="13"/>
    </row>
    <row r="9179" spans="31:31" ht="12.75" customHeight="1" x14ac:dyDescent="0.15">
      <c r="AE9179" s="13"/>
    </row>
    <row r="9180" spans="31:31" ht="12.75" customHeight="1" x14ac:dyDescent="0.15">
      <c r="AE9180" s="13"/>
    </row>
    <row r="9181" spans="31:31" ht="12.75" customHeight="1" x14ac:dyDescent="0.15">
      <c r="AE9181" s="13"/>
    </row>
    <row r="9182" spans="31:31" ht="12.75" customHeight="1" x14ac:dyDescent="0.15">
      <c r="AE9182" s="13"/>
    </row>
    <row r="9183" spans="31:31" ht="12.75" customHeight="1" x14ac:dyDescent="0.15">
      <c r="AE9183" s="13"/>
    </row>
    <row r="9184" spans="31:31" ht="12.75" customHeight="1" x14ac:dyDescent="0.15">
      <c r="AE9184" s="13"/>
    </row>
    <row r="9185" spans="31:31" ht="12.75" customHeight="1" x14ac:dyDescent="0.15">
      <c r="AE9185" s="13"/>
    </row>
    <row r="9186" spans="31:31" ht="12.75" customHeight="1" x14ac:dyDescent="0.15">
      <c r="AE9186" s="13"/>
    </row>
    <row r="9187" spans="31:31" ht="12.75" customHeight="1" x14ac:dyDescent="0.15">
      <c r="AE9187" s="13"/>
    </row>
    <row r="9188" spans="31:31" ht="12.75" customHeight="1" x14ac:dyDescent="0.15">
      <c r="AE9188" s="13"/>
    </row>
    <row r="9189" spans="31:31" ht="12.75" customHeight="1" x14ac:dyDescent="0.15">
      <c r="AE9189" s="13"/>
    </row>
    <row r="9190" spans="31:31" ht="12.75" customHeight="1" x14ac:dyDescent="0.15">
      <c r="AE9190" s="13"/>
    </row>
    <row r="9191" spans="31:31" ht="12.75" customHeight="1" x14ac:dyDescent="0.15">
      <c r="AE9191" s="13"/>
    </row>
    <row r="9192" spans="31:31" ht="12.75" customHeight="1" x14ac:dyDescent="0.15">
      <c r="AE9192" s="13"/>
    </row>
    <row r="9193" spans="31:31" ht="12.75" customHeight="1" x14ac:dyDescent="0.15">
      <c r="AE9193" s="13"/>
    </row>
    <row r="9194" spans="31:31" ht="12.75" customHeight="1" x14ac:dyDescent="0.15">
      <c r="AE9194" s="13"/>
    </row>
    <row r="9195" spans="31:31" ht="12.75" customHeight="1" x14ac:dyDescent="0.15">
      <c r="AE9195" s="13"/>
    </row>
    <row r="9196" spans="31:31" ht="12.75" customHeight="1" x14ac:dyDescent="0.15">
      <c r="AE9196" s="13"/>
    </row>
    <row r="9197" spans="31:31" ht="12.75" customHeight="1" x14ac:dyDescent="0.15">
      <c r="AE9197" s="13"/>
    </row>
    <row r="9198" spans="31:31" ht="12.75" customHeight="1" x14ac:dyDescent="0.15">
      <c r="AE9198" s="13"/>
    </row>
    <row r="9199" spans="31:31" ht="12.75" customHeight="1" x14ac:dyDescent="0.15">
      <c r="AE9199" s="13"/>
    </row>
    <row r="9200" spans="31:31" ht="12.75" customHeight="1" x14ac:dyDescent="0.15">
      <c r="AE9200" s="13"/>
    </row>
    <row r="9201" spans="31:31" ht="12.75" customHeight="1" x14ac:dyDescent="0.15">
      <c r="AE9201" s="13"/>
    </row>
    <row r="9202" spans="31:31" ht="12.75" customHeight="1" x14ac:dyDescent="0.15">
      <c r="AE9202" s="13"/>
    </row>
    <row r="9203" spans="31:31" ht="12.75" customHeight="1" x14ac:dyDescent="0.15">
      <c r="AE9203" s="13"/>
    </row>
    <row r="9204" spans="31:31" ht="12.75" customHeight="1" x14ac:dyDescent="0.15">
      <c r="AE9204" s="13"/>
    </row>
    <row r="9205" spans="31:31" ht="12.75" customHeight="1" x14ac:dyDescent="0.15">
      <c r="AE9205" s="13"/>
    </row>
    <row r="9206" spans="31:31" ht="12.75" customHeight="1" x14ac:dyDescent="0.15">
      <c r="AE9206" s="13"/>
    </row>
    <row r="9207" spans="31:31" ht="12.75" customHeight="1" x14ac:dyDescent="0.15">
      <c r="AE9207" s="13"/>
    </row>
    <row r="9208" spans="31:31" ht="12.75" customHeight="1" x14ac:dyDescent="0.15">
      <c r="AE9208" s="13"/>
    </row>
    <row r="9209" spans="31:31" ht="12.75" customHeight="1" x14ac:dyDescent="0.15">
      <c r="AE9209" s="13"/>
    </row>
    <row r="9210" spans="31:31" ht="12.75" customHeight="1" x14ac:dyDescent="0.15">
      <c r="AE9210" s="13"/>
    </row>
    <row r="9211" spans="31:31" ht="12.75" customHeight="1" x14ac:dyDescent="0.15">
      <c r="AE9211" s="13"/>
    </row>
    <row r="9212" spans="31:31" ht="12.75" customHeight="1" x14ac:dyDescent="0.15">
      <c r="AE9212" s="13"/>
    </row>
    <row r="9213" spans="31:31" ht="12.75" customHeight="1" x14ac:dyDescent="0.15">
      <c r="AE9213" s="13"/>
    </row>
    <row r="9214" spans="31:31" ht="12.75" customHeight="1" x14ac:dyDescent="0.15">
      <c r="AE9214" s="13"/>
    </row>
    <row r="9215" spans="31:31" ht="12.75" customHeight="1" x14ac:dyDescent="0.15">
      <c r="AE9215" s="13"/>
    </row>
    <row r="9216" spans="31:31" ht="12.75" customHeight="1" x14ac:dyDescent="0.15">
      <c r="AE9216" s="13"/>
    </row>
    <row r="9217" spans="31:31" ht="12.75" customHeight="1" x14ac:dyDescent="0.15">
      <c r="AE9217" s="13"/>
    </row>
    <row r="9218" spans="31:31" ht="12.75" customHeight="1" x14ac:dyDescent="0.15">
      <c r="AE9218" s="13"/>
    </row>
    <row r="9219" spans="31:31" ht="12.75" customHeight="1" x14ac:dyDescent="0.15">
      <c r="AE9219" s="13"/>
    </row>
    <row r="9220" spans="31:31" ht="12.75" customHeight="1" x14ac:dyDescent="0.15">
      <c r="AE9220" s="13"/>
    </row>
    <row r="9221" spans="31:31" ht="12.75" customHeight="1" x14ac:dyDescent="0.15">
      <c r="AE9221" s="13"/>
    </row>
    <row r="9222" spans="31:31" ht="12.75" customHeight="1" x14ac:dyDescent="0.15">
      <c r="AE9222" s="13"/>
    </row>
    <row r="9223" spans="31:31" ht="12.75" customHeight="1" x14ac:dyDescent="0.15">
      <c r="AE9223" s="13"/>
    </row>
    <row r="9224" spans="31:31" ht="12.75" customHeight="1" x14ac:dyDescent="0.15">
      <c r="AE9224" s="13"/>
    </row>
    <row r="9225" spans="31:31" ht="12.75" customHeight="1" x14ac:dyDescent="0.15">
      <c r="AE9225" s="13"/>
    </row>
    <row r="9226" spans="31:31" ht="12.75" customHeight="1" x14ac:dyDescent="0.15">
      <c r="AE9226" s="13"/>
    </row>
    <row r="9227" spans="31:31" ht="12.75" customHeight="1" x14ac:dyDescent="0.15">
      <c r="AE9227" s="13"/>
    </row>
    <row r="9228" spans="31:31" ht="12.75" customHeight="1" x14ac:dyDescent="0.15">
      <c r="AE9228" s="13"/>
    </row>
    <row r="9229" spans="31:31" ht="12.75" customHeight="1" x14ac:dyDescent="0.15">
      <c r="AE9229" s="13"/>
    </row>
    <row r="9230" spans="31:31" ht="12.75" customHeight="1" x14ac:dyDescent="0.15">
      <c r="AE9230" s="13"/>
    </row>
    <row r="9231" spans="31:31" ht="12.75" customHeight="1" x14ac:dyDescent="0.15">
      <c r="AE9231" s="13"/>
    </row>
    <row r="9232" spans="31:31" ht="12.75" customHeight="1" x14ac:dyDescent="0.15">
      <c r="AE9232" s="13"/>
    </row>
    <row r="9233" spans="31:31" ht="12.75" customHeight="1" x14ac:dyDescent="0.15">
      <c r="AE9233" s="13"/>
    </row>
    <row r="9234" spans="31:31" ht="12.75" customHeight="1" x14ac:dyDescent="0.15">
      <c r="AE9234" s="13"/>
    </row>
    <row r="9235" spans="31:31" ht="12.75" customHeight="1" x14ac:dyDescent="0.15">
      <c r="AE9235" s="13"/>
    </row>
    <row r="9236" spans="31:31" ht="12.75" customHeight="1" x14ac:dyDescent="0.15">
      <c r="AE9236" s="13"/>
    </row>
    <row r="9237" spans="31:31" ht="12.75" customHeight="1" x14ac:dyDescent="0.15">
      <c r="AE9237" s="13"/>
    </row>
    <row r="9238" spans="31:31" ht="12.75" customHeight="1" x14ac:dyDescent="0.15">
      <c r="AE9238" s="13"/>
    </row>
    <row r="9239" spans="31:31" ht="12.75" customHeight="1" x14ac:dyDescent="0.15">
      <c r="AE9239" s="13"/>
    </row>
    <row r="9240" spans="31:31" ht="12.75" customHeight="1" x14ac:dyDescent="0.15">
      <c r="AE9240" s="13"/>
    </row>
    <row r="9241" spans="31:31" ht="12.75" customHeight="1" x14ac:dyDescent="0.15">
      <c r="AE9241" s="13"/>
    </row>
    <row r="9242" spans="31:31" ht="12.75" customHeight="1" x14ac:dyDescent="0.15">
      <c r="AE9242" s="13"/>
    </row>
    <row r="9243" spans="31:31" ht="12.75" customHeight="1" x14ac:dyDescent="0.15">
      <c r="AE9243" s="13"/>
    </row>
    <row r="9244" spans="31:31" ht="12.75" customHeight="1" x14ac:dyDescent="0.15">
      <c r="AE9244" s="13"/>
    </row>
    <row r="9245" spans="31:31" ht="12.75" customHeight="1" x14ac:dyDescent="0.15">
      <c r="AE9245" s="13"/>
    </row>
    <row r="9246" spans="31:31" ht="12.75" customHeight="1" x14ac:dyDescent="0.15">
      <c r="AE9246" s="13"/>
    </row>
    <row r="9247" spans="31:31" ht="12.75" customHeight="1" x14ac:dyDescent="0.15">
      <c r="AE9247" s="13"/>
    </row>
    <row r="9248" spans="31:31" ht="12.75" customHeight="1" x14ac:dyDescent="0.15">
      <c r="AE9248" s="13"/>
    </row>
    <row r="9249" spans="31:31" ht="12.75" customHeight="1" x14ac:dyDescent="0.15">
      <c r="AE9249" s="13"/>
    </row>
    <row r="9250" spans="31:31" ht="12.75" customHeight="1" x14ac:dyDescent="0.15">
      <c r="AE9250" s="13"/>
    </row>
    <row r="9251" spans="31:31" ht="12.75" customHeight="1" x14ac:dyDescent="0.15">
      <c r="AE9251" s="13"/>
    </row>
    <row r="9252" spans="31:31" ht="12.75" customHeight="1" x14ac:dyDescent="0.15">
      <c r="AE9252" s="13"/>
    </row>
    <row r="9253" spans="31:31" ht="12.75" customHeight="1" x14ac:dyDescent="0.15">
      <c r="AE9253" s="13"/>
    </row>
    <row r="9254" spans="31:31" ht="12.75" customHeight="1" x14ac:dyDescent="0.15">
      <c r="AE9254" s="13"/>
    </row>
    <row r="9255" spans="31:31" ht="12.75" customHeight="1" x14ac:dyDescent="0.15">
      <c r="AE9255" s="13"/>
    </row>
    <row r="9256" spans="31:31" ht="12.75" customHeight="1" x14ac:dyDescent="0.15">
      <c r="AE9256" s="13"/>
    </row>
    <row r="9257" spans="31:31" ht="12.75" customHeight="1" x14ac:dyDescent="0.15">
      <c r="AE9257" s="13"/>
    </row>
    <row r="9258" spans="31:31" ht="12.75" customHeight="1" x14ac:dyDescent="0.15">
      <c r="AE9258" s="13"/>
    </row>
    <row r="9259" spans="31:31" ht="12.75" customHeight="1" x14ac:dyDescent="0.15">
      <c r="AE9259" s="13"/>
    </row>
    <row r="9260" spans="31:31" ht="12.75" customHeight="1" x14ac:dyDescent="0.15">
      <c r="AE9260" s="13"/>
    </row>
    <row r="9261" spans="31:31" ht="12.75" customHeight="1" x14ac:dyDescent="0.15">
      <c r="AE9261" s="13"/>
    </row>
    <row r="9262" spans="31:31" ht="12.75" customHeight="1" x14ac:dyDescent="0.15">
      <c r="AE9262" s="13"/>
    </row>
    <row r="9263" spans="31:31" ht="12.75" customHeight="1" x14ac:dyDescent="0.15">
      <c r="AE9263" s="13"/>
    </row>
    <row r="9264" spans="31:31" ht="12.75" customHeight="1" x14ac:dyDescent="0.15">
      <c r="AE9264" s="13"/>
    </row>
    <row r="9265" spans="31:31" ht="12.75" customHeight="1" x14ac:dyDescent="0.15">
      <c r="AE9265" s="13"/>
    </row>
    <row r="9266" spans="31:31" ht="12.75" customHeight="1" x14ac:dyDescent="0.15">
      <c r="AE9266" s="13"/>
    </row>
    <row r="9267" spans="31:31" ht="12.75" customHeight="1" x14ac:dyDescent="0.15">
      <c r="AE9267" s="13"/>
    </row>
    <row r="9268" spans="31:31" ht="12.75" customHeight="1" x14ac:dyDescent="0.15">
      <c r="AE9268" s="13"/>
    </row>
    <row r="9269" spans="31:31" ht="12.75" customHeight="1" x14ac:dyDescent="0.15">
      <c r="AE9269" s="13"/>
    </row>
    <row r="9270" spans="31:31" ht="12.75" customHeight="1" x14ac:dyDescent="0.15">
      <c r="AE9270" s="13"/>
    </row>
    <row r="9271" spans="31:31" ht="12.75" customHeight="1" x14ac:dyDescent="0.15">
      <c r="AE9271" s="13"/>
    </row>
    <row r="9272" spans="31:31" ht="12.75" customHeight="1" x14ac:dyDescent="0.15">
      <c r="AE9272" s="13"/>
    </row>
    <row r="9273" spans="31:31" ht="12.75" customHeight="1" x14ac:dyDescent="0.15">
      <c r="AE9273" s="13"/>
    </row>
    <row r="9274" spans="31:31" ht="12.75" customHeight="1" x14ac:dyDescent="0.15">
      <c r="AE9274" s="13"/>
    </row>
    <row r="9275" spans="31:31" ht="12.75" customHeight="1" x14ac:dyDescent="0.15">
      <c r="AE9275" s="13"/>
    </row>
    <row r="9276" spans="31:31" ht="12.75" customHeight="1" x14ac:dyDescent="0.15">
      <c r="AE9276" s="13"/>
    </row>
    <row r="9277" spans="31:31" ht="12.75" customHeight="1" x14ac:dyDescent="0.15">
      <c r="AE9277" s="13"/>
    </row>
    <row r="9278" spans="31:31" ht="12.75" customHeight="1" x14ac:dyDescent="0.15">
      <c r="AE9278" s="13"/>
    </row>
    <row r="9279" spans="31:31" ht="12.75" customHeight="1" x14ac:dyDescent="0.15">
      <c r="AE9279" s="13"/>
    </row>
    <row r="9280" spans="31:31" ht="12.75" customHeight="1" x14ac:dyDescent="0.15">
      <c r="AE9280" s="13"/>
    </row>
    <row r="9281" spans="31:31" ht="12.75" customHeight="1" x14ac:dyDescent="0.15">
      <c r="AE9281" s="13"/>
    </row>
    <row r="9282" spans="31:31" ht="12.75" customHeight="1" x14ac:dyDescent="0.15">
      <c r="AE9282" s="13"/>
    </row>
    <row r="9283" spans="31:31" ht="12.75" customHeight="1" x14ac:dyDescent="0.15">
      <c r="AE9283" s="13"/>
    </row>
    <row r="9284" spans="31:31" ht="12.75" customHeight="1" x14ac:dyDescent="0.15">
      <c r="AE9284" s="13"/>
    </row>
    <row r="9285" spans="31:31" ht="12.75" customHeight="1" x14ac:dyDescent="0.15">
      <c r="AE9285" s="13"/>
    </row>
    <row r="9286" spans="31:31" ht="12.75" customHeight="1" x14ac:dyDescent="0.15">
      <c r="AE9286" s="13"/>
    </row>
    <row r="9287" spans="31:31" ht="12.75" customHeight="1" x14ac:dyDescent="0.15">
      <c r="AE9287" s="13"/>
    </row>
    <row r="9288" spans="31:31" ht="12.75" customHeight="1" x14ac:dyDescent="0.15">
      <c r="AE9288" s="13"/>
    </row>
    <row r="9289" spans="31:31" ht="12.75" customHeight="1" x14ac:dyDescent="0.15">
      <c r="AE9289" s="13"/>
    </row>
    <row r="9290" spans="31:31" ht="12.75" customHeight="1" x14ac:dyDescent="0.15">
      <c r="AE9290" s="13"/>
    </row>
    <row r="9291" spans="31:31" ht="12.75" customHeight="1" x14ac:dyDescent="0.15">
      <c r="AE9291" s="13"/>
    </row>
    <row r="9292" spans="31:31" ht="12.75" customHeight="1" x14ac:dyDescent="0.15">
      <c r="AE9292" s="13"/>
    </row>
    <row r="9293" spans="31:31" ht="12.75" customHeight="1" x14ac:dyDescent="0.15">
      <c r="AE9293" s="13"/>
    </row>
    <row r="9294" spans="31:31" ht="12.75" customHeight="1" x14ac:dyDescent="0.15">
      <c r="AE9294" s="13"/>
    </row>
    <row r="9295" spans="31:31" ht="12.75" customHeight="1" x14ac:dyDescent="0.15">
      <c r="AE9295" s="13"/>
    </row>
    <row r="9296" spans="31:31" ht="12.75" customHeight="1" x14ac:dyDescent="0.15">
      <c r="AE9296" s="13"/>
    </row>
    <row r="9297" spans="31:31" ht="12.75" customHeight="1" x14ac:dyDescent="0.15">
      <c r="AE9297" s="13"/>
    </row>
    <row r="9298" spans="31:31" ht="12.75" customHeight="1" x14ac:dyDescent="0.15">
      <c r="AE9298" s="13"/>
    </row>
    <row r="9299" spans="31:31" ht="12.75" customHeight="1" x14ac:dyDescent="0.15">
      <c r="AE9299" s="13"/>
    </row>
    <row r="9300" spans="31:31" ht="12.75" customHeight="1" x14ac:dyDescent="0.15">
      <c r="AE9300" s="13"/>
    </row>
    <row r="9301" spans="31:31" ht="12.75" customHeight="1" x14ac:dyDescent="0.15">
      <c r="AE9301" s="13"/>
    </row>
    <row r="9302" spans="31:31" ht="12.75" customHeight="1" x14ac:dyDescent="0.15">
      <c r="AE9302" s="13"/>
    </row>
    <row r="9303" spans="31:31" ht="12.75" customHeight="1" x14ac:dyDescent="0.15">
      <c r="AE9303" s="13"/>
    </row>
    <row r="9304" spans="31:31" ht="12.75" customHeight="1" x14ac:dyDescent="0.15">
      <c r="AE9304" s="13"/>
    </row>
    <row r="9305" spans="31:31" ht="12.75" customHeight="1" x14ac:dyDescent="0.15">
      <c r="AE9305" s="13"/>
    </row>
    <row r="9306" spans="31:31" ht="12.75" customHeight="1" x14ac:dyDescent="0.15">
      <c r="AE9306" s="13"/>
    </row>
    <row r="9307" spans="31:31" ht="12.75" customHeight="1" x14ac:dyDescent="0.15">
      <c r="AE9307" s="13"/>
    </row>
    <row r="9308" spans="31:31" ht="12.75" customHeight="1" x14ac:dyDescent="0.15">
      <c r="AE9308" s="13"/>
    </row>
    <row r="9309" spans="31:31" ht="12.75" customHeight="1" x14ac:dyDescent="0.15">
      <c r="AE9309" s="13"/>
    </row>
    <row r="9310" spans="31:31" ht="12.75" customHeight="1" x14ac:dyDescent="0.15">
      <c r="AE9310" s="13"/>
    </row>
    <row r="9311" spans="31:31" ht="12.75" customHeight="1" x14ac:dyDescent="0.15">
      <c r="AE9311" s="13"/>
    </row>
    <row r="9312" spans="31:31" ht="12.75" customHeight="1" x14ac:dyDescent="0.15">
      <c r="AE9312" s="13"/>
    </row>
    <row r="9313" spans="31:31" ht="12.75" customHeight="1" x14ac:dyDescent="0.15">
      <c r="AE9313" s="13"/>
    </row>
    <row r="9314" spans="31:31" ht="12.75" customHeight="1" x14ac:dyDescent="0.15">
      <c r="AE9314" s="13"/>
    </row>
    <row r="9315" spans="31:31" ht="12.75" customHeight="1" x14ac:dyDescent="0.15">
      <c r="AE9315" s="13"/>
    </row>
    <row r="9316" spans="31:31" ht="12.75" customHeight="1" x14ac:dyDescent="0.15">
      <c r="AE9316" s="13"/>
    </row>
    <row r="9317" spans="31:31" ht="12.75" customHeight="1" x14ac:dyDescent="0.15">
      <c r="AE9317" s="13"/>
    </row>
    <row r="9318" spans="31:31" ht="12.75" customHeight="1" x14ac:dyDescent="0.15">
      <c r="AE9318" s="13"/>
    </row>
    <row r="9319" spans="31:31" ht="12.75" customHeight="1" x14ac:dyDescent="0.15">
      <c r="AE9319" s="13"/>
    </row>
    <row r="9320" spans="31:31" ht="12.75" customHeight="1" x14ac:dyDescent="0.15">
      <c r="AE9320" s="13"/>
    </row>
    <row r="9321" spans="31:31" ht="12.75" customHeight="1" x14ac:dyDescent="0.15">
      <c r="AE9321" s="13"/>
    </row>
    <row r="9322" spans="31:31" ht="12.75" customHeight="1" x14ac:dyDescent="0.15">
      <c r="AE9322" s="13"/>
    </row>
    <row r="9323" spans="31:31" ht="12.75" customHeight="1" x14ac:dyDescent="0.15">
      <c r="AE9323" s="13"/>
    </row>
    <row r="9324" spans="31:31" ht="12.75" customHeight="1" x14ac:dyDescent="0.15">
      <c r="AE9324" s="13"/>
    </row>
    <row r="9325" spans="31:31" ht="12.75" customHeight="1" x14ac:dyDescent="0.15">
      <c r="AE9325" s="13"/>
    </row>
    <row r="9326" spans="31:31" ht="12.75" customHeight="1" x14ac:dyDescent="0.15">
      <c r="AE9326" s="13"/>
    </row>
    <row r="9327" spans="31:31" ht="12.75" customHeight="1" x14ac:dyDescent="0.15">
      <c r="AE9327" s="13"/>
    </row>
    <row r="9328" spans="31:31" ht="12.75" customHeight="1" x14ac:dyDescent="0.15">
      <c r="AE9328" s="13"/>
    </row>
    <row r="9329" spans="31:31" ht="12.75" customHeight="1" x14ac:dyDescent="0.15">
      <c r="AE9329" s="13"/>
    </row>
    <row r="9330" spans="31:31" ht="12.75" customHeight="1" x14ac:dyDescent="0.15">
      <c r="AE9330" s="13"/>
    </row>
    <row r="9331" spans="31:31" ht="12.75" customHeight="1" x14ac:dyDescent="0.15">
      <c r="AE9331" s="13"/>
    </row>
    <row r="9332" spans="31:31" ht="12.75" customHeight="1" x14ac:dyDescent="0.15">
      <c r="AE9332" s="13"/>
    </row>
    <row r="9333" spans="31:31" ht="12.75" customHeight="1" x14ac:dyDescent="0.15">
      <c r="AE9333" s="13"/>
    </row>
    <row r="9334" spans="31:31" ht="12.75" customHeight="1" x14ac:dyDescent="0.15">
      <c r="AE9334" s="13"/>
    </row>
    <row r="9335" spans="31:31" ht="12.75" customHeight="1" x14ac:dyDescent="0.15">
      <c r="AE9335" s="13"/>
    </row>
    <row r="9336" spans="31:31" ht="12.75" customHeight="1" x14ac:dyDescent="0.15">
      <c r="AE9336" s="13"/>
    </row>
    <row r="9337" spans="31:31" ht="12.75" customHeight="1" x14ac:dyDescent="0.15">
      <c r="AE9337" s="13"/>
    </row>
    <row r="9338" spans="31:31" ht="12.75" customHeight="1" x14ac:dyDescent="0.15">
      <c r="AE9338" s="13"/>
    </row>
    <row r="9339" spans="31:31" ht="12.75" customHeight="1" x14ac:dyDescent="0.15">
      <c r="AE9339" s="13"/>
    </row>
    <row r="9340" spans="31:31" ht="12.75" customHeight="1" x14ac:dyDescent="0.15">
      <c r="AE9340" s="13"/>
    </row>
    <row r="9341" spans="31:31" ht="12.75" customHeight="1" x14ac:dyDescent="0.15">
      <c r="AE9341" s="13"/>
    </row>
    <row r="9342" spans="31:31" ht="12.75" customHeight="1" x14ac:dyDescent="0.15">
      <c r="AE9342" s="13"/>
    </row>
    <row r="9343" spans="31:31" ht="12.75" customHeight="1" x14ac:dyDescent="0.15">
      <c r="AE9343" s="13"/>
    </row>
    <row r="9344" spans="31:31" ht="12.75" customHeight="1" x14ac:dyDescent="0.15">
      <c r="AE9344" s="13"/>
    </row>
    <row r="9345" spans="31:31" ht="12.75" customHeight="1" x14ac:dyDescent="0.15">
      <c r="AE9345" s="13"/>
    </row>
    <row r="9346" spans="31:31" ht="12.75" customHeight="1" x14ac:dyDescent="0.15">
      <c r="AE9346" s="13"/>
    </row>
    <row r="9347" spans="31:31" ht="12.75" customHeight="1" x14ac:dyDescent="0.15">
      <c r="AE9347" s="13"/>
    </row>
    <row r="9348" spans="31:31" ht="12.75" customHeight="1" x14ac:dyDescent="0.15">
      <c r="AE9348" s="13"/>
    </row>
    <row r="9349" spans="31:31" ht="12.75" customHeight="1" x14ac:dyDescent="0.15">
      <c r="AE9349" s="13"/>
    </row>
    <row r="9350" spans="31:31" ht="12.75" customHeight="1" x14ac:dyDescent="0.15">
      <c r="AE9350" s="13"/>
    </row>
    <row r="9351" spans="31:31" ht="12.75" customHeight="1" x14ac:dyDescent="0.15">
      <c r="AE9351" s="13"/>
    </row>
    <row r="9352" spans="31:31" ht="12.75" customHeight="1" x14ac:dyDescent="0.15">
      <c r="AE9352" s="13"/>
    </row>
    <row r="9353" spans="31:31" ht="12.75" customHeight="1" x14ac:dyDescent="0.15">
      <c r="AE9353" s="13"/>
    </row>
    <row r="9354" spans="31:31" ht="12.75" customHeight="1" x14ac:dyDescent="0.15">
      <c r="AE9354" s="13"/>
    </row>
    <row r="9355" spans="31:31" ht="12.75" customHeight="1" x14ac:dyDescent="0.15">
      <c r="AE9355" s="13"/>
    </row>
    <row r="9356" spans="31:31" ht="12.75" customHeight="1" x14ac:dyDescent="0.15">
      <c r="AE9356" s="13"/>
    </row>
    <row r="9357" spans="31:31" ht="12.75" customHeight="1" x14ac:dyDescent="0.15">
      <c r="AE9357" s="13"/>
    </row>
    <row r="9358" spans="31:31" ht="12.75" customHeight="1" x14ac:dyDescent="0.15">
      <c r="AE9358" s="13"/>
    </row>
    <row r="9359" spans="31:31" ht="12.75" customHeight="1" x14ac:dyDescent="0.15">
      <c r="AE9359" s="13"/>
    </row>
    <row r="9360" spans="31:31" ht="12.75" customHeight="1" x14ac:dyDescent="0.15">
      <c r="AE9360" s="13"/>
    </row>
    <row r="9361" spans="31:31" ht="12.75" customHeight="1" x14ac:dyDescent="0.15">
      <c r="AE9361" s="13"/>
    </row>
    <row r="9362" spans="31:31" ht="12.75" customHeight="1" x14ac:dyDescent="0.15">
      <c r="AE9362" s="13"/>
    </row>
    <row r="9363" spans="31:31" ht="12.75" customHeight="1" x14ac:dyDescent="0.15">
      <c r="AE9363" s="13"/>
    </row>
    <row r="9364" spans="31:31" ht="12.75" customHeight="1" x14ac:dyDescent="0.15">
      <c r="AE9364" s="13"/>
    </row>
    <row r="9365" spans="31:31" ht="12.75" customHeight="1" x14ac:dyDescent="0.15">
      <c r="AE9365" s="13"/>
    </row>
    <row r="9366" spans="31:31" ht="12.75" customHeight="1" x14ac:dyDescent="0.15">
      <c r="AE9366" s="13"/>
    </row>
    <row r="9367" spans="31:31" ht="12.75" customHeight="1" x14ac:dyDescent="0.15">
      <c r="AE9367" s="13"/>
    </row>
    <row r="9368" spans="31:31" ht="12.75" customHeight="1" x14ac:dyDescent="0.15">
      <c r="AE9368" s="13"/>
    </row>
    <row r="9369" spans="31:31" ht="12.75" customHeight="1" x14ac:dyDescent="0.15">
      <c r="AE9369" s="13"/>
    </row>
    <row r="9370" spans="31:31" ht="12.75" customHeight="1" x14ac:dyDescent="0.15">
      <c r="AE9370" s="13"/>
    </row>
    <row r="9371" spans="31:31" ht="12.75" customHeight="1" x14ac:dyDescent="0.15">
      <c r="AE9371" s="13"/>
    </row>
    <row r="9372" spans="31:31" ht="12.75" customHeight="1" x14ac:dyDescent="0.15">
      <c r="AE9372" s="13"/>
    </row>
    <row r="9373" spans="31:31" ht="12.75" customHeight="1" x14ac:dyDescent="0.15">
      <c r="AE9373" s="13"/>
    </row>
    <row r="9374" spans="31:31" ht="12.75" customHeight="1" x14ac:dyDescent="0.15">
      <c r="AE9374" s="13"/>
    </row>
    <row r="9375" spans="31:31" ht="12.75" customHeight="1" x14ac:dyDescent="0.15">
      <c r="AE9375" s="13"/>
    </row>
    <row r="9376" spans="31:31" ht="12.75" customHeight="1" x14ac:dyDescent="0.15">
      <c r="AE9376" s="13"/>
    </row>
    <row r="9377" spans="31:31" ht="12.75" customHeight="1" x14ac:dyDescent="0.15">
      <c r="AE9377" s="13"/>
    </row>
    <row r="9378" spans="31:31" ht="12.75" customHeight="1" x14ac:dyDescent="0.15">
      <c r="AE9378" s="13"/>
    </row>
    <row r="9379" spans="31:31" ht="12.75" customHeight="1" x14ac:dyDescent="0.15">
      <c r="AE9379" s="13"/>
    </row>
    <row r="9380" spans="31:31" ht="12.75" customHeight="1" x14ac:dyDescent="0.15">
      <c r="AE9380" s="13"/>
    </row>
    <row r="9381" spans="31:31" ht="12.75" customHeight="1" x14ac:dyDescent="0.15">
      <c r="AE9381" s="13"/>
    </row>
    <row r="9382" spans="31:31" ht="12.75" customHeight="1" x14ac:dyDescent="0.15">
      <c r="AE9382" s="13"/>
    </row>
    <row r="9383" spans="31:31" ht="12.75" customHeight="1" x14ac:dyDescent="0.15">
      <c r="AE9383" s="13"/>
    </row>
    <row r="9384" spans="31:31" ht="12.75" customHeight="1" x14ac:dyDescent="0.15">
      <c r="AE9384" s="13"/>
    </row>
    <row r="9385" spans="31:31" ht="12.75" customHeight="1" x14ac:dyDescent="0.15">
      <c r="AE9385" s="13"/>
    </row>
    <row r="9386" spans="31:31" ht="12.75" customHeight="1" x14ac:dyDescent="0.15">
      <c r="AE9386" s="13"/>
    </row>
    <row r="9387" spans="31:31" ht="12.75" customHeight="1" x14ac:dyDescent="0.15">
      <c r="AE9387" s="13"/>
    </row>
    <row r="9388" spans="31:31" ht="12.75" customHeight="1" x14ac:dyDescent="0.15">
      <c r="AE9388" s="13"/>
    </row>
    <row r="9389" spans="31:31" ht="12.75" customHeight="1" x14ac:dyDescent="0.15">
      <c r="AE9389" s="13"/>
    </row>
    <row r="9390" spans="31:31" ht="12.75" customHeight="1" x14ac:dyDescent="0.15">
      <c r="AE9390" s="13"/>
    </row>
    <row r="9391" spans="31:31" ht="12.75" customHeight="1" x14ac:dyDescent="0.15">
      <c r="AE9391" s="13"/>
    </row>
    <row r="9392" spans="31:31" ht="12.75" customHeight="1" x14ac:dyDescent="0.15">
      <c r="AE9392" s="13"/>
    </row>
    <row r="9393" spans="31:31" ht="12.75" customHeight="1" x14ac:dyDescent="0.15">
      <c r="AE9393" s="13"/>
    </row>
    <row r="9394" spans="31:31" ht="12.75" customHeight="1" x14ac:dyDescent="0.15">
      <c r="AE9394" s="13"/>
    </row>
    <row r="9395" spans="31:31" ht="12.75" customHeight="1" x14ac:dyDescent="0.15">
      <c r="AE9395" s="13"/>
    </row>
    <row r="9396" spans="31:31" ht="12.75" customHeight="1" x14ac:dyDescent="0.15">
      <c r="AE9396" s="13"/>
    </row>
    <row r="9397" spans="31:31" ht="12.75" customHeight="1" x14ac:dyDescent="0.15">
      <c r="AE9397" s="13"/>
    </row>
    <row r="9398" spans="31:31" ht="12.75" customHeight="1" x14ac:dyDescent="0.15">
      <c r="AE9398" s="13"/>
    </row>
    <row r="9399" spans="31:31" ht="12.75" customHeight="1" x14ac:dyDescent="0.15">
      <c r="AE9399" s="13"/>
    </row>
    <row r="9400" spans="31:31" ht="12.75" customHeight="1" x14ac:dyDescent="0.15">
      <c r="AE9400" s="13"/>
    </row>
    <row r="9401" spans="31:31" ht="12.75" customHeight="1" x14ac:dyDescent="0.15">
      <c r="AE9401" s="13"/>
    </row>
    <row r="9402" spans="31:31" ht="12.75" customHeight="1" x14ac:dyDescent="0.15">
      <c r="AE9402" s="13"/>
    </row>
    <row r="9403" spans="31:31" ht="12.75" customHeight="1" x14ac:dyDescent="0.15">
      <c r="AE9403" s="13"/>
    </row>
    <row r="9404" spans="31:31" ht="12.75" customHeight="1" x14ac:dyDescent="0.15">
      <c r="AE9404" s="13"/>
    </row>
    <row r="9405" spans="31:31" ht="12.75" customHeight="1" x14ac:dyDescent="0.15">
      <c r="AE9405" s="13"/>
    </row>
    <row r="9406" spans="31:31" ht="12.75" customHeight="1" x14ac:dyDescent="0.15">
      <c r="AE9406" s="13"/>
    </row>
    <row r="9407" spans="31:31" ht="12.75" customHeight="1" x14ac:dyDescent="0.15">
      <c r="AE9407" s="13"/>
    </row>
    <row r="9408" spans="31:31" ht="12.75" customHeight="1" x14ac:dyDescent="0.15">
      <c r="AE9408" s="13"/>
    </row>
    <row r="9409" spans="31:31" ht="12.75" customHeight="1" x14ac:dyDescent="0.15">
      <c r="AE9409" s="13"/>
    </row>
    <row r="9410" spans="31:31" ht="12.75" customHeight="1" x14ac:dyDescent="0.15">
      <c r="AE9410" s="13"/>
    </row>
    <row r="9411" spans="31:31" ht="12.75" customHeight="1" x14ac:dyDescent="0.15">
      <c r="AE9411" s="13"/>
    </row>
    <row r="9412" spans="31:31" ht="12.75" customHeight="1" x14ac:dyDescent="0.15">
      <c r="AE9412" s="13"/>
    </row>
    <row r="9413" spans="31:31" ht="12.75" customHeight="1" x14ac:dyDescent="0.15">
      <c r="AE9413" s="13"/>
    </row>
    <row r="9414" spans="31:31" ht="12.75" customHeight="1" x14ac:dyDescent="0.15">
      <c r="AE9414" s="13"/>
    </row>
    <row r="9415" spans="31:31" ht="12.75" customHeight="1" x14ac:dyDescent="0.15">
      <c r="AE9415" s="13"/>
    </row>
    <row r="9416" spans="31:31" ht="12.75" customHeight="1" x14ac:dyDescent="0.15">
      <c r="AE9416" s="13"/>
    </row>
    <row r="9417" spans="31:31" ht="12.75" customHeight="1" x14ac:dyDescent="0.15">
      <c r="AE9417" s="13"/>
    </row>
    <row r="9418" spans="31:31" ht="12.75" customHeight="1" x14ac:dyDescent="0.15">
      <c r="AE9418" s="13"/>
    </row>
    <row r="9419" spans="31:31" ht="12.75" customHeight="1" x14ac:dyDescent="0.15">
      <c r="AE9419" s="13"/>
    </row>
    <row r="9420" spans="31:31" ht="12.75" customHeight="1" x14ac:dyDescent="0.15">
      <c r="AE9420" s="13"/>
    </row>
    <row r="9421" spans="31:31" ht="12.75" customHeight="1" x14ac:dyDescent="0.15">
      <c r="AE9421" s="13"/>
    </row>
    <row r="9422" spans="31:31" ht="12.75" customHeight="1" x14ac:dyDescent="0.15">
      <c r="AE9422" s="13"/>
    </row>
    <row r="9423" spans="31:31" ht="12.75" customHeight="1" x14ac:dyDescent="0.15">
      <c r="AE9423" s="13"/>
    </row>
    <row r="9424" spans="31:31" ht="12.75" customHeight="1" x14ac:dyDescent="0.15">
      <c r="AE9424" s="13"/>
    </row>
    <row r="9425" spans="31:31" ht="12.75" customHeight="1" x14ac:dyDescent="0.15">
      <c r="AE9425" s="13"/>
    </row>
    <row r="9426" spans="31:31" ht="12.75" customHeight="1" x14ac:dyDescent="0.15">
      <c r="AE9426" s="13"/>
    </row>
    <row r="9427" spans="31:31" ht="12.75" customHeight="1" x14ac:dyDescent="0.15">
      <c r="AE9427" s="13"/>
    </row>
    <row r="9428" spans="31:31" ht="12.75" customHeight="1" x14ac:dyDescent="0.15">
      <c r="AE9428" s="13"/>
    </row>
    <row r="9429" spans="31:31" ht="12.75" customHeight="1" x14ac:dyDescent="0.15">
      <c r="AE9429" s="13"/>
    </row>
    <row r="9430" spans="31:31" ht="12.75" customHeight="1" x14ac:dyDescent="0.15">
      <c r="AE9430" s="13"/>
    </row>
    <row r="9431" spans="31:31" ht="12.75" customHeight="1" x14ac:dyDescent="0.15">
      <c r="AE9431" s="13"/>
    </row>
    <row r="9432" spans="31:31" ht="12.75" customHeight="1" x14ac:dyDescent="0.15">
      <c r="AE9432" s="13"/>
    </row>
    <row r="9433" spans="31:31" ht="12.75" customHeight="1" x14ac:dyDescent="0.15">
      <c r="AE9433" s="13"/>
    </row>
    <row r="9434" spans="31:31" ht="12.75" customHeight="1" x14ac:dyDescent="0.15">
      <c r="AE9434" s="13"/>
    </row>
    <row r="9435" spans="31:31" ht="12.75" customHeight="1" x14ac:dyDescent="0.15">
      <c r="AE9435" s="13"/>
    </row>
    <row r="9436" spans="31:31" ht="12.75" customHeight="1" x14ac:dyDescent="0.15">
      <c r="AE9436" s="13"/>
    </row>
    <row r="9437" spans="31:31" ht="12.75" customHeight="1" x14ac:dyDescent="0.15">
      <c r="AE9437" s="13"/>
    </row>
    <row r="9438" spans="31:31" ht="12.75" customHeight="1" x14ac:dyDescent="0.15">
      <c r="AE9438" s="13"/>
    </row>
    <row r="9439" spans="31:31" ht="12.75" customHeight="1" x14ac:dyDescent="0.15">
      <c r="AE9439" s="13"/>
    </row>
    <row r="9440" spans="31:31" ht="12.75" customHeight="1" x14ac:dyDescent="0.15">
      <c r="AE9440" s="13"/>
    </row>
    <row r="9441" spans="31:31" ht="12.75" customHeight="1" x14ac:dyDescent="0.15">
      <c r="AE9441" s="13"/>
    </row>
    <row r="9442" spans="31:31" ht="12.75" customHeight="1" x14ac:dyDescent="0.15">
      <c r="AE9442" s="13"/>
    </row>
    <row r="9443" spans="31:31" ht="12.75" customHeight="1" x14ac:dyDescent="0.15">
      <c r="AE9443" s="13"/>
    </row>
    <row r="9444" spans="31:31" ht="12.75" customHeight="1" x14ac:dyDescent="0.15">
      <c r="AE9444" s="13"/>
    </row>
    <row r="9445" spans="31:31" ht="12.75" customHeight="1" x14ac:dyDescent="0.15">
      <c r="AE9445" s="13"/>
    </row>
    <row r="9446" spans="31:31" ht="12.75" customHeight="1" x14ac:dyDescent="0.15">
      <c r="AE9446" s="13"/>
    </row>
    <row r="9447" spans="31:31" ht="12.75" customHeight="1" x14ac:dyDescent="0.15">
      <c r="AE9447" s="13"/>
    </row>
    <row r="9448" spans="31:31" ht="12.75" customHeight="1" x14ac:dyDescent="0.15">
      <c r="AE9448" s="13"/>
    </row>
    <row r="9449" spans="31:31" ht="12.75" customHeight="1" x14ac:dyDescent="0.15">
      <c r="AE9449" s="13"/>
    </row>
    <row r="9450" spans="31:31" ht="12.75" customHeight="1" x14ac:dyDescent="0.15">
      <c r="AE9450" s="13"/>
    </row>
    <row r="9451" spans="31:31" ht="12.75" customHeight="1" x14ac:dyDescent="0.15">
      <c r="AE9451" s="13"/>
    </row>
    <row r="9452" spans="31:31" ht="12.75" customHeight="1" x14ac:dyDescent="0.15">
      <c r="AE9452" s="13"/>
    </row>
    <row r="9453" spans="31:31" ht="12.75" customHeight="1" x14ac:dyDescent="0.15">
      <c r="AE9453" s="13"/>
    </row>
    <row r="9454" spans="31:31" ht="12.75" customHeight="1" x14ac:dyDescent="0.15">
      <c r="AE9454" s="13"/>
    </row>
    <row r="9455" spans="31:31" ht="12.75" customHeight="1" x14ac:dyDescent="0.15">
      <c r="AE9455" s="13"/>
    </row>
    <row r="9456" spans="31:31" ht="12.75" customHeight="1" x14ac:dyDescent="0.15">
      <c r="AE9456" s="13"/>
    </row>
    <row r="9457" spans="31:31" ht="12.75" customHeight="1" x14ac:dyDescent="0.15">
      <c r="AE9457" s="13"/>
    </row>
    <row r="9458" spans="31:31" ht="12.75" customHeight="1" x14ac:dyDescent="0.15">
      <c r="AE9458" s="13"/>
    </row>
    <row r="9459" spans="31:31" ht="12.75" customHeight="1" x14ac:dyDescent="0.15">
      <c r="AE9459" s="13"/>
    </row>
    <row r="9460" spans="31:31" ht="12.75" customHeight="1" x14ac:dyDescent="0.15">
      <c r="AE9460" s="13"/>
    </row>
    <row r="9461" spans="31:31" ht="12.75" customHeight="1" x14ac:dyDescent="0.15">
      <c r="AE9461" s="13"/>
    </row>
    <row r="9462" spans="31:31" ht="12.75" customHeight="1" x14ac:dyDescent="0.15">
      <c r="AE9462" s="13"/>
    </row>
    <row r="9463" spans="31:31" ht="12.75" customHeight="1" x14ac:dyDescent="0.15">
      <c r="AE9463" s="13"/>
    </row>
    <row r="9464" spans="31:31" ht="12.75" customHeight="1" x14ac:dyDescent="0.15">
      <c r="AE9464" s="13"/>
    </row>
    <row r="9465" spans="31:31" ht="12.75" customHeight="1" x14ac:dyDescent="0.15">
      <c r="AE9465" s="13"/>
    </row>
    <row r="9466" spans="31:31" ht="12.75" customHeight="1" x14ac:dyDescent="0.15">
      <c r="AE9466" s="13"/>
    </row>
    <row r="9467" spans="31:31" ht="12.75" customHeight="1" x14ac:dyDescent="0.15">
      <c r="AE9467" s="13"/>
    </row>
    <row r="9468" spans="31:31" ht="12.75" customHeight="1" x14ac:dyDescent="0.15">
      <c r="AE9468" s="13"/>
    </row>
    <row r="9469" spans="31:31" ht="12.75" customHeight="1" x14ac:dyDescent="0.15">
      <c r="AE9469" s="13"/>
    </row>
    <row r="9470" spans="31:31" ht="12.75" customHeight="1" x14ac:dyDescent="0.15">
      <c r="AE9470" s="13"/>
    </row>
    <row r="9471" spans="31:31" ht="12.75" customHeight="1" x14ac:dyDescent="0.15">
      <c r="AE9471" s="13"/>
    </row>
    <row r="9472" spans="31:31" ht="12.75" customHeight="1" x14ac:dyDescent="0.15">
      <c r="AE9472" s="13"/>
    </row>
    <row r="9473" spans="31:31" ht="12.75" customHeight="1" x14ac:dyDescent="0.15">
      <c r="AE9473" s="13"/>
    </row>
    <row r="9474" spans="31:31" ht="12.75" customHeight="1" x14ac:dyDescent="0.15">
      <c r="AE9474" s="13"/>
    </row>
    <row r="9475" spans="31:31" ht="12.75" customHeight="1" x14ac:dyDescent="0.15">
      <c r="AE9475" s="13"/>
    </row>
    <row r="9476" spans="31:31" ht="12.75" customHeight="1" x14ac:dyDescent="0.15">
      <c r="AE9476" s="13"/>
    </row>
    <row r="9477" spans="31:31" ht="12.75" customHeight="1" x14ac:dyDescent="0.15">
      <c r="AE9477" s="13"/>
    </row>
    <row r="9478" spans="31:31" ht="12.75" customHeight="1" x14ac:dyDescent="0.15">
      <c r="AE9478" s="13"/>
    </row>
    <row r="9479" spans="31:31" ht="12.75" customHeight="1" x14ac:dyDescent="0.15">
      <c r="AE9479" s="13"/>
    </row>
    <row r="9480" spans="31:31" ht="12.75" customHeight="1" x14ac:dyDescent="0.15">
      <c r="AE9480" s="13"/>
    </row>
    <row r="9481" spans="31:31" ht="12.75" customHeight="1" x14ac:dyDescent="0.15">
      <c r="AE9481" s="13"/>
    </row>
    <row r="9482" spans="31:31" ht="12.75" customHeight="1" x14ac:dyDescent="0.15">
      <c r="AE9482" s="13"/>
    </row>
    <row r="9483" spans="31:31" ht="12.75" customHeight="1" x14ac:dyDescent="0.15">
      <c r="AE9483" s="13"/>
    </row>
    <row r="9484" spans="31:31" ht="12.75" customHeight="1" x14ac:dyDescent="0.15">
      <c r="AE9484" s="13"/>
    </row>
    <row r="9485" spans="31:31" ht="12.75" customHeight="1" x14ac:dyDescent="0.15">
      <c r="AE9485" s="13"/>
    </row>
    <row r="9486" spans="31:31" ht="12.75" customHeight="1" x14ac:dyDescent="0.15">
      <c r="AE9486" s="13"/>
    </row>
    <row r="9487" spans="31:31" ht="12.75" customHeight="1" x14ac:dyDescent="0.15">
      <c r="AE9487" s="13"/>
    </row>
    <row r="9488" spans="31:31" ht="12.75" customHeight="1" x14ac:dyDescent="0.15">
      <c r="AE9488" s="13"/>
    </row>
    <row r="9489" spans="31:31" ht="12.75" customHeight="1" x14ac:dyDescent="0.15">
      <c r="AE9489" s="13"/>
    </row>
    <row r="9490" spans="31:31" ht="12.75" customHeight="1" x14ac:dyDescent="0.15">
      <c r="AE9490" s="13"/>
    </row>
    <row r="9491" spans="31:31" ht="12.75" customHeight="1" x14ac:dyDescent="0.15">
      <c r="AE9491" s="13"/>
    </row>
    <row r="9492" spans="31:31" ht="12.75" customHeight="1" x14ac:dyDescent="0.15">
      <c r="AE9492" s="13"/>
    </row>
    <row r="9493" spans="31:31" ht="12.75" customHeight="1" x14ac:dyDescent="0.15">
      <c r="AE9493" s="13"/>
    </row>
    <row r="9494" spans="31:31" ht="12.75" customHeight="1" x14ac:dyDescent="0.15">
      <c r="AE9494" s="13"/>
    </row>
    <row r="9495" spans="31:31" ht="12.75" customHeight="1" x14ac:dyDescent="0.15">
      <c r="AE9495" s="13"/>
    </row>
    <row r="9496" spans="31:31" ht="12.75" customHeight="1" x14ac:dyDescent="0.15">
      <c r="AE9496" s="13"/>
    </row>
    <row r="9497" spans="31:31" ht="12.75" customHeight="1" x14ac:dyDescent="0.15">
      <c r="AE9497" s="13"/>
    </row>
    <row r="9498" spans="31:31" ht="12.75" customHeight="1" x14ac:dyDescent="0.15">
      <c r="AE9498" s="13"/>
    </row>
    <row r="9499" spans="31:31" ht="12.75" customHeight="1" x14ac:dyDescent="0.15">
      <c r="AE9499" s="13"/>
    </row>
    <row r="9500" spans="31:31" ht="12.75" customHeight="1" x14ac:dyDescent="0.15">
      <c r="AE9500" s="13"/>
    </row>
    <row r="9501" spans="31:31" ht="12.75" customHeight="1" x14ac:dyDescent="0.15">
      <c r="AE9501" s="13"/>
    </row>
    <row r="9502" spans="31:31" ht="12.75" customHeight="1" x14ac:dyDescent="0.15">
      <c r="AE9502" s="13"/>
    </row>
    <row r="9503" spans="31:31" ht="12.75" customHeight="1" x14ac:dyDescent="0.15">
      <c r="AE9503" s="13"/>
    </row>
    <row r="9504" spans="31:31" ht="12.75" customHeight="1" x14ac:dyDescent="0.15">
      <c r="AE9504" s="13"/>
    </row>
    <row r="9505" spans="31:31" ht="12.75" customHeight="1" x14ac:dyDescent="0.15">
      <c r="AE9505" s="13"/>
    </row>
    <row r="9506" spans="31:31" ht="12.75" customHeight="1" x14ac:dyDescent="0.15">
      <c r="AE9506" s="13"/>
    </row>
    <row r="9507" spans="31:31" ht="12.75" customHeight="1" x14ac:dyDescent="0.15">
      <c r="AE9507" s="13"/>
    </row>
    <row r="9508" spans="31:31" ht="12.75" customHeight="1" x14ac:dyDescent="0.15">
      <c r="AE9508" s="13"/>
    </row>
    <row r="9509" spans="31:31" ht="12.75" customHeight="1" x14ac:dyDescent="0.15">
      <c r="AE9509" s="13"/>
    </row>
    <row r="9510" spans="31:31" ht="12.75" customHeight="1" x14ac:dyDescent="0.15">
      <c r="AE9510" s="13"/>
    </row>
    <row r="9511" spans="31:31" ht="12.75" customHeight="1" x14ac:dyDescent="0.15">
      <c r="AE9511" s="13"/>
    </row>
    <row r="9512" spans="31:31" ht="12.75" customHeight="1" x14ac:dyDescent="0.15">
      <c r="AE9512" s="13"/>
    </row>
    <row r="9513" spans="31:31" ht="12.75" customHeight="1" x14ac:dyDescent="0.15">
      <c r="AE9513" s="13"/>
    </row>
    <row r="9514" spans="31:31" ht="12.75" customHeight="1" x14ac:dyDescent="0.15">
      <c r="AE9514" s="13"/>
    </row>
    <row r="9515" spans="31:31" ht="12.75" customHeight="1" x14ac:dyDescent="0.15">
      <c r="AE9515" s="13"/>
    </row>
    <row r="9516" spans="31:31" ht="12.75" customHeight="1" x14ac:dyDescent="0.15">
      <c r="AE9516" s="13"/>
    </row>
    <row r="9517" spans="31:31" ht="12.75" customHeight="1" x14ac:dyDescent="0.15">
      <c r="AE9517" s="13"/>
    </row>
    <row r="9518" spans="31:31" ht="12.75" customHeight="1" x14ac:dyDescent="0.15">
      <c r="AE9518" s="13"/>
    </row>
    <row r="9519" spans="31:31" ht="12.75" customHeight="1" x14ac:dyDescent="0.15">
      <c r="AE9519" s="13"/>
    </row>
    <row r="9520" spans="31:31" ht="12.75" customHeight="1" x14ac:dyDescent="0.15">
      <c r="AE9520" s="13"/>
    </row>
    <row r="9521" spans="31:31" ht="12.75" customHeight="1" x14ac:dyDescent="0.15">
      <c r="AE9521" s="13"/>
    </row>
    <row r="9522" spans="31:31" ht="12.75" customHeight="1" x14ac:dyDescent="0.15">
      <c r="AE9522" s="13"/>
    </row>
    <row r="9523" spans="31:31" ht="12.75" customHeight="1" x14ac:dyDescent="0.15">
      <c r="AE9523" s="13"/>
    </row>
    <row r="9524" spans="31:31" ht="12.75" customHeight="1" x14ac:dyDescent="0.15">
      <c r="AE9524" s="13"/>
    </row>
    <row r="9525" spans="31:31" ht="12.75" customHeight="1" x14ac:dyDescent="0.15">
      <c r="AE9525" s="13"/>
    </row>
    <row r="9526" spans="31:31" ht="12.75" customHeight="1" x14ac:dyDescent="0.15">
      <c r="AE9526" s="13"/>
    </row>
    <row r="9527" spans="31:31" ht="12.75" customHeight="1" x14ac:dyDescent="0.15">
      <c r="AE9527" s="13"/>
    </row>
    <row r="9528" spans="31:31" ht="12.75" customHeight="1" x14ac:dyDescent="0.15">
      <c r="AE9528" s="13"/>
    </row>
    <row r="9529" spans="31:31" ht="12.75" customHeight="1" x14ac:dyDescent="0.15">
      <c r="AE9529" s="13"/>
    </row>
    <row r="9530" spans="31:31" ht="12.75" customHeight="1" x14ac:dyDescent="0.15">
      <c r="AE9530" s="13"/>
    </row>
    <row r="9531" spans="31:31" ht="12.75" customHeight="1" x14ac:dyDescent="0.15">
      <c r="AE9531" s="13"/>
    </row>
    <row r="9532" spans="31:31" ht="12.75" customHeight="1" x14ac:dyDescent="0.15">
      <c r="AE9532" s="13"/>
    </row>
    <row r="9533" spans="31:31" ht="12.75" customHeight="1" x14ac:dyDescent="0.15">
      <c r="AE9533" s="13"/>
    </row>
    <row r="9534" spans="31:31" ht="12.75" customHeight="1" x14ac:dyDescent="0.15">
      <c r="AE9534" s="13"/>
    </row>
    <row r="9535" spans="31:31" ht="12.75" customHeight="1" x14ac:dyDescent="0.15">
      <c r="AE9535" s="13"/>
    </row>
    <row r="9536" spans="31:31" ht="12.75" customHeight="1" x14ac:dyDescent="0.15">
      <c r="AE9536" s="13"/>
    </row>
    <row r="9537" spans="31:31" ht="12.75" customHeight="1" x14ac:dyDescent="0.15">
      <c r="AE9537" s="13"/>
    </row>
    <row r="9538" spans="31:31" ht="12.75" customHeight="1" x14ac:dyDescent="0.15">
      <c r="AE9538" s="13"/>
    </row>
    <row r="9539" spans="31:31" ht="12.75" customHeight="1" x14ac:dyDescent="0.15">
      <c r="AE9539" s="13"/>
    </row>
    <row r="9540" spans="31:31" ht="12.75" customHeight="1" x14ac:dyDescent="0.15">
      <c r="AE9540" s="13"/>
    </row>
    <row r="9541" spans="31:31" ht="12.75" customHeight="1" x14ac:dyDescent="0.15">
      <c r="AE9541" s="13"/>
    </row>
    <row r="9542" spans="31:31" ht="12.75" customHeight="1" x14ac:dyDescent="0.15">
      <c r="AE9542" s="13"/>
    </row>
    <row r="9543" spans="31:31" ht="12.75" customHeight="1" x14ac:dyDescent="0.15">
      <c r="AE9543" s="13"/>
    </row>
    <row r="9544" spans="31:31" ht="12.75" customHeight="1" x14ac:dyDescent="0.15">
      <c r="AE9544" s="13"/>
    </row>
    <row r="9545" spans="31:31" ht="12.75" customHeight="1" x14ac:dyDescent="0.15">
      <c r="AE9545" s="13"/>
    </row>
    <row r="9546" spans="31:31" ht="12.75" customHeight="1" x14ac:dyDescent="0.15">
      <c r="AE9546" s="13"/>
    </row>
    <row r="9547" spans="31:31" ht="12.75" customHeight="1" x14ac:dyDescent="0.15">
      <c r="AE9547" s="13"/>
    </row>
    <row r="9548" spans="31:31" ht="12.75" customHeight="1" x14ac:dyDescent="0.15">
      <c r="AE9548" s="13"/>
    </row>
    <row r="9549" spans="31:31" ht="12.75" customHeight="1" x14ac:dyDescent="0.15">
      <c r="AE9549" s="13"/>
    </row>
    <row r="9550" spans="31:31" ht="12.75" customHeight="1" x14ac:dyDescent="0.15">
      <c r="AE9550" s="13"/>
    </row>
    <row r="9551" spans="31:31" ht="12.75" customHeight="1" x14ac:dyDescent="0.15">
      <c r="AE9551" s="13"/>
    </row>
    <row r="9552" spans="31:31" ht="12.75" customHeight="1" x14ac:dyDescent="0.15">
      <c r="AE9552" s="13"/>
    </row>
    <row r="9553" spans="31:31" ht="12.75" customHeight="1" x14ac:dyDescent="0.15">
      <c r="AE9553" s="13"/>
    </row>
    <row r="9554" spans="31:31" ht="12.75" customHeight="1" x14ac:dyDescent="0.15">
      <c r="AE9554" s="13"/>
    </row>
    <row r="9555" spans="31:31" ht="12.75" customHeight="1" x14ac:dyDescent="0.15">
      <c r="AE9555" s="13"/>
    </row>
    <row r="9556" spans="31:31" ht="12.75" customHeight="1" x14ac:dyDescent="0.15">
      <c r="AE9556" s="13"/>
    </row>
    <row r="9557" spans="31:31" ht="12.75" customHeight="1" x14ac:dyDescent="0.15">
      <c r="AE9557" s="13"/>
    </row>
    <row r="9558" spans="31:31" ht="12.75" customHeight="1" x14ac:dyDescent="0.15">
      <c r="AE9558" s="13"/>
    </row>
    <row r="9559" spans="31:31" ht="12.75" customHeight="1" x14ac:dyDescent="0.15">
      <c r="AE9559" s="13"/>
    </row>
    <row r="9560" spans="31:31" ht="12.75" customHeight="1" x14ac:dyDescent="0.15">
      <c r="AE9560" s="13"/>
    </row>
    <row r="9561" spans="31:31" ht="12.75" customHeight="1" x14ac:dyDescent="0.15">
      <c r="AE9561" s="13"/>
    </row>
    <row r="9562" spans="31:31" ht="12.75" customHeight="1" x14ac:dyDescent="0.15">
      <c r="AE9562" s="13"/>
    </row>
    <row r="9563" spans="31:31" ht="12.75" customHeight="1" x14ac:dyDescent="0.15">
      <c r="AE9563" s="13"/>
    </row>
    <row r="9564" spans="31:31" ht="12.75" customHeight="1" x14ac:dyDescent="0.15">
      <c r="AE9564" s="13"/>
    </row>
    <row r="9565" spans="31:31" ht="12.75" customHeight="1" x14ac:dyDescent="0.15">
      <c r="AE9565" s="13"/>
    </row>
    <row r="9566" spans="31:31" ht="12.75" customHeight="1" x14ac:dyDescent="0.15">
      <c r="AE9566" s="13"/>
    </row>
    <row r="9567" spans="31:31" ht="12.75" customHeight="1" x14ac:dyDescent="0.15">
      <c r="AE9567" s="13"/>
    </row>
    <row r="9568" spans="31:31" ht="12.75" customHeight="1" x14ac:dyDescent="0.15">
      <c r="AE9568" s="13"/>
    </row>
    <row r="9569" spans="31:31" ht="12.75" customHeight="1" x14ac:dyDescent="0.15">
      <c r="AE9569" s="13"/>
    </row>
    <row r="9570" spans="31:31" ht="12.75" customHeight="1" x14ac:dyDescent="0.15">
      <c r="AE9570" s="13"/>
    </row>
    <row r="9571" spans="31:31" ht="12.75" customHeight="1" x14ac:dyDescent="0.15">
      <c r="AE9571" s="13"/>
    </row>
    <row r="9572" spans="31:31" ht="12.75" customHeight="1" x14ac:dyDescent="0.15">
      <c r="AE9572" s="13"/>
    </row>
    <row r="9573" spans="31:31" ht="12.75" customHeight="1" x14ac:dyDescent="0.15">
      <c r="AE9573" s="13"/>
    </row>
    <row r="9574" spans="31:31" ht="12.75" customHeight="1" x14ac:dyDescent="0.15">
      <c r="AE9574" s="13"/>
    </row>
    <row r="9575" spans="31:31" ht="12.75" customHeight="1" x14ac:dyDescent="0.15">
      <c r="AE9575" s="13"/>
    </row>
    <row r="9576" spans="31:31" ht="12.75" customHeight="1" x14ac:dyDescent="0.15">
      <c r="AE9576" s="13"/>
    </row>
    <row r="9577" spans="31:31" ht="12.75" customHeight="1" x14ac:dyDescent="0.15">
      <c r="AE9577" s="13"/>
    </row>
    <row r="9578" spans="31:31" ht="12.75" customHeight="1" x14ac:dyDescent="0.15">
      <c r="AE9578" s="13"/>
    </row>
    <row r="9579" spans="31:31" ht="12.75" customHeight="1" x14ac:dyDescent="0.15">
      <c r="AE9579" s="13"/>
    </row>
    <row r="9580" spans="31:31" ht="12.75" customHeight="1" x14ac:dyDescent="0.15">
      <c r="AE9580" s="13"/>
    </row>
    <row r="9581" spans="31:31" ht="12.75" customHeight="1" x14ac:dyDescent="0.15">
      <c r="AE9581" s="13"/>
    </row>
    <row r="9582" spans="31:31" ht="12.75" customHeight="1" x14ac:dyDescent="0.15">
      <c r="AE9582" s="13"/>
    </row>
    <row r="9583" spans="31:31" ht="12.75" customHeight="1" x14ac:dyDescent="0.15">
      <c r="AE9583" s="13"/>
    </row>
    <row r="9584" spans="31:31" ht="12.75" customHeight="1" x14ac:dyDescent="0.15">
      <c r="AE9584" s="13"/>
    </row>
    <row r="9585" spans="31:31" ht="12.75" customHeight="1" x14ac:dyDescent="0.15">
      <c r="AE9585" s="13"/>
    </row>
    <row r="9586" spans="31:31" ht="12.75" customHeight="1" x14ac:dyDescent="0.15">
      <c r="AE9586" s="13"/>
    </row>
    <row r="9587" spans="31:31" ht="12.75" customHeight="1" x14ac:dyDescent="0.15">
      <c r="AE9587" s="13"/>
    </row>
    <row r="9588" spans="31:31" ht="12.75" customHeight="1" x14ac:dyDescent="0.15">
      <c r="AE9588" s="13"/>
    </row>
    <row r="9589" spans="31:31" ht="12.75" customHeight="1" x14ac:dyDescent="0.15">
      <c r="AE9589" s="13"/>
    </row>
    <row r="9590" spans="31:31" ht="12.75" customHeight="1" x14ac:dyDescent="0.15">
      <c r="AE9590" s="13"/>
    </row>
    <row r="9591" spans="31:31" ht="12.75" customHeight="1" x14ac:dyDescent="0.15">
      <c r="AE9591" s="13"/>
    </row>
    <row r="9592" spans="31:31" ht="12.75" customHeight="1" x14ac:dyDescent="0.15">
      <c r="AE9592" s="13"/>
    </row>
    <row r="9593" spans="31:31" ht="12.75" customHeight="1" x14ac:dyDescent="0.15">
      <c r="AE9593" s="13"/>
    </row>
    <row r="9594" spans="31:31" ht="12.75" customHeight="1" x14ac:dyDescent="0.15">
      <c r="AE9594" s="13"/>
    </row>
    <row r="9595" spans="31:31" ht="12.75" customHeight="1" x14ac:dyDescent="0.15">
      <c r="AE9595" s="13"/>
    </row>
    <row r="9596" spans="31:31" ht="12.75" customHeight="1" x14ac:dyDescent="0.15">
      <c r="AE9596" s="13"/>
    </row>
    <row r="9597" spans="31:31" ht="12.75" customHeight="1" x14ac:dyDescent="0.15">
      <c r="AE9597" s="13"/>
    </row>
    <row r="9598" spans="31:31" ht="12.75" customHeight="1" x14ac:dyDescent="0.15">
      <c r="AE9598" s="13"/>
    </row>
    <row r="9599" spans="31:31" ht="12.75" customHeight="1" x14ac:dyDescent="0.15">
      <c r="AE9599" s="13"/>
    </row>
    <row r="9600" spans="31:31" ht="12.75" customHeight="1" x14ac:dyDescent="0.15">
      <c r="AE9600" s="13"/>
    </row>
    <row r="9601" spans="31:31" ht="12.75" customHeight="1" x14ac:dyDescent="0.15">
      <c r="AE9601" s="13"/>
    </row>
    <row r="9602" spans="31:31" ht="12.75" customHeight="1" x14ac:dyDescent="0.15">
      <c r="AE9602" s="13"/>
    </row>
    <row r="9603" spans="31:31" ht="12.75" customHeight="1" x14ac:dyDescent="0.15">
      <c r="AE9603" s="13"/>
    </row>
    <row r="9604" spans="31:31" ht="12.75" customHeight="1" x14ac:dyDescent="0.15">
      <c r="AE9604" s="13"/>
    </row>
    <row r="9605" spans="31:31" ht="12.75" customHeight="1" x14ac:dyDescent="0.15">
      <c r="AE9605" s="13"/>
    </row>
    <row r="9606" spans="31:31" ht="12.75" customHeight="1" x14ac:dyDescent="0.15">
      <c r="AE9606" s="13"/>
    </row>
    <row r="9607" spans="31:31" ht="12.75" customHeight="1" x14ac:dyDescent="0.15">
      <c r="AE9607" s="13"/>
    </row>
    <row r="9608" spans="31:31" ht="12.75" customHeight="1" x14ac:dyDescent="0.15">
      <c r="AE9608" s="13"/>
    </row>
    <row r="9609" spans="31:31" ht="12.75" customHeight="1" x14ac:dyDescent="0.15">
      <c r="AE9609" s="13"/>
    </row>
    <row r="9610" spans="31:31" ht="12.75" customHeight="1" x14ac:dyDescent="0.15">
      <c r="AE9610" s="13"/>
    </row>
    <row r="9611" spans="31:31" ht="12.75" customHeight="1" x14ac:dyDescent="0.15">
      <c r="AE9611" s="13"/>
    </row>
    <row r="9612" spans="31:31" ht="12.75" customHeight="1" x14ac:dyDescent="0.15">
      <c r="AE9612" s="13"/>
    </row>
    <row r="9613" spans="31:31" ht="12.75" customHeight="1" x14ac:dyDescent="0.15">
      <c r="AE9613" s="13"/>
    </row>
    <row r="9614" spans="31:31" ht="12.75" customHeight="1" x14ac:dyDescent="0.15">
      <c r="AE9614" s="13"/>
    </row>
    <row r="9615" spans="31:31" ht="12.75" customHeight="1" x14ac:dyDescent="0.15">
      <c r="AE9615" s="13"/>
    </row>
    <row r="9616" spans="31:31" ht="12.75" customHeight="1" x14ac:dyDescent="0.15">
      <c r="AE9616" s="13"/>
    </row>
    <row r="9617" spans="31:31" ht="12.75" customHeight="1" x14ac:dyDescent="0.15">
      <c r="AE9617" s="13"/>
    </row>
    <row r="9618" spans="31:31" ht="12.75" customHeight="1" x14ac:dyDescent="0.15">
      <c r="AE9618" s="13"/>
    </row>
    <row r="9619" spans="31:31" ht="12.75" customHeight="1" x14ac:dyDescent="0.15">
      <c r="AE9619" s="13"/>
    </row>
    <row r="9620" spans="31:31" ht="12.75" customHeight="1" x14ac:dyDescent="0.15">
      <c r="AE9620" s="13"/>
    </row>
    <row r="9621" spans="31:31" ht="12.75" customHeight="1" x14ac:dyDescent="0.15">
      <c r="AE9621" s="13"/>
    </row>
    <row r="9622" spans="31:31" ht="12.75" customHeight="1" x14ac:dyDescent="0.15">
      <c r="AE9622" s="13"/>
    </row>
    <row r="9623" spans="31:31" ht="12.75" customHeight="1" x14ac:dyDescent="0.15">
      <c r="AE9623" s="13"/>
    </row>
    <row r="9624" spans="31:31" ht="12.75" customHeight="1" x14ac:dyDescent="0.15">
      <c r="AE9624" s="13"/>
    </row>
    <row r="9625" spans="31:31" ht="12.75" customHeight="1" x14ac:dyDescent="0.15">
      <c r="AE9625" s="13"/>
    </row>
    <row r="9626" spans="31:31" ht="12.75" customHeight="1" x14ac:dyDescent="0.15">
      <c r="AE9626" s="13"/>
    </row>
    <row r="9627" spans="31:31" ht="12.75" customHeight="1" x14ac:dyDescent="0.15">
      <c r="AE9627" s="13"/>
    </row>
    <row r="9628" spans="31:31" ht="12.75" customHeight="1" x14ac:dyDescent="0.15">
      <c r="AE9628" s="13"/>
    </row>
    <row r="9629" spans="31:31" ht="12.75" customHeight="1" x14ac:dyDescent="0.15">
      <c r="AE9629" s="13"/>
    </row>
    <row r="9630" spans="31:31" ht="12.75" customHeight="1" x14ac:dyDescent="0.15">
      <c r="AE9630" s="13"/>
    </row>
    <row r="9631" spans="31:31" ht="12.75" customHeight="1" x14ac:dyDescent="0.15">
      <c r="AE9631" s="13"/>
    </row>
    <row r="9632" spans="31:31" ht="12.75" customHeight="1" x14ac:dyDescent="0.15">
      <c r="AE9632" s="13"/>
    </row>
    <row r="9633" spans="31:31" ht="12.75" customHeight="1" x14ac:dyDescent="0.15">
      <c r="AE9633" s="13"/>
    </row>
    <row r="9634" spans="31:31" ht="12.75" customHeight="1" x14ac:dyDescent="0.15">
      <c r="AE9634" s="13"/>
    </row>
    <row r="9635" spans="31:31" ht="12.75" customHeight="1" x14ac:dyDescent="0.15">
      <c r="AE9635" s="13"/>
    </row>
    <row r="9636" spans="31:31" ht="12.75" customHeight="1" x14ac:dyDescent="0.15">
      <c r="AE9636" s="13"/>
    </row>
    <row r="9637" spans="31:31" ht="12.75" customHeight="1" x14ac:dyDescent="0.15">
      <c r="AE9637" s="13"/>
    </row>
    <row r="9638" spans="31:31" ht="12.75" customHeight="1" x14ac:dyDescent="0.15">
      <c r="AE9638" s="13"/>
    </row>
    <row r="9639" spans="31:31" ht="12.75" customHeight="1" x14ac:dyDescent="0.15">
      <c r="AE9639" s="13"/>
    </row>
    <row r="9640" spans="31:31" ht="12.75" customHeight="1" x14ac:dyDescent="0.15">
      <c r="AE9640" s="13"/>
    </row>
    <row r="9641" spans="31:31" ht="12.75" customHeight="1" x14ac:dyDescent="0.15">
      <c r="AE9641" s="13"/>
    </row>
    <row r="9642" spans="31:31" ht="12.75" customHeight="1" x14ac:dyDescent="0.15">
      <c r="AE9642" s="13"/>
    </row>
    <row r="9643" spans="31:31" ht="12.75" customHeight="1" x14ac:dyDescent="0.15">
      <c r="AE9643" s="13"/>
    </row>
    <row r="9644" spans="31:31" ht="12.75" customHeight="1" x14ac:dyDescent="0.15">
      <c r="AE9644" s="13"/>
    </row>
    <row r="9645" spans="31:31" ht="12.75" customHeight="1" x14ac:dyDescent="0.15">
      <c r="AE9645" s="13"/>
    </row>
    <row r="9646" spans="31:31" ht="12.75" customHeight="1" x14ac:dyDescent="0.15">
      <c r="AE9646" s="13"/>
    </row>
    <row r="9647" spans="31:31" ht="12.75" customHeight="1" x14ac:dyDescent="0.15">
      <c r="AE9647" s="13"/>
    </row>
    <row r="9648" spans="31:31" ht="12.75" customHeight="1" x14ac:dyDescent="0.15">
      <c r="AE9648" s="13"/>
    </row>
    <row r="9649" spans="31:31" ht="12.75" customHeight="1" x14ac:dyDescent="0.15">
      <c r="AE9649" s="13"/>
    </row>
    <row r="9650" spans="31:31" ht="12.75" customHeight="1" x14ac:dyDescent="0.15">
      <c r="AE9650" s="13"/>
    </row>
    <row r="9651" spans="31:31" ht="12.75" customHeight="1" x14ac:dyDescent="0.15">
      <c r="AE9651" s="13"/>
    </row>
    <row r="9652" spans="31:31" ht="12.75" customHeight="1" x14ac:dyDescent="0.15">
      <c r="AE9652" s="13"/>
    </row>
    <row r="9653" spans="31:31" ht="12.75" customHeight="1" x14ac:dyDescent="0.15">
      <c r="AE9653" s="13"/>
    </row>
    <row r="9654" spans="31:31" ht="12.75" customHeight="1" x14ac:dyDescent="0.15">
      <c r="AE9654" s="13"/>
    </row>
    <row r="9655" spans="31:31" ht="12.75" customHeight="1" x14ac:dyDescent="0.15">
      <c r="AE9655" s="13"/>
    </row>
    <row r="9656" spans="31:31" ht="12.75" customHeight="1" x14ac:dyDescent="0.15">
      <c r="AE9656" s="13"/>
    </row>
    <row r="9657" spans="31:31" ht="12.75" customHeight="1" x14ac:dyDescent="0.15">
      <c r="AE9657" s="13"/>
    </row>
    <row r="9658" spans="31:31" ht="12.75" customHeight="1" x14ac:dyDescent="0.15">
      <c r="AE9658" s="13"/>
    </row>
    <row r="9659" spans="31:31" ht="12.75" customHeight="1" x14ac:dyDescent="0.15">
      <c r="AE9659" s="13"/>
    </row>
    <row r="9660" spans="31:31" ht="12.75" customHeight="1" x14ac:dyDescent="0.15">
      <c r="AE9660" s="13"/>
    </row>
    <row r="9661" spans="31:31" ht="12.75" customHeight="1" x14ac:dyDescent="0.15">
      <c r="AE9661" s="13"/>
    </row>
    <row r="9662" spans="31:31" ht="12.75" customHeight="1" x14ac:dyDescent="0.15">
      <c r="AE9662" s="13"/>
    </row>
    <row r="9663" spans="31:31" ht="12.75" customHeight="1" x14ac:dyDescent="0.15">
      <c r="AE9663" s="13"/>
    </row>
    <row r="9664" spans="31:31" ht="12.75" customHeight="1" x14ac:dyDescent="0.15">
      <c r="AE9664" s="13"/>
    </row>
    <row r="9665" spans="31:31" ht="12.75" customHeight="1" x14ac:dyDescent="0.15">
      <c r="AE9665" s="13"/>
    </row>
    <row r="9666" spans="31:31" ht="12.75" customHeight="1" x14ac:dyDescent="0.15">
      <c r="AE9666" s="13"/>
    </row>
    <row r="9667" spans="31:31" ht="12.75" customHeight="1" x14ac:dyDescent="0.15">
      <c r="AE9667" s="13"/>
    </row>
    <row r="9668" spans="31:31" ht="12.75" customHeight="1" x14ac:dyDescent="0.15">
      <c r="AE9668" s="13"/>
    </row>
    <row r="9669" spans="31:31" ht="12.75" customHeight="1" x14ac:dyDescent="0.15">
      <c r="AE9669" s="13"/>
    </row>
    <row r="9670" spans="31:31" ht="12.75" customHeight="1" x14ac:dyDescent="0.15">
      <c r="AE9670" s="13"/>
    </row>
    <row r="9671" spans="31:31" ht="12.75" customHeight="1" x14ac:dyDescent="0.15">
      <c r="AE9671" s="13"/>
    </row>
    <row r="9672" spans="31:31" ht="12.75" customHeight="1" x14ac:dyDescent="0.15">
      <c r="AE9672" s="13"/>
    </row>
    <row r="9673" spans="31:31" ht="12.75" customHeight="1" x14ac:dyDescent="0.15">
      <c r="AE9673" s="13"/>
    </row>
    <row r="9674" spans="31:31" ht="12.75" customHeight="1" x14ac:dyDescent="0.15">
      <c r="AE9674" s="13"/>
    </row>
    <row r="9675" spans="31:31" ht="12.75" customHeight="1" x14ac:dyDescent="0.15">
      <c r="AE9675" s="13"/>
    </row>
    <row r="9676" spans="31:31" ht="12.75" customHeight="1" x14ac:dyDescent="0.15">
      <c r="AE9676" s="13"/>
    </row>
    <row r="9677" spans="31:31" ht="12.75" customHeight="1" x14ac:dyDescent="0.15">
      <c r="AE9677" s="13"/>
    </row>
    <row r="9678" spans="31:31" ht="12.75" customHeight="1" x14ac:dyDescent="0.15">
      <c r="AE9678" s="13"/>
    </row>
    <row r="9679" spans="31:31" ht="12.75" customHeight="1" x14ac:dyDescent="0.15">
      <c r="AE9679" s="13"/>
    </row>
    <row r="9680" spans="31:31" ht="12.75" customHeight="1" x14ac:dyDescent="0.15">
      <c r="AE9680" s="13"/>
    </row>
    <row r="9681" spans="31:31" ht="12.75" customHeight="1" x14ac:dyDescent="0.15">
      <c r="AE9681" s="13"/>
    </row>
    <row r="9682" spans="31:31" ht="12.75" customHeight="1" x14ac:dyDescent="0.15">
      <c r="AE9682" s="13"/>
    </row>
    <row r="9683" spans="31:31" ht="12.75" customHeight="1" x14ac:dyDescent="0.15">
      <c r="AE9683" s="13"/>
    </row>
    <row r="9684" spans="31:31" ht="12.75" customHeight="1" x14ac:dyDescent="0.15">
      <c r="AE9684" s="13"/>
    </row>
    <row r="9685" spans="31:31" ht="12.75" customHeight="1" x14ac:dyDescent="0.15">
      <c r="AE9685" s="13"/>
    </row>
    <row r="9686" spans="31:31" ht="12.75" customHeight="1" x14ac:dyDescent="0.15">
      <c r="AE9686" s="13"/>
    </row>
    <row r="9687" spans="31:31" ht="12.75" customHeight="1" x14ac:dyDescent="0.15">
      <c r="AE9687" s="13"/>
    </row>
    <row r="9688" spans="31:31" ht="12.75" customHeight="1" x14ac:dyDescent="0.15">
      <c r="AE9688" s="13"/>
    </row>
    <row r="9689" spans="31:31" ht="12.75" customHeight="1" x14ac:dyDescent="0.15">
      <c r="AE9689" s="13"/>
    </row>
    <row r="9690" spans="31:31" ht="12.75" customHeight="1" x14ac:dyDescent="0.15">
      <c r="AE9690" s="13"/>
    </row>
    <row r="9691" spans="31:31" ht="12.75" customHeight="1" x14ac:dyDescent="0.15">
      <c r="AE9691" s="13"/>
    </row>
    <row r="9692" spans="31:31" ht="12.75" customHeight="1" x14ac:dyDescent="0.15">
      <c r="AE9692" s="13"/>
    </row>
    <row r="9693" spans="31:31" ht="12.75" customHeight="1" x14ac:dyDescent="0.15">
      <c r="AE9693" s="13"/>
    </row>
    <row r="9694" spans="31:31" ht="12.75" customHeight="1" x14ac:dyDescent="0.15">
      <c r="AE9694" s="13"/>
    </row>
    <row r="9695" spans="31:31" ht="12.75" customHeight="1" x14ac:dyDescent="0.15">
      <c r="AE9695" s="13"/>
    </row>
    <row r="9696" spans="31:31" ht="12.75" customHeight="1" x14ac:dyDescent="0.15">
      <c r="AE9696" s="13"/>
    </row>
    <row r="9697" spans="31:31" ht="12.75" customHeight="1" x14ac:dyDescent="0.15">
      <c r="AE9697" s="13"/>
    </row>
    <row r="9698" spans="31:31" ht="12.75" customHeight="1" x14ac:dyDescent="0.15">
      <c r="AE9698" s="13"/>
    </row>
    <row r="9699" spans="31:31" ht="12.75" customHeight="1" x14ac:dyDescent="0.15">
      <c r="AE9699" s="13"/>
    </row>
    <row r="9700" spans="31:31" ht="12.75" customHeight="1" x14ac:dyDescent="0.15">
      <c r="AE9700" s="13"/>
    </row>
    <row r="9701" spans="31:31" ht="12.75" customHeight="1" x14ac:dyDescent="0.15">
      <c r="AE9701" s="13"/>
    </row>
    <row r="9702" spans="31:31" ht="12.75" customHeight="1" x14ac:dyDescent="0.15">
      <c r="AE9702" s="13"/>
    </row>
    <row r="9703" spans="31:31" ht="12.75" customHeight="1" x14ac:dyDescent="0.15">
      <c r="AE9703" s="13"/>
    </row>
    <row r="9704" spans="31:31" ht="12.75" customHeight="1" x14ac:dyDescent="0.15">
      <c r="AE9704" s="13"/>
    </row>
    <row r="9705" spans="31:31" ht="12.75" customHeight="1" x14ac:dyDescent="0.15">
      <c r="AE9705" s="13"/>
    </row>
    <row r="9706" spans="31:31" ht="12.75" customHeight="1" x14ac:dyDescent="0.15">
      <c r="AE9706" s="13"/>
    </row>
    <row r="9707" spans="31:31" ht="12.75" customHeight="1" x14ac:dyDescent="0.15">
      <c r="AE9707" s="13"/>
    </row>
    <row r="9708" spans="31:31" ht="12.75" customHeight="1" x14ac:dyDescent="0.15">
      <c r="AE9708" s="13"/>
    </row>
    <row r="9709" spans="31:31" ht="12.75" customHeight="1" x14ac:dyDescent="0.15">
      <c r="AE9709" s="13"/>
    </row>
    <row r="9710" spans="31:31" ht="12.75" customHeight="1" x14ac:dyDescent="0.15">
      <c r="AE9710" s="13"/>
    </row>
    <row r="9711" spans="31:31" ht="12.75" customHeight="1" x14ac:dyDescent="0.15">
      <c r="AE9711" s="13"/>
    </row>
    <row r="9712" spans="31:31" ht="12.75" customHeight="1" x14ac:dyDescent="0.15">
      <c r="AE9712" s="13"/>
    </row>
    <row r="9713" spans="31:31" ht="12.75" customHeight="1" x14ac:dyDescent="0.15">
      <c r="AE9713" s="13"/>
    </row>
    <row r="9714" spans="31:31" ht="12.75" customHeight="1" x14ac:dyDescent="0.15">
      <c r="AE9714" s="13"/>
    </row>
    <row r="9715" spans="31:31" ht="12.75" customHeight="1" x14ac:dyDescent="0.15">
      <c r="AE9715" s="13"/>
    </row>
    <row r="9716" spans="31:31" ht="12.75" customHeight="1" x14ac:dyDescent="0.15">
      <c r="AE9716" s="13"/>
    </row>
    <row r="9717" spans="31:31" ht="12.75" customHeight="1" x14ac:dyDescent="0.15">
      <c r="AE9717" s="13"/>
    </row>
    <row r="9718" spans="31:31" ht="12.75" customHeight="1" x14ac:dyDescent="0.15">
      <c r="AE9718" s="13"/>
    </row>
    <row r="9719" spans="31:31" ht="12.75" customHeight="1" x14ac:dyDescent="0.15">
      <c r="AE9719" s="13"/>
    </row>
    <row r="9720" spans="31:31" ht="12.75" customHeight="1" x14ac:dyDescent="0.15">
      <c r="AE9720" s="13"/>
    </row>
    <row r="9721" spans="31:31" ht="12.75" customHeight="1" x14ac:dyDescent="0.15">
      <c r="AE9721" s="13"/>
    </row>
    <row r="9722" spans="31:31" ht="12.75" customHeight="1" x14ac:dyDescent="0.15">
      <c r="AE9722" s="13"/>
    </row>
    <row r="9723" spans="31:31" ht="12.75" customHeight="1" x14ac:dyDescent="0.15">
      <c r="AE9723" s="13"/>
    </row>
    <row r="9724" spans="31:31" ht="12.75" customHeight="1" x14ac:dyDescent="0.15">
      <c r="AE9724" s="13"/>
    </row>
    <row r="9725" spans="31:31" ht="12.75" customHeight="1" x14ac:dyDescent="0.15">
      <c r="AE9725" s="13"/>
    </row>
    <row r="9726" spans="31:31" ht="12.75" customHeight="1" x14ac:dyDescent="0.15">
      <c r="AE9726" s="13"/>
    </row>
    <row r="9727" spans="31:31" ht="12.75" customHeight="1" x14ac:dyDescent="0.15">
      <c r="AE9727" s="13"/>
    </row>
    <row r="9728" spans="31:31" ht="12.75" customHeight="1" x14ac:dyDescent="0.15">
      <c r="AE9728" s="13"/>
    </row>
    <row r="9729" spans="31:31" ht="12.75" customHeight="1" x14ac:dyDescent="0.15">
      <c r="AE9729" s="13"/>
    </row>
    <row r="9730" spans="31:31" ht="12.75" customHeight="1" x14ac:dyDescent="0.15">
      <c r="AE9730" s="13"/>
    </row>
    <row r="9731" spans="31:31" ht="12.75" customHeight="1" x14ac:dyDescent="0.15">
      <c r="AE9731" s="13"/>
    </row>
    <row r="9732" spans="31:31" ht="12.75" customHeight="1" x14ac:dyDescent="0.15">
      <c r="AE9732" s="13"/>
    </row>
    <row r="9733" spans="31:31" ht="12.75" customHeight="1" x14ac:dyDescent="0.15">
      <c r="AE9733" s="13"/>
    </row>
    <row r="9734" spans="31:31" ht="12.75" customHeight="1" x14ac:dyDescent="0.15">
      <c r="AE9734" s="13"/>
    </row>
    <row r="9735" spans="31:31" ht="12.75" customHeight="1" x14ac:dyDescent="0.15">
      <c r="AE9735" s="13"/>
    </row>
    <row r="9736" spans="31:31" ht="12.75" customHeight="1" x14ac:dyDescent="0.15">
      <c r="AE9736" s="13"/>
    </row>
    <row r="9737" spans="31:31" ht="12.75" customHeight="1" x14ac:dyDescent="0.15">
      <c r="AE9737" s="13"/>
    </row>
    <row r="9738" spans="31:31" ht="12.75" customHeight="1" x14ac:dyDescent="0.15">
      <c r="AE9738" s="13"/>
    </row>
    <row r="9739" spans="31:31" ht="12.75" customHeight="1" x14ac:dyDescent="0.15">
      <c r="AE9739" s="13"/>
    </row>
    <row r="9740" spans="31:31" ht="12.75" customHeight="1" x14ac:dyDescent="0.15">
      <c r="AE9740" s="13"/>
    </row>
    <row r="9741" spans="31:31" ht="12.75" customHeight="1" x14ac:dyDescent="0.15">
      <c r="AE9741" s="13"/>
    </row>
    <row r="9742" spans="31:31" ht="12.75" customHeight="1" x14ac:dyDescent="0.15">
      <c r="AE9742" s="13"/>
    </row>
    <row r="9743" spans="31:31" ht="12.75" customHeight="1" x14ac:dyDescent="0.15">
      <c r="AE9743" s="13"/>
    </row>
    <row r="9744" spans="31:31" ht="12.75" customHeight="1" x14ac:dyDescent="0.15">
      <c r="AE9744" s="13"/>
    </row>
    <row r="9745" spans="31:31" ht="12.75" customHeight="1" x14ac:dyDescent="0.15">
      <c r="AE9745" s="13"/>
    </row>
    <row r="9746" spans="31:31" ht="12.75" customHeight="1" x14ac:dyDescent="0.15">
      <c r="AE9746" s="13"/>
    </row>
    <row r="9747" spans="31:31" ht="12.75" customHeight="1" x14ac:dyDescent="0.15">
      <c r="AE9747" s="13"/>
    </row>
    <row r="9748" spans="31:31" ht="12.75" customHeight="1" x14ac:dyDescent="0.15">
      <c r="AE9748" s="13"/>
    </row>
    <row r="9749" spans="31:31" ht="12.75" customHeight="1" x14ac:dyDescent="0.15">
      <c r="AE9749" s="13"/>
    </row>
    <row r="9750" spans="31:31" ht="12.75" customHeight="1" x14ac:dyDescent="0.15">
      <c r="AE9750" s="13"/>
    </row>
    <row r="9751" spans="31:31" ht="12.75" customHeight="1" x14ac:dyDescent="0.15">
      <c r="AE9751" s="13"/>
    </row>
    <row r="9752" spans="31:31" ht="12.75" customHeight="1" x14ac:dyDescent="0.15">
      <c r="AE9752" s="13"/>
    </row>
    <row r="9753" spans="31:31" ht="12.75" customHeight="1" x14ac:dyDescent="0.15">
      <c r="AE9753" s="13"/>
    </row>
    <row r="9754" spans="31:31" ht="12.75" customHeight="1" x14ac:dyDescent="0.15">
      <c r="AE9754" s="13"/>
    </row>
    <row r="9755" spans="31:31" ht="12.75" customHeight="1" x14ac:dyDescent="0.15">
      <c r="AE9755" s="13"/>
    </row>
    <row r="9756" spans="31:31" ht="12.75" customHeight="1" x14ac:dyDescent="0.15">
      <c r="AE9756" s="13"/>
    </row>
    <row r="9757" spans="31:31" ht="12.75" customHeight="1" x14ac:dyDescent="0.15">
      <c r="AE9757" s="13"/>
    </row>
    <row r="9758" spans="31:31" ht="12.75" customHeight="1" x14ac:dyDescent="0.15">
      <c r="AE9758" s="13"/>
    </row>
    <row r="9759" spans="31:31" ht="12.75" customHeight="1" x14ac:dyDescent="0.15">
      <c r="AE9759" s="13"/>
    </row>
    <row r="9760" spans="31:31" ht="12.75" customHeight="1" x14ac:dyDescent="0.15">
      <c r="AE9760" s="13"/>
    </row>
    <row r="9761" spans="31:31" ht="12.75" customHeight="1" x14ac:dyDescent="0.15">
      <c r="AE9761" s="13"/>
    </row>
    <row r="9762" spans="31:31" ht="12.75" customHeight="1" x14ac:dyDescent="0.15">
      <c r="AE9762" s="13"/>
    </row>
    <row r="9763" spans="31:31" ht="12.75" customHeight="1" x14ac:dyDescent="0.15">
      <c r="AE9763" s="13"/>
    </row>
    <row r="9764" spans="31:31" ht="12.75" customHeight="1" x14ac:dyDescent="0.15">
      <c r="AE9764" s="13"/>
    </row>
    <row r="9765" spans="31:31" ht="12.75" customHeight="1" x14ac:dyDescent="0.15">
      <c r="AE9765" s="13"/>
    </row>
    <row r="9766" spans="31:31" ht="12.75" customHeight="1" x14ac:dyDescent="0.15">
      <c r="AE9766" s="13"/>
    </row>
    <row r="9767" spans="31:31" ht="12.75" customHeight="1" x14ac:dyDescent="0.15">
      <c r="AE9767" s="13"/>
    </row>
    <row r="9768" spans="31:31" ht="12.75" customHeight="1" x14ac:dyDescent="0.15">
      <c r="AE9768" s="13"/>
    </row>
    <row r="9769" spans="31:31" ht="12.75" customHeight="1" x14ac:dyDescent="0.15">
      <c r="AE9769" s="13"/>
    </row>
    <row r="9770" spans="31:31" ht="12.75" customHeight="1" x14ac:dyDescent="0.15">
      <c r="AE9770" s="13"/>
    </row>
    <row r="9771" spans="31:31" ht="12.75" customHeight="1" x14ac:dyDescent="0.15">
      <c r="AE9771" s="13"/>
    </row>
    <row r="9772" spans="31:31" ht="12.75" customHeight="1" x14ac:dyDescent="0.15">
      <c r="AE9772" s="13"/>
    </row>
    <row r="9773" spans="31:31" ht="12.75" customHeight="1" x14ac:dyDescent="0.15">
      <c r="AE9773" s="13"/>
    </row>
    <row r="9774" spans="31:31" ht="12.75" customHeight="1" x14ac:dyDescent="0.15">
      <c r="AE9774" s="13"/>
    </row>
    <row r="9775" spans="31:31" ht="12.75" customHeight="1" x14ac:dyDescent="0.15">
      <c r="AE9775" s="13"/>
    </row>
    <row r="9776" spans="31:31" ht="12.75" customHeight="1" x14ac:dyDescent="0.15">
      <c r="AE9776" s="13"/>
    </row>
    <row r="9777" spans="31:31" ht="12.75" customHeight="1" x14ac:dyDescent="0.15">
      <c r="AE9777" s="13"/>
    </row>
    <row r="9778" spans="31:31" ht="12.75" customHeight="1" x14ac:dyDescent="0.15">
      <c r="AE9778" s="13"/>
    </row>
    <row r="9779" spans="31:31" ht="12.75" customHeight="1" x14ac:dyDescent="0.15">
      <c r="AE9779" s="13"/>
    </row>
    <row r="9780" spans="31:31" ht="12.75" customHeight="1" x14ac:dyDescent="0.15">
      <c r="AE9780" s="13"/>
    </row>
    <row r="9781" spans="31:31" ht="12.75" customHeight="1" x14ac:dyDescent="0.15">
      <c r="AE9781" s="13"/>
    </row>
    <row r="9782" spans="31:31" ht="12.75" customHeight="1" x14ac:dyDescent="0.15">
      <c r="AE9782" s="13"/>
    </row>
    <row r="9783" spans="31:31" ht="12.75" customHeight="1" x14ac:dyDescent="0.15">
      <c r="AE9783" s="13"/>
    </row>
    <row r="9784" spans="31:31" ht="12.75" customHeight="1" x14ac:dyDescent="0.15">
      <c r="AE9784" s="13"/>
    </row>
    <row r="9785" spans="31:31" ht="12.75" customHeight="1" x14ac:dyDescent="0.15">
      <c r="AE9785" s="13"/>
    </row>
    <row r="9786" spans="31:31" ht="12.75" customHeight="1" x14ac:dyDescent="0.15">
      <c r="AE9786" s="13"/>
    </row>
    <row r="9787" spans="31:31" ht="12.75" customHeight="1" x14ac:dyDescent="0.15">
      <c r="AE9787" s="13"/>
    </row>
    <row r="9788" spans="31:31" ht="12.75" customHeight="1" x14ac:dyDescent="0.15">
      <c r="AE9788" s="13"/>
    </row>
    <row r="9789" spans="31:31" ht="12.75" customHeight="1" x14ac:dyDescent="0.15">
      <c r="AE9789" s="13"/>
    </row>
    <row r="9790" spans="31:31" ht="12.75" customHeight="1" x14ac:dyDescent="0.15">
      <c r="AE9790" s="13"/>
    </row>
    <row r="9791" spans="31:31" ht="12.75" customHeight="1" x14ac:dyDescent="0.15">
      <c r="AE9791" s="13"/>
    </row>
    <row r="9792" spans="31:31" ht="12.75" customHeight="1" x14ac:dyDescent="0.15">
      <c r="AE9792" s="13"/>
    </row>
    <row r="9793" spans="31:31" ht="12.75" customHeight="1" x14ac:dyDescent="0.15">
      <c r="AE9793" s="13"/>
    </row>
    <row r="9794" spans="31:31" ht="12.75" customHeight="1" x14ac:dyDescent="0.15">
      <c r="AE9794" s="13"/>
    </row>
    <row r="9795" spans="31:31" ht="12.75" customHeight="1" x14ac:dyDescent="0.15">
      <c r="AE9795" s="13"/>
    </row>
    <row r="9796" spans="31:31" ht="12.75" customHeight="1" x14ac:dyDescent="0.15">
      <c r="AE9796" s="13"/>
    </row>
    <row r="9797" spans="31:31" ht="12.75" customHeight="1" x14ac:dyDescent="0.15">
      <c r="AE9797" s="13"/>
    </row>
    <row r="9798" spans="31:31" ht="12.75" customHeight="1" x14ac:dyDescent="0.15">
      <c r="AE9798" s="13"/>
    </row>
    <row r="9799" spans="31:31" ht="12.75" customHeight="1" x14ac:dyDescent="0.15">
      <c r="AE9799" s="13"/>
    </row>
    <row r="9800" spans="31:31" ht="12.75" customHeight="1" x14ac:dyDescent="0.15">
      <c r="AE9800" s="13"/>
    </row>
    <row r="9801" spans="31:31" ht="12.75" customHeight="1" x14ac:dyDescent="0.15">
      <c r="AE9801" s="13"/>
    </row>
    <row r="9802" spans="31:31" ht="12.75" customHeight="1" x14ac:dyDescent="0.15">
      <c r="AE9802" s="13"/>
    </row>
    <row r="9803" spans="31:31" ht="12.75" customHeight="1" x14ac:dyDescent="0.15">
      <c r="AE9803" s="13"/>
    </row>
    <row r="9804" spans="31:31" ht="12.75" customHeight="1" x14ac:dyDescent="0.15">
      <c r="AE9804" s="13"/>
    </row>
    <row r="9805" spans="31:31" ht="12.75" customHeight="1" x14ac:dyDescent="0.15">
      <c r="AE9805" s="13"/>
    </row>
    <row r="9806" spans="31:31" ht="12.75" customHeight="1" x14ac:dyDescent="0.15">
      <c r="AE9806" s="13"/>
    </row>
    <row r="9807" spans="31:31" ht="12.75" customHeight="1" x14ac:dyDescent="0.15">
      <c r="AE9807" s="13"/>
    </row>
    <row r="9808" spans="31:31" ht="12.75" customHeight="1" x14ac:dyDescent="0.15">
      <c r="AE9808" s="13"/>
    </row>
    <row r="9809" spans="31:31" ht="12.75" customHeight="1" x14ac:dyDescent="0.15">
      <c r="AE9809" s="13"/>
    </row>
    <row r="9810" spans="31:31" ht="12.75" customHeight="1" x14ac:dyDescent="0.15">
      <c r="AE9810" s="13"/>
    </row>
    <row r="9811" spans="31:31" ht="12.75" customHeight="1" x14ac:dyDescent="0.15">
      <c r="AE9811" s="13"/>
    </row>
    <row r="9812" spans="31:31" ht="12.75" customHeight="1" x14ac:dyDescent="0.15">
      <c r="AE9812" s="13"/>
    </row>
    <row r="9813" spans="31:31" ht="12.75" customHeight="1" x14ac:dyDescent="0.15">
      <c r="AE9813" s="13"/>
    </row>
    <row r="9814" spans="31:31" ht="12.75" customHeight="1" x14ac:dyDescent="0.15">
      <c r="AE9814" s="13"/>
    </row>
    <row r="9815" spans="31:31" ht="12.75" customHeight="1" x14ac:dyDescent="0.15">
      <c r="AE9815" s="13"/>
    </row>
    <row r="9816" spans="31:31" ht="12.75" customHeight="1" x14ac:dyDescent="0.15">
      <c r="AE9816" s="13"/>
    </row>
    <row r="9817" spans="31:31" ht="12.75" customHeight="1" x14ac:dyDescent="0.15">
      <c r="AE9817" s="13"/>
    </row>
    <row r="9818" spans="31:31" ht="12.75" customHeight="1" x14ac:dyDescent="0.15">
      <c r="AE9818" s="13"/>
    </row>
    <row r="9819" spans="31:31" ht="12.75" customHeight="1" x14ac:dyDescent="0.15">
      <c r="AE9819" s="13"/>
    </row>
    <row r="9820" spans="31:31" ht="12.75" customHeight="1" x14ac:dyDescent="0.15">
      <c r="AE9820" s="13"/>
    </row>
    <row r="9821" spans="31:31" ht="12.75" customHeight="1" x14ac:dyDescent="0.15">
      <c r="AE9821" s="13"/>
    </row>
    <row r="9822" spans="31:31" ht="12.75" customHeight="1" x14ac:dyDescent="0.15">
      <c r="AE9822" s="13"/>
    </row>
    <row r="9823" spans="31:31" ht="12.75" customHeight="1" x14ac:dyDescent="0.15">
      <c r="AE9823" s="13"/>
    </row>
    <row r="9824" spans="31:31" ht="12.75" customHeight="1" x14ac:dyDescent="0.15">
      <c r="AE9824" s="13"/>
    </row>
    <row r="9825" spans="31:31" ht="12.75" customHeight="1" x14ac:dyDescent="0.15">
      <c r="AE9825" s="13"/>
    </row>
    <row r="9826" spans="31:31" ht="12.75" customHeight="1" x14ac:dyDescent="0.15">
      <c r="AE9826" s="13"/>
    </row>
    <row r="9827" spans="31:31" ht="12.75" customHeight="1" x14ac:dyDescent="0.15">
      <c r="AE9827" s="13"/>
    </row>
    <row r="9828" spans="31:31" ht="12.75" customHeight="1" x14ac:dyDescent="0.15">
      <c r="AE9828" s="13"/>
    </row>
    <row r="9829" spans="31:31" ht="12.75" customHeight="1" x14ac:dyDescent="0.15">
      <c r="AE9829" s="13"/>
    </row>
    <row r="9830" spans="31:31" ht="12.75" customHeight="1" x14ac:dyDescent="0.15">
      <c r="AE9830" s="13"/>
    </row>
    <row r="9831" spans="31:31" ht="12.75" customHeight="1" x14ac:dyDescent="0.15">
      <c r="AE9831" s="13"/>
    </row>
    <row r="9832" spans="31:31" ht="12.75" customHeight="1" x14ac:dyDescent="0.15">
      <c r="AE9832" s="13"/>
    </row>
    <row r="9833" spans="31:31" ht="12.75" customHeight="1" x14ac:dyDescent="0.15">
      <c r="AE9833" s="13"/>
    </row>
    <row r="9834" spans="31:31" ht="12.75" customHeight="1" x14ac:dyDescent="0.15">
      <c r="AE9834" s="13"/>
    </row>
    <row r="9835" spans="31:31" ht="12.75" customHeight="1" x14ac:dyDescent="0.15">
      <c r="AE9835" s="13"/>
    </row>
    <row r="9836" spans="31:31" ht="12.75" customHeight="1" x14ac:dyDescent="0.15">
      <c r="AE9836" s="13"/>
    </row>
    <row r="9837" spans="31:31" ht="12.75" customHeight="1" x14ac:dyDescent="0.15">
      <c r="AE9837" s="13"/>
    </row>
    <row r="9838" spans="31:31" ht="12.75" customHeight="1" x14ac:dyDescent="0.15">
      <c r="AE9838" s="13"/>
    </row>
    <row r="9839" spans="31:31" ht="12.75" customHeight="1" x14ac:dyDescent="0.15">
      <c r="AE9839" s="13"/>
    </row>
    <row r="9840" spans="31:31" ht="12.75" customHeight="1" x14ac:dyDescent="0.15">
      <c r="AE9840" s="13"/>
    </row>
    <row r="9841" spans="31:31" ht="12.75" customHeight="1" x14ac:dyDescent="0.15">
      <c r="AE9841" s="13"/>
    </row>
    <row r="9842" spans="31:31" ht="12.75" customHeight="1" x14ac:dyDescent="0.15">
      <c r="AE9842" s="13"/>
    </row>
    <row r="9843" spans="31:31" ht="12.75" customHeight="1" x14ac:dyDescent="0.15">
      <c r="AE9843" s="13"/>
    </row>
    <row r="9844" spans="31:31" ht="12.75" customHeight="1" x14ac:dyDescent="0.15">
      <c r="AE9844" s="13"/>
    </row>
    <row r="9845" spans="31:31" ht="12.75" customHeight="1" x14ac:dyDescent="0.15">
      <c r="AE9845" s="13"/>
    </row>
    <row r="9846" spans="31:31" ht="12.75" customHeight="1" x14ac:dyDescent="0.15">
      <c r="AE9846" s="13"/>
    </row>
    <row r="9847" spans="31:31" ht="12.75" customHeight="1" x14ac:dyDescent="0.15">
      <c r="AE9847" s="13"/>
    </row>
    <row r="9848" spans="31:31" ht="12.75" customHeight="1" x14ac:dyDescent="0.15">
      <c r="AE9848" s="13"/>
    </row>
    <row r="9849" spans="31:31" ht="12.75" customHeight="1" x14ac:dyDescent="0.15">
      <c r="AE9849" s="13"/>
    </row>
    <row r="9850" spans="31:31" ht="12.75" customHeight="1" x14ac:dyDescent="0.15">
      <c r="AE9850" s="13"/>
    </row>
    <row r="9851" spans="31:31" ht="12.75" customHeight="1" x14ac:dyDescent="0.15">
      <c r="AE9851" s="13"/>
    </row>
    <row r="9852" spans="31:31" ht="12.75" customHeight="1" x14ac:dyDescent="0.15">
      <c r="AE9852" s="13"/>
    </row>
    <row r="9853" spans="31:31" ht="12.75" customHeight="1" x14ac:dyDescent="0.15">
      <c r="AE9853" s="13"/>
    </row>
    <row r="9854" spans="31:31" ht="12.75" customHeight="1" x14ac:dyDescent="0.15">
      <c r="AE9854" s="13"/>
    </row>
    <row r="9855" spans="31:31" ht="12.75" customHeight="1" x14ac:dyDescent="0.15">
      <c r="AE9855" s="13"/>
    </row>
    <row r="9856" spans="31:31" ht="12.75" customHeight="1" x14ac:dyDescent="0.15">
      <c r="AE9856" s="13"/>
    </row>
    <row r="9857" spans="31:31" ht="12.75" customHeight="1" x14ac:dyDescent="0.15">
      <c r="AE9857" s="13"/>
    </row>
    <row r="9858" spans="31:31" ht="12.75" customHeight="1" x14ac:dyDescent="0.15">
      <c r="AE9858" s="13"/>
    </row>
    <row r="9859" spans="31:31" ht="12.75" customHeight="1" x14ac:dyDescent="0.15">
      <c r="AE9859" s="13"/>
    </row>
    <row r="9860" spans="31:31" ht="12.75" customHeight="1" x14ac:dyDescent="0.15">
      <c r="AE9860" s="13"/>
    </row>
    <row r="9861" spans="31:31" ht="12.75" customHeight="1" x14ac:dyDescent="0.15">
      <c r="AE9861" s="13"/>
    </row>
    <row r="9862" spans="31:31" ht="12.75" customHeight="1" x14ac:dyDescent="0.15">
      <c r="AE9862" s="13"/>
    </row>
    <row r="9863" spans="31:31" ht="12.75" customHeight="1" x14ac:dyDescent="0.15">
      <c r="AE9863" s="13"/>
    </row>
    <row r="9864" spans="31:31" ht="12.75" customHeight="1" x14ac:dyDescent="0.15">
      <c r="AE9864" s="13"/>
    </row>
    <row r="9865" spans="31:31" ht="12.75" customHeight="1" x14ac:dyDescent="0.15">
      <c r="AE9865" s="13"/>
    </row>
    <row r="9866" spans="31:31" ht="12.75" customHeight="1" x14ac:dyDescent="0.15">
      <c r="AE9866" s="13"/>
    </row>
    <row r="9867" spans="31:31" ht="12.75" customHeight="1" x14ac:dyDescent="0.15">
      <c r="AE9867" s="13"/>
    </row>
    <row r="9868" spans="31:31" ht="12.75" customHeight="1" x14ac:dyDescent="0.15">
      <c r="AE9868" s="13"/>
    </row>
    <row r="9869" spans="31:31" ht="12.75" customHeight="1" x14ac:dyDescent="0.15">
      <c r="AE9869" s="13"/>
    </row>
    <row r="9870" spans="31:31" ht="12.75" customHeight="1" x14ac:dyDescent="0.15">
      <c r="AE9870" s="13"/>
    </row>
    <row r="9871" spans="31:31" ht="12.75" customHeight="1" x14ac:dyDescent="0.15">
      <c r="AE9871" s="13"/>
    </row>
    <row r="9872" spans="31:31" ht="12.75" customHeight="1" x14ac:dyDescent="0.15">
      <c r="AE9872" s="13"/>
    </row>
    <row r="9873" spans="31:31" ht="12.75" customHeight="1" x14ac:dyDescent="0.15">
      <c r="AE9873" s="13"/>
    </row>
    <row r="9874" spans="31:31" ht="12.75" customHeight="1" x14ac:dyDescent="0.15">
      <c r="AE9874" s="13"/>
    </row>
    <row r="9875" spans="31:31" ht="12.75" customHeight="1" x14ac:dyDescent="0.15">
      <c r="AE9875" s="13"/>
    </row>
    <row r="9876" spans="31:31" ht="12.75" customHeight="1" x14ac:dyDescent="0.15">
      <c r="AE9876" s="13"/>
    </row>
    <row r="9877" spans="31:31" ht="12.75" customHeight="1" x14ac:dyDescent="0.15">
      <c r="AE9877" s="13"/>
    </row>
    <row r="9878" spans="31:31" ht="12.75" customHeight="1" x14ac:dyDescent="0.15">
      <c r="AE9878" s="13"/>
    </row>
    <row r="9879" spans="31:31" ht="12.75" customHeight="1" x14ac:dyDescent="0.15">
      <c r="AE9879" s="13"/>
    </row>
    <row r="9880" spans="31:31" ht="12.75" customHeight="1" x14ac:dyDescent="0.15">
      <c r="AE9880" s="13"/>
    </row>
    <row r="9881" spans="31:31" ht="12.75" customHeight="1" x14ac:dyDescent="0.15">
      <c r="AE9881" s="13"/>
    </row>
    <row r="9882" spans="31:31" ht="12.75" customHeight="1" x14ac:dyDescent="0.15">
      <c r="AE9882" s="13"/>
    </row>
    <row r="9883" spans="31:31" ht="12.75" customHeight="1" x14ac:dyDescent="0.15">
      <c r="AE9883" s="13"/>
    </row>
    <row r="9884" spans="31:31" ht="12.75" customHeight="1" x14ac:dyDescent="0.15">
      <c r="AE9884" s="13"/>
    </row>
    <row r="9885" spans="31:31" ht="12.75" customHeight="1" x14ac:dyDescent="0.15">
      <c r="AE9885" s="13"/>
    </row>
    <row r="9886" spans="31:31" ht="12.75" customHeight="1" x14ac:dyDescent="0.15">
      <c r="AE9886" s="13"/>
    </row>
    <row r="9887" spans="31:31" ht="12.75" customHeight="1" x14ac:dyDescent="0.15">
      <c r="AE9887" s="13"/>
    </row>
    <row r="9888" spans="31:31" ht="12.75" customHeight="1" x14ac:dyDescent="0.15">
      <c r="AE9888" s="13"/>
    </row>
    <row r="9889" spans="31:31" ht="12.75" customHeight="1" x14ac:dyDescent="0.15">
      <c r="AE9889" s="13"/>
    </row>
    <row r="9890" spans="31:31" ht="12.75" customHeight="1" x14ac:dyDescent="0.15">
      <c r="AE9890" s="13"/>
    </row>
    <row r="9891" spans="31:31" ht="12.75" customHeight="1" x14ac:dyDescent="0.15">
      <c r="AE9891" s="13"/>
    </row>
    <row r="9892" spans="31:31" ht="12.75" customHeight="1" x14ac:dyDescent="0.15">
      <c r="AE9892" s="13"/>
    </row>
    <row r="9893" spans="31:31" ht="12.75" customHeight="1" x14ac:dyDescent="0.15">
      <c r="AE9893" s="13"/>
    </row>
    <row r="9894" spans="31:31" ht="12.75" customHeight="1" x14ac:dyDescent="0.15">
      <c r="AE9894" s="13"/>
    </row>
    <row r="9895" spans="31:31" ht="12.75" customHeight="1" x14ac:dyDescent="0.15">
      <c r="AE9895" s="13"/>
    </row>
    <row r="9896" spans="31:31" ht="12.75" customHeight="1" x14ac:dyDescent="0.15">
      <c r="AE9896" s="13"/>
    </row>
    <row r="9897" spans="31:31" ht="12.75" customHeight="1" x14ac:dyDescent="0.15">
      <c r="AE9897" s="13"/>
    </row>
    <row r="9898" spans="31:31" ht="12.75" customHeight="1" x14ac:dyDescent="0.15">
      <c r="AE9898" s="13"/>
    </row>
    <row r="9899" spans="31:31" ht="12.75" customHeight="1" x14ac:dyDescent="0.15">
      <c r="AE9899" s="13"/>
    </row>
    <row r="9900" spans="31:31" ht="12.75" customHeight="1" x14ac:dyDescent="0.15">
      <c r="AE9900" s="13"/>
    </row>
    <row r="9901" spans="31:31" ht="12.75" customHeight="1" x14ac:dyDescent="0.15">
      <c r="AE9901" s="13"/>
    </row>
    <row r="9902" spans="31:31" ht="12.75" customHeight="1" x14ac:dyDescent="0.15">
      <c r="AE9902" s="13"/>
    </row>
    <row r="9903" spans="31:31" ht="12.75" customHeight="1" x14ac:dyDescent="0.15">
      <c r="AE9903" s="13"/>
    </row>
    <row r="9904" spans="31:31" ht="12.75" customHeight="1" x14ac:dyDescent="0.15">
      <c r="AE9904" s="13"/>
    </row>
    <row r="9905" spans="31:31" ht="12.75" customHeight="1" x14ac:dyDescent="0.15">
      <c r="AE9905" s="13"/>
    </row>
    <row r="9906" spans="31:31" ht="12.75" customHeight="1" x14ac:dyDescent="0.15">
      <c r="AE9906" s="13"/>
    </row>
    <row r="9907" spans="31:31" ht="12.75" customHeight="1" x14ac:dyDescent="0.15">
      <c r="AE9907" s="13"/>
    </row>
    <row r="9908" spans="31:31" ht="12.75" customHeight="1" x14ac:dyDescent="0.15">
      <c r="AE9908" s="13"/>
    </row>
    <row r="9909" spans="31:31" ht="12.75" customHeight="1" x14ac:dyDescent="0.15">
      <c r="AE9909" s="13"/>
    </row>
    <row r="9910" spans="31:31" ht="12.75" customHeight="1" x14ac:dyDescent="0.15">
      <c r="AE9910" s="13"/>
    </row>
    <row r="9911" spans="31:31" ht="12.75" customHeight="1" x14ac:dyDescent="0.15">
      <c r="AE9911" s="13"/>
    </row>
    <row r="9912" spans="31:31" ht="12.75" customHeight="1" x14ac:dyDescent="0.15">
      <c r="AE9912" s="13"/>
    </row>
    <row r="9913" spans="31:31" ht="12.75" customHeight="1" x14ac:dyDescent="0.15">
      <c r="AE9913" s="13"/>
    </row>
    <row r="9914" spans="31:31" ht="12.75" customHeight="1" x14ac:dyDescent="0.15">
      <c r="AE9914" s="13"/>
    </row>
    <row r="9915" spans="31:31" ht="12.75" customHeight="1" x14ac:dyDescent="0.15">
      <c r="AE9915" s="13"/>
    </row>
    <row r="9916" spans="31:31" ht="12.75" customHeight="1" x14ac:dyDescent="0.15">
      <c r="AE9916" s="13"/>
    </row>
    <row r="9917" spans="31:31" ht="12.75" customHeight="1" x14ac:dyDescent="0.15">
      <c r="AE9917" s="13"/>
    </row>
    <row r="9918" spans="31:31" ht="12.75" customHeight="1" x14ac:dyDescent="0.15">
      <c r="AE9918" s="13"/>
    </row>
    <row r="9919" spans="31:31" ht="12.75" customHeight="1" x14ac:dyDescent="0.15">
      <c r="AE9919" s="13"/>
    </row>
    <row r="9920" spans="31:31" ht="12.75" customHeight="1" x14ac:dyDescent="0.15">
      <c r="AE9920" s="13"/>
    </row>
    <row r="9921" spans="31:31" ht="12.75" customHeight="1" x14ac:dyDescent="0.15">
      <c r="AE9921" s="13"/>
    </row>
    <row r="9922" spans="31:31" ht="12.75" customHeight="1" x14ac:dyDescent="0.15">
      <c r="AE9922" s="13"/>
    </row>
    <row r="9923" spans="31:31" ht="12.75" customHeight="1" x14ac:dyDescent="0.15">
      <c r="AE9923" s="13"/>
    </row>
    <row r="9924" spans="31:31" ht="12.75" customHeight="1" x14ac:dyDescent="0.15">
      <c r="AE9924" s="13"/>
    </row>
    <row r="9925" spans="31:31" ht="12.75" customHeight="1" x14ac:dyDescent="0.15">
      <c r="AE9925" s="13"/>
    </row>
    <row r="9926" spans="31:31" ht="12.75" customHeight="1" x14ac:dyDescent="0.15">
      <c r="AE9926" s="13"/>
    </row>
    <row r="9927" spans="31:31" ht="12.75" customHeight="1" x14ac:dyDescent="0.15">
      <c r="AE9927" s="13"/>
    </row>
    <row r="9928" spans="31:31" ht="12.75" customHeight="1" x14ac:dyDescent="0.15">
      <c r="AE9928" s="13"/>
    </row>
    <row r="9929" spans="31:31" ht="12.75" customHeight="1" x14ac:dyDescent="0.15">
      <c r="AE9929" s="13"/>
    </row>
    <row r="9930" spans="31:31" ht="12.75" customHeight="1" x14ac:dyDescent="0.15">
      <c r="AE9930" s="13"/>
    </row>
    <row r="9931" spans="31:31" ht="12.75" customHeight="1" x14ac:dyDescent="0.15">
      <c r="AE9931" s="13"/>
    </row>
    <row r="9932" spans="31:31" ht="12.75" customHeight="1" x14ac:dyDescent="0.15">
      <c r="AE9932" s="13"/>
    </row>
    <row r="9933" spans="31:31" ht="12.75" customHeight="1" x14ac:dyDescent="0.15">
      <c r="AE9933" s="13"/>
    </row>
    <row r="9934" spans="31:31" ht="12.75" customHeight="1" x14ac:dyDescent="0.15">
      <c r="AE9934" s="13"/>
    </row>
    <row r="9935" spans="31:31" ht="12.75" customHeight="1" x14ac:dyDescent="0.15">
      <c r="AE9935" s="13"/>
    </row>
    <row r="9936" spans="31:31" ht="12.75" customHeight="1" x14ac:dyDescent="0.15">
      <c r="AE9936" s="13"/>
    </row>
    <row r="9937" spans="31:31" ht="12.75" customHeight="1" x14ac:dyDescent="0.15">
      <c r="AE9937" s="13"/>
    </row>
    <row r="9938" spans="31:31" ht="12.75" customHeight="1" x14ac:dyDescent="0.15">
      <c r="AE9938" s="13"/>
    </row>
    <row r="9939" spans="31:31" ht="12.75" customHeight="1" x14ac:dyDescent="0.15">
      <c r="AE9939" s="13"/>
    </row>
    <row r="9940" spans="31:31" ht="12.75" customHeight="1" x14ac:dyDescent="0.15">
      <c r="AE9940" s="13"/>
    </row>
    <row r="9941" spans="31:31" ht="12.75" customHeight="1" x14ac:dyDescent="0.15">
      <c r="AE9941" s="13"/>
    </row>
    <row r="9942" spans="31:31" ht="12.75" customHeight="1" x14ac:dyDescent="0.15">
      <c r="AE9942" s="13"/>
    </row>
    <row r="9943" spans="31:31" ht="12.75" customHeight="1" x14ac:dyDescent="0.15">
      <c r="AE9943" s="13"/>
    </row>
    <row r="9944" spans="31:31" ht="12.75" customHeight="1" x14ac:dyDescent="0.15">
      <c r="AE9944" s="13"/>
    </row>
    <row r="9945" spans="31:31" ht="12.75" customHeight="1" x14ac:dyDescent="0.15">
      <c r="AE9945" s="13"/>
    </row>
    <row r="9946" spans="31:31" ht="12.75" customHeight="1" x14ac:dyDescent="0.15">
      <c r="AE9946" s="13"/>
    </row>
    <row r="9947" spans="31:31" ht="12.75" customHeight="1" x14ac:dyDescent="0.15">
      <c r="AE9947" s="13"/>
    </row>
    <row r="9948" spans="31:31" ht="12.75" customHeight="1" x14ac:dyDescent="0.15">
      <c r="AE9948" s="13"/>
    </row>
    <row r="9949" spans="31:31" ht="12.75" customHeight="1" x14ac:dyDescent="0.15">
      <c r="AE9949" s="13"/>
    </row>
    <row r="9950" spans="31:31" ht="12.75" customHeight="1" x14ac:dyDescent="0.15">
      <c r="AE9950" s="13"/>
    </row>
    <row r="9951" spans="31:31" ht="12.75" customHeight="1" x14ac:dyDescent="0.15">
      <c r="AE9951" s="13"/>
    </row>
    <row r="9952" spans="31:31" ht="12.75" customHeight="1" x14ac:dyDescent="0.15">
      <c r="AE9952" s="13"/>
    </row>
    <row r="9953" spans="31:31" ht="12.75" customHeight="1" x14ac:dyDescent="0.15">
      <c r="AE9953" s="13"/>
    </row>
    <row r="9954" spans="31:31" ht="12.75" customHeight="1" x14ac:dyDescent="0.15">
      <c r="AE9954" s="13"/>
    </row>
    <row r="9955" spans="31:31" ht="12.75" customHeight="1" x14ac:dyDescent="0.15">
      <c r="AE9955" s="13"/>
    </row>
    <row r="9956" spans="31:31" ht="12.75" customHeight="1" x14ac:dyDescent="0.15">
      <c r="AE9956" s="13"/>
    </row>
    <row r="9957" spans="31:31" ht="12.75" customHeight="1" x14ac:dyDescent="0.15">
      <c r="AE9957" s="13"/>
    </row>
    <row r="9958" spans="31:31" ht="12.75" customHeight="1" x14ac:dyDescent="0.15">
      <c r="AE9958" s="13"/>
    </row>
    <row r="9959" spans="31:31" ht="12.75" customHeight="1" x14ac:dyDescent="0.15">
      <c r="AE9959" s="13"/>
    </row>
    <row r="9960" spans="31:31" ht="12.75" customHeight="1" x14ac:dyDescent="0.15">
      <c r="AE9960" s="13"/>
    </row>
    <row r="9961" spans="31:31" ht="12.75" customHeight="1" x14ac:dyDescent="0.15">
      <c r="AE9961" s="13"/>
    </row>
    <row r="9962" spans="31:31" ht="12.75" customHeight="1" x14ac:dyDescent="0.15">
      <c r="AE9962" s="13"/>
    </row>
    <row r="9963" spans="31:31" ht="12.75" customHeight="1" x14ac:dyDescent="0.15">
      <c r="AE9963" s="13"/>
    </row>
    <row r="9964" spans="31:31" ht="12.75" customHeight="1" x14ac:dyDescent="0.15">
      <c r="AE9964" s="13"/>
    </row>
    <row r="9965" spans="31:31" ht="12.75" customHeight="1" x14ac:dyDescent="0.15">
      <c r="AE9965" s="13"/>
    </row>
    <row r="9966" spans="31:31" ht="12.75" customHeight="1" x14ac:dyDescent="0.15">
      <c r="AE9966" s="13"/>
    </row>
    <row r="9967" spans="31:31" ht="12.75" customHeight="1" x14ac:dyDescent="0.15">
      <c r="AE9967" s="13"/>
    </row>
    <row r="9968" spans="31:31" ht="12.75" customHeight="1" x14ac:dyDescent="0.15">
      <c r="AE9968" s="13"/>
    </row>
    <row r="9969" spans="31:31" ht="12.75" customHeight="1" x14ac:dyDescent="0.15">
      <c r="AE9969" s="13"/>
    </row>
    <row r="9970" spans="31:31" ht="12.75" customHeight="1" x14ac:dyDescent="0.15">
      <c r="AE9970" s="13"/>
    </row>
    <row r="9971" spans="31:31" ht="12.75" customHeight="1" x14ac:dyDescent="0.15">
      <c r="AE9971" s="13"/>
    </row>
    <row r="9972" spans="31:31" ht="12.75" customHeight="1" x14ac:dyDescent="0.15">
      <c r="AE9972" s="13"/>
    </row>
    <row r="9973" spans="31:31" ht="12.75" customHeight="1" x14ac:dyDescent="0.15">
      <c r="AE9973" s="13"/>
    </row>
    <row r="9974" spans="31:31" ht="12.75" customHeight="1" x14ac:dyDescent="0.15">
      <c r="AE9974" s="13"/>
    </row>
    <row r="9975" spans="31:31" ht="12.75" customHeight="1" x14ac:dyDescent="0.15">
      <c r="AE9975" s="13"/>
    </row>
    <row r="9976" spans="31:31" ht="12.75" customHeight="1" x14ac:dyDescent="0.15">
      <c r="AE9976" s="13"/>
    </row>
    <row r="9977" spans="31:31" ht="12.75" customHeight="1" x14ac:dyDescent="0.15">
      <c r="AE9977" s="13"/>
    </row>
    <row r="9978" spans="31:31" ht="12.75" customHeight="1" x14ac:dyDescent="0.15">
      <c r="AE9978" s="13"/>
    </row>
    <row r="9979" spans="31:31" ht="12.75" customHeight="1" x14ac:dyDescent="0.15">
      <c r="AE9979" s="13"/>
    </row>
    <row r="9980" spans="31:31" ht="12.75" customHeight="1" x14ac:dyDescent="0.15">
      <c r="AE9980" s="13"/>
    </row>
    <row r="9981" spans="31:31" ht="12.75" customHeight="1" x14ac:dyDescent="0.15">
      <c r="AE9981" s="13"/>
    </row>
    <row r="9982" spans="31:31" ht="12.75" customHeight="1" x14ac:dyDescent="0.15">
      <c r="AE9982" s="13"/>
    </row>
    <row r="9983" spans="31:31" ht="12.75" customHeight="1" x14ac:dyDescent="0.15">
      <c r="AE9983" s="13"/>
    </row>
    <row r="9984" spans="31:31" ht="12.75" customHeight="1" x14ac:dyDescent="0.15">
      <c r="AE9984" s="13"/>
    </row>
    <row r="9985" spans="31:31" ht="12.75" customHeight="1" x14ac:dyDescent="0.15">
      <c r="AE9985" s="13"/>
    </row>
    <row r="9986" spans="31:31" ht="12.75" customHeight="1" x14ac:dyDescent="0.15">
      <c r="AE9986" s="13"/>
    </row>
    <row r="9987" spans="31:31" ht="12.75" customHeight="1" x14ac:dyDescent="0.15">
      <c r="AE9987" s="13"/>
    </row>
    <row r="9988" spans="31:31" ht="12.75" customHeight="1" x14ac:dyDescent="0.15">
      <c r="AE9988" s="13"/>
    </row>
    <row r="9989" spans="31:31" ht="12.75" customHeight="1" x14ac:dyDescent="0.15">
      <c r="AE9989" s="13"/>
    </row>
    <row r="9990" spans="31:31" ht="12.75" customHeight="1" x14ac:dyDescent="0.15">
      <c r="AE9990" s="13"/>
    </row>
    <row r="9991" spans="31:31" ht="12.75" customHeight="1" x14ac:dyDescent="0.15">
      <c r="AE9991" s="13"/>
    </row>
    <row r="9992" spans="31:31" ht="12.75" customHeight="1" x14ac:dyDescent="0.15">
      <c r="AE9992" s="13"/>
    </row>
    <row r="9993" spans="31:31" ht="12.75" customHeight="1" x14ac:dyDescent="0.15">
      <c r="AE9993" s="13"/>
    </row>
    <row r="9994" spans="31:31" ht="12.75" customHeight="1" x14ac:dyDescent="0.15">
      <c r="AE9994" s="13"/>
    </row>
    <row r="9995" spans="31:31" ht="12.75" customHeight="1" x14ac:dyDescent="0.15">
      <c r="AE9995" s="13"/>
    </row>
    <row r="9996" spans="31:31" ht="12.75" customHeight="1" x14ac:dyDescent="0.15">
      <c r="AE9996" s="13"/>
    </row>
    <row r="9997" spans="31:31" ht="12.75" customHeight="1" x14ac:dyDescent="0.15">
      <c r="AE9997" s="13"/>
    </row>
    <row r="9998" spans="31:31" ht="12.75" customHeight="1" x14ac:dyDescent="0.15">
      <c r="AE9998" s="13"/>
    </row>
    <row r="9999" spans="31:31" ht="12.75" customHeight="1" x14ac:dyDescent="0.15">
      <c r="AE9999" s="13"/>
    </row>
    <row r="10000" spans="31:31" ht="12.75" customHeight="1" x14ac:dyDescent="0.15">
      <c r="AE10000" s="13"/>
    </row>
    <row r="10001" spans="31:31" ht="12.75" customHeight="1" x14ac:dyDescent="0.15">
      <c r="AE10001" s="13"/>
    </row>
    <row r="10002" spans="31:31" ht="12.75" customHeight="1" x14ac:dyDescent="0.15">
      <c r="AE10002" s="13"/>
    </row>
    <row r="10003" spans="31:31" ht="12.75" customHeight="1" x14ac:dyDescent="0.15">
      <c r="AE10003" s="13"/>
    </row>
    <row r="10004" spans="31:31" ht="12.75" customHeight="1" x14ac:dyDescent="0.15">
      <c r="AE10004" s="13"/>
    </row>
    <row r="10005" spans="31:31" ht="12.75" customHeight="1" x14ac:dyDescent="0.15">
      <c r="AE10005" s="13"/>
    </row>
    <row r="10006" spans="31:31" ht="12.75" customHeight="1" x14ac:dyDescent="0.15">
      <c r="AE10006" s="13"/>
    </row>
    <row r="10007" spans="31:31" ht="12.75" customHeight="1" x14ac:dyDescent="0.15">
      <c r="AE10007" s="13"/>
    </row>
    <row r="10008" spans="31:31" ht="12.75" customHeight="1" x14ac:dyDescent="0.15">
      <c r="AE10008" s="13"/>
    </row>
    <row r="10009" spans="31:31" ht="12.75" customHeight="1" x14ac:dyDescent="0.15">
      <c r="AE10009" s="13"/>
    </row>
    <row r="10010" spans="31:31" ht="12.75" customHeight="1" x14ac:dyDescent="0.15">
      <c r="AE10010" s="13"/>
    </row>
    <row r="10011" spans="31:31" ht="12.75" customHeight="1" x14ac:dyDescent="0.15">
      <c r="AE10011" s="13"/>
    </row>
    <row r="10012" spans="31:31" ht="12.75" customHeight="1" x14ac:dyDescent="0.15">
      <c r="AE10012" s="13"/>
    </row>
    <row r="10013" spans="31:31" ht="12.75" customHeight="1" x14ac:dyDescent="0.15">
      <c r="AE10013" s="13"/>
    </row>
    <row r="10014" spans="31:31" ht="12.75" customHeight="1" x14ac:dyDescent="0.15">
      <c r="AE10014" s="13"/>
    </row>
    <row r="10015" spans="31:31" ht="12.75" customHeight="1" x14ac:dyDescent="0.15">
      <c r="AE10015" s="13"/>
    </row>
    <row r="10016" spans="31:31" ht="12.75" customHeight="1" x14ac:dyDescent="0.15">
      <c r="AE10016" s="13"/>
    </row>
    <row r="10017" spans="31:31" ht="12.75" customHeight="1" x14ac:dyDescent="0.15">
      <c r="AE10017" s="13"/>
    </row>
    <row r="10018" spans="31:31" ht="12.75" customHeight="1" x14ac:dyDescent="0.15">
      <c r="AE10018" s="13"/>
    </row>
    <row r="10019" spans="31:31" ht="12.75" customHeight="1" x14ac:dyDescent="0.15">
      <c r="AE10019" s="13"/>
    </row>
    <row r="10020" spans="31:31" ht="12.75" customHeight="1" x14ac:dyDescent="0.15">
      <c r="AE10020" s="13"/>
    </row>
    <row r="10021" spans="31:31" ht="12.75" customHeight="1" x14ac:dyDescent="0.15">
      <c r="AE10021" s="13"/>
    </row>
    <row r="10022" spans="31:31" ht="12.75" customHeight="1" x14ac:dyDescent="0.15">
      <c r="AE10022" s="13"/>
    </row>
    <row r="10023" spans="31:31" ht="12.75" customHeight="1" x14ac:dyDescent="0.15">
      <c r="AE10023" s="13"/>
    </row>
    <row r="10024" spans="31:31" ht="12.75" customHeight="1" x14ac:dyDescent="0.15">
      <c r="AE10024" s="13"/>
    </row>
    <row r="10025" spans="31:31" ht="12.75" customHeight="1" x14ac:dyDescent="0.15">
      <c r="AE10025" s="13"/>
    </row>
    <row r="10026" spans="31:31" ht="12.75" customHeight="1" x14ac:dyDescent="0.15">
      <c r="AE10026" s="13"/>
    </row>
    <row r="10027" spans="31:31" ht="12.75" customHeight="1" x14ac:dyDescent="0.15">
      <c r="AE10027" s="13"/>
    </row>
    <row r="10028" spans="31:31" ht="12.75" customHeight="1" x14ac:dyDescent="0.15">
      <c r="AE10028" s="13"/>
    </row>
    <row r="10029" spans="31:31" ht="12.75" customHeight="1" x14ac:dyDescent="0.15">
      <c r="AE10029" s="13"/>
    </row>
    <row r="10030" spans="31:31" ht="12.75" customHeight="1" x14ac:dyDescent="0.15">
      <c r="AE10030" s="13"/>
    </row>
    <row r="10031" spans="31:31" ht="12.75" customHeight="1" x14ac:dyDescent="0.15">
      <c r="AE10031" s="13"/>
    </row>
    <row r="10032" spans="31:31" ht="12.75" customHeight="1" x14ac:dyDescent="0.15">
      <c r="AE10032" s="13"/>
    </row>
    <row r="10033" spans="31:31" ht="12.75" customHeight="1" x14ac:dyDescent="0.15">
      <c r="AE10033" s="13"/>
    </row>
    <row r="10034" spans="31:31" ht="12.75" customHeight="1" x14ac:dyDescent="0.15">
      <c r="AE10034" s="13"/>
    </row>
    <row r="10035" spans="31:31" ht="12.75" customHeight="1" x14ac:dyDescent="0.15">
      <c r="AE10035" s="13"/>
    </row>
    <row r="10036" spans="31:31" ht="12.75" customHeight="1" x14ac:dyDescent="0.15">
      <c r="AE10036" s="13"/>
    </row>
    <row r="10037" spans="31:31" ht="12.75" customHeight="1" x14ac:dyDescent="0.15">
      <c r="AE10037" s="13"/>
    </row>
    <row r="10038" spans="31:31" ht="12.75" customHeight="1" x14ac:dyDescent="0.15">
      <c r="AE10038" s="13"/>
    </row>
    <row r="10039" spans="31:31" ht="12.75" customHeight="1" x14ac:dyDescent="0.15">
      <c r="AE10039" s="13"/>
    </row>
    <row r="10040" spans="31:31" ht="12.75" customHeight="1" x14ac:dyDescent="0.15">
      <c r="AE10040" s="13"/>
    </row>
    <row r="10041" spans="31:31" ht="12.75" customHeight="1" x14ac:dyDescent="0.15">
      <c r="AE10041" s="13"/>
    </row>
    <row r="10042" spans="31:31" ht="12.75" customHeight="1" x14ac:dyDescent="0.15">
      <c r="AE10042" s="13"/>
    </row>
    <row r="10043" spans="31:31" ht="12.75" customHeight="1" x14ac:dyDescent="0.15">
      <c r="AE10043" s="13"/>
    </row>
    <row r="10044" spans="31:31" ht="12.75" customHeight="1" x14ac:dyDescent="0.15">
      <c r="AE10044" s="13"/>
    </row>
    <row r="10045" spans="31:31" ht="12.75" customHeight="1" x14ac:dyDescent="0.15">
      <c r="AE10045" s="13"/>
    </row>
    <row r="10046" spans="31:31" ht="12.75" customHeight="1" x14ac:dyDescent="0.15">
      <c r="AE10046" s="13"/>
    </row>
    <row r="10047" spans="31:31" ht="12.75" customHeight="1" x14ac:dyDescent="0.15">
      <c r="AE10047" s="13"/>
    </row>
    <row r="10048" spans="31:31" ht="12.75" customHeight="1" x14ac:dyDescent="0.15">
      <c r="AE10048" s="13"/>
    </row>
    <row r="10049" spans="31:31" ht="12.75" customHeight="1" x14ac:dyDescent="0.15">
      <c r="AE10049" s="13"/>
    </row>
    <row r="10050" spans="31:31" ht="12.75" customHeight="1" x14ac:dyDescent="0.15">
      <c r="AE10050" s="13"/>
    </row>
    <row r="10051" spans="31:31" ht="12.75" customHeight="1" x14ac:dyDescent="0.15">
      <c r="AE10051" s="13"/>
    </row>
    <row r="10052" spans="31:31" ht="12.75" customHeight="1" x14ac:dyDescent="0.15">
      <c r="AE10052" s="13"/>
    </row>
    <row r="10053" spans="31:31" ht="12.75" customHeight="1" x14ac:dyDescent="0.15">
      <c r="AE10053" s="13"/>
    </row>
    <row r="10054" spans="31:31" ht="12.75" customHeight="1" x14ac:dyDescent="0.15">
      <c r="AE10054" s="13"/>
    </row>
    <row r="10055" spans="31:31" ht="12.75" customHeight="1" x14ac:dyDescent="0.15">
      <c r="AE10055" s="13"/>
    </row>
    <row r="10056" spans="31:31" ht="12.75" customHeight="1" x14ac:dyDescent="0.15">
      <c r="AE10056" s="13"/>
    </row>
    <row r="10057" spans="31:31" ht="12.75" customHeight="1" x14ac:dyDescent="0.15">
      <c r="AE10057" s="13"/>
    </row>
    <row r="10058" spans="31:31" ht="12.75" customHeight="1" x14ac:dyDescent="0.15">
      <c r="AE10058" s="13"/>
    </row>
    <row r="10059" spans="31:31" ht="12.75" customHeight="1" x14ac:dyDescent="0.15">
      <c r="AE10059" s="13"/>
    </row>
    <row r="10060" spans="31:31" ht="12.75" customHeight="1" x14ac:dyDescent="0.15">
      <c r="AE10060" s="13"/>
    </row>
    <row r="10061" spans="31:31" ht="12.75" customHeight="1" x14ac:dyDescent="0.15">
      <c r="AE10061" s="13"/>
    </row>
    <row r="10062" spans="31:31" ht="12.75" customHeight="1" x14ac:dyDescent="0.15">
      <c r="AE10062" s="13"/>
    </row>
    <row r="10063" spans="31:31" ht="12.75" customHeight="1" x14ac:dyDescent="0.15">
      <c r="AE10063" s="13"/>
    </row>
    <row r="10064" spans="31:31" ht="12.75" customHeight="1" x14ac:dyDescent="0.15">
      <c r="AE10064" s="13"/>
    </row>
    <row r="10065" spans="31:31" ht="12.75" customHeight="1" x14ac:dyDescent="0.15">
      <c r="AE10065" s="13"/>
    </row>
    <row r="10066" spans="31:31" ht="12.75" customHeight="1" x14ac:dyDescent="0.15">
      <c r="AE10066" s="13"/>
    </row>
    <row r="10067" spans="31:31" ht="12.75" customHeight="1" x14ac:dyDescent="0.15">
      <c r="AE10067" s="13"/>
    </row>
    <row r="10068" spans="31:31" ht="12.75" customHeight="1" x14ac:dyDescent="0.15">
      <c r="AE10068" s="13"/>
    </row>
    <row r="10069" spans="31:31" ht="12.75" customHeight="1" x14ac:dyDescent="0.15">
      <c r="AE10069" s="13"/>
    </row>
    <row r="10070" spans="31:31" ht="12.75" customHeight="1" x14ac:dyDescent="0.15">
      <c r="AE10070" s="13"/>
    </row>
    <row r="10071" spans="31:31" ht="12.75" customHeight="1" x14ac:dyDescent="0.15">
      <c r="AE10071" s="13"/>
    </row>
    <row r="10072" spans="31:31" ht="12.75" customHeight="1" x14ac:dyDescent="0.15">
      <c r="AE10072" s="13"/>
    </row>
    <row r="10073" spans="31:31" ht="12.75" customHeight="1" x14ac:dyDescent="0.15">
      <c r="AE10073" s="13"/>
    </row>
    <row r="10074" spans="31:31" ht="12.75" customHeight="1" x14ac:dyDescent="0.15">
      <c r="AE10074" s="13"/>
    </row>
    <row r="10075" spans="31:31" ht="12.75" customHeight="1" x14ac:dyDescent="0.15">
      <c r="AE10075" s="13"/>
    </row>
    <row r="10076" spans="31:31" ht="12.75" customHeight="1" x14ac:dyDescent="0.15">
      <c r="AE10076" s="13"/>
    </row>
    <row r="10077" spans="31:31" ht="12.75" customHeight="1" x14ac:dyDescent="0.15">
      <c r="AE10077" s="13"/>
    </row>
    <row r="10078" spans="31:31" ht="12.75" customHeight="1" x14ac:dyDescent="0.15">
      <c r="AE10078" s="13"/>
    </row>
    <row r="10079" spans="31:31" ht="12.75" customHeight="1" x14ac:dyDescent="0.15">
      <c r="AE10079" s="13"/>
    </row>
    <row r="10080" spans="31:31" ht="12.75" customHeight="1" x14ac:dyDescent="0.15">
      <c r="AE10080" s="13"/>
    </row>
    <row r="10081" spans="31:31" ht="12.75" customHeight="1" x14ac:dyDescent="0.15">
      <c r="AE10081" s="13"/>
    </row>
    <row r="10082" spans="31:31" ht="12.75" customHeight="1" x14ac:dyDescent="0.15">
      <c r="AE10082" s="13"/>
    </row>
    <row r="10083" spans="31:31" ht="12.75" customHeight="1" x14ac:dyDescent="0.15">
      <c r="AE10083" s="13"/>
    </row>
    <row r="10084" spans="31:31" ht="12.75" customHeight="1" x14ac:dyDescent="0.15">
      <c r="AE10084" s="13"/>
    </row>
    <row r="10085" spans="31:31" ht="12.75" customHeight="1" x14ac:dyDescent="0.15">
      <c r="AE10085" s="13"/>
    </row>
    <row r="10086" spans="31:31" ht="12.75" customHeight="1" x14ac:dyDescent="0.15">
      <c r="AE10086" s="13"/>
    </row>
    <row r="10087" spans="31:31" ht="12.75" customHeight="1" x14ac:dyDescent="0.15">
      <c r="AE10087" s="13"/>
    </row>
    <row r="10088" spans="31:31" ht="12.75" customHeight="1" x14ac:dyDescent="0.15">
      <c r="AE10088" s="13"/>
    </row>
    <row r="10089" spans="31:31" ht="12.75" customHeight="1" x14ac:dyDescent="0.15">
      <c r="AE10089" s="13"/>
    </row>
    <row r="10090" spans="31:31" ht="12.75" customHeight="1" x14ac:dyDescent="0.15">
      <c r="AE10090" s="13"/>
    </row>
    <row r="10091" spans="31:31" ht="12.75" customHeight="1" x14ac:dyDescent="0.15">
      <c r="AE10091" s="13"/>
    </row>
    <row r="10092" spans="31:31" ht="12.75" customHeight="1" x14ac:dyDescent="0.15">
      <c r="AE10092" s="13"/>
    </row>
    <row r="10093" spans="31:31" ht="12.75" customHeight="1" x14ac:dyDescent="0.15">
      <c r="AE10093" s="13"/>
    </row>
    <row r="10094" spans="31:31" ht="12.75" customHeight="1" x14ac:dyDescent="0.15">
      <c r="AE10094" s="13"/>
    </row>
    <row r="10095" spans="31:31" ht="12.75" customHeight="1" x14ac:dyDescent="0.15">
      <c r="AE10095" s="13"/>
    </row>
    <row r="10096" spans="31:31" ht="12.75" customHeight="1" x14ac:dyDescent="0.15">
      <c r="AE10096" s="13"/>
    </row>
    <row r="10097" spans="31:31" ht="12.75" customHeight="1" x14ac:dyDescent="0.15">
      <c r="AE10097" s="13"/>
    </row>
    <row r="10098" spans="31:31" ht="12.75" customHeight="1" x14ac:dyDescent="0.15">
      <c r="AE10098" s="13"/>
    </row>
    <row r="10099" spans="31:31" ht="12.75" customHeight="1" x14ac:dyDescent="0.15">
      <c r="AE10099" s="13"/>
    </row>
    <row r="10100" spans="31:31" ht="12.75" customHeight="1" x14ac:dyDescent="0.15">
      <c r="AE10100" s="13"/>
    </row>
    <row r="10101" spans="31:31" ht="12.75" customHeight="1" x14ac:dyDescent="0.15">
      <c r="AE10101" s="13"/>
    </row>
    <row r="10102" spans="31:31" ht="12.75" customHeight="1" x14ac:dyDescent="0.15">
      <c r="AE10102" s="13"/>
    </row>
    <row r="10103" spans="31:31" ht="12.75" customHeight="1" x14ac:dyDescent="0.15">
      <c r="AE10103" s="13"/>
    </row>
    <row r="10104" spans="31:31" ht="12.75" customHeight="1" x14ac:dyDescent="0.15">
      <c r="AE10104" s="13"/>
    </row>
    <row r="10105" spans="31:31" ht="12.75" customHeight="1" x14ac:dyDescent="0.15">
      <c r="AE10105" s="13"/>
    </row>
    <row r="10106" spans="31:31" ht="12.75" customHeight="1" x14ac:dyDescent="0.15">
      <c r="AE10106" s="13"/>
    </row>
    <row r="10107" spans="31:31" ht="12.75" customHeight="1" x14ac:dyDescent="0.15">
      <c r="AE10107" s="13"/>
    </row>
    <row r="10108" spans="31:31" ht="12.75" customHeight="1" x14ac:dyDescent="0.15">
      <c r="AE10108" s="13"/>
    </row>
    <row r="10109" spans="31:31" ht="12.75" customHeight="1" x14ac:dyDescent="0.15">
      <c r="AE10109" s="13"/>
    </row>
    <row r="10110" spans="31:31" ht="12.75" customHeight="1" x14ac:dyDescent="0.15">
      <c r="AE10110" s="13"/>
    </row>
    <row r="10111" spans="31:31" ht="12.75" customHeight="1" x14ac:dyDescent="0.15">
      <c r="AE10111" s="13"/>
    </row>
    <row r="10112" spans="31:31" ht="12.75" customHeight="1" x14ac:dyDescent="0.15">
      <c r="AE10112" s="13"/>
    </row>
    <row r="10113" spans="31:31" ht="12.75" customHeight="1" x14ac:dyDescent="0.15">
      <c r="AE10113" s="13"/>
    </row>
    <row r="10114" spans="31:31" ht="12.75" customHeight="1" x14ac:dyDescent="0.15">
      <c r="AE10114" s="13"/>
    </row>
    <row r="10115" spans="31:31" ht="12.75" customHeight="1" x14ac:dyDescent="0.15">
      <c r="AE10115" s="13"/>
    </row>
    <row r="10116" spans="31:31" ht="12.75" customHeight="1" x14ac:dyDescent="0.15">
      <c r="AE10116" s="13"/>
    </row>
    <row r="10117" spans="31:31" ht="12.75" customHeight="1" x14ac:dyDescent="0.15">
      <c r="AE10117" s="13"/>
    </row>
    <row r="10118" spans="31:31" ht="12.75" customHeight="1" x14ac:dyDescent="0.15">
      <c r="AE10118" s="13"/>
    </row>
    <row r="10119" spans="31:31" ht="12.75" customHeight="1" x14ac:dyDescent="0.15">
      <c r="AE10119" s="13"/>
    </row>
    <row r="10120" spans="31:31" ht="12.75" customHeight="1" x14ac:dyDescent="0.15">
      <c r="AE10120" s="13"/>
    </row>
    <row r="10121" spans="31:31" ht="12.75" customHeight="1" x14ac:dyDescent="0.15">
      <c r="AE10121" s="13"/>
    </row>
    <row r="10122" spans="31:31" ht="12.75" customHeight="1" x14ac:dyDescent="0.15">
      <c r="AE10122" s="13"/>
    </row>
    <row r="10123" spans="31:31" ht="12.75" customHeight="1" x14ac:dyDescent="0.15">
      <c r="AE10123" s="13"/>
    </row>
    <row r="10124" spans="31:31" ht="12.75" customHeight="1" x14ac:dyDescent="0.15">
      <c r="AE10124" s="13"/>
    </row>
    <row r="10125" spans="31:31" ht="12.75" customHeight="1" x14ac:dyDescent="0.15">
      <c r="AE10125" s="13"/>
    </row>
    <row r="10126" spans="31:31" ht="12.75" customHeight="1" x14ac:dyDescent="0.15">
      <c r="AE10126" s="13"/>
    </row>
    <row r="10127" spans="31:31" ht="12.75" customHeight="1" x14ac:dyDescent="0.15">
      <c r="AE10127" s="13"/>
    </row>
    <row r="10128" spans="31:31" ht="12.75" customHeight="1" x14ac:dyDescent="0.15">
      <c r="AE10128" s="13"/>
    </row>
    <row r="10129" spans="31:31" ht="12.75" customHeight="1" x14ac:dyDescent="0.15">
      <c r="AE10129" s="13"/>
    </row>
    <row r="10130" spans="31:31" ht="12.75" customHeight="1" x14ac:dyDescent="0.15">
      <c r="AE10130" s="13"/>
    </row>
    <row r="10131" spans="31:31" ht="12.75" customHeight="1" x14ac:dyDescent="0.15">
      <c r="AE10131" s="13"/>
    </row>
    <row r="10132" spans="31:31" ht="12.75" customHeight="1" x14ac:dyDescent="0.15">
      <c r="AE10132" s="13"/>
    </row>
    <row r="10133" spans="31:31" ht="12.75" customHeight="1" x14ac:dyDescent="0.15">
      <c r="AE10133" s="13"/>
    </row>
    <row r="10134" spans="31:31" ht="12.75" customHeight="1" x14ac:dyDescent="0.15">
      <c r="AE10134" s="13"/>
    </row>
    <row r="10135" spans="31:31" ht="12.75" customHeight="1" x14ac:dyDescent="0.15">
      <c r="AE10135" s="13"/>
    </row>
    <row r="10136" spans="31:31" ht="12.75" customHeight="1" x14ac:dyDescent="0.15">
      <c r="AE10136" s="13"/>
    </row>
    <row r="10137" spans="31:31" ht="12.75" customHeight="1" x14ac:dyDescent="0.15">
      <c r="AE10137" s="13"/>
    </row>
    <row r="10138" spans="31:31" ht="12.75" customHeight="1" x14ac:dyDescent="0.15">
      <c r="AE10138" s="13"/>
    </row>
    <row r="10139" spans="31:31" ht="12.75" customHeight="1" x14ac:dyDescent="0.15">
      <c r="AE10139" s="13"/>
    </row>
    <row r="10140" spans="31:31" ht="12.75" customHeight="1" x14ac:dyDescent="0.15">
      <c r="AE10140" s="13"/>
    </row>
    <row r="10141" spans="31:31" ht="12.75" customHeight="1" x14ac:dyDescent="0.15">
      <c r="AE10141" s="13"/>
    </row>
    <row r="10142" spans="31:31" ht="12.75" customHeight="1" x14ac:dyDescent="0.15">
      <c r="AE10142" s="13"/>
    </row>
    <row r="10143" spans="31:31" ht="12.75" customHeight="1" x14ac:dyDescent="0.15">
      <c r="AE10143" s="13"/>
    </row>
    <row r="10144" spans="31:31" ht="12.75" customHeight="1" x14ac:dyDescent="0.15">
      <c r="AE10144" s="13"/>
    </row>
    <row r="10145" spans="31:31" ht="12.75" customHeight="1" x14ac:dyDescent="0.15">
      <c r="AE10145" s="13"/>
    </row>
    <row r="10146" spans="31:31" ht="12.75" customHeight="1" x14ac:dyDescent="0.15">
      <c r="AE10146" s="13"/>
    </row>
    <row r="10147" spans="31:31" ht="12.75" customHeight="1" x14ac:dyDescent="0.15">
      <c r="AE10147" s="13"/>
    </row>
    <row r="10148" spans="31:31" ht="12.75" customHeight="1" x14ac:dyDescent="0.15">
      <c r="AE10148" s="13"/>
    </row>
    <row r="10149" spans="31:31" ht="12.75" customHeight="1" x14ac:dyDescent="0.15">
      <c r="AE10149" s="13"/>
    </row>
    <row r="10150" spans="31:31" ht="12.75" customHeight="1" x14ac:dyDescent="0.15">
      <c r="AE10150" s="13"/>
    </row>
    <row r="10151" spans="31:31" ht="12.75" customHeight="1" x14ac:dyDescent="0.15">
      <c r="AE10151" s="13"/>
    </row>
    <row r="10152" spans="31:31" ht="12.75" customHeight="1" x14ac:dyDescent="0.15">
      <c r="AE10152" s="13"/>
    </row>
    <row r="10153" spans="31:31" ht="12.75" customHeight="1" x14ac:dyDescent="0.15">
      <c r="AE10153" s="13"/>
    </row>
    <row r="10154" spans="31:31" ht="12.75" customHeight="1" x14ac:dyDescent="0.15">
      <c r="AE10154" s="13"/>
    </row>
    <row r="10155" spans="31:31" ht="12.75" customHeight="1" x14ac:dyDescent="0.15">
      <c r="AE10155" s="13"/>
    </row>
    <row r="10156" spans="31:31" ht="12.75" customHeight="1" x14ac:dyDescent="0.15">
      <c r="AE10156" s="13"/>
    </row>
    <row r="10157" spans="31:31" ht="12.75" customHeight="1" x14ac:dyDescent="0.15">
      <c r="AE10157" s="13"/>
    </row>
    <row r="10158" spans="31:31" ht="12.75" customHeight="1" x14ac:dyDescent="0.15">
      <c r="AE10158" s="13"/>
    </row>
    <row r="10159" spans="31:31" ht="12.75" customHeight="1" x14ac:dyDescent="0.15">
      <c r="AE10159" s="13"/>
    </row>
    <row r="10160" spans="31:31" ht="12.75" customHeight="1" x14ac:dyDescent="0.15">
      <c r="AE10160" s="13"/>
    </row>
    <row r="10161" spans="31:31" ht="12.75" customHeight="1" x14ac:dyDescent="0.15">
      <c r="AE10161" s="13"/>
    </row>
    <row r="10162" spans="31:31" ht="12.75" customHeight="1" x14ac:dyDescent="0.15">
      <c r="AE10162" s="13"/>
    </row>
    <row r="10163" spans="31:31" ht="12.75" customHeight="1" x14ac:dyDescent="0.15">
      <c r="AE10163" s="13"/>
    </row>
    <row r="10164" spans="31:31" ht="12.75" customHeight="1" x14ac:dyDescent="0.15">
      <c r="AE10164" s="13"/>
    </row>
    <row r="10165" spans="31:31" ht="12.75" customHeight="1" x14ac:dyDescent="0.15">
      <c r="AE10165" s="13"/>
    </row>
    <row r="10166" spans="31:31" ht="12.75" customHeight="1" x14ac:dyDescent="0.15">
      <c r="AE10166" s="13"/>
    </row>
    <row r="10167" spans="31:31" ht="12.75" customHeight="1" x14ac:dyDescent="0.15">
      <c r="AE10167" s="13"/>
    </row>
    <row r="10168" spans="31:31" ht="12.75" customHeight="1" x14ac:dyDescent="0.15">
      <c r="AE10168" s="13"/>
    </row>
    <row r="10169" spans="31:31" ht="12.75" customHeight="1" x14ac:dyDescent="0.15">
      <c r="AE10169" s="13"/>
    </row>
    <row r="10170" spans="31:31" ht="12.75" customHeight="1" x14ac:dyDescent="0.15">
      <c r="AE10170" s="13"/>
    </row>
    <row r="10171" spans="31:31" ht="12.75" customHeight="1" x14ac:dyDescent="0.15">
      <c r="AE10171" s="13"/>
    </row>
    <row r="10172" spans="31:31" ht="12.75" customHeight="1" x14ac:dyDescent="0.15">
      <c r="AE10172" s="13"/>
    </row>
    <row r="10173" spans="31:31" ht="12.75" customHeight="1" x14ac:dyDescent="0.15">
      <c r="AE10173" s="13"/>
    </row>
    <row r="10174" spans="31:31" ht="12.75" customHeight="1" x14ac:dyDescent="0.15">
      <c r="AE10174" s="13"/>
    </row>
    <row r="10175" spans="31:31" ht="12.75" customHeight="1" x14ac:dyDescent="0.15">
      <c r="AE10175" s="13"/>
    </row>
    <row r="10176" spans="31:31" ht="12.75" customHeight="1" x14ac:dyDescent="0.15">
      <c r="AE10176" s="13"/>
    </row>
    <row r="10177" spans="31:31" ht="12.75" customHeight="1" x14ac:dyDescent="0.15">
      <c r="AE10177" s="13"/>
    </row>
    <row r="10178" spans="31:31" ht="12.75" customHeight="1" x14ac:dyDescent="0.15">
      <c r="AE10178" s="13"/>
    </row>
    <row r="10179" spans="31:31" ht="12.75" customHeight="1" x14ac:dyDescent="0.15">
      <c r="AE10179" s="13"/>
    </row>
    <row r="10180" spans="31:31" ht="12.75" customHeight="1" x14ac:dyDescent="0.15">
      <c r="AE10180" s="13"/>
    </row>
    <row r="10181" spans="31:31" ht="12.75" customHeight="1" x14ac:dyDescent="0.15">
      <c r="AE10181" s="13"/>
    </row>
    <row r="10182" spans="31:31" ht="12.75" customHeight="1" x14ac:dyDescent="0.15">
      <c r="AE10182" s="13"/>
    </row>
    <row r="10183" spans="31:31" ht="12.75" customHeight="1" x14ac:dyDescent="0.15">
      <c r="AE10183" s="13"/>
    </row>
    <row r="10184" spans="31:31" ht="12.75" customHeight="1" x14ac:dyDescent="0.15">
      <c r="AE10184" s="13"/>
    </row>
    <row r="10185" spans="31:31" ht="12.75" customHeight="1" x14ac:dyDescent="0.15">
      <c r="AE10185" s="13"/>
    </row>
    <row r="10186" spans="31:31" ht="12.75" customHeight="1" x14ac:dyDescent="0.15">
      <c r="AE10186" s="13"/>
    </row>
    <row r="10187" spans="31:31" ht="12.75" customHeight="1" x14ac:dyDescent="0.15">
      <c r="AE10187" s="13"/>
    </row>
    <row r="10188" spans="31:31" ht="12.75" customHeight="1" x14ac:dyDescent="0.15">
      <c r="AE10188" s="13"/>
    </row>
    <row r="10189" spans="31:31" ht="12.75" customHeight="1" x14ac:dyDescent="0.15">
      <c r="AE10189" s="13"/>
    </row>
    <row r="10190" spans="31:31" ht="12.75" customHeight="1" x14ac:dyDescent="0.15">
      <c r="AE10190" s="13"/>
    </row>
    <row r="10191" spans="31:31" ht="12.75" customHeight="1" x14ac:dyDescent="0.15">
      <c r="AE10191" s="13"/>
    </row>
    <row r="10192" spans="31:31" ht="12.75" customHeight="1" x14ac:dyDescent="0.15">
      <c r="AE10192" s="13"/>
    </row>
    <row r="10193" spans="31:31" ht="12.75" customHeight="1" x14ac:dyDescent="0.15">
      <c r="AE10193" s="13"/>
    </row>
    <row r="10194" spans="31:31" ht="12.75" customHeight="1" x14ac:dyDescent="0.15">
      <c r="AE10194" s="13"/>
    </row>
    <row r="10195" spans="31:31" ht="12.75" customHeight="1" x14ac:dyDescent="0.15">
      <c r="AE10195" s="13"/>
    </row>
    <row r="10196" spans="31:31" ht="12.75" customHeight="1" x14ac:dyDescent="0.15">
      <c r="AE10196" s="13"/>
    </row>
    <row r="10197" spans="31:31" ht="12.75" customHeight="1" x14ac:dyDescent="0.15">
      <c r="AE10197" s="13"/>
    </row>
    <row r="10198" spans="31:31" ht="12.75" customHeight="1" x14ac:dyDescent="0.15">
      <c r="AE10198" s="13"/>
    </row>
    <row r="10199" spans="31:31" ht="12.75" customHeight="1" x14ac:dyDescent="0.15">
      <c r="AE10199" s="13"/>
    </row>
    <row r="10200" spans="31:31" ht="12.75" customHeight="1" x14ac:dyDescent="0.15">
      <c r="AE10200" s="13"/>
    </row>
    <row r="10201" spans="31:31" ht="12.75" customHeight="1" x14ac:dyDescent="0.15">
      <c r="AE10201" s="13"/>
    </row>
    <row r="10202" spans="31:31" ht="12.75" customHeight="1" x14ac:dyDescent="0.15">
      <c r="AE10202" s="13"/>
    </row>
    <row r="10203" spans="31:31" ht="12.75" customHeight="1" x14ac:dyDescent="0.15">
      <c r="AE10203" s="13"/>
    </row>
    <row r="10204" spans="31:31" ht="12.75" customHeight="1" x14ac:dyDescent="0.15">
      <c r="AE10204" s="13"/>
    </row>
    <row r="10205" spans="31:31" ht="12.75" customHeight="1" x14ac:dyDescent="0.15">
      <c r="AE10205" s="13"/>
    </row>
    <row r="10206" spans="31:31" ht="12.75" customHeight="1" x14ac:dyDescent="0.15">
      <c r="AE10206" s="13"/>
    </row>
    <row r="10207" spans="31:31" ht="12.75" customHeight="1" x14ac:dyDescent="0.15">
      <c r="AE10207" s="13"/>
    </row>
    <row r="10208" spans="31:31" ht="12.75" customHeight="1" x14ac:dyDescent="0.15">
      <c r="AE10208" s="13"/>
    </row>
    <row r="10209" spans="31:31" ht="12.75" customHeight="1" x14ac:dyDescent="0.15">
      <c r="AE10209" s="13"/>
    </row>
    <row r="10210" spans="31:31" ht="12.75" customHeight="1" x14ac:dyDescent="0.15">
      <c r="AE10210" s="13"/>
    </row>
    <row r="10211" spans="31:31" ht="12.75" customHeight="1" x14ac:dyDescent="0.15">
      <c r="AE10211" s="13"/>
    </row>
    <row r="10212" spans="31:31" ht="12.75" customHeight="1" x14ac:dyDescent="0.15">
      <c r="AE10212" s="13"/>
    </row>
    <row r="10213" spans="31:31" ht="12.75" customHeight="1" x14ac:dyDescent="0.15">
      <c r="AE10213" s="13"/>
    </row>
    <row r="10214" spans="31:31" ht="12.75" customHeight="1" x14ac:dyDescent="0.15">
      <c r="AE10214" s="13"/>
    </row>
    <row r="10215" spans="31:31" ht="12.75" customHeight="1" x14ac:dyDescent="0.15">
      <c r="AE10215" s="13"/>
    </row>
    <row r="10216" spans="31:31" ht="12.75" customHeight="1" x14ac:dyDescent="0.15">
      <c r="AE10216" s="13"/>
    </row>
    <row r="10217" spans="31:31" ht="12.75" customHeight="1" x14ac:dyDescent="0.15">
      <c r="AE10217" s="13"/>
    </row>
    <row r="10218" spans="31:31" ht="12.75" customHeight="1" x14ac:dyDescent="0.15">
      <c r="AE10218" s="13"/>
    </row>
    <row r="10219" spans="31:31" ht="12.75" customHeight="1" x14ac:dyDescent="0.15">
      <c r="AE10219" s="13"/>
    </row>
    <row r="10220" spans="31:31" ht="12.75" customHeight="1" x14ac:dyDescent="0.15">
      <c r="AE10220" s="13"/>
    </row>
    <row r="10221" spans="31:31" ht="12.75" customHeight="1" x14ac:dyDescent="0.15">
      <c r="AE10221" s="13"/>
    </row>
    <row r="10222" spans="31:31" ht="12.75" customHeight="1" x14ac:dyDescent="0.15">
      <c r="AE10222" s="13"/>
    </row>
    <row r="10223" spans="31:31" ht="12.75" customHeight="1" x14ac:dyDescent="0.15">
      <c r="AE10223" s="13"/>
    </row>
    <row r="10224" spans="31:31" ht="12.75" customHeight="1" x14ac:dyDescent="0.15">
      <c r="AE10224" s="13"/>
    </row>
    <row r="10225" spans="31:31" ht="12.75" customHeight="1" x14ac:dyDescent="0.15">
      <c r="AE10225" s="13"/>
    </row>
    <row r="10226" spans="31:31" ht="12.75" customHeight="1" x14ac:dyDescent="0.15">
      <c r="AE10226" s="13"/>
    </row>
    <row r="10227" spans="31:31" ht="12.75" customHeight="1" x14ac:dyDescent="0.15">
      <c r="AE10227" s="13"/>
    </row>
    <row r="10228" spans="31:31" ht="12.75" customHeight="1" x14ac:dyDescent="0.15">
      <c r="AE10228" s="13"/>
    </row>
    <row r="10229" spans="31:31" ht="12.75" customHeight="1" x14ac:dyDescent="0.15">
      <c r="AE10229" s="13"/>
    </row>
    <row r="10230" spans="31:31" ht="12.75" customHeight="1" x14ac:dyDescent="0.15">
      <c r="AE10230" s="13"/>
    </row>
    <row r="10231" spans="31:31" ht="12.75" customHeight="1" x14ac:dyDescent="0.15">
      <c r="AE10231" s="13"/>
    </row>
    <row r="10232" spans="31:31" ht="12.75" customHeight="1" x14ac:dyDescent="0.15">
      <c r="AE10232" s="13"/>
    </row>
    <row r="10233" spans="31:31" ht="12.75" customHeight="1" x14ac:dyDescent="0.15">
      <c r="AE10233" s="13"/>
    </row>
    <row r="10234" spans="31:31" ht="12.75" customHeight="1" x14ac:dyDescent="0.15">
      <c r="AE10234" s="13"/>
    </row>
    <row r="10235" spans="31:31" ht="12.75" customHeight="1" x14ac:dyDescent="0.15">
      <c r="AE10235" s="13"/>
    </row>
    <row r="10236" spans="31:31" ht="12.75" customHeight="1" x14ac:dyDescent="0.15">
      <c r="AE10236" s="13"/>
    </row>
    <row r="10237" spans="31:31" ht="12.75" customHeight="1" x14ac:dyDescent="0.15">
      <c r="AE10237" s="13"/>
    </row>
    <row r="10238" spans="31:31" ht="12.75" customHeight="1" x14ac:dyDescent="0.15">
      <c r="AE10238" s="13"/>
    </row>
    <row r="10239" spans="31:31" ht="12.75" customHeight="1" x14ac:dyDescent="0.15">
      <c r="AE10239" s="13"/>
    </row>
    <row r="10240" spans="31:31" ht="12.75" customHeight="1" x14ac:dyDescent="0.15">
      <c r="AE10240" s="13"/>
    </row>
    <row r="10241" spans="31:31" ht="12.75" customHeight="1" x14ac:dyDescent="0.15">
      <c r="AE10241" s="13"/>
    </row>
    <row r="10242" spans="31:31" ht="12.75" customHeight="1" x14ac:dyDescent="0.15">
      <c r="AE10242" s="13"/>
    </row>
    <row r="10243" spans="31:31" ht="12.75" customHeight="1" x14ac:dyDescent="0.15">
      <c r="AE10243" s="13"/>
    </row>
    <row r="10244" spans="31:31" ht="12.75" customHeight="1" x14ac:dyDescent="0.15">
      <c r="AE10244" s="13"/>
    </row>
    <row r="10245" spans="31:31" ht="12.75" customHeight="1" x14ac:dyDescent="0.15">
      <c r="AE10245" s="13"/>
    </row>
    <row r="10246" spans="31:31" ht="12.75" customHeight="1" x14ac:dyDescent="0.15">
      <c r="AE10246" s="13"/>
    </row>
    <row r="10247" spans="31:31" ht="12.75" customHeight="1" x14ac:dyDescent="0.15">
      <c r="AE10247" s="13"/>
    </row>
    <row r="10248" spans="31:31" ht="12.75" customHeight="1" x14ac:dyDescent="0.15">
      <c r="AE10248" s="13"/>
    </row>
    <row r="10249" spans="31:31" ht="12.75" customHeight="1" x14ac:dyDescent="0.15">
      <c r="AE10249" s="13"/>
    </row>
    <row r="10250" spans="31:31" ht="12.75" customHeight="1" x14ac:dyDescent="0.15">
      <c r="AE10250" s="13"/>
    </row>
    <row r="10251" spans="31:31" ht="12.75" customHeight="1" x14ac:dyDescent="0.15">
      <c r="AE10251" s="13"/>
    </row>
    <row r="10252" spans="31:31" ht="12.75" customHeight="1" x14ac:dyDescent="0.15">
      <c r="AE10252" s="13"/>
    </row>
    <row r="10253" spans="31:31" ht="12.75" customHeight="1" x14ac:dyDescent="0.15">
      <c r="AE10253" s="13"/>
    </row>
    <row r="10254" spans="31:31" ht="12.75" customHeight="1" x14ac:dyDescent="0.15">
      <c r="AE10254" s="13"/>
    </row>
    <row r="10255" spans="31:31" ht="12.75" customHeight="1" x14ac:dyDescent="0.15">
      <c r="AE10255" s="13"/>
    </row>
    <row r="10256" spans="31:31" ht="12.75" customHeight="1" x14ac:dyDescent="0.15">
      <c r="AE10256" s="13"/>
    </row>
    <row r="10257" spans="31:31" ht="12.75" customHeight="1" x14ac:dyDescent="0.15">
      <c r="AE10257" s="13"/>
    </row>
    <row r="10258" spans="31:31" ht="12.75" customHeight="1" x14ac:dyDescent="0.15">
      <c r="AE10258" s="13"/>
    </row>
    <row r="10259" spans="31:31" ht="12.75" customHeight="1" x14ac:dyDescent="0.15">
      <c r="AE10259" s="13"/>
    </row>
    <row r="10260" spans="31:31" ht="12.75" customHeight="1" x14ac:dyDescent="0.15">
      <c r="AE10260" s="13"/>
    </row>
    <row r="10261" spans="31:31" ht="12.75" customHeight="1" x14ac:dyDescent="0.15">
      <c r="AE10261" s="13"/>
    </row>
    <row r="10262" spans="31:31" ht="12.75" customHeight="1" x14ac:dyDescent="0.15">
      <c r="AE10262" s="13"/>
    </row>
    <row r="10263" spans="31:31" ht="12.75" customHeight="1" x14ac:dyDescent="0.15">
      <c r="AE10263" s="13"/>
    </row>
    <row r="10264" spans="31:31" ht="12.75" customHeight="1" x14ac:dyDescent="0.15">
      <c r="AE10264" s="13"/>
    </row>
    <row r="10265" spans="31:31" ht="12.75" customHeight="1" x14ac:dyDescent="0.15">
      <c r="AE10265" s="13"/>
    </row>
    <row r="10266" spans="31:31" ht="12.75" customHeight="1" x14ac:dyDescent="0.15">
      <c r="AE10266" s="13"/>
    </row>
    <row r="10267" spans="31:31" ht="12.75" customHeight="1" x14ac:dyDescent="0.15">
      <c r="AE10267" s="13"/>
    </row>
    <row r="10268" spans="31:31" ht="12.75" customHeight="1" x14ac:dyDescent="0.15">
      <c r="AE10268" s="13"/>
    </row>
    <row r="10269" spans="31:31" ht="12.75" customHeight="1" x14ac:dyDescent="0.15">
      <c r="AE10269" s="13"/>
    </row>
    <row r="10270" spans="31:31" ht="12.75" customHeight="1" x14ac:dyDescent="0.15">
      <c r="AE10270" s="13"/>
    </row>
    <row r="10271" spans="31:31" ht="12.75" customHeight="1" x14ac:dyDescent="0.15">
      <c r="AE10271" s="13"/>
    </row>
    <row r="10272" spans="31:31" ht="12.75" customHeight="1" x14ac:dyDescent="0.15">
      <c r="AE10272" s="13"/>
    </row>
    <row r="10273" spans="31:31" ht="12.75" customHeight="1" x14ac:dyDescent="0.15">
      <c r="AE10273" s="13"/>
    </row>
    <row r="10274" spans="31:31" ht="12.75" customHeight="1" x14ac:dyDescent="0.15">
      <c r="AE10274" s="13"/>
    </row>
    <row r="10275" spans="31:31" ht="12.75" customHeight="1" x14ac:dyDescent="0.15">
      <c r="AE10275" s="13"/>
    </row>
    <row r="10276" spans="31:31" ht="12.75" customHeight="1" x14ac:dyDescent="0.15">
      <c r="AE10276" s="13"/>
    </row>
    <row r="10277" spans="31:31" ht="12.75" customHeight="1" x14ac:dyDescent="0.15">
      <c r="AE10277" s="13"/>
    </row>
    <row r="10278" spans="31:31" ht="12.75" customHeight="1" x14ac:dyDescent="0.15">
      <c r="AE10278" s="13"/>
    </row>
    <row r="10279" spans="31:31" ht="12.75" customHeight="1" x14ac:dyDescent="0.15">
      <c r="AE10279" s="13"/>
    </row>
    <row r="10280" spans="31:31" ht="12.75" customHeight="1" x14ac:dyDescent="0.15">
      <c r="AE10280" s="13"/>
    </row>
    <row r="10281" spans="31:31" ht="12.75" customHeight="1" x14ac:dyDescent="0.15">
      <c r="AE10281" s="13"/>
    </row>
    <row r="10282" spans="31:31" ht="12.75" customHeight="1" x14ac:dyDescent="0.15">
      <c r="AE10282" s="13"/>
    </row>
    <row r="10283" spans="31:31" ht="12.75" customHeight="1" x14ac:dyDescent="0.15">
      <c r="AE10283" s="13"/>
    </row>
    <row r="10284" spans="31:31" ht="12.75" customHeight="1" x14ac:dyDescent="0.15">
      <c r="AE10284" s="13"/>
    </row>
    <row r="10285" spans="31:31" ht="12.75" customHeight="1" x14ac:dyDescent="0.15">
      <c r="AE10285" s="13"/>
    </row>
    <row r="10286" spans="31:31" ht="12.75" customHeight="1" x14ac:dyDescent="0.15">
      <c r="AE10286" s="13"/>
    </row>
    <row r="10287" spans="31:31" ht="12.75" customHeight="1" x14ac:dyDescent="0.15">
      <c r="AE10287" s="13"/>
    </row>
    <row r="10288" spans="31:31" ht="12.75" customHeight="1" x14ac:dyDescent="0.15">
      <c r="AE10288" s="13"/>
    </row>
    <row r="10289" spans="31:31" ht="12.75" customHeight="1" x14ac:dyDescent="0.15">
      <c r="AE10289" s="13"/>
    </row>
    <row r="10290" spans="31:31" ht="12.75" customHeight="1" x14ac:dyDescent="0.15">
      <c r="AE10290" s="13"/>
    </row>
    <row r="10291" spans="31:31" ht="12.75" customHeight="1" x14ac:dyDescent="0.15">
      <c r="AE10291" s="13"/>
    </row>
    <row r="10292" spans="31:31" ht="12.75" customHeight="1" x14ac:dyDescent="0.15">
      <c r="AE10292" s="13"/>
    </row>
    <row r="10293" spans="31:31" ht="12.75" customHeight="1" x14ac:dyDescent="0.15">
      <c r="AE10293" s="13"/>
    </row>
    <row r="10294" spans="31:31" ht="12.75" customHeight="1" x14ac:dyDescent="0.15">
      <c r="AE10294" s="13"/>
    </row>
    <row r="10295" spans="31:31" ht="12.75" customHeight="1" x14ac:dyDescent="0.15">
      <c r="AE10295" s="13"/>
    </row>
    <row r="10296" spans="31:31" ht="12.75" customHeight="1" x14ac:dyDescent="0.15">
      <c r="AE10296" s="13"/>
    </row>
    <row r="10297" spans="31:31" ht="12.75" customHeight="1" x14ac:dyDescent="0.15">
      <c r="AE10297" s="13"/>
    </row>
    <row r="10298" spans="31:31" ht="12.75" customHeight="1" x14ac:dyDescent="0.15">
      <c r="AE10298" s="13"/>
    </row>
    <row r="10299" spans="31:31" ht="12.75" customHeight="1" x14ac:dyDescent="0.15">
      <c r="AE10299" s="13"/>
    </row>
    <row r="10300" spans="31:31" ht="12.75" customHeight="1" x14ac:dyDescent="0.15">
      <c r="AE10300" s="13"/>
    </row>
    <row r="10301" spans="31:31" ht="12.75" customHeight="1" x14ac:dyDescent="0.15">
      <c r="AE10301" s="13"/>
    </row>
    <row r="10302" spans="31:31" ht="12.75" customHeight="1" x14ac:dyDescent="0.15">
      <c r="AE10302" s="13"/>
    </row>
    <row r="10303" spans="31:31" ht="12.75" customHeight="1" x14ac:dyDescent="0.15">
      <c r="AE10303" s="13"/>
    </row>
    <row r="10304" spans="31:31" ht="12.75" customHeight="1" x14ac:dyDescent="0.15">
      <c r="AE10304" s="13"/>
    </row>
    <row r="10305" spans="31:31" ht="12.75" customHeight="1" x14ac:dyDescent="0.15">
      <c r="AE10305" s="13"/>
    </row>
    <row r="10306" spans="31:31" ht="12.75" customHeight="1" x14ac:dyDescent="0.15">
      <c r="AE10306" s="13"/>
    </row>
    <row r="10307" spans="31:31" ht="12.75" customHeight="1" x14ac:dyDescent="0.15">
      <c r="AE10307" s="13"/>
    </row>
    <row r="10308" spans="31:31" ht="12.75" customHeight="1" x14ac:dyDescent="0.15">
      <c r="AE10308" s="13"/>
    </row>
    <row r="10309" spans="31:31" ht="12.75" customHeight="1" x14ac:dyDescent="0.15">
      <c r="AE10309" s="13"/>
    </row>
    <row r="10310" spans="31:31" ht="12.75" customHeight="1" x14ac:dyDescent="0.15">
      <c r="AE10310" s="13"/>
    </row>
    <row r="10311" spans="31:31" ht="12.75" customHeight="1" x14ac:dyDescent="0.15">
      <c r="AE10311" s="13"/>
    </row>
    <row r="10312" spans="31:31" ht="12.75" customHeight="1" x14ac:dyDescent="0.15">
      <c r="AE10312" s="13"/>
    </row>
    <row r="10313" spans="31:31" ht="12.75" customHeight="1" x14ac:dyDescent="0.15">
      <c r="AE10313" s="13"/>
    </row>
    <row r="10314" spans="31:31" ht="12.75" customHeight="1" x14ac:dyDescent="0.15">
      <c r="AE10314" s="13"/>
    </row>
    <row r="10315" spans="31:31" ht="12.75" customHeight="1" x14ac:dyDescent="0.15">
      <c r="AE10315" s="13"/>
    </row>
    <row r="10316" spans="31:31" ht="12.75" customHeight="1" x14ac:dyDescent="0.15">
      <c r="AE10316" s="13"/>
    </row>
    <row r="10317" spans="31:31" ht="12.75" customHeight="1" x14ac:dyDescent="0.15">
      <c r="AE10317" s="13"/>
    </row>
    <row r="10318" spans="31:31" ht="12.75" customHeight="1" x14ac:dyDescent="0.15">
      <c r="AE10318" s="13"/>
    </row>
    <row r="10319" spans="31:31" ht="12.75" customHeight="1" x14ac:dyDescent="0.15">
      <c r="AE10319" s="13"/>
    </row>
    <row r="10320" spans="31:31" ht="12.75" customHeight="1" x14ac:dyDescent="0.15">
      <c r="AE10320" s="13"/>
    </row>
    <row r="10321" spans="31:31" ht="12.75" customHeight="1" x14ac:dyDescent="0.15">
      <c r="AE10321" s="13"/>
    </row>
    <row r="10322" spans="31:31" ht="12.75" customHeight="1" x14ac:dyDescent="0.15">
      <c r="AE10322" s="13"/>
    </row>
    <row r="10323" spans="31:31" ht="12.75" customHeight="1" x14ac:dyDescent="0.15">
      <c r="AE10323" s="13"/>
    </row>
    <row r="10324" spans="31:31" ht="12.75" customHeight="1" x14ac:dyDescent="0.15">
      <c r="AE10324" s="13"/>
    </row>
    <row r="10325" spans="31:31" ht="12.75" customHeight="1" x14ac:dyDescent="0.15">
      <c r="AE10325" s="13"/>
    </row>
    <row r="10326" spans="31:31" ht="12.75" customHeight="1" x14ac:dyDescent="0.15">
      <c r="AE10326" s="13"/>
    </row>
    <row r="10327" spans="31:31" ht="12.75" customHeight="1" x14ac:dyDescent="0.15">
      <c r="AE10327" s="13"/>
    </row>
    <row r="10328" spans="31:31" ht="12.75" customHeight="1" x14ac:dyDescent="0.15">
      <c r="AE10328" s="13"/>
    </row>
    <row r="10329" spans="31:31" ht="12.75" customHeight="1" x14ac:dyDescent="0.15">
      <c r="AE10329" s="13"/>
    </row>
    <row r="10330" spans="31:31" ht="12.75" customHeight="1" x14ac:dyDescent="0.15">
      <c r="AE10330" s="13"/>
    </row>
    <row r="10331" spans="31:31" ht="12.75" customHeight="1" x14ac:dyDescent="0.15">
      <c r="AE10331" s="13"/>
    </row>
    <row r="10332" spans="31:31" ht="12.75" customHeight="1" x14ac:dyDescent="0.15">
      <c r="AE10332" s="13"/>
    </row>
    <row r="10333" spans="31:31" ht="12.75" customHeight="1" x14ac:dyDescent="0.15">
      <c r="AE10333" s="13"/>
    </row>
    <row r="10334" spans="31:31" ht="12.75" customHeight="1" x14ac:dyDescent="0.15">
      <c r="AE10334" s="13"/>
    </row>
    <row r="10335" spans="31:31" ht="12.75" customHeight="1" x14ac:dyDescent="0.15">
      <c r="AE10335" s="13"/>
    </row>
    <row r="10336" spans="31:31" ht="12.75" customHeight="1" x14ac:dyDescent="0.15">
      <c r="AE10336" s="13"/>
    </row>
    <row r="10337" spans="31:31" ht="12.75" customHeight="1" x14ac:dyDescent="0.15">
      <c r="AE10337" s="13"/>
    </row>
    <row r="10338" spans="31:31" ht="12.75" customHeight="1" x14ac:dyDescent="0.15">
      <c r="AE10338" s="13"/>
    </row>
    <row r="10339" spans="31:31" ht="12.75" customHeight="1" x14ac:dyDescent="0.15">
      <c r="AE10339" s="13"/>
    </row>
    <row r="10340" spans="31:31" ht="12.75" customHeight="1" x14ac:dyDescent="0.15">
      <c r="AE10340" s="13"/>
    </row>
    <row r="10341" spans="31:31" ht="12.75" customHeight="1" x14ac:dyDescent="0.15">
      <c r="AE10341" s="13"/>
    </row>
    <row r="10342" spans="31:31" ht="12.75" customHeight="1" x14ac:dyDescent="0.15">
      <c r="AE10342" s="13"/>
    </row>
    <row r="10343" spans="31:31" ht="12.75" customHeight="1" x14ac:dyDescent="0.15">
      <c r="AE10343" s="13"/>
    </row>
    <row r="10344" spans="31:31" ht="12.75" customHeight="1" x14ac:dyDescent="0.15">
      <c r="AE10344" s="13"/>
    </row>
    <row r="10345" spans="31:31" ht="12.75" customHeight="1" x14ac:dyDescent="0.15">
      <c r="AE10345" s="13"/>
    </row>
    <row r="10346" spans="31:31" ht="12.75" customHeight="1" x14ac:dyDescent="0.15">
      <c r="AE10346" s="13"/>
    </row>
    <row r="10347" spans="31:31" ht="12.75" customHeight="1" x14ac:dyDescent="0.15">
      <c r="AE10347" s="13"/>
    </row>
    <row r="10348" spans="31:31" ht="12.75" customHeight="1" x14ac:dyDescent="0.15">
      <c r="AE10348" s="13"/>
    </row>
    <row r="10349" spans="31:31" ht="12.75" customHeight="1" x14ac:dyDescent="0.15">
      <c r="AE10349" s="13"/>
    </row>
    <row r="10350" spans="31:31" ht="12.75" customHeight="1" x14ac:dyDescent="0.15">
      <c r="AE10350" s="13"/>
    </row>
    <row r="10351" spans="31:31" ht="12.75" customHeight="1" x14ac:dyDescent="0.15">
      <c r="AE10351" s="13"/>
    </row>
    <row r="10352" spans="31:31" ht="12.75" customHeight="1" x14ac:dyDescent="0.15">
      <c r="AE10352" s="13"/>
    </row>
    <row r="10353" spans="31:31" ht="12.75" customHeight="1" x14ac:dyDescent="0.15">
      <c r="AE10353" s="13"/>
    </row>
    <row r="10354" spans="31:31" ht="12.75" customHeight="1" x14ac:dyDescent="0.15">
      <c r="AE10354" s="13"/>
    </row>
    <row r="10355" spans="31:31" ht="12.75" customHeight="1" x14ac:dyDescent="0.15">
      <c r="AE10355" s="13"/>
    </row>
    <row r="10356" spans="31:31" ht="12.75" customHeight="1" x14ac:dyDescent="0.15">
      <c r="AE10356" s="13"/>
    </row>
    <row r="10357" spans="31:31" ht="12.75" customHeight="1" x14ac:dyDescent="0.15">
      <c r="AE10357" s="13"/>
    </row>
    <row r="10358" spans="31:31" ht="12.75" customHeight="1" x14ac:dyDescent="0.15">
      <c r="AE10358" s="13"/>
    </row>
    <row r="10359" spans="31:31" ht="12.75" customHeight="1" x14ac:dyDescent="0.15">
      <c r="AE10359" s="13"/>
    </row>
    <row r="10360" spans="31:31" ht="12.75" customHeight="1" x14ac:dyDescent="0.15">
      <c r="AE10360" s="13"/>
    </row>
    <row r="10361" spans="31:31" ht="12.75" customHeight="1" x14ac:dyDescent="0.15">
      <c r="AE10361" s="13"/>
    </row>
    <row r="10362" spans="31:31" ht="12.75" customHeight="1" x14ac:dyDescent="0.15">
      <c r="AE10362" s="13"/>
    </row>
    <row r="10363" spans="31:31" ht="12.75" customHeight="1" x14ac:dyDescent="0.15">
      <c r="AE10363" s="13"/>
    </row>
    <row r="10364" spans="31:31" ht="12.75" customHeight="1" x14ac:dyDescent="0.15">
      <c r="AE10364" s="13"/>
    </row>
    <row r="10365" spans="31:31" ht="12.75" customHeight="1" x14ac:dyDescent="0.15">
      <c r="AE10365" s="13"/>
    </row>
    <row r="10366" spans="31:31" ht="12.75" customHeight="1" x14ac:dyDescent="0.15">
      <c r="AE10366" s="13"/>
    </row>
    <row r="10367" spans="31:31" ht="12.75" customHeight="1" x14ac:dyDescent="0.15">
      <c r="AE10367" s="13"/>
    </row>
    <row r="10368" spans="31:31" ht="12.75" customHeight="1" x14ac:dyDescent="0.15">
      <c r="AE10368" s="13"/>
    </row>
    <row r="10369" spans="31:31" ht="12.75" customHeight="1" x14ac:dyDescent="0.15">
      <c r="AE10369" s="13"/>
    </row>
    <row r="10370" spans="31:31" ht="12.75" customHeight="1" x14ac:dyDescent="0.15">
      <c r="AE10370" s="13"/>
    </row>
    <row r="10371" spans="31:31" ht="12.75" customHeight="1" x14ac:dyDescent="0.15">
      <c r="AE10371" s="13"/>
    </row>
    <row r="10372" spans="31:31" ht="12.75" customHeight="1" x14ac:dyDescent="0.15">
      <c r="AE10372" s="13"/>
    </row>
    <row r="10373" spans="31:31" ht="12.75" customHeight="1" x14ac:dyDescent="0.15">
      <c r="AE10373" s="13"/>
    </row>
    <row r="10374" spans="31:31" ht="12.75" customHeight="1" x14ac:dyDescent="0.15">
      <c r="AE10374" s="13"/>
    </row>
    <row r="10375" spans="31:31" ht="12.75" customHeight="1" x14ac:dyDescent="0.15">
      <c r="AE10375" s="13"/>
    </row>
    <row r="10376" spans="31:31" ht="12.75" customHeight="1" x14ac:dyDescent="0.15">
      <c r="AE10376" s="13"/>
    </row>
    <row r="10377" spans="31:31" ht="12.75" customHeight="1" x14ac:dyDescent="0.15">
      <c r="AE10377" s="13"/>
    </row>
    <row r="10378" spans="31:31" ht="12.75" customHeight="1" x14ac:dyDescent="0.15">
      <c r="AE10378" s="13"/>
    </row>
    <row r="10379" spans="31:31" ht="12.75" customHeight="1" x14ac:dyDescent="0.15">
      <c r="AE10379" s="13"/>
    </row>
    <row r="10380" spans="31:31" ht="12.75" customHeight="1" x14ac:dyDescent="0.15">
      <c r="AE10380" s="13"/>
    </row>
    <row r="10381" spans="31:31" ht="12.75" customHeight="1" x14ac:dyDescent="0.15">
      <c r="AE10381" s="13"/>
    </row>
    <row r="10382" spans="31:31" ht="12.75" customHeight="1" x14ac:dyDescent="0.15">
      <c r="AE10382" s="13"/>
    </row>
    <row r="10383" spans="31:31" ht="12.75" customHeight="1" x14ac:dyDescent="0.15">
      <c r="AE10383" s="13"/>
    </row>
    <row r="10384" spans="31:31" ht="12.75" customHeight="1" x14ac:dyDescent="0.15">
      <c r="AE10384" s="13"/>
    </row>
    <row r="10385" spans="31:31" ht="12.75" customHeight="1" x14ac:dyDescent="0.15">
      <c r="AE10385" s="13"/>
    </row>
    <row r="10386" spans="31:31" ht="12.75" customHeight="1" x14ac:dyDescent="0.15">
      <c r="AE10386" s="13"/>
    </row>
    <row r="10387" spans="31:31" ht="12.75" customHeight="1" x14ac:dyDescent="0.15">
      <c r="AE10387" s="13"/>
    </row>
    <row r="10388" spans="31:31" ht="12.75" customHeight="1" x14ac:dyDescent="0.15">
      <c r="AE10388" s="13"/>
    </row>
    <row r="10389" spans="31:31" ht="12.75" customHeight="1" x14ac:dyDescent="0.15">
      <c r="AE10389" s="13"/>
    </row>
    <row r="10390" spans="31:31" ht="12.75" customHeight="1" x14ac:dyDescent="0.15">
      <c r="AE10390" s="13"/>
    </row>
    <row r="10391" spans="31:31" ht="12.75" customHeight="1" x14ac:dyDescent="0.15">
      <c r="AE10391" s="13"/>
    </row>
    <row r="10392" spans="31:31" ht="12.75" customHeight="1" x14ac:dyDescent="0.15">
      <c r="AE10392" s="13"/>
    </row>
    <row r="10393" spans="31:31" ht="12.75" customHeight="1" x14ac:dyDescent="0.15">
      <c r="AE10393" s="13"/>
    </row>
    <row r="10394" spans="31:31" ht="12.75" customHeight="1" x14ac:dyDescent="0.15">
      <c r="AE10394" s="13"/>
    </row>
    <row r="10395" spans="31:31" ht="12.75" customHeight="1" x14ac:dyDescent="0.15">
      <c r="AE10395" s="13"/>
    </row>
    <row r="10396" spans="31:31" ht="12.75" customHeight="1" x14ac:dyDescent="0.15">
      <c r="AE10396" s="13"/>
    </row>
    <row r="10397" spans="31:31" ht="12.75" customHeight="1" x14ac:dyDescent="0.15">
      <c r="AE10397" s="13"/>
    </row>
    <row r="10398" spans="31:31" ht="12.75" customHeight="1" x14ac:dyDescent="0.15">
      <c r="AE10398" s="13"/>
    </row>
    <row r="10399" spans="31:31" ht="12.75" customHeight="1" x14ac:dyDescent="0.15">
      <c r="AE10399" s="13"/>
    </row>
    <row r="10400" spans="31:31" ht="12.75" customHeight="1" x14ac:dyDescent="0.15">
      <c r="AE10400" s="13"/>
    </row>
    <row r="10401" spans="31:31" ht="12.75" customHeight="1" x14ac:dyDescent="0.15">
      <c r="AE10401" s="13"/>
    </row>
    <row r="10402" spans="31:31" ht="12.75" customHeight="1" x14ac:dyDescent="0.15">
      <c r="AE10402" s="13"/>
    </row>
    <row r="10403" spans="31:31" ht="12.75" customHeight="1" x14ac:dyDescent="0.15">
      <c r="AE10403" s="13"/>
    </row>
    <row r="10404" spans="31:31" ht="12.75" customHeight="1" x14ac:dyDescent="0.15">
      <c r="AE10404" s="13"/>
    </row>
    <row r="10405" spans="31:31" ht="12.75" customHeight="1" x14ac:dyDescent="0.15">
      <c r="AE10405" s="13"/>
    </row>
    <row r="10406" spans="31:31" ht="12.75" customHeight="1" x14ac:dyDescent="0.15">
      <c r="AE10406" s="13"/>
    </row>
    <row r="10407" spans="31:31" ht="12.75" customHeight="1" x14ac:dyDescent="0.15">
      <c r="AE10407" s="13"/>
    </row>
    <row r="10408" spans="31:31" ht="12.75" customHeight="1" x14ac:dyDescent="0.15">
      <c r="AE10408" s="13"/>
    </row>
    <row r="10409" spans="31:31" ht="12.75" customHeight="1" x14ac:dyDescent="0.15">
      <c r="AE10409" s="13"/>
    </row>
    <row r="10410" spans="31:31" ht="12.75" customHeight="1" x14ac:dyDescent="0.15">
      <c r="AE10410" s="13"/>
    </row>
    <row r="10411" spans="31:31" ht="12.75" customHeight="1" x14ac:dyDescent="0.15">
      <c r="AE10411" s="13"/>
    </row>
    <row r="10412" spans="31:31" ht="12.75" customHeight="1" x14ac:dyDescent="0.15">
      <c r="AE10412" s="13"/>
    </row>
    <row r="10413" spans="31:31" ht="12.75" customHeight="1" x14ac:dyDescent="0.15">
      <c r="AE10413" s="13"/>
    </row>
    <row r="10414" spans="31:31" ht="12.75" customHeight="1" x14ac:dyDescent="0.15">
      <c r="AE10414" s="13"/>
    </row>
    <row r="10415" spans="31:31" ht="12.75" customHeight="1" x14ac:dyDescent="0.15">
      <c r="AE10415" s="13"/>
    </row>
    <row r="10416" spans="31:31" ht="12.75" customHeight="1" x14ac:dyDescent="0.15">
      <c r="AE10416" s="13"/>
    </row>
    <row r="10417" spans="31:31" ht="12.75" customHeight="1" x14ac:dyDescent="0.15">
      <c r="AE10417" s="13"/>
    </row>
    <row r="10418" spans="31:31" ht="12.75" customHeight="1" x14ac:dyDescent="0.15">
      <c r="AE10418" s="13"/>
    </row>
    <row r="10419" spans="31:31" ht="12.75" customHeight="1" x14ac:dyDescent="0.15">
      <c r="AE10419" s="13"/>
    </row>
    <row r="10420" spans="31:31" ht="12.75" customHeight="1" x14ac:dyDescent="0.15">
      <c r="AE10420" s="13"/>
    </row>
    <row r="10421" spans="31:31" ht="12.75" customHeight="1" x14ac:dyDescent="0.15">
      <c r="AE10421" s="13"/>
    </row>
    <row r="10422" spans="31:31" ht="12.75" customHeight="1" x14ac:dyDescent="0.15">
      <c r="AE10422" s="13"/>
    </row>
    <row r="10423" spans="31:31" ht="12.75" customHeight="1" x14ac:dyDescent="0.15">
      <c r="AE10423" s="13"/>
    </row>
    <row r="10424" spans="31:31" ht="12.75" customHeight="1" x14ac:dyDescent="0.15">
      <c r="AE10424" s="13"/>
    </row>
    <row r="10425" spans="31:31" ht="12.75" customHeight="1" x14ac:dyDescent="0.15">
      <c r="AE10425" s="13"/>
    </row>
    <row r="10426" spans="31:31" ht="12.75" customHeight="1" x14ac:dyDescent="0.15">
      <c r="AE10426" s="13"/>
    </row>
    <row r="10427" spans="31:31" ht="12.75" customHeight="1" x14ac:dyDescent="0.15">
      <c r="AE10427" s="13"/>
    </row>
    <row r="10428" spans="31:31" ht="12.75" customHeight="1" x14ac:dyDescent="0.15">
      <c r="AE10428" s="13"/>
    </row>
    <row r="10429" spans="31:31" ht="12.75" customHeight="1" x14ac:dyDescent="0.15">
      <c r="AE10429" s="13"/>
    </row>
    <row r="10430" spans="31:31" ht="12.75" customHeight="1" x14ac:dyDescent="0.15">
      <c r="AE10430" s="13"/>
    </row>
    <row r="10431" spans="31:31" ht="12.75" customHeight="1" x14ac:dyDescent="0.15">
      <c r="AE10431" s="13"/>
    </row>
    <row r="10432" spans="31:31" ht="12.75" customHeight="1" x14ac:dyDescent="0.15">
      <c r="AE10432" s="13"/>
    </row>
    <row r="10433" spans="31:31" ht="12.75" customHeight="1" x14ac:dyDescent="0.15">
      <c r="AE10433" s="13"/>
    </row>
    <row r="10434" spans="31:31" ht="12.75" customHeight="1" x14ac:dyDescent="0.15">
      <c r="AE10434" s="13"/>
    </row>
    <row r="10435" spans="31:31" ht="12.75" customHeight="1" x14ac:dyDescent="0.15">
      <c r="AE10435" s="13"/>
    </row>
    <row r="10436" spans="31:31" ht="12.75" customHeight="1" x14ac:dyDescent="0.15">
      <c r="AE10436" s="13"/>
    </row>
    <row r="10437" spans="31:31" ht="12.75" customHeight="1" x14ac:dyDescent="0.15">
      <c r="AE10437" s="13"/>
    </row>
    <row r="10438" spans="31:31" ht="12.75" customHeight="1" x14ac:dyDescent="0.15">
      <c r="AE10438" s="13"/>
    </row>
    <row r="10439" spans="31:31" ht="12.75" customHeight="1" x14ac:dyDescent="0.15">
      <c r="AE10439" s="13"/>
    </row>
    <row r="10440" spans="31:31" ht="12.75" customHeight="1" x14ac:dyDescent="0.15">
      <c r="AE10440" s="13"/>
    </row>
    <row r="10441" spans="31:31" ht="12.75" customHeight="1" x14ac:dyDescent="0.15">
      <c r="AE10441" s="13"/>
    </row>
    <row r="10442" spans="31:31" ht="12.75" customHeight="1" x14ac:dyDescent="0.15">
      <c r="AE10442" s="13"/>
    </row>
    <row r="10443" spans="31:31" ht="12.75" customHeight="1" x14ac:dyDescent="0.15">
      <c r="AE10443" s="13"/>
    </row>
    <row r="10444" spans="31:31" ht="12.75" customHeight="1" x14ac:dyDescent="0.15">
      <c r="AE10444" s="13"/>
    </row>
    <row r="10445" spans="31:31" ht="12.75" customHeight="1" x14ac:dyDescent="0.15">
      <c r="AE10445" s="13"/>
    </row>
    <row r="10446" spans="31:31" ht="12.75" customHeight="1" x14ac:dyDescent="0.15">
      <c r="AE10446" s="13"/>
    </row>
    <row r="10447" spans="31:31" ht="12.75" customHeight="1" x14ac:dyDescent="0.15">
      <c r="AE10447" s="13"/>
    </row>
    <row r="10448" spans="31:31" ht="12.75" customHeight="1" x14ac:dyDescent="0.15">
      <c r="AE10448" s="13"/>
    </row>
    <row r="10449" spans="31:31" ht="12.75" customHeight="1" x14ac:dyDescent="0.15">
      <c r="AE10449" s="13"/>
    </row>
    <row r="10450" spans="31:31" ht="12.75" customHeight="1" x14ac:dyDescent="0.15">
      <c r="AE10450" s="13"/>
    </row>
    <row r="10451" spans="31:31" ht="12.75" customHeight="1" x14ac:dyDescent="0.15">
      <c r="AE10451" s="13"/>
    </row>
    <row r="10452" spans="31:31" ht="12.75" customHeight="1" x14ac:dyDescent="0.15">
      <c r="AE10452" s="13"/>
    </row>
    <row r="10453" spans="31:31" ht="12.75" customHeight="1" x14ac:dyDescent="0.15">
      <c r="AE10453" s="13"/>
    </row>
    <row r="10454" spans="31:31" ht="12.75" customHeight="1" x14ac:dyDescent="0.15">
      <c r="AE10454" s="13"/>
    </row>
    <row r="10455" spans="31:31" ht="12.75" customHeight="1" x14ac:dyDescent="0.15">
      <c r="AE10455" s="13"/>
    </row>
    <row r="10456" spans="31:31" ht="12.75" customHeight="1" x14ac:dyDescent="0.15">
      <c r="AE10456" s="13"/>
    </row>
    <row r="10457" spans="31:31" ht="12.75" customHeight="1" x14ac:dyDescent="0.15">
      <c r="AE10457" s="13"/>
    </row>
    <row r="10458" spans="31:31" ht="12.75" customHeight="1" x14ac:dyDescent="0.15">
      <c r="AE10458" s="13"/>
    </row>
    <row r="10459" spans="31:31" ht="12.75" customHeight="1" x14ac:dyDescent="0.15">
      <c r="AE10459" s="13"/>
    </row>
    <row r="10460" spans="31:31" ht="12.75" customHeight="1" x14ac:dyDescent="0.15">
      <c r="AE10460" s="13"/>
    </row>
    <row r="10461" spans="31:31" ht="12.75" customHeight="1" x14ac:dyDescent="0.15">
      <c r="AE10461" s="13"/>
    </row>
    <row r="10462" spans="31:31" ht="12.75" customHeight="1" x14ac:dyDescent="0.15">
      <c r="AE10462" s="13"/>
    </row>
    <row r="10463" spans="31:31" ht="12.75" customHeight="1" x14ac:dyDescent="0.15">
      <c r="AE10463" s="13"/>
    </row>
    <row r="10464" spans="31:31" ht="12.75" customHeight="1" x14ac:dyDescent="0.15">
      <c r="AE10464" s="13"/>
    </row>
    <row r="10465" spans="31:31" ht="12.75" customHeight="1" x14ac:dyDescent="0.15">
      <c r="AE10465" s="13"/>
    </row>
    <row r="10466" spans="31:31" ht="12.75" customHeight="1" x14ac:dyDescent="0.15">
      <c r="AE10466" s="13"/>
    </row>
    <row r="10467" spans="31:31" ht="12.75" customHeight="1" x14ac:dyDescent="0.15">
      <c r="AE10467" s="13"/>
    </row>
    <row r="10468" spans="31:31" ht="12.75" customHeight="1" x14ac:dyDescent="0.15">
      <c r="AE10468" s="13"/>
    </row>
    <row r="10469" spans="31:31" ht="12.75" customHeight="1" x14ac:dyDescent="0.15">
      <c r="AE10469" s="13"/>
    </row>
    <row r="10470" spans="31:31" ht="12.75" customHeight="1" x14ac:dyDescent="0.15">
      <c r="AE10470" s="13"/>
    </row>
    <row r="10471" spans="31:31" ht="12.75" customHeight="1" x14ac:dyDescent="0.15">
      <c r="AE10471" s="13"/>
    </row>
    <row r="10472" spans="31:31" ht="12.75" customHeight="1" x14ac:dyDescent="0.15">
      <c r="AE10472" s="13"/>
    </row>
    <row r="10473" spans="31:31" ht="12.75" customHeight="1" x14ac:dyDescent="0.15">
      <c r="AE10473" s="13"/>
    </row>
    <row r="10474" spans="31:31" ht="12.75" customHeight="1" x14ac:dyDescent="0.15">
      <c r="AE10474" s="13"/>
    </row>
    <row r="10475" spans="31:31" ht="12.75" customHeight="1" x14ac:dyDescent="0.15">
      <c r="AE10475" s="13"/>
    </row>
    <row r="10476" spans="31:31" ht="12.75" customHeight="1" x14ac:dyDescent="0.15">
      <c r="AE10476" s="13"/>
    </row>
    <row r="10477" spans="31:31" ht="12.75" customHeight="1" x14ac:dyDescent="0.15">
      <c r="AE10477" s="13"/>
    </row>
    <row r="10478" spans="31:31" ht="12.75" customHeight="1" x14ac:dyDescent="0.15">
      <c r="AE10478" s="13"/>
    </row>
    <row r="10479" spans="31:31" ht="12.75" customHeight="1" x14ac:dyDescent="0.15">
      <c r="AE10479" s="13"/>
    </row>
    <row r="10480" spans="31:31" ht="12.75" customHeight="1" x14ac:dyDescent="0.15">
      <c r="AE10480" s="13"/>
    </row>
    <row r="10481" spans="31:31" ht="12.75" customHeight="1" x14ac:dyDescent="0.15">
      <c r="AE10481" s="13"/>
    </row>
    <row r="10482" spans="31:31" ht="12.75" customHeight="1" x14ac:dyDescent="0.15">
      <c r="AE10482" s="13"/>
    </row>
    <row r="10483" spans="31:31" ht="12.75" customHeight="1" x14ac:dyDescent="0.15">
      <c r="AE10483" s="13"/>
    </row>
    <row r="10484" spans="31:31" ht="12.75" customHeight="1" x14ac:dyDescent="0.15">
      <c r="AE10484" s="13"/>
    </row>
    <row r="10485" spans="31:31" ht="12.75" customHeight="1" x14ac:dyDescent="0.15">
      <c r="AE10485" s="13"/>
    </row>
    <row r="10486" spans="31:31" ht="12.75" customHeight="1" x14ac:dyDescent="0.15">
      <c r="AE10486" s="13"/>
    </row>
    <row r="10487" spans="31:31" ht="12.75" customHeight="1" x14ac:dyDescent="0.15">
      <c r="AE10487" s="13"/>
    </row>
    <row r="10488" spans="31:31" ht="12.75" customHeight="1" x14ac:dyDescent="0.15">
      <c r="AE10488" s="13"/>
    </row>
    <row r="10489" spans="31:31" ht="12.75" customHeight="1" x14ac:dyDescent="0.15">
      <c r="AE10489" s="13"/>
    </row>
    <row r="10490" spans="31:31" ht="12.75" customHeight="1" x14ac:dyDescent="0.15">
      <c r="AE10490" s="13"/>
    </row>
    <row r="10491" spans="31:31" ht="12.75" customHeight="1" x14ac:dyDescent="0.15">
      <c r="AE10491" s="13"/>
    </row>
    <row r="10492" spans="31:31" ht="12.75" customHeight="1" x14ac:dyDescent="0.15">
      <c r="AE10492" s="13"/>
    </row>
    <row r="10493" spans="31:31" ht="12.75" customHeight="1" x14ac:dyDescent="0.15">
      <c r="AE10493" s="13"/>
    </row>
    <row r="10494" spans="31:31" ht="12.75" customHeight="1" x14ac:dyDescent="0.15">
      <c r="AE10494" s="13"/>
    </row>
    <row r="10495" spans="31:31" ht="12.75" customHeight="1" x14ac:dyDescent="0.15">
      <c r="AE10495" s="13"/>
    </row>
    <row r="10496" spans="31:31" ht="12.75" customHeight="1" x14ac:dyDescent="0.15">
      <c r="AE10496" s="13"/>
    </row>
    <row r="10497" spans="31:31" ht="12.75" customHeight="1" x14ac:dyDescent="0.15">
      <c r="AE10497" s="13"/>
    </row>
    <row r="10498" spans="31:31" ht="12.75" customHeight="1" x14ac:dyDescent="0.15">
      <c r="AE10498" s="13"/>
    </row>
    <row r="10499" spans="31:31" ht="12.75" customHeight="1" x14ac:dyDescent="0.15">
      <c r="AE10499" s="13"/>
    </row>
    <row r="10500" spans="31:31" ht="12.75" customHeight="1" x14ac:dyDescent="0.15">
      <c r="AE10500" s="13"/>
    </row>
    <row r="10501" spans="31:31" ht="12.75" customHeight="1" x14ac:dyDescent="0.15">
      <c r="AE10501" s="13"/>
    </row>
    <row r="10502" spans="31:31" ht="12.75" customHeight="1" x14ac:dyDescent="0.15">
      <c r="AE10502" s="13"/>
    </row>
    <row r="10503" spans="31:31" ht="12.75" customHeight="1" x14ac:dyDescent="0.15">
      <c r="AE10503" s="13"/>
    </row>
    <row r="10504" spans="31:31" ht="12.75" customHeight="1" x14ac:dyDescent="0.15">
      <c r="AE10504" s="13"/>
    </row>
    <row r="10505" spans="31:31" ht="12.75" customHeight="1" x14ac:dyDescent="0.15">
      <c r="AE10505" s="13"/>
    </row>
    <row r="10506" spans="31:31" ht="12.75" customHeight="1" x14ac:dyDescent="0.15">
      <c r="AE10506" s="13"/>
    </row>
    <row r="10507" spans="31:31" ht="12.75" customHeight="1" x14ac:dyDescent="0.15">
      <c r="AE10507" s="13"/>
    </row>
    <row r="10508" spans="31:31" ht="12.75" customHeight="1" x14ac:dyDescent="0.15">
      <c r="AE10508" s="13"/>
    </row>
    <row r="10509" spans="31:31" ht="12.75" customHeight="1" x14ac:dyDescent="0.15">
      <c r="AE10509" s="13"/>
    </row>
    <row r="10510" spans="31:31" ht="12.75" customHeight="1" x14ac:dyDescent="0.15">
      <c r="AE10510" s="13"/>
    </row>
    <row r="10511" spans="31:31" ht="12.75" customHeight="1" x14ac:dyDescent="0.15">
      <c r="AE10511" s="13"/>
    </row>
    <row r="10512" spans="31:31" ht="12.75" customHeight="1" x14ac:dyDescent="0.15">
      <c r="AE10512" s="13"/>
    </row>
    <row r="10513" spans="31:31" ht="12.75" customHeight="1" x14ac:dyDescent="0.15">
      <c r="AE10513" s="13"/>
    </row>
    <row r="10514" spans="31:31" ht="12.75" customHeight="1" x14ac:dyDescent="0.15">
      <c r="AE10514" s="13"/>
    </row>
    <row r="10515" spans="31:31" ht="12.75" customHeight="1" x14ac:dyDescent="0.15">
      <c r="AE10515" s="13"/>
    </row>
    <row r="10516" spans="31:31" ht="12.75" customHeight="1" x14ac:dyDescent="0.15">
      <c r="AE10516" s="13"/>
    </row>
    <row r="10517" spans="31:31" ht="12.75" customHeight="1" x14ac:dyDescent="0.15">
      <c r="AE10517" s="13"/>
    </row>
    <row r="10518" spans="31:31" ht="12.75" customHeight="1" x14ac:dyDescent="0.15">
      <c r="AE10518" s="13"/>
    </row>
    <row r="10519" spans="31:31" ht="12.75" customHeight="1" x14ac:dyDescent="0.15">
      <c r="AE10519" s="13"/>
    </row>
    <row r="10520" spans="31:31" ht="12.75" customHeight="1" x14ac:dyDescent="0.15">
      <c r="AE10520" s="13"/>
    </row>
    <row r="10521" spans="31:31" ht="12.75" customHeight="1" x14ac:dyDescent="0.15">
      <c r="AE10521" s="13"/>
    </row>
    <row r="10522" spans="31:31" ht="12.75" customHeight="1" x14ac:dyDescent="0.15">
      <c r="AE10522" s="13"/>
    </row>
    <row r="10523" spans="31:31" ht="12.75" customHeight="1" x14ac:dyDescent="0.15">
      <c r="AE10523" s="13"/>
    </row>
    <row r="10524" spans="31:31" ht="12.75" customHeight="1" x14ac:dyDescent="0.15">
      <c r="AE10524" s="13"/>
    </row>
    <row r="10525" spans="31:31" ht="12.75" customHeight="1" x14ac:dyDescent="0.15">
      <c r="AE10525" s="13"/>
    </row>
    <row r="10526" spans="31:31" ht="12.75" customHeight="1" x14ac:dyDescent="0.15">
      <c r="AE10526" s="13"/>
    </row>
    <row r="10527" spans="31:31" ht="12.75" customHeight="1" x14ac:dyDescent="0.15">
      <c r="AE10527" s="13"/>
    </row>
    <row r="10528" spans="31:31" ht="12.75" customHeight="1" x14ac:dyDescent="0.15">
      <c r="AE10528" s="13"/>
    </row>
    <row r="10529" spans="31:31" ht="12.75" customHeight="1" x14ac:dyDescent="0.15">
      <c r="AE10529" s="13"/>
    </row>
    <row r="10530" spans="31:31" ht="12.75" customHeight="1" x14ac:dyDescent="0.15">
      <c r="AE10530" s="13"/>
    </row>
    <row r="10531" spans="31:31" ht="12.75" customHeight="1" x14ac:dyDescent="0.15">
      <c r="AE10531" s="13"/>
    </row>
    <row r="10532" spans="31:31" ht="12.75" customHeight="1" x14ac:dyDescent="0.15">
      <c r="AE10532" s="13"/>
    </row>
    <row r="10533" spans="31:31" ht="12.75" customHeight="1" x14ac:dyDescent="0.15">
      <c r="AE10533" s="13"/>
    </row>
    <row r="10534" spans="31:31" ht="12.75" customHeight="1" x14ac:dyDescent="0.15">
      <c r="AE10534" s="13"/>
    </row>
    <row r="10535" spans="31:31" ht="12.75" customHeight="1" x14ac:dyDescent="0.15">
      <c r="AE10535" s="13"/>
    </row>
    <row r="10536" spans="31:31" ht="12.75" customHeight="1" x14ac:dyDescent="0.15">
      <c r="AE10536" s="13"/>
    </row>
    <row r="10537" spans="31:31" ht="12.75" customHeight="1" x14ac:dyDescent="0.15">
      <c r="AE10537" s="13"/>
    </row>
    <row r="10538" spans="31:31" ht="12.75" customHeight="1" x14ac:dyDescent="0.15">
      <c r="AE10538" s="13"/>
    </row>
    <row r="10539" spans="31:31" ht="12.75" customHeight="1" x14ac:dyDescent="0.15">
      <c r="AE10539" s="13"/>
    </row>
    <row r="10540" spans="31:31" ht="12.75" customHeight="1" x14ac:dyDescent="0.15">
      <c r="AE10540" s="13"/>
    </row>
    <row r="10541" spans="31:31" ht="12.75" customHeight="1" x14ac:dyDescent="0.15">
      <c r="AE10541" s="13"/>
    </row>
    <row r="10542" spans="31:31" ht="12.75" customHeight="1" x14ac:dyDescent="0.15">
      <c r="AE10542" s="13"/>
    </row>
    <row r="10543" spans="31:31" ht="12.75" customHeight="1" x14ac:dyDescent="0.15">
      <c r="AE10543" s="13"/>
    </row>
    <row r="10544" spans="31:31" ht="12.75" customHeight="1" x14ac:dyDescent="0.15">
      <c r="AE10544" s="13"/>
    </row>
    <row r="10545" spans="31:31" ht="12.75" customHeight="1" x14ac:dyDescent="0.15">
      <c r="AE10545" s="13"/>
    </row>
    <row r="10546" spans="31:31" ht="12.75" customHeight="1" x14ac:dyDescent="0.15">
      <c r="AE10546" s="13"/>
    </row>
    <row r="10547" spans="31:31" ht="12.75" customHeight="1" x14ac:dyDescent="0.15">
      <c r="AE10547" s="13"/>
    </row>
    <row r="10548" spans="31:31" ht="12.75" customHeight="1" x14ac:dyDescent="0.15">
      <c r="AE10548" s="13"/>
    </row>
    <row r="10549" spans="31:31" ht="12.75" customHeight="1" x14ac:dyDescent="0.15">
      <c r="AE10549" s="13"/>
    </row>
    <row r="10550" spans="31:31" ht="12.75" customHeight="1" x14ac:dyDescent="0.15">
      <c r="AE10550" s="13"/>
    </row>
    <row r="10551" spans="31:31" ht="12.75" customHeight="1" x14ac:dyDescent="0.15">
      <c r="AE10551" s="13"/>
    </row>
    <row r="10552" spans="31:31" ht="12.75" customHeight="1" x14ac:dyDescent="0.15">
      <c r="AE10552" s="13"/>
    </row>
    <row r="10553" spans="31:31" ht="12.75" customHeight="1" x14ac:dyDescent="0.15">
      <c r="AE10553" s="13"/>
    </row>
    <row r="10554" spans="31:31" ht="12.75" customHeight="1" x14ac:dyDescent="0.15">
      <c r="AE10554" s="13"/>
    </row>
    <row r="10555" spans="31:31" ht="12.75" customHeight="1" x14ac:dyDescent="0.15">
      <c r="AE10555" s="13"/>
    </row>
    <row r="10556" spans="31:31" ht="12.75" customHeight="1" x14ac:dyDescent="0.15">
      <c r="AE10556" s="13"/>
    </row>
    <row r="10557" spans="31:31" ht="12.75" customHeight="1" x14ac:dyDescent="0.15">
      <c r="AE10557" s="13"/>
    </row>
    <row r="10558" spans="31:31" ht="12.75" customHeight="1" x14ac:dyDescent="0.15">
      <c r="AE10558" s="13"/>
    </row>
    <row r="10559" spans="31:31" ht="12.75" customHeight="1" x14ac:dyDescent="0.15">
      <c r="AE10559" s="13"/>
    </row>
    <row r="10560" spans="31:31" ht="12.75" customHeight="1" x14ac:dyDescent="0.15">
      <c r="AE10560" s="13"/>
    </row>
    <row r="10561" spans="31:31" ht="12.75" customHeight="1" x14ac:dyDescent="0.15">
      <c r="AE10561" s="13"/>
    </row>
    <row r="10562" spans="31:31" ht="12.75" customHeight="1" x14ac:dyDescent="0.15">
      <c r="AE10562" s="13"/>
    </row>
    <row r="10563" spans="31:31" ht="12.75" customHeight="1" x14ac:dyDescent="0.15">
      <c r="AE10563" s="13"/>
    </row>
    <row r="10564" spans="31:31" ht="12.75" customHeight="1" x14ac:dyDescent="0.15">
      <c r="AE10564" s="13"/>
    </row>
    <row r="10565" spans="31:31" ht="12.75" customHeight="1" x14ac:dyDescent="0.15">
      <c r="AE10565" s="13"/>
    </row>
    <row r="10566" spans="31:31" ht="12.75" customHeight="1" x14ac:dyDescent="0.15">
      <c r="AE10566" s="13"/>
    </row>
    <row r="10567" spans="31:31" ht="12.75" customHeight="1" x14ac:dyDescent="0.15">
      <c r="AE10567" s="13"/>
    </row>
    <row r="10568" spans="31:31" ht="12.75" customHeight="1" x14ac:dyDescent="0.15">
      <c r="AE10568" s="13"/>
    </row>
    <row r="10569" spans="31:31" ht="12.75" customHeight="1" x14ac:dyDescent="0.15">
      <c r="AE10569" s="13"/>
    </row>
    <row r="10570" spans="31:31" ht="12.75" customHeight="1" x14ac:dyDescent="0.15">
      <c r="AE10570" s="13"/>
    </row>
    <row r="10571" spans="31:31" ht="12.75" customHeight="1" x14ac:dyDescent="0.15">
      <c r="AE10571" s="13"/>
    </row>
    <row r="10572" spans="31:31" ht="12.75" customHeight="1" x14ac:dyDescent="0.15">
      <c r="AE10572" s="13"/>
    </row>
    <row r="10573" spans="31:31" ht="12.75" customHeight="1" x14ac:dyDescent="0.15">
      <c r="AE10573" s="13"/>
    </row>
    <row r="10574" spans="31:31" ht="12.75" customHeight="1" x14ac:dyDescent="0.15">
      <c r="AE10574" s="13"/>
    </row>
    <row r="10575" spans="31:31" ht="12.75" customHeight="1" x14ac:dyDescent="0.15">
      <c r="AE10575" s="13"/>
    </row>
    <row r="10576" spans="31:31" ht="12.75" customHeight="1" x14ac:dyDescent="0.15">
      <c r="AE10576" s="13"/>
    </row>
    <row r="10577" spans="31:31" ht="12.75" customHeight="1" x14ac:dyDescent="0.15">
      <c r="AE10577" s="13"/>
    </row>
    <row r="10578" spans="31:31" ht="12.75" customHeight="1" x14ac:dyDescent="0.15">
      <c r="AE10578" s="13"/>
    </row>
    <row r="10579" spans="31:31" ht="12.75" customHeight="1" x14ac:dyDescent="0.15">
      <c r="AE10579" s="13"/>
    </row>
    <row r="10580" spans="31:31" ht="12.75" customHeight="1" x14ac:dyDescent="0.15">
      <c r="AE10580" s="13"/>
    </row>
    <row r="10581" spans="31:31" ht="12.75" customHeight="1" x14ac:dyDescent="0.15">
      <c r="AE10581" s="13"/>
    </row>
    <row r="10582" spans="31:31" ht="12.75" customHeight="1" x14ac:dyDescent="0.15">
      <c r="AE10582" s="13"/>
    </row>
    <row r="10583" spans="31:31" ht="12.75" customHeight="1" x14ac:dyDescent="0.15">
      <c r="AE10583" s="13"/>
    </row>
    <row r="10584" spans="31:31" ht="12.75" customHeight="1" x14ac:dyDescent="0.15">
      <c r="AE10584" s="13"/>
    </row>
    <row r="10585" spans="31:31" ht="12.75" customHeight="1" x14ac:dyDescent="0.15">
      <c r="AE10585" s="13"/>
    </row>
    <row r="10586" spans="31:31" ht="12.75" customHeight="1" x14ac:dyDescent="0.15">
      <c r="AE10586" s="13"/>
    </row>
    <row r="10587" spans="31:31" ht="12.75" customHeight="1" x14ac:dyDescent="0.15">
      <c r="AE10587" s="13"/>
    </row>
    <row r="10588" spans="31:31" ht="12.75" customHeight="1" x14ac:dyDescent="0.15">
      <c r="AE10588" s="13"/>
    </row>
    <row r="10589" spans="31:31" ht="12.75" customHeight="1" x14ac:dyDescent="0.15">
      <c r="AE10589" s="13"/>
    </row>
    <row r="10590" spans="31:31" ht="12.75" customHeight="1" x14ac:dyDescent="0.15">
      <c r="AE10590" s="13"/>
    </row>
    <row r="10591" spans="31:31" ht="12.75" customHeight="1" x14ac:dyDescent="0.15">
      <c r="AE10591" s="13"/>
    </row>
    <row r="10592" spans="31:31" ht="12.75" customHeight="1" x14ac:dyDescent="0.15">
      <c r="AE10592" s="13"/>
    </row>
    <row r="10593" spans="31:31" ht="12.75" customHeight="1" x14ac:dyDescent="0.15">
      <c r="AE10593" s="13"/>
    </row>
    <row r="10594" spans="31:31" ht="12.75" customHeight="1" x14ac:dyDescent="0.15">
      <c r="AE10594" s="13"/>
    </row>
    <row r="10595" spans="31:31" ht="12.75" customHeight="1" x14ac:dyDescent="0.15">
      <c r="AE10595" s="13"/>
    </row>
    <row r="10596" spans="31:31" ht="12.75" customHeight="1" x14ac:dyDescent="0.15">
      <c r="AE10596" s="13"/>
    </row>
    <row r="10597" spans="31:31" ht="12.75" customHeight="1" x14ac:dyDescent="0.15">
      <c r="AE10597" s="13"/>
    </row>
    <row r="10598" spans="31:31" ht="12.75" customHeight="1" x14ac:dyDescent="0.15">
      <c r="AE10598" s="13"/>
    </row>
    <row r="10599" spans="31:31" ht="12.75" customHeight="1" x14ac:dyDescent="0.15">
      <c r="AE10599" s="13"/>
    </row>
    <row r="10600" spans="31:31" ht="12.75" customHeight="1" x14ac:dyDescent="0.15">
      <c r="AE10600" s="13"/>
    </row>
    <row r="10601" spans="31:31" ht="12.75" customHeight="1" x14ac:dyDescent="0.15">
      <c r="AE10601" s="13"/>
    </row>
    <row r="10602" spans="31:31" ht="12.75" customHeight="1" x14ac:dyDescent="0.15">
      <c r="AE10602" s="13"/>
    </row>
    <row r="10603" spans="31:31" ht="12.75" customHeight="1" x14ac:dyDescent="0.15">
      <c r="AE10603" s="13"/>
    </row>
    <row r="10604" spans="31:31" ht="12.75" customHeight="1" x14ac:dyDescent="0.15">
      <c r="AE10604" s="13"/>
    </row>
    <row r="10605" spans="31:31" ht="12.75" customHeight="1" x14ac:dyDescent="0.15">
      <c r="AE10605" s="13"/>
    </row>
    <row r="10606" spans="31:31" ht="12.75" customHeight="1" x14ac:dyDescent="0.15">
      <c r="AE10606" s="13"/>
    </row>
    <row r="10607" spans="31:31" ht="12.75" customHeight="1" x14ac:dyDescent="0.15">
      <c r="AE10607" s="13"/>
    </row>
    <row r="10608" spans="31:31" ht="12.75" customHeight="1" x14ac:dyDescent="0.15">
      <c r="AE10608" s="13"/>
    </row>
    <row r="10609" spans="31:31" ht="12.75" customHeight="1" x14ac:dyDescent="0.15">
      <c r="AE10609" s="13"/>
    </row>
    <row r="10610" spans="31:31" ht="12.75" customHeight="1" x14ac:dyDescent="0.15">
      <c r="AE10610" s="13"/>
    </row>
    <row r="10611" spans="31:31" ht="12.75" customHeight="1" x14ac:dyDescent="0.15">
      <c r="AE10611" s="13"/>
    </row>
    <row r="10612" spans="31:31" ht="12.75" customHeight="1" x14ac:dyDescent="0.15">
      <c r="AE10612" s="13"/>
    </row>
    <row r="10613" spans="31:31" ht="12.75" customHeight="1" x14ac:dyDescent="0.15">
      <c r="AE10613" s="13"/>
    </row>
    <row r="10614" spans="31:31" ht="12.75" customHeight="1" x14ac:dyDescent="0.15">
      <c r="AE10614" s="13"/>
    </row>
    <row r="10615" spans="31:31" ht="12.75" customHeight="1" x14ac:dyDescent="0.15">
      <c r="AE10615" s="13"/>
    </row>
    <row r="10616" spans="31:31" ht="12.75" customHeight="1" x14ac:dyDescent="0.15">
      <c r="AE10616" s="13"/>
    </row>
    <row r="10617" spans="31:31" ht="12.75" customHeight="1" x14ac:dyDescent="0.15">
      <c r="AE10617" s="13"/>
    </row>
    <row r="10618" spans="31:31" ht="12.75" customHeight="1" x14ac:dyDescent="0.15">
      <c r="AE10618" s="13"/>
    </row>
    <row r="10619" spans="31:31" ht="12.75" customHeight="1" x14ac:dyDescent="0.15">
      <c r="AE10619" s="13"/>
    </row>
    <row r="10620" spans="31:31" ht="12.75" customHeight="1" x14ac:dyDescent="0.15">
      <c r="AE10620" s="13"/>
    </row>
    <row r="10621" spans="31:31" ht="12.75" customHeight="1" x14ac:dyDescent="0.15">
      <c r="AE10621" s="13"/>
    </row>
    <row r="10622" spans="31:31" ht="12.75" customHeight="1" x14ac:dyDescent="0.15">
      <c r="AE10622" s="13"/>
    </row>
    <row r="10623" spans="31:31" ht="12.75" customHeight="1" x14ac:dyDescent="0.15">
      <c r="AE10623" s="13"/>
    </row>
    <row r="10624" spans="31:31" ht="12.75" customHeight="1" x14ac:dyDescent="0.15">
      <c r="AE10624" s="13"/>
    </row>
    <row r="10625" spans="31:31" ht="12.75" customHeight="1" x14ac:dyDescent="0.15">
      <c r="AE10625" s="13"/>
    </row>
    <row r="10626" spans="31:31" ht="12.75" customHeight="1" x14ac:dyDescent="0.15">
      <c r="AE10626" s="13"/>
    </row>
    <row r="10627" spans="31:31" ht="12.75" customHeight="1" x14ac:dyDescent="0.15">
      <c r="AE10627" s="13"/>
    </row>
    <row r="10628" spans="31:31" ht="12.75" customHeight="1" x14ac:dyDescent="0.15">
      <c r="AE10628" s="13"/>
    </row>
    <row r="10629" spans="31:31" ht="12.75" customHeight="1" x14ac:dyDescent="0.15">
      <c r="AE10629" s="13"/>
    </row>
    <row r="10630" spans="31:31" ht="12.75" customHeight="1" x14ac:dyDescent="0.15">
      <c r="AE10630" s="13"/>
    </row>
    <row r="10631" spans="31:31" ht="12.75" customHeight="1" x14ac:dyDescent="0.15">
      <c r="AE10631" s="13"/>
    </row>
    <row r="10632" spans="31:31" ht="12.75" customHeight="1" x14ac:dyDescent="0.15">
      <c r="AE10632" s="13"/>
    </row>
    <row r="10633" spans="31:31" ht="12.75" customHeight="1" x14ac:dyDescent="0.15">
      <c r="AE10633" s="13"/>
    </row>
    <row r="10634" spans="31:31" ht="12.75" customHeight="1" x14ac:dyDescent="0.15">
      <c r="AE10634" s="13"/>
    </row>
    <row r="10635" spans="31:31" ht="12.75" customHeight="1" x14ac:dyDescent="0.15">
      <c r="AE10635" s="13"/>
    </row>
    <row r="10636" spans="31:31" ht="12.75" customHeight="1" x14ac:dyDescent="0.15">
      <c r="AE10636" s="13"/>
    </row>
    <row r="10637" spans="31:31" ht="12.75" customHeight="1" x14ac:dyDescent="0.15">
      <c r="AE10637" s="13"/>
    </row>
    <row r="10638" spans="31:31" ht="12.75" customHeight="1" x14ac:dyDescent="0.15">
      <c r="AE10638" s="13"/>
    </row>
    <row r="10639" spans="31:31" ht="12.75" customHeight="1" x14ac:dyDescent="0.15">
      <c r="AE10639" s="13"/>
    </row>
    <row r="10640" spans="31:31" ht="12.75" customHeight="1" x14ac:dyDescent="0.15">
      <c r="AE10640" s="13"/>
    </row>
    <row r="10641" spans="31:31" ht="12.75" customHeight="1" x14ac:dyDescent="0.15">
      <c r="AE10641" s="13"/>
    </row>
    <row r="10642" spans="31:31" ht="12.75" customHeight="1" x14ac:dyDescent="0.15">
      <c r="AE10642" s="13"/>
    </row>
    <row r="10643" spans="31:31" ht="12.75" customHeight="1" x14ac:dyDescent="0.15">
      <c r="AE10643" s="13"/>
    </row>
    <row r="10644" spans="31:31" ht="12.75" customHeight="1" x14ac:dyDescent="0.15">
      <c r="AE10644" s="13"/>
    </row>
    <row r="10645" spans="31:31" ht="12.75" customHeight="1" x14ac:dyDescent="0.15">
      <c r="AE10645" s="13"/>
    </row>
    <row r="10646" spans="31:31" ht="12.75" customHeight="1" x14ac:dyDescent="0.15">
      <c r="AE10646" s="13"/>
    </row>
    <row r="10647" spans="31:31" ht="12.75" customHeight="1" x14ac:dyDescent="0.15">
      <c r="AE10647" s="13"/>
    </row>
    <row r="10648" spans="31:31" ht="12.75" customHeight="1" x14ac:dyDescent="0.15">
      <c r="AE10648" s="13"/>
    </row>
    <row r="10649" spans="31:31" ht="12.75" customHeight="1" x14ac:dyDescent="0.15">
      <c r="AE10649" s="13"/>
    </row>
    <row r="10650" spans="31:31" ht="12.75" customHeight="1" x14ac:dyDescent="0.15">
      <c r="AE10650" s="13"/>
    </row>
    <row r="10651" spans="31:31" ht="12.75" customHeight="1" x14ac:dyDescent="0.15">
      <c r="AE10651" s="13"/>
    </row>
    <row r="10652" spans="31:31" ht="12.75" customHeight="1" x14ac:dyDescent="0.15">
      <c r="AE10652" s="13"/>
    </row>
    <row r="10653" spans="31:31" ht="12.75" customHeight="1" x14ac:dyDescent="0.15">
      <c r="AE10653" s="13"/>
    </row>
    <row r="10654" spans="31:31" ht="12.75" customHeight="1" x14ac:dyDescent="0.15">
      <c r="AE10654" s="13"/>
    </row>
    <row r="10655" spans="31:31" ht="12.75" customHeight="1" x14ac:dyDescent="0.15">
      <c r="AE10655" s="13"/>
    </row>
    <row r="10656" spans="31:31" ht="12.75" customHeight="1" x14ac:dyDescent="0.15">
      <c r="AE10656" s="13"/>
    </row>
    <row r="10657" spans="31:31" ht="12.75" customHeight="1" x14ac:dyDescent="0.15">
      <c r="AE10657" s="13"/>
    </row>
    <row r="10658" spans="31:31" ht="12.75" customHeight="1" x14ac:dyDescent="0.15">
      <c r="AE10658" s="13"/>
    </row>
    <row r="10659" spans="31:31" ht="12.75" customHeight="1" x14ac:dyDescent="0.15">
      <c r="AE10659" s="13"/>
    </row>
    <row r="10660" spans="31:31" ht="12.75" customHeight="1" x14ac:dyDescent="0.15">
      <c r="AE10660" s="13"/>
    </row>
    <row r="10661" spans="31:31" ht="12.75" customHeight="1" x14ac:dyDescent="0.15">
      <c r="AE10661" s="13"/>
    </row>
    <row r="10662" spans="31:31" ht="12.75" customHeight="1" x14ac:dyDescent="0.15">
      <c r="AE10662" s="13"/>
    </row>
    <row r="10663" spans="31:31" ht="12.75" customHeight="1" x14ac:dyDescent="0.15">
      <c r="AE10663" s="13"/>
    </row>
    <row r="10664" spans="31:31" ht="12.75" customHeight="1" x14ac:dyDescent="0.15">
      <c r="AE10664" s="13"/>
    </row>
    <row r="10665" spans="31:31" ht="12.75" customHeight="1" x14ac:dyDescent="0.15">
      <c r="AE10665" s="13"/>
    </row>
    <row r="10666" spans="31:31" ht="12.75" customHeight="1" x14ac:dyDescent="0.15">
      <c r="AE10666" s="13"/>
    </row>
    <row r="10667" spans="31:31" ht="12.75" customHeight="1" x14ac:dyDescent="0.15">
      <c r="AE10667" s="13"/>
    </row>
    <row r="10668" spans="31:31" ht="12.75" customHeight="1" x14ac:dyDescent="0.15">
      <c r="AE10668" s="13"/>
    </row>
    <row r="10669" spans="31:31" ht="12.75" customHeight="1" x14ac:dyDescent="0.15">
      <c r="AE10669" s="13"/>
    </row>
    <row r="10670" spans="31:31" ht="12.75" customHeight="1" x14ac:dyDescent="0.15">
      <c r="AE10670" s="13"/>
    </row>
    <row r="10671" spans="31:31" ht="12.75" customHeight="1" x14ac:dyDescent="0.15">
      <c r="AE10671" s="13"/>
    </row>
    <row r="10672" spans="31:31" ht="12.75" customHeight="1" x14ac:dyDescent="0.15">
      <c r="AE10672" s="13"/>
    </row>
    <row r="10673" spans="31:31" ht="12.75" customHeight="1" x14ac:dyDescent="0.15">
      <c r="AE10673" s="13"/>
    </row>
    <row r="10674" spans="31:31" ht="12.75" customHeight="1" x14ac:dyDescent="0.15">
      <c r="AE10674" s="13"/>
    </row>
    <row r="10675" spans="31:31" ht="12.75" customHeight="1" x14ac:dyDescent="0.15">
      <c r="AE10675" s="13"/>
    </row>
    <row r="10676" spans="31:31" ht="12.75" customHeight="1" x14ac:dyDescent="0.15">
      <c r="AE10676" s="13"/>
    </row>
    <row r="10677" spans="31:31" ht="12.75" customHeight="1" x14ac:dyDescent="0.15">
      <c r="AE10677" s="13"/>
    </row>
    <row r="10678" spans="31:31" ht="12.75" customHeight="1" x14ac:dyDescent="0.15">
      <c r="AE10678" s="13"/>
    </row>
    <row r="10679" spans="31:31" ht="12.75" customHeight="1" x14ac:dyDescent="0.15">
      <c r="AE10679" s="13"/>
    </row>
    <row r="10680" spans="31:31" ht="12.75" customHeight="1" x14ac:dyDescent="0.15">
      <c r="AE10680" s="13"/>
    </row>
    <row r="10681" spans="31:31" ht="12.75" customHeight="1" x14ac:dyDescent="0.15">
      <c r="AE10681" s="13"/>
    </row>
    <row r="10682" spans="31:31" ht="12.75" customHeight="1" x14ac:dyDescent="0.15">
      <c r="AE10682" s="13"/>
    </row>
    <row r="10683" spans="31:31" ht="12.75" customHeight="1" x14ac:dyDescent="0.15">
      <c r="AE10683" s="13"/>
    </row>
    <row r="10684" spans="31:31" ht="12.75" customHeight="1" x14ac:dyDescent="0.15">
      <c r="AE10684" s="13"/>
    </row>
    <row r="10685" spans="31:31" ht="12.75" customHeight="1" x14ac:dyDescent="0.15">
      <c r="AE10685" s="13"/>
    </row>
    <row r="10686" spans="31:31" ht="12.75" customHeight="1" x14ac:dyDescent="0.15">
      <c r="AE10686" s="13"/>
    </row>
    <row r="10687" spans="31:31" ht="12.75" customHeight="1" x14ac:dyDescent="0.15">
      <c r="AE10687" s="13"/>
    </row>
    <row r="10688" spans="31:31" ht="12.75" customHeight="1" x14ac:dyDescent="0.15">
      <c r="AE10688" s="13"/>
    </row>
    <row r="10689" spans="31:31" ht="12.75" customHeight="1" x14ac:dyDescent="0.15">
      <c r="AE10689" s="13"/>
    </row>
    <row r="10690" spans="31:31" ht="12.75" customHeight="1" x14ac:dyDescent="0.15">
      <c r="AE10690" s="13"/>
    </row>
    <row r="10691" spans="31:31" ht="12.75" customHeight="1" x14ac:dyDescent="0.15">
      <c r="AE10691" s="13"/>
    </row>
    <row r="10692" spans="31:31" ht="12.75" customHeight="1" x14ac:dyDescent="0.15">
      <c r="AE10692" s="13"/>
    </row>
    <row r="10693" spans="31:31" ht="12.75" customHeight="1" x14ac:dyDescent="0.15">
      <c r="AE10693" s="13"/>
    </row>
    <row r="10694" spans="31:31" ht="12.75" customHeight="1" x14ac:dyDescent="0.15">
      <c r="AE10694" s="13"/>
    </row>
    <row r="10695" spans="31:31" ht="12.75" customHeight="1" x14ac:dyDescent="0.15">
      <c r="AE10695" s="13"/>
    </row>
    <row r="10696" spans="31:31" ht="12.75" customHeight="1" x14ac:dyDescent="0.15">
      <c r="AE10696" s="13"/>
    </row>
    <row r="10697" spans="31:31" ht="12.75" customHeight="1" x14ac:dyDescent="0.15">
      <c r="AE10697" s="13"/>
    </row>
    <row r="10698" spans="31:31" ht="12.75" customHeight="1" x14ac:dyDescent="0.15">
      <c r="AE10698" s="13"/>
    </row>
    <row r="10699" spans="31:31" ht="12.75" customHeight="1" x14ac:dyDescent="0.15">
      <c r="AE10699" s="13"/>
    </row>
    <row r="10700" spans="31:31" ht="12.75" customHeight="1" x14ac:dyDescent="0.15">
      <c r="AE10700" s="13"/>
    </row>
    <row r="10701" spans="31:31" ht="12.75" customHeight="1" x14ac:dyDescent="0.15">
      <c r="AE10701" s="13"/>
    </row>
    <row r="10702" spans="31:31" ht="12.75" customHeight="1" x14ac:dyDescent="0.15">
      <c r="AE10702" s="13"/>
    </row>
    <row r="10703" spans="31:31" ht="12.75" customHeight="1" x14ac:dyDescent="0.15">
      <c r="AE10703" s="13"/>
    </row>
    <row r="10704" spans="31:31" ht="12.75" customHeight="1" x14ac:dyDescent="0.15">
      <c r="AE10704" s="13"/>
    </row>
    <row r="10705" spans="31:31" ht="12.75" customHeight="1" x14ac:dyDescent="0.15">
      <c r="AE10705" s="13"/>
    </row>
    <row r="10706" spans="31:31" ht="12.75" customHeight="1" x14ac:dyDescent="0.15">
      <c r="AE10706" s="13"/>
    </row>
    <row r="10707" spans="31:31" ht="12.75" customHeight="1" x14ac:dyDescent="0.15">
      <c r="AE10707" s="13"/>
    </row>
    <row r="10708" spans="31:31" ht="12.75" customHeight="1" x14ac:dyDescent="0.15">
      <c r="AE10708" s="13"/>
    </row>
    <row r="10709" spans="31:31" ht="12.75" customHeight="1" x14ac:dyDescent="0.15">
      <c r="AE10709" s="13"/>
    </row>
    <row r="10710" spans="31:31" ht="12.75" customHeight="1" x14ac:dyDescent="0.15">
      <c r="AE10710" s="13"/>
    </row>
    <row r="10711" spans="31:31" ht="12.75" customHeight="1" x14ac:dyDescent="0.15">
      <c r="AE10711" s="13"/>
    </row>
    <row r="10712" spans="31:31" ht="12.75" customHeight="1" x14ac:dyDescent="0.15">
      <c r="AE10712" s="13"/>
    </row>
    <row r="10713" spans="31:31" ht="12.75" customHeight="1" x14ac:dyDescent="0.15">
      <c r="AE10713" s="13"/>
    </row>
    <row r="10714" spans="31:31" ht="12.75" customHeight="1" x14ac:dyDescent="0.15">
      <c r="AE10714" s="13"/>
    </row>
    <row r="10715" spans="31:31" ht="12.75" customHeight="1" x14ac:dyDescent="0.15">
      <c r="AE10715" s="13"/>
    </row>
    <row r="10716" spans="31:31" ht="12.75" customHeight="1" x14ac:dyDescent="0.15">
      <c r="AE10716" s="13"/>
    </row>
    <row r="10717" spans="31:31" ht="12.75" customHeight="1" x14ac:dyDescent="0.15">
      <c r="AE10717" s="13"/>
    </row>
    <row r="10718" spans="31:31" ht="12.75" customHeight="1" x14ac:dyDescent="0.15">
      <c r="AE10718" s="13"/>
    </row>
    <row r="10719" spans="31:31" ht="12.75" customHeight="1" x14ac:dyDescent="0.15">
      <c r="AE10719" s="13"/>
    </row>
    <row r="10720" spans="31:31" ht="12.75" customHeight="1" x14ac:dyDescent="0.15">
      <c r="AE10720" s="13"/>
    </row>
    <row r="10721" spans="31:31" ht="12.75" customHeight="1" x14ac:dyDescent="0.15">
      <c r="AE10721" s="13"/>
    </row>
    <row r="10722" spans="31:31" ht="12.75" customHeight="1" x14ac:dyDescent="0.15">
      <c r="AE10722" s="13"/>
    </row>
    <row r="10723" spans="31:31" ht="12.75" customHeight="1" x14ac:dyDescent="0.15">
      <c r="AE10723" s="13"/>
    </row>
    <row r="10724" spans="31:31" ht="12.75" customHeight="1" x14ac:dyDescent="0.15">
      <c r="AE10724" s="13"/>
    </row>
    <row r="10725" spans="31:31" ht="12.75" customHeight="1" x14ac:dyDescent="0.15">
      <c r="AE10725" s="13"/>
    </row>
    <row r="10726" spans="31:31" ht="12.75" customHeight="1" x14ac:dyDescent="0.15">
      <c r="AE10726" s="13"/>
    </row>
    <row r="10727" spans="31:31" ht="12.75" customHeight="1" x14ac:dyDescent="0.15">
      <c r="AE10727" s="13"/>
    </row>
    <row r="10728" spans="31:31" ht="12.75" customHeight="1" x14ac:dyDescent="0.15">
      <c r="AE10728" s="13"/>
    </row>
    <row r="10729" spans="31:31" ht="12.75" customHeight="1" x14ac:dyDescent="0.15">
      <c r="AE10729" s="13"/>
    </row>
    <row r="10730" spans="31:31" ht="12.75" customHeight="1" x14ac:dyDescent="0.15">
      <c r="AE10730" s="13"/>
    </row>
    <row r="10731" spans="31:31" ht="12.75" customHeight="1" x14ac:dyDescent="0.15">
      <c r="AE10731" s="13"/>
    </row>
    <row r="10732" spans="31:31" ht="12.75" customHeight="1" x14ac:dyDescent="0.15">
      <c r="AE10732" s="13"/>
    </row>
    <row r="10733" spans="31:31" ht="12.75" customHeight="1" x14ac:dyDescent="0.15">
      <c r="AE10733" s="13"/>
    </row>
    <row r="10734" spans="31:31" ht="12.75" customHeight="1" x14ac:dyDescent="0.15">
      <c r="AE10734" s="13"/>
    </row>
    <row r="10735" spans="31:31" ht="12.75" customHeight="1" x14ac:dyDescent="0.15">
      <c r="AE10735" s="13"/>
    </row>
    <row r="10736" spans="31:31" ht="12.75" customHeight="1" x14ac:dyDescent="0.15">
      <c r="AE10736" s="13"/>
    </row>
    <row r="10737" spans="31:31" ht="12.75" customHeight="1" x14ac:dyDescent="0.15">
      <c r="AE10737" s="13"/>
    </row>
    <row r="10738" spans="31:31" ht="12.75" customHeight="1" x14ac:dyDescent="0.15">
      <c r="AE10738" s="13"/>
    </row>
    <row r="10739" spans="31:31" ht="12.75" customHeight="1" x14ac:dyDescent="0.15">
      <c r="AE10739" s="13"/>
    </row>
    <row r="10740" spans="31:31" ht="12.75" customHeight="1" x14ac:dyDescent="0.15">
      <c r="AE10740" s="13"/>
    </row>
    <row r="10741" spans="31:31" ht="12.75" customHeight="1" x14ac:dyDescent="0.15">
      <c r="AE10741" s="13"/>
    </row>
    <row r="10742" spans="31:31" ht="12.75" customHeight="1" x14ac:dyDescent="0.15">
      <c r="AE10742" s="13"/>
    </row>
    <row r="10743" spans="31:31" ht="12.75" customHeight="1" x14ac:dyDescent="0.15">
      <c r="AE10743" s="13"/>
    </row>
    <row r="10744" spans="31:31" ht="12.75" customHeight="1" x14ac:dyDescent="0.15">
      <c r="AE10744" s="13"/>
    </row>
    <row r="10745" spans="31:31" ht="12.75" customHeight="1" x14ac:dyDescent="0.15">
      <c r="AE10745" s="13"/>
    </row>
    <row r="10746" spans="31:31" ht="12.75" customHeight="1" x14ac:dyDescent="0.15">
      <c r="AE10746" s="13"/>
    </row>
    <row r="10747" spans="31:31" ht="12.75" customHeight="1" x14ac:dyDescent="0.15">
      <c r="AE10747" s="13"/>
    </row>
    <row r="10748" spans="31:31" ht="12.75" customHeight="1" x14ac:dyDescent="0.15">
      <c r="AE10748" s="13"/>
    </row>
    <row r="10749" spans="31:31" ht="12.75" customHeight="1" x14ac:dyDescent="0.15">
      <c r="AE10749" s="13"/>
    </row>
    <row r="10750" spans="31:31" ht="12.75" customHeight="1" x14ac:dyDescent="0.15">
      <c r="AE10750" s="13"/>
    </row>
    <row r="10751" spans="31:31" ht="12.75" customHeight="1" x14ac:dyDescent="0.15">
      <c r="AE10751" s="13"/>
    </row>
    <row r="10752" spans="31:31" ht="12.75" customHeight="1" x14ac:dyDescent="0.15">
      <c r="AE10752" s="13"/>
    </row>
    <row r="10753" spans="31:31" ht="12.75" customHeight="1" x14ac:dyDescent="0.15">
      <c r="AE10753" s="13"/>
    </row>
    <row r="10754" spans="31:31" ht="12.75" customHeight="1" x14ac:dyDescent="0.15">
      <c r="AE10754" s="13"/>
    </row>
    <row r="10755" spans="31:31" ht="12.75" customHeight="1" x14ac:dyDescent="0.15">
      <c r="AE10755" s="13"/>
    </row>
    <row r="10756" spans="31:31" ht="12.75" customHeight="1" x14ac:dyDescent="0.15">
      <c r="AE10756" s="13"/>
    </row>
    <row r="10757" spans="31:31" ht="12.75" customHeight="1" x14ac:dyDescent="0.15">
      <c r="AE10757" s="13"/>
    </row>
    <row r="10758" spans="31:31" ht="12.75" customHeight="1" x14ac:dyDescent="0.15">
      <c r="AE10758" s="13"/>
    </row>
    <row r="10759" spans="31:31" ht="12.75" customHeight="1" x14ac:dyDescent="0.15">
      <c r="AE10759" s="13"/>
    </row>
    <row r="10760" spans="31:31" ht="12.75" customHeight="1" x14ac:dyDescent="0.15">
      <c r="AE10760" s="13"/>
    </row>
    <row r="10761" spans="31:31" ht="12.75" customHeight="1" x14ac:dyDescent="0.15">
      <c r="AE10761" s="13"/>
    </row>
    <row r="10762" spans="31:31" ht="12.75" customHeight="1" x14ac:dyDescent="0.15">
      <c r="AE10762" s="13"/>
    </row>
    <row r="10763" spans="31:31" ht="12.75" customHeight="1" x14ac:dyDescent="0.15">
      <c r="AE10763" s="13"/>
    </row>
    <row r="10764" spans="31:31" ht="12.75" customHeight="1" x14ac:dyDescent="0.15">
      <c r="AE10764" s="13"/>
    </row>
    <row r="10765" spans="31:31" ht="12.75" customHeight="1" x14ac:dyDescent="0.15">
      <c r="AE10765" s="13"/>
    </row>
    <row r="10766" spans="31:31" ht="12.75" customHeight="1" x14ac:dyDescent="0.15">
      <c r="AE10766" s="13"/>
    </row>
    <row r="10767" spans="31:31" ht="12.75" customHeight="1" x14ac:dyDescent="0.15">
      <c r="AE10767" s="13"/>
    </row>
    <row r="10768" spans="31:31" ht="12.75" customHeight="1" x14ac:dyDescent="0.15">
      <c r="AE10768" s="13"/>
    </row>
    <row r="10769" spans="31:31" ht="12.75" customHeight="1" x14ac:dyDescent="0.15">
      <c r="AE10769" s="13"/>
    </row>
    <row r="10770" spans="31:31" ht="12.75" customHeight="1" x14ac:dyDescent="0.15">
      <c r="AE10770" s="13"/>
    </row>
    <row r="10771" spans="31:31" ht="12.75" customHeight="1" x14ac:dyDescent="0.15">
      <c r="AE10771" s="13"/>
    </row>
    <row r="10772" spans="31:31" ht="12.75" customHeight="1" x14ac:dyDescent="0.15">
      <c r="AE10772" s="13"/>
    </row>
    <row r="10773" spans="31:31" ht="12.75" customHeight="1" x14ac:dyDescent="0.15">
      <c r="AE10773" s="13"/>
    </row>
    <row r="10774" spans="31:31" ht="12.75" customHeight="1" x14ac:dyDescent="0.15">
      <c r="AE10774" s="13"/>
    </row>
    <row r="10775" spans="31:31" ht="12.75" customHeight="1" x14ac:dyDescent="0.15">
      <c r="AE10775" s="13"/>
    </row>
    <row r="10776" spans="31:31" ht="12.75" customHeight="1" x14ac:dyDescent="0.15">
      <c r="AE10776" s="13"/>
    </row>
    <row r="10777" spans="31:31" ht="12.75" customHeight="1" x14ac:dyDescent="0.15">
      <c r="AE10777" s="13"/>
    </row>
    <row r="10778" spans="31:31" ht="12.75" customHeight="1" x14ac:dyDescent="0.15">
      <c r="AE10778" s="13"/>
    </row>
    <row r="10779" spans="31:31" ht="12.75" customHeight="1" x14ac:dyDescent="0.15">
      <c r="AE10779" s="13"/>
    </row>
    <row r="10780" spans="31:31" ht="12.75" customHeight="1" x14ac:dyDescent="0.15">
      <c r="AE10780" s="13"/>
    </row>
    <row r="10781" spans="31:31" ht="12.75" customHeight="1" x14ac:dyDescent="0.15">
      <c r="AE10781" s="13"/>
    </row>
    <row r="10782" spans="31:31" ht="12.75" customHeight="1" x14ac:dyDescent="0.15">
      <c r="AE10782" s="13"/>
    </row>
    <row r="10783" spans="31:31" ht="12.75" customHeight="1" x14ac:dyDescent="0.15">
      <c r="AE10783" s="13"/>
    </row>
    <row r="10784" spans="31:31" ht="12.75" customHeight="1" x14ac:dyDescent="0.15">
      <c r="AE10784" s="13"/>
    </row>
    <row r="10785" spans="31:31" ht="12.75" customHeight="1" x14ac:dyDescent="0.15">
      <c r="AE10785" s="13"/>
    </row>
    <row r="10786" spans="31:31" ht="12.75" customHeight="1" x14ac:dyDescent="0.15">
      <c r="AE10786" s="13"/>
    </row>
    <row r="10787" spans="31:31" ht="12.75" customHeight="1" x14ac:dyDescent="0.15">
      <c r="AE10787" s="13"/>
    </row>
    <row r="10788" spans="31:31" ht="12.75" customHeight="1" x14ac:dyDescent="0.15">
      <c r="AE10788" s="13"/>
    </row>
    <row r="10789" spans="31:31" ht="12.75" customHeight="1" x14ac:dyDescent="0.15">
      <c r="AE10789" s="13"/>
    </row>
    <row r="10790" spans="31:31" ht="12.75" customHeight="1" x14ac:dyDescent="0.15">
      <c r="AE10790" s="13"/>
    </row>
    <row r="10791" spans="31:31" ht="12.75" customHeight="1" x14ac:dyDescent="0.15">
      <c r="AE10791" s="13"/>
    </row>
    <row r="10792" spans="31:31" ht="12.75" customHeight="1" x14ac:dyDescent="0.15">
      <c r="AE10792" s="13"/>
    </row>
    <row r="10793" spans="31:31" ht="12.75" customHeight="1" x14ac:dyDescent="0.15">
      <c r="AE10793" s="13"/>
    </row>
    <row r="10794" spans="31:31" ht="12.75" customHeight="1" x14ac:dyDescent="0.15">
      <c r="AE10794" s="13"/>
    </row>
    <row r="10795" spans="31:31" ht="12.75" customHeight="1" x14ac:dyDescent="0.15">
      <c r="AE10795" s="13"/>
    </row>
    <row r="10796" spans="31:31" ht="12.75" customHeight="1" x14ac:dyDescent="0.15">
      <c r="AE10796" s="13"/>
    </row>
    <row r="10797" spans="31:31" ht="12.75" customHeight="1" x14ac:dyDescent="0.15">
      <c r="AE10797" s="13"/>
    </row>
    <row r="10798" spans="31:31" ht="12.75" customHeight="1" x14ac:dyDescent="0.15">
      <c r="AE10798" s="13"/>
    </row>
    <row r="10799" spans="31:31" ht="12.75" customHeight="1" x14ac:dyDescent="0.15">
      <c r="AE10799" s="13"/>
    </row>
    <row r="10800" spans="31:31" ht="12.75" customHeight="1" x14ac:dyDescent="0.15">
      <c r="AE10800" s="13"/>
    </row>
    <row r="10801" spans="31:31" ht="12.75" customHeight="1" x14ac:dyDescent="0.15">
      <c r="AE10801" s="13"/>
    </row>
    <row r="10802" spans="31:31" ht="12.75" customHeight="1" x14ac:dyDescent="0.15">
      <c r="AE10802" s="13"/>
    </row>
    <row r="10803" spans="31:31" ht="12.75" customHeight="1" x14ac:dyDescent="0.15">
      <c r="AE10803" s="13"/>
    </row>
    <row r="10804" spans="31:31" ht="12.75" customHeight="1" x14ac:dyDescent="0.15">
      <c r="AE10804" s="13"/>
    </row>
    <row r="10805" spans="31:31" ht="12.75" customHeight="1" x14ac:dyDescent="0.15">
      <c r="AE10805" s="13"/>
    </row>
    <row r="10806" spans="31:31" ht="12.75" customHeight="1" x14ac:dyDescent="0.15">
      <c r="AE10806" s="13"/>
    </row>
    <row r="10807" spans="31:31" ht="12.75" customHeight="1" x14ac:dyDescent="0.15">
      <c r="AE10807" s="13"/>
    </row>
    <row r="10808" spans="31:31" ht="12.75" customHeight="1" x14ac:dyDescent="0.15">
      <c r="AE10808" s="13"/>
    </row>
    <row r="10809" spans="31:31" ht="12.75" customHeight="1" x14ac:dyDescent="0.15">
      <c r="AE10809" s="13"/>
    </row>
    <row r="10810" spans="31:31" ht="12.75" customHeight="1" x14ac:dyDescent="0.15">
      <c r="AE10810" s="13"/>
    </row>
    <row r="10811" spans="31:31" ht="12.75" customHeight="1" x14ac:dyDescent="0.15">
      <c r="AE10811" s="13"/>
    </row>
    <row r="10812" spans="31:31" ht="12.75" customHeight="1" x14ac:dyDescent="0.15">
      <c r="AE10812" s="13"/>
    </row>
    <row r="10813" spans="31:31" ht="12.75" customHeight="1" x14ac:dyDescent="0.15">
      <c r="AE10813" s="13"/>
    </row>
    <row r="10814" spans="31:31" ht="12.75" customHeight="1" x14ac:dyDescent="0.15">
      <c r="AE10814" s="13"/>
    </row>
    <row r="10815" spans="31:31" ht="12.75" customHeight="1" x14ac:dyDescent="0.15">
      <c r="AE10815" s="13"/>
    </row>
    <row r="10816" spans="31:31" ht="12.75" customHeight="1" x14ac:dyDescent="0.15">
      <c r="AE10816" s="13"/>
    </row>
    <row r="10817" spans="31:31" ht="12.75" customHeight="1" x14ac:dyDescent="0.15">
      <c r="AE10817" s="13"/>
    </row>
    <row r="10818" spans="31:31" ht="12.75" customHeight="1" x14ac:dyDescent="0.15">
      <c r="AE10818" s="13"/>
    </row>
    <row r="10819" spans="31:31" ht="12.75" customHeight="1" x14ac:dyDescent="0.15">
      <c r="AE10819" s="13"/>
    </row>
    <row r="10820" spans="31:31" ht="12.75" customHeight="1" x14ac:dyDescent="0.15">
      <c r="AE10820" s="13"/>
    </row>
    <row r="10821" spans="31:31" ht="12.75" customHeight="1" x14ac:dyDescent="0.15">
      <c r="AE10821" s="13"/>
    </row>
    <row r="10822" spans="31:31" ht="12.75" customHeight="1" x14ac:dyDescent="0.15">
      <c r="AE10822" s="13"/>
    </row>
    <row r="10823" spans="31:31" ht="12.75" customHeight="1" x14ac:dyDescent="0.15">
      <c r="AE10823" s="13"/>
    </row>
    <row r="10824" spans="31:31" ht="12.75" customHeight="1" x14ac:dyDescent="0.15">
      <c r="AE10824" s="13"/>
    </row>
    <row r="10825" spans="31:31" ht="12.75" customHeight="1" x14ac:dyDescent="0.15">
      <c r="AE10825" s="13"/>
    </row>
    <row r="10826" spans="31:31" ht="12.75" customHeight="1" x14ac:dyDescent="0.15">
      <c r="AE10826" s="13"/>
    </row>
    <row r="10827" spans="31:31" ht="12.75" customHeight="1" x14ac:dyDescent="0.15">
      <c r="AE10827" s="13"/>
    </row>
    <row r="10828" spans="31:31" ht="12.75" customHeight="1" x14ac:dyDescent="0.15">
      <c r="AE10828" s="13"/>
    </row>
    <row r="10829" spans="31:31" ht="12.75" customHeight="1" x14ac:dyDescent="0.15">
      <c r="AE10829" s="13"/>
    </row>
    <row r="10830" spans="31:31" ht="12.75" customHeight="1" x14ac:dyDescent="0.15">
      <c r="AE10830" s="13"/>
    </row>
    <row r="10831" spans="31:31" ht="12.75" customHeight="1" x14ac:dyDescent="0.15">
      <c r="AE10831" s="13"/>
    </row>
    <row r="10832" spans="31:31" ht="12.75" customHeight="1" x14ac:dyDescent="0.15">
      <c r="AE10832" s="13"/>
    </row>
    <row r="10833" spans="31:31" ht="12.75" customHeight="1" x14ac:dyDescent="0.15">
      <c r="AE10833" s="13"/>
    </row>
    <row r="10834" spans="31:31" ht="12.75" customHeight="1" x14ac:dyDescent="0.15">
      <c r="AE10834" s="13"/>
    </row>
    <row r="10835" spans="31:31" ht="12.75" customHeight="1" x14ac:dyDescent="0.15">
      <c r="AE10835" s="13"/>
    </row>
    <row r="10836" spans="31:31" ht="12.75" customHeight="1" x14ac:dyDescent="0.15">
      <c r="AE10836" s="13"/>
    </row>
    <row r="10837" spans="31:31" ht="12.75" customHeight="1" x14ac:dyDescent="0.15">
      <c r="AE10837" s="13"/>
    </row>
    <row r="10838" spans="31:31" ht="12.75" customHeight="1" x14ac:dyDescent="0.15">
      <c r="AE10838" s="13"/>
    </row>
    <row r="10839" spans="31:31" ht="12.75" customHeight="1" x14ac:dyDescent="0.15">
      <c r="AE10839" s="13"/>
    </row>
    <row r="10840" spans="31:31" ht="12.75" customHeight="1" x14ac:dyDescent="0.15">
      <c r="AE10840" s="13"/>
    </row>
    <row r="10841" spans="31:31" ht="12.75" customHeight="1" x14ac:dyDescent="0.15">
      <c r="AE10841" s="13"/>
    </row>
    <row r="10842" spans="31:31" ht="12.75" customHeight="1" x14ac:dyDescent="0.15">
      <c r="AE10842" s="13"/>
    </row>
    <row r="10843" spans="31:31" ht="12.75" customHeight="1" x14ac:dyDescent="0.15">
      <c r="AE10843" s="13"/>
    </row>
    <row r="10844" spans="31:31" ht="12.75" customHeight="1" x14ac:dyDescent="0.15">
      <c r="AE10844" s="13"/>
    </row>
    <row r="10845" spans="31:31" ht="12.75" customHeight="1" x14ac:dyDescent="0.15">
      <c r="AE10845" s="13"/>
    </row>
    <row r="10846" spans="31:31" ht="12.75" customHeight="1" x14ac:dyDescent="0.15">
      <c r="AE10846" s="13"/>
    </row>
    <row r="10847" spans="31:31" ht="12.75" customHeight="1" x14ac:dyDescent="0.15">
      <c r="AE10847" s="13"/>
    </row>
    <row r="10848" spans="31:31" ht="12.75" customHeight="1" x14ac:dyDescent="0.15">
      <c r="AE10848" s="13"/>
    </row>
    <row r="10849" spans="31:31" ht="12.75" customHeight="1" x14ac:dyDescent="0.15">
      <c r="AE10849" s="13"/>
    </row>
    <row r="10850" spans="31:31" ht="12.75" customHeight="1" x14ac:dyDescent="0.15">
      <c r="AE10850" s="13"/>
    </row>
    <row r="10851" spans="31:31" ht="12.75" customHeight="1" x14ac:dyDescent="0.15">
      <c r="AE10851" s="13"/>
    </row>
    <row r="10852" spans="31:31" ht="12.75" customHeight="1" x14ac:dyDescent="0.15">
      <c r="AE10852" s="13"/>
    </row>
    <row r="10853" spans="31:31" ht="12.75" customHeight="1" x14ac:dyDescent="0.15">
      <c r="AE10853" s="13"/>
    </row>
    <row r="10854" spans="31:31" ht="12.75" customHeight="1" x14ac:dyDescent="0.15">
      <c r="AE10854" s="13"/>
    </row>
    <row r="10855" spans="31:31" ht="12.75" customHeight="1" x14ac:dyDescent="0.15">
      <c r="AE10855" s="13"/>
    </row>
    <row r="10856" spans="31:31" ht="12.75" customHeight="1" x14ac:dyDescent="0.15">
      <c r="AE10856" s="13"/>
    </row>
    <row r="10857" spans="31:31" ht="12.75" customHeight="1" x14ac:dyDescent="0.15">
      <c r="AE10857" s="13"/>
    </row>
    <row r="10858" spans="31:31" ht="12.75" customHeight="1" x14ac:dyDescent="0.15">
      <c r="AE10858" s="13"/>
    </row>
    <row r="10859" spans="31:31" ht="12.75" customHeight="1" x14ac:dyDescent="0.15">
      <c r="AE10859" s="13"/>
    </row>
    <row r="10860" spans="31:31" ht="12.75" customHeight="1" x14ac:dyDescent="0.15">
      <c r="AE10860" s="13"/>
    </row>
    <row r="10861" spans="31:31" ht="12.75" customHeight="1" x14ac:dyDescent="0.15">
      <c r="AE10861" s="13"/>
    </row>
    <row r="10862" spans="31:31" ht="12.75" customHeight="1" x14ac:dyDescent="0.15">
      <c r="AE10862" s="13"/>
    </row>
    <row r="10863" spans="31:31" ht="12.75" customHeight="1" x14ac:dyDescent="0.15">
      <c r="AE10863" s="13"/>
    </row>
    <row r="10864" spans="31:31" ht="12.75" customHeight="1" x14ac:dyDescent="0.15">
      <c r="AE10864" s="13"/>
    </row>
    <row r="10865" spans="31:31" ht="12.75" customHeight="1" x14ac:dyDescent="0.15">
      <c r="AE10865" s="13"/>
    </row>
    <row r="10866" spans="31:31" ht="12.75" customHeight="1" x14ac:dyDescent="0.15">
      <c r="AE10866" s="13"/>
    </row>
    <row r="10867" spans="31:31" ht="12.75" customHeight="1" x14ac:dyDescent="0.15">
      <c r="AE10867" s="13"/>
    </row>
    <row r="10868" spans="31:31" ht="12.75" customHeight="1" x14ac:dyDescent="0.15">
      <c r="AE10868" s="13"/>
    </row>
    <row r="10869" spans="31:31" ht="12.75" customHeight="1" x14ac:dyDescent="0.15">
      <c r="AE10869" s="13"/>
    </row>
    <row r="10870" spans="31:31" ht="12.75" customHeight="1" x14ac:dyDescent="0.15">
      <c r="AE10870" s="13"/>
    </row>
    <row r="10871" spans="31:31" ht="12.75" customHeight="1" x14ac:dyDescent="0.15">
      <c r="AE10871" s="13"/>
    </row>
    <row r="10872" spans="31:31" ht="12.75" customHeight="1" x14ac:dyDescent="0.15">
      <c r="AE10872" s="13"/>
    </row>
    <row r="10873" spans="31:31" ht="12.75" customHeight="1" x14ac:dyDescent="0.15">
      <c r="AE10873" s="13"/>
    </row>
    <row r="10874" spans="31:31" ht="12.75" customHeight="1" x14ac:dyDescent="0.15">
      <c r="AE10874" s="13"/>
    </row>
    <row r="10875" spans="31:31" ht="12.75" customHeight="1" x14ac:dyDescent="0.15">
      <c r="AE10875" s="13"/>
    </row>
    <row r="10876" spans="31:31" ht="12.75" customHeight="1" x14ac:dyDescent="0.15">
      <c r="AE10876" s="13"/>
    </row>
    <row r="10877" spans="31:31" ht="12.75" customHeight="1" x14ac:dyDescent="0.15">
      <c r="AE10877" s="13"/>
    </row>
    <row r="10878" spans="31:31" ht="12.75" customHeight="1" x14ac:dyDescent="0.15">
      <c r="AE10878" s="13"/>
    </row>
    <row r="10879" spans="31:31" ht="12.75" customHeight="1" x14ac:dyDescent="0.15">
      <c r="AE10879" s="13"/>
    </row>
    <row r="10880" spans="31:31" ht="12.75" customHeight="1" x14ac:dyDescent="0.15">
      <c r="AE10880" s="13"/>
    </row>
    <row r="10881" spans="31:31" ht="12.75" customHeight="1" x14ac:dyDescent="0.15">
      <c r="AE10881" s="13"/>
    </row>
    <row r="10882" spans="31:31" ht="12.75" customHeight="1" x14ac:dyDescent="0.15">
      <c r="AE10882" s="13"/>
    </row>
    <row r="10883" spans="31:31" ht="12.75" customHeight="1" x14ac:dyDescent="0.15">
      <c r="AE10883" s="13"/>
    </row>
    <row r="10884" spans="31:31" ht="12.75" customHeight="1" x14ac:dyDescent="0.15">
      <c r="AE10884" s="13"/>
    </row>
    <row r="10885" spans="31:31" ht="12.75" customHeight="1" x14ac:dyDescent="0.15">
      <c r="AE10885" s="13"/>
    </row>
    <row r="10886" spans="31:31" ht="12.75" customHeight="1" x14ac:dyDescent="0.15">
      <c r="AE10886" s="13"/>
    </row>
    <row r="10887" spans="31:31" ht="12.75" customHeight="1" x14ac:dyDescent="0.15">
      <c r="AE10887" s="13"/>
    </row>
    <row r="10888" spans="31:31" ht="12.75" customHeight="1" x14ac:dyDescent="0.15">
      <c r="AE10888" s="13"/>
    </row>
    <row r="10889" spans="31:31" ht="12.75" customHeight="1" x14ac:dyDescent="0.15">
      <c r="AE10889" s="13"/>
    </row>
    <row r="10890" spans="31:31" ht="12.75" customHeight="1" x14ac:dyDescent="0.15">
      <c r="AE10890" s="13"/>
    </row>
    <row r="10891" spans="31:31" ht="12.75" customHeight="1" x14ac:dyDescent="0.15">
      <c r="AE10891" s="13"/>
    </row>
    <row r="10892" spans="31:31" ht="12.75" customHeight="1" x14ac:dyDescent="0.15">
      <c r="AE10892" s="13"/>
    </row>
    <row r="10893" spans="31:31" ht="12.75" customHeight="1" x14ac:dyDescent="0.15">
      <c r="AE10893" s="13"/>
    </row>
    <row r="10894" spans="31:31" ht="12.75" customHeight="1" x14ac:dyDescent="0.15">
      <c r="AE10894" s="13"/>
    </row>
    <row r="10895" spans="31:31" ht="12.75" customHeight="1" x14ac:dyDescent="0.15">
      <c r="AE10895" s="13"/>
    </row>
    <row r="10896" spans="31:31" ht="12.75" customHeight="1" x14ac:dyDescent="0.15">
      <c r="AE10896" s="13"/>
    </row>
    <row r="10897" spans="31:31" ht="12.75" customHeight="1" x14ac:dyDescent="0.15">
      <c r="AE10897" s="13"/>
    </row>
    <row r="10898" spans="31:31" ht="12.75" customHeight="1" x14ac:dyDescent="0.15">
      <c r="AE10898" s="13"/>
    </row>
    <row r="10899" spans="31:31" ht="12.75" customHeight="1" x14ac:dyDescent="0.15">
      <c r="AE10899" s="13"/>
    </row>
    <row r="10900" spans="31:31" ht="12.75" customHeight="1" x14ac:dyDescent="0.15">
      <c r="AE10900" s="13"/>
    </row>
    <row r="10901" spans="31:31" ht="12.75" customHeight="1" x14ac:dyDescent="0.15">
      <c r="AE10901" s="13"/>
    </row>
    <row r="10902" spans="31:31" ht="12.75" customHeight="1" x14ac:dyDescent="0.15">
      <c r="AE10902" s="13"/>
    </row>
    <row r="10903" spans="31:31" ht="12.75" customHeight="1" x14ac:dyDescent="0.15">
      <c r="AE10903" s="13"/>
    </row>
    <row r="10904" spans="31:31" ht="12.75" customHeight="1" x14ac:dyDescent="0.15">
      <c r="AE10904" s="13"/>
    </row>
    <row r="10905" spans="31:31" ht="12.75" customHeight="1" x14ac:dyDescent="0.15">
      <c r="AE10905" s="13"/>
    </row>
    <row r="10906" spans="31:31" ht="12.75" customHeight="1" x14ac:dyDescent="0.15">
      <c r="AE10906" s="13"/>
    </row>
    <row r="10907" spans="31:31" ht="12.75" customHeight="1" x14ac:dyDescent="0.15">
      <c r="AE10907" s="13"/>
    </row>
    <row r="10908" spans="31:31" ht="12.75" customHeight="1" x14ac:dyDescent="0.15">
      <c r="AE10908" s="13"/>
    </row>
    <row r="10909" spans="31:31" ht="12.75" customHeight="1" x14ac:dyDescent="0.15">
      <c r="AE10909" s="13"/>
    </row>
    <row r="10910" spans="31:31" ht="12.75" customHeight="1" x14ac:dyDescent="0.15">
      <c r="AE10910" s="13"/>
    </row>
    <row r="10911" spans="31:31" ht="12.75" customHeight="1" x14ac:dyDescent="0.15">
      <c r="AE10911" s="13"/>
    </row>
    <row r="10912" spans="31:31" ht="12.75" customHeight="1" x14ac:dyDescent="0.15">
      <c r="AE10912" s="13"/>
    </row>
    <row r="10913" spans="31:31" ht="12.75" customHeight="1" x14ac:dyDescent="0.15">
      <c r="AE10913" s="13"/>
    </row>
    <row r="10914" spans="31:31" ht="12.75" customHeight="1" x14ac:dyDescent="0.15">
      <c r="AE10914" s="13"/>
    </row>
    <row r="10915" spans="31:31" ht="12.75" customHeight="1" x14ac:dyDescent="0.15">
      <c r="AE10915" s="13"/>
    </row>
    <row r="10916" spans="31:31" ht="12.75" customHeight="1" x14ac:dyDescent="0.15">
      <c r="AE10916" s="13"/>
    </row>
    <row r="10917" spans="31:31" ht="12.75" customHeight="1" x14ac:dyDescent="0.15">
      <c r="AE10917" s="13"/>
    </row>
    <row r="10918" spans="31:31" ht="12.75" customHeight="1" x14ac:dyDescent="0.15">
      <c r="AE10918" s="13"/>
    </row>
    <row r="10919" spans="31:31" ht="12.75" customHeight="1" x14ac:dyDescent="0.15">
      <c r="AE10919" s="13"/>
    </row>
    <row r="10920" spans="31:31" ht="12.75" customHeight="1" x14ac:dyDescent="0.15">
      <c r="AE10920" s="13"/>
    </row>
    <row r="10921" spans="31:31" ht="12.75" customHeight="1" x14ac:dyDescent="0.15">
      <c r="AE10921" s="13"/>
    </row>
    <row r="10922" spans="31:31" ht="12.75" customHeight="1" x14ac:dyDescent="0.15">
      <c r="AE10922" s="13"/>
    </row>
    <row r="10923" spans="31:31" ht="12.75" customHeight="1" x14ac:dyDescent="0.15">
      <c r="AE10923" s="13"/>
    </row>
    <row r="10924" spans="31:31" ht="12.75" customHeight="1" x14ac:dyDescent="0.15">
      <c r="AE10924" s="13"/>
    </row>
    <row r="10925" spans="31:31" ht="12.75" customHeight="1" x14ac:dyDescent="0.15">
      <c r="AE10925" s="13"/>
    </row>
    <row r="10926" spans="31:31" ht="12.75" customHeight="1" x14ac:dyDescent="0.15">
      <c r="AE10926" s="13"/>
    </row>
    <row r="10927" spans="31:31" ht="12.75" customHeight="1" x14ac:dyDescent="0.15">
      <c r="AE10927" s="13"/>
    </row>
    <row r="10928" spans="31:31" ht="12.75" customHeight="1" x14ac:dyDescent="0.15">
      <c r="AE10928" s="13"/>
    </row>
    <row r="10929" spans="31:31" ht="12.75" customHeight="1" x14ac:dyDescent="0.15">
      <c r="AE10929" s="13"/>
    </row>
    <row r="10930" spans="31:31" ht="12.75" customHeight="1" x14ac:dyDescent="0.15">
      <c r="AE10930" s="13"/>
    </row>
    <row r="10931" spans="31:31" ht="12.75" customHeight="1" x14ac:dyDescent="0.15">
      <c r="AE10931" s="13"/>
    </row>
    <row r="10932" spans="31:31" ht="12.75" customHeight="1" x14ac:dyDescent="0.15">
      <c r="AE10932" s="13"/>
    </row>
    <row r="10933" spans="31:31" ht="12.75" customHeight="1" x14ac:dyDescent="0.15">
      <c r="AE10933" s="13"/>
    </row>
    <row r="10934" spans="31:31" ht="12.75" customHeight="1" x14ac:dyDescent="0.15">
      <c r="AE10934" s="13"/>
    </row>
    <row r="10935" spans="31:31" ht="12.75" customHeight="1" x14ac:dyDescent="0.15">
      <c r="AE10935" s="13"/>
    </row>
    <row r="10936" spans="31:31" ht="12.75" customHeight="1" x14ac:dyDescent="0.15">
      <c r="AE10936" s="13"/>
    </row>
    <row r="10937" spans="31:31" ht="12.75" customHeight="1" x14ac:dyDescent="0.15">
      <c r="AE10937" s="13"/>
    </row>
    <row r="10938" spans="31:31" ht="12.75" customHeight="1" x14ac:dyDescent="0.15">
      <c r="AE10938" s="13"/>
    </row>
    <row r="10939" spans="31:31" ht="12.75" customHeight="1" x14ac:dyDescent="0.15">
      <c r="AE10939" s="13"/>
    </row>
    <row r="10940" spans="31:31" ht="12.75" customHeight="1" x14ac:dyDescent="0.15">
      <c r="AE10940" s="13"/>
    </row>
    <row r="10941" spans="31:31" ht="12.75" customHeight="1" x14ac:dyDescent="0.15">
      <c r="AE10941" s="13"/>
    </row>
    <row r="10942" spans="31:31" ht="12.75" customHeight="1" x14ac:dyDescent="0.15">
      <c r="AE10942" s="13"/>
    </row>
    <row r="10943" spans="31:31" ht="12.75" customHeight="1" x14ac:dyDescent="0.15">
      <c r="AE10943" s="13"/>
    </row>
    <row r="10944" spans="31:31" ht="12.75" customHeight="1" x14ac:dyDescent="0.15">
      <c r="AE10944" s="13"/>
    </row>
    <row r="10945" spans="31:31" ht="12.75" customHeight="1" x14ac:dyDescent="0.15">
      <c r="AE10945" s="13"/>
    </row>
    <row r="10946" spans="31:31" ht="12.75" customHeight="1" x14ac:dyDescent="0.15">
      <c r="AE10946" s="13"/>
    </row>
    <row r="10947" spans="31:31" ht="12.75" customHeight="1" x14ac:dyDescent="0.15">
      <c r="AE10947" s="13"/>
    </row>
    <row r="10948" spans="31:31" ht="12.75" customHeight="1" x14ac:dyDescent="0.15">
      <c r="AE10948" s="13"/>
    </row>
    <row r="10949" spans="31:31" ht="12.75" customHeight="1" x14ac:dyDescent="0.15">
      <c r="AE10949" s="13"/>
    </row>
    <row r="10950" spans="31:31" ht="12.75" customHeight="1" x14ac:dyDescent="0.15">
      <c r="AE10950" s="13"/>
    </row>
    <row r="10951" spans="31:31" ht="12.75" customHeight="1" x14ac:dyDescent="0.15">
      <c r="AE10951" s="13"/>
    </row>
    <row r="10952" spans="31:31" ht="12.75" customHeight="1" x14ac:dyDescent="0.15">
      <c r="AE10952" s="13"/>
    </row>
    <row r="10953" spans="31:31" ht="12.75" customHeight="1" x14ac:dyDescent="0.15">
      <c r="AE10953" s="13"/>
    </row>
    <row r="10954" spans="31:31" ht="12.75" customHeight="1" x14ac:dyDescent="0.15">
      <c r="AE10954" s="13"/>
    </row>
    <row r="10955" spans="31:31" ht="12.75" customHeight="1" x14ac:dyDescent="0.15">
      <c r="AE10955" s="13"/>
    </row>
    <row r="10956" spans="31:31" ht="12.75" customHeight="1" x14ac:dyDescent="0.15">
      <c r="AE10956" s="13"/>
    </row>
    <row r="10957" spans="31:31" ht="12.75" customHeight="1" x14ac:dyDescent="0.15">
      <c r="AE10957" s="13"/>
    </row>
    <row r="10958" spans="31:31" ht="12.75" customHeight="1" x14ac:dyDescent="0.15">
      <c r="AE10958" s="13"/>
    </row>
    <row r="10959" spans="31:31" ht="12.75" customHeight="1" x14ac:dyDescent="0.15">
      <c r="AE10959" s="13"/>
    </row>
    <row r="10960" spans="31:31" ht="12.75" customHeight="1" x14ac:dyDescent="0.15">
      <c r="AE10960" s="13"/>
    </row>
    <row r="10961" spans="31:31" ht="12.75" customHeight="1" x14ac:dyDescent="0.15">
      <c r="AE10961" s="13"/>
    </row>
    <row r="10962" spans="31:31" ht="12.75" customHeight="1" x14ac:dyDescent="0.15">
      <c r="AE10962" s="13"/>
    </row>
    <row r="10963" spans="31:31" ht="12.75" customHeight="1" x14ac:dyDescent="0.15">
      <c r="AE10963" s="13"/>
    </row>
    <row r="10964" spans="31:31" ht="12.75" customHeight="1" x14ac:dyDescent="0.15">
      <c r="AE10964" s="13"/>
    </row>
    <row r="10965" spans="31:31" ht="12.75" customHeight="1" x14ac:dyDescent="0.15">
      <c r="AE10965" s="13"/>
    </row>
    <row r="10966" spans="31:31" ht="12.75" customHeight="1" x14ac:dyDescent="0.15">
      <c r="AE10966" s="13"/>
    </row>
    <row r="10967" spans="31:31" ht="12.75" customHeight="1" x14ac:dyDescent="0.15">
      <c r="AE10967" s="13"/>
    </row>
    <row r="10968" spans="31:31" ht="12.75" customHeight="1" x14ac:dyDescent="0.15">
      <c r="AE10968" s="13"/>
    </row>
    <row r="10969" spans="31:31" ht="12.75" customHeight="1" x14ac:dyDescent="0.15">
      <c r="AE10969" s="13"/>
    </row>
    <row r="10970" spans="31:31" ht="12.75" customHeight="1" x14ac:dyDescent="0.15">
      <c r="AE10970" s="13"/>
    </row>
    <row r="10971" spans="31:31" ht="12.75" customHeight="1" x14ac:dyDescent="0.15">
      <c r="AE10971" s="13"/>
    </row>
    <row r="10972" spans="31:31" ht="12.75" customHeight="1" x14ac:dyDescent="0.15">
      <c r="AE10972" s="13"/>
    </row>
    <row r="10973" spans="31:31" ht="12.75" customHeight="1" x14ac:dyDescent="0.15">
      <c r="AE10973" s="13"/>
    </row>
    <row r="10974" spans="31:31" ht="12.75" customHeight="1" x14ac:dyDescent="0.15">
      <c r="AE10974" s="13"/>
    </row>
    <row r="10975" spans="31:31" ht="12.75" customHeight="1" x14ac:dyDescent="0.15">
      <c r="AE10975" s="13"/>
    </row>
    <row r="10976" spans="31:31" ht="12.75" customHeight="1" x14ac:dyDescent="0.15">
      <c r="AE10976" s="13"/>
    </row>
    <row r="10977" spans="31:31" ht="12.75" customHeight="1" x14ac:dyDescent="0.15">
      <c r="AE10977" s="13"/>
    </row>
    <row r="10978" spans="31:31" ht="12.75" customHeight="1" x14ac:dyDescent="0.15">
      <c r="AE10978" s="13"/>
    </row>
    <row r="10979" spans="31:31" ht="12.75" customHeight="1" x14ac:dyDescent="0.15">
      <c r="AE10979" s="13"/>
    </row>
    <row r="10980" spans="31:31" ht="12.75" customHeight="1" x14ac:dyDescent="0.15">
      <c r="AE10980" s="13"/>
    </row>
    <row r="10981" spans="31:31" ht="12.75" customHeight="1" x14ac:dyDescent="0.15">
      <c r="AE10981" s="13"/>
    </row>
    <row r="10982" spans="31:31" ht="12.75" customHeight="1" x14ac:dyDescent="0.15">
      <c r="AE10982" s="13"/>
    </row>
    <row r="10983" spans="31:31" ht="12.75" customHeight="1" x14ac:dyDescent="0.15">
      <c r="AE10983" s="13"/>
    </row>
    <row r="10984" spans="31:31" ht="12.75" customHeight="1" x14ac:dyDescent="0.15">
      <c r="AE10984" s="13"/>
    </row>
    <row r="10985" spans="31:31" ht="12.75" customHeight="1" x14ac:dyDescent="0.15">
      <c r="AE10985" s="13"/>
    </row>
    <row r="10986" spans="31:31" ht="12.75" customHeight="1" x14ac:dyDescent="0.15">
      <c r="AE10986" s="13"/>
    </row>
    <row r="10987" spans="31:31" ht="12.75" customHeight="1" x14ac:dyDescent="0.15">
      <c r="AE10987" s="13"/>
    </row>
    <row r="10988" spans="31:31" ht="12.75" customHeight="1" x14ac:dyDescent="0.15">
      <c r="AE10988" s="13"/>
    </row>
    <row r="10989" spans="31:31" ht="12.75" customHeight="1" x14ac:dyDescent="0.15">
      <c r="AE10989" s="13"/>
    </row>
    <row r="10990" spans="31:31" ht="12.75" customHeight="1" x14ac:dyDescent="0.15">
      <c r="AE10990" s="13"/>
    </row>
    <row r="10991" spans="31:31" ht="12.75" customHeight="1" x14ac:dyDescent="0.15">
      <c r="AE10991" s="13"/>
    </row>
    <row r="10992" spans="31:31" ht="12.75" customHeight="1" x14ac:dyDescent="0.15">
      <c r="AE10992" s="13"/>
    </row>
    <row r="10993" spans="31:31" ht="12.75" customHeight="1" x14ac:dyDescent="0.15">
      <c r="AE10993" s="13"/>
    </row>
    <row r="10994" spans="31:31" ht="12.75" customHeight="1" x14ac:dyDescent="0.15">
      <c r="AE10994" s="13"/>
    </row>
    <row r="10995" spans="31:31" ht="12.75" customHeight="1" x14ac:dyDescent="0.15">
      <c r="AE10995" s="13"/>
    </row>
    <row r="10996" spans="31:31" ht="12.75" customHeight="1" x14ac:dyDescent="0.15">
      <c r="AE10996" s="13"/>
    </row>
    <row r="10997" spans="31:31" ht="12.75" customHeight="1" x14ac:dyDescent="0.15">
      <c r="AE10997" s="13"/>
    </row>
    <row r="10998" spans="31:31" ht="12.75" customHeight="1" x14ac:dyDescent="0.15">
      <c r="AE10998" s="13"/>
    </row>
    <row r="10999" spans="31:31" ht="12.75" customHeight="1" x14ac:dyDescent="0.15">
      <c r="AE10999" s="13"/>
    </row>
    <row r="11000" spans="31:31" ht="12.75" customHeight="1" x14ac:dyDescent="0.15">
      <c r="AE11000" s="13"/>
    </row>
    <row r="11001" spans="31:31" ht="12.75" customHeight="1" x14ac:dyDescent="0.15">
      <c r="AE11001" s="13"/>
    </row>
    <row r="11002" spans="31:31" ht="12.75" customHeight="1" x14ac:dyDescent="0.15">
      <c r="AE11002" s="13"/>
    </row>
    <row r="11003" spans="31:31" ht="12.75" customHeight="1" x14ac:dyDescent="0.15">
      <c r="AE11003" s="13"/>
    </row>
    <row r="11004" spans="31:31" ht="12.75" customHeight="1" x14ac:dyDescent="0.15">
      <c r="AE11004" s="13"/>
    </row>
    <row r="11005" spans="31:31" ht="12.75" customHeight="1" x14ac:dyDescent="0.15">
      <c r="AE11005" s="13"/>
    </row>
    <row r="11006" spans="31:31" ht="12.75" customHeight="1" x14ac:dyDescent="0.15">
      <c r="AE11006" s="13"/>
    </row>
    <row r="11007" spans="31:31" ht="12.75" customHeight="1" x14ac:dyDescent="0.15">
      <c r="AE11007" s="13"/>
    </row>
    <row r="11008" spans="31:31" ht="12.75" customHeight="1" x14ac:dyDescent="0.15">
      <c r="AE11008" s="13"/>
    </row>
    <row r="11009" spans="31:31" ht="12.75" customHeight="1" x14ac:dyDescent="0.15">
      <c r="AE11009" s="13"/>
    </row>
    <row r="11010" spans="31:31" ht="12.75" customHeight="1" x14ac:dyDescent="0.15">
      <c r="AE11010" s="13"/>
    </row>
    <row r="11011" spans="31:31" ht="12.75" customHeight="1" x14ac:dyDescent="0.15">
      <c r="AE11011" s="13"/>
    </row>
    <row r="11012" spans="31:31" ht="12.75" customHeight="1" x14ac:dyDescent="0.15">
      <c r="AE11012" s="13"/>
    </row>
    <row r="11013" spans="31:31" ht="12.75" customHeight="1" x14ac:dyDescent="0.15">
      <c r="AE11013" s="13"/>
    </row>
    <row r="11014" spans="31:31" ht="12.75" customHeight="1" x14ac:dyDescent="0.15">
      <c r="AE11014" s="13"/>
    </row>
    <row r="11015" spans="31:31" ht="12.75" customHeight="1" x14ac:dyDescent="0.15">
      <c r="AE11015" s="13"/>
    </row>
    <row r="11016" spans="31:31" ht="12.75" customHeight="1" x14ac:dyDescent="0.15">
      <c r="AE11016" s="13"/>
    </row>
    <row r="11017" spans="31:31" ht="12.75" customHeight="1" x14ac:dyDescent="0.15">
      <c r="AE11017" s="13"/>
    </row>
    <row r="11018" spans="31:31" ht="12.75" customHeight="1" x14ac:dyDescent="0.15">
      <c r="AE11018" s="13"/>
    </row>
    <row r="11019" spans="31:31" ht="12.75" customHeight="1" x14ac:dyDescent="0.15">
      <c r="AE11019" s="13"/>
    </row>
    <row r="11020" spans="31:31" ht="12.75" customHeight="1" x14ac:dyDescent="0.15">
      <c r="AE11020" s="13"/>
    </row>
    <row r="11021" spans="31:31" ht="12.75" customHeight="1" x14ac:dyDescent="0.15">
      <c r="AE11021" s="13"/>
    </row>
    <row r="11022" spans="31:31" ht="12.75" customHeight="1" x14ac:dyDescent="0.15">
      <c r="AE11022" s="13"/>
    </row>
    <row r="11023" spans="31:31" ht="12.75" customHeight="1" x14ac:dyDescent="0.15">
      <c r="AE11023" s="13"/>
    </row>
    <row r="11024" spans="31:31" ht="12.75" customHeight="1" x14ac:dyDescent="0.15">
      <c r="AE11024" s="13"/>
    </row>
    <row r="11025" spans="31:31" ht="12.75" customHeight="1" x14ac:dyDescent="0.15">
      <c r="AE11025" s="13"/>
    </row>
    <row r="11026" spans="31:31" ht="12.75" customHeight="1" x14ac:dyDescent="0.15">
      <c r="AE11026" s="13"/>
    </row>
    <row r="11027" spans="31:31" ht="12.75" customHeight="1" x14ac:dyDescent="0.15">
      <c r="AE11027" s="13"/>
    </row>
    <row r="11028" spans="31:31" ht="12.75" customHeight="1" x14ac:dyDescent="0.15">
      <c r="AE11028" s="13"/>
    </row>
    <row r="11029" spans="31:31" ht="12.75" customHeight="1" x14ac:dyDescent="0.15">
      <c r="AE11029" s="13"/>
    </row>
    <row r="11030" spans="31:31" ht="12.75" customHeight="1" x14ac:dyDescent="0.15">
      <c r="AE11030" s="13"/>
    </row>
    <row r="11031" spans="31:31" ht="12.75" customHeight="1" x14ac:dyDescent="0.15">
      <c r="AE11031" s="13"/>
    </row>
    <row r="11032" spans="31:31" ht="12.75" customHeight="1" x14ac:dyDescent="0.15">
      <c r="AE11032" s="13"/>
    </row>
    <row r="11033" spans="31:31" ht="12.75" customHeight="1" x14ac:dyDescent="0.15">
      <c r="AE11033" s="13"/>
    </row>
    <row r="11034" spans="31:31" ht="12.75" customHeight="1" x14ac:dyDescent="0.15">
      <c r="AE11034" s="13"/>
    </row>
    <row r="11035" spans="31:31" ht="12.75" customHeight="1" x14ac:dyDescent="0.15">
      <c r="AE11035" s="13"/>
    </row>
    <row r="11036" spans="31:31" ht="12.75" customHeight="1" x14ac:dyDescent="0.15">
      <c r="AE11036" s="13"/>
    </row>
    <row r="11037" spans="31:31" ht="12.75" customHeight="1" x14ac:dyDescent="0.15">
      <c r="AE11037" s="13"/>
    </row>
    <row r="11038" spans="31:31" ht="12.75" customHeight="1" x14ac:dyDescent="0.15">
      <c r="AE11038" s="13"/>
    </row>
    <row r="11039" spans="31:31" ht="12.75" customHeight="1" x14ac:dyDescent="0.15">
      <c r="AE11039" s="13"/>
    </row>
    <row r="11040" spans="31:31" ht="12.75" customHeight="1" x14ac:dyDescent="0.15">
      <c r="AE11040" s="13"/>
    </row>
    <row r="11041" spans="31:31" ht="12.75" customHeight="1" x14ac:dyDescent="0.15">
      <c r="AE11041" s="13"/>
    </row>
    <row r="11042" spans="31:31" ht="12.75" customHeight="1" x14ac:dyDescent="0.15">
      <c r="AE11042" s="13"/>
    </row>
    <row r="11043" spans="31:31" ht="12.75" customHeight="1" x14ac:dyDescent="0.15">
      <c r="AE11043" s="13"/>
    </row>
    <row r="11044" spans="31:31" ht="12.75" customHeight="1" x14ac:dyDescent="0.15">
      <c r="AE11044" s="13"/>
    </row>
    <row r="11045" spans="31:31" ht="12.75" customHeight="1" x14ac:dyDescent="0.15">
      <c r="AE11045" s="13"/>
    </row>
    <row r="11046" spans="31:31" ht="12.75" customHeight="1" x14ac:dyDescent="0.15">
      <c r="AE11046" s="13"/>
    </row>
    <row r="11047" spans="31:31" ht="12.75" customHeight="1" x14ac:dyDescent="0.15">
      <c r="AE11047" s="13"/>
    </row>
    <row r="11048" spans="31:31" ht="12.75" customHeight="1" x14ac:dyDescent="0.15">
      <c r="AE11048" s="13"/>
    </row>
    <row r="11049" spans="31:31" ht="12.75" customHeight="1" x14ac:dyDescent="0.15">
      <c r="AE11049" s="13"/>
    </row>
    <row r="11050" spans="31:31" ht="12.75" customHeight="1" x14ac:dyDescent="0.15">
      <c r="AE11050" s="13"/>
    </row>
    <row r="11051" spans="31:31" ht="12.75" customHeight="1" x14ac:dyDescent="0.15">
      <c r="AE11051" s="13"/>
    </row>
    <row r="11052" spans="31:31" ht="12.75" customHeight="1" x14ac:dyDescent="0.15">
      <c r="AE11052" s="13"/>
    </row>
    <row r="11053" spans="31:31" ht="12.75" customHeight="1" x14ac:dyDescent="0.15">
      <c r="AE11053" s="13"/>
    </row>
    <row r="11054" spans="31:31" ht="12.75" customHeight="1" x14ac:dyDescent="0.15">
      <c r="AE11054" s="13"/>
    </row>
    <row r="11055" spans="31:31" ht="12.75" customHeight="1" x14ac:dyDescent="0.15">
      <c r="AE11055" s="13"/>
    </row>
    <row r="11056" spans="31:31" ht="12.75" customHeight="1" x14ac:dyDescent="0.15">
      <c r="AE11056" s="13"/>
    </row>
    <row r="11057" spans="31:31" ht="12.75" customHeight="1" x14ac:dyDescent="0.15">
      <c r="AE11057" s="13"/>
    </row>
    <row r="11058" spans="31:31" ht="12.75" customHeight="1" x14ac:dyDescent="0.15">
      <c r="AE11058" s="13"/>
    </row>
    <row r="11059" spans="31:31" ht="12.75" customHeight="1" x14ac:dyDescent="0.15">
      <c r="AE11059" s="13"/>
    </row>
    <row r="11060" spans="31:31" ht="12.75" customHeight="1" x14ac:dyDescent="0.15">
      <c r="AE11060" s="13"/>
    </row>
    <row r="11061" spans="31:31" ht="12.75" customHeight="1" x14ac:dyDescent="0.15">
      <c r="AE11061" s="13"/>
    </row>
    <row r="11062" spans="31:31" ht="12.75" customHeight="1" x14ac:dyDescent="0.15">
      <c r="AE11062" s="13"/>
    </row>
    <row r="11063" spans="31:31" ht="12.75" customHeight="1" x14ac:dyDescent="0.15">
      <c r="AE11063" s="13"/>
    </row>
    <row r="11064" spans="31:31" ht="12.75" customHeight="1" x14ac:dyDescent="0.15">
      <c r="AE11064" s="13"/>
    </row>
    <row r="11065" spans="31:31" ht="12.75" customHeight="1" x14ac:dyDescent="0.15">
      <c r="AE11065" s="13"/>
    </row>
    <row r="11066" spans="31:31" ht="12.75" customHeight="1" x14ac:dyDescent="0.15">
      <c r="AE11066" s="13"/>
    </row>
    <row r="11067" spans="31:31" ht="12.75" customHeight="1" x14ac:dyDescent="0.15">
      <c r="AE11067" s="13"/>
    </row>
    <row r="11068" spans="31:31" ht="12.75" customHeight="1" x14ac:dyDescent="0.15">
      <c r="AE11068" s="13"/>
    </row>
    <row r="11069" spans="31:31" ht="12.75" customHeight="1" x14ac:dyDescent="0.15">
      <c r="AE11069" s="13"/>
    </row>
    <row r="11070" spans="31:31" ht="12.75" customHeight="1" x14ac:dyDescent="0.15">
      <c r="AE11070" s="13"/>
    </row>
    <row r="11071" spans="31:31" ht="12.75" customHeight="1" x14ac:dyDescent="0.15">
      <c r="AE11071" s="13"/>
    </row>
    <row r="11072" spans="31:31" ht="12.75" customHeight="1" x14ac:dyDescent="0.15">
      <c r="AE11072" s="13"/>
    </row>
    <row r="11073" spans="31:31" ht="12.75" customHeight="1" x14ac:dyDescent="0.15">
      <c r="AE11073" s="13"/>
    </row>
    <row r="11074" spans="31:31" ht="12.75" customHeight="1" x14ac:dyDescent="0.15">
      <c r="AE11074" s="13"/>
    </row>
    <row r="11075" spans="31:31" ht="12.75" customHeight="1" x14ac:dyDescent="0.15">
      <c r="AE11075" s="13"/>
    </row>
    <row r="11076" spans="31:31" ht="12.75" customHeight="1" x14ac:dyDescent="0.15">
      <c r="AE11076" s="13"/>
    </row>
    <row r="11077" spans="31:31" ht="12.75" customHeight="1" x14ac:dyDescent="0.15">
      <c r="AE11077" s="13"/>
    </row>
    <row r="11078" spans="31:31" ht="12.75" customHeight="1" x14ac:dyDescent="0.15">
      <c r="AE11078" s="13"/>
    </row>
    <row r="11079" spans="31:31" ht="12.75" customHeight="1" x14ac:dyDescent="0.15">
      <c r="AE11079" s="13"/>
    </row>
    <row r="11080" spans="31:31" ht="12.75" customHeight="1" x14ac:dyDescent="0.15">
      <c r="AE11080" s="13"/>
    </row>
    <row r="11081" spans="31:31" ht="12.75" customHeight="1" x14ac:dyDescent="0.15">
      <c r="AE11081" s="13"/>
    </row>
    <row r="11082" spans="31:31" ht="12.75" customHeight="1" x14ac:dyDescent="0.15">
      <c r="AE11082" s="13"/>
    </row>
    <row r="11083" spans="31:31" ht="12.75" customHeight="1" x14ac:dyDescent="0.15">
      <c r="AE11083" s="13"/>
    </row>
    <row r="11084" spans="31:31" ht="12.75" customHeight="1" x14ac:dyDescent="0.15">
      <c r="AE11084" s="13"/>
    </row>
    <row r="11085" spans="31:31" ht="12.75" customHeight="1" x14ac:dyDescent="0.15">
      <c r="AE11085" s="13"/>
    </row>
    <row r="11086" spans="31:31" ht="12.75" customHeight="1" x14ac:dyDescent="0.15">
      <c r="AE11086" s="13"/>
    </row>
    <row r="11087" spans="31:31" ht="12.75" customHeight="1" x14ac:dyDescent="0.15">
      <c r="AE11087" s="13"/>
    </row>
    <row r="11088" spans="31:31" ht="12.75" customHeight="1" x14ac:dyDescent="0.15">
      <c r="AE11088" s="13"/>
    </row>
    <row r="11089" spans="31:31" ht="12.75" customHeight="1" x14ac:dyDescent="0.15">
      <c r="AE11089" s="13"/>
    </row>
    <row r="11090" spans="31:31" ht="12.75" customHeight="1" x14ac:dyDescent="0.15">
      <c r="AE11090" s="13"/>
    </row>
    <row r="11091" spans="31:31" ht="12.75" customHeight="1" x14ac:dyDescent="0.15">
      <c r="AE11091" s="13"/>
    </row>
    <row r="11092" spans="31:31" ht="12.75" customHeight="1" x14ac:dyDescent="0.15">
      <c r="AE11092" s="13"/>
    </row>
    <row r="11093" spans="31:31" ht="12.75" customHeight="1" x14ac:dyDescent="0.15">
      <c r="AE11093" s="13"/>
    </row>
    <row r="11094" spans="31:31" ht="12.75" customHeight="1" x14ac:dyDescent="0.15">
      <c r="AE11094" s="13"/>
    </row>
    <row r="11095" spans="31:31" ht="12.75" customHeight="1" x14ac:dyDescent="0.15">
      <c r="AE11095" s="13"/>
    </row>
    <row r="11096" spans="31:31" ht="12.75" customHeight="1" x14ac:dyDescent="0.15">
      <c r="AE11096" s="13"/>
    </row>
    <row r="11097" spans="31:31" ht="12.75" customHeight="1" x14ac:dyDescent="0.15">
      <c r="AE11097" s="13"/>
    </row>
    <row r="11098" spans="31:31" ht="12.75" customHeight="1" x14ac:dyDescent="0.15">
      <c r="AE11098" s="13"/>
    </row>
    <row r="11099" spans="31:31" ht="12.75" customHeight="1" x14ac:dyDescent="0.15">
      <c r="AE11099" s="13"/>
    </row>
    <row r="11100" spans="31:31" ht="12.75" customHeight="1" x14ac:dyDescent="0.15">
      <c r="AE11100" s="13"/>
    </row>
    <row r="11101" spans="31:31" ht="12.75" customHeight="1" x14ac:dyDescent="0.15">
      <c r="AE11101" s="13"/>
    </row>
    <row r="11102" spans="31:31" ht="12.75" customHeight="1" x14ac:dyDescent="0.15">
      <c r="AE11102" s="13"/>
    </row>
    <row r="11103" spans="31:31" ht="12.75" customHeight="1" x14ac:dyDescent="0.15">
      <c r="AE11103" s="13"/>
    </row>
    <row r="11104" spans="31:31" ht="12.75" customHeight="1" x14ac:dyDescent="0.15">
      <c r="AE11104" s="13"/>
    </row>
    <row r="11105" spans="31:31" ht="12.75" customHeight="1" x14ac:dyDescent="0.15">
      <c r="AE11105" s="13"/>
    </row>
    <row r="11106" spans="31:31" ht="12.75" customHeight="1" x14ac:dyDescent="0.15">
      <c r="AE11106" s="13"/>
    </row>
    <row r="11107" spans="31:31" ht="12.75" customHeight="1" x14ac:dyDescent="0.15">
      <c r="AE11107" s="13"/>
    </row>
    <row r="11108" spans="31:31" ht="12.75" customHeight="1" x14ac:dyDescent="0.15">
      <c r="AE11108" s="13"/>
    </row>
    <row r="11109" spans="31:31" ht="12.75" customHeight="1" x14ac:dyDescent="0.15">
      <c r="AE11109" s="13"/>
    </row>
    <row r="11110" spans="31:31" ht="12.75" customHeight="1" x14ac:dyDescent="0.15">
      <c r="AE11110" s="13"/>
    </row>
    <row r="11111" spans="31:31" ht="12.75" customHeight="1" x14ac:dyDescent="0.15">
      <c r="AE11111" s="13"/>
    </row>
    <row r="11112" spans="31:31" ht="12.75" customHeight="1" x14ac:dyDescent="0.15">
      <c r="AE11112" s="13"/>
    </row>
    <row r="11113" spans="31:31" ht="12.75" customHeight="1" x14ac:dyDescent="0.15">
      <c r="AE11113" s="13"/>
    </row>
    <row r="11114" spans="31:31" ht="12.75" customHeight="1" x14ac:dyDescent="0.15">
      <c r="AE11114" s="13"/>
    </row>
    <row r="11115" spans="31:31" ht="12.75" customHeight="1" x14ac:dyDescent="0.15">
      <c r="AE11115" s="13"/>
    </row>
    <row r="11116" spans="31:31" ht="12.75" customHeight="1" x14ac:dyDescent="0.15">
      <c r="AE11116" s="13"/>
    </row>
    <row r="11117" spans="31:31" ht="12.75" customHeight="1" x14ac:dyDescent="0.15">
      <c r="AE11117" s="13"/>
    </row>
    <row r="11118" spans="31:31" ht="12.75" customHeight="1" x14ac:dyDescent="0.15">
      <c r="AE11118" s="13"/>
    </row>
    <row r="11119" spans="31:31" ht="12.75" customHeight="1" x14ac:dyDescent="0.15">
      <c r="AE11119" s="13"/>
    </row>
    <row r="11120" spans="31:31" ht="12.75" customHeight="1" x14ac:dyDescent="0.15">
      <c r="AE11120" s="13"/>
    </row>
    <row r="11121" spans="31:31" ht="12.75" customHeight="1" x14ac:dyDescent="0.15">
      <c r="AE11121" s="13"/>
    </row>
    <row r="11122" spans="31:31" ht="12.75" customHeight="1" x14ac:dyDescent="0.15">
      <c r="AE11122" s="13"/>
    </row>
    <row r="11123" spans="31:31" ht="12.75" customHeight="1" x14ac:dyDescent="0.15">
      <c r="AE11123" s="13"/>
    </row>
    <row r="11124" spans="31:31" ht="12.75" customHeight="1" x14ac:dyDescent="0.15">
      <c r="AE11124" s="13"/>
    </row>
    <row r="11125" spans="31:31" ht="12.75" customHeight="1" x14ac:dyDescent="0.15">
      <c r="AE11125" s="13"/>
    </row>
    <row r="11126" spans="31:31" ht="12.75" customHeight="1" x14ac:dyDescent="0.15">
      <c r="AE11126" s="13"/>
    </row>
    <row r="11127" spans="31:31" ht="12.75" customHeight="1" x14ac:dyDescent="0.15">
      <c r="AE11127" s="13"/>
    </row>
    <row r="11128" spans="31:31" ht="12.75" customHeight="1" x14ac:dyDescent="0.15">
      <c r="AE11128" s="13"/>
    </row>
    <row r="11129" spans="31:31" ht="12.75" customHeight="1" x14ac:dyDescent="0.15">
      <c r="AE11129" s="13"/>
    </row>
    <row r="11130" spans="31:31" ht="12.75" customHeight="1" x14ac:dyDescent="0.15">
      <c r="AE11130" s="13"/>
    </row>
    <row r="11131" spans="31:31" ht="12.75" customHeight="1" x14ac:dyDescent="0.15">
      <c r="AE11131" s="13"/>
    </row>
    <row r="11132" spans="31:31" ht="12.75" customHeight="1" x14ac:dyDescent="0.15">
      <c r="AE11132" s="13"/>
    </row>
    <row r="11133" spans="31:31" ht="12.75" customHeight="1" x14ac:dyDescent="0.15">
      <c r="AE11133" s="13"/>
    </row>
    <row r="11134" spans="31:31" ht="12.75" customHeight="1" x14ac:dyDescent="0.15">
      <c r="AE11134" s="13"/>
    </row>
    <row r="11135" spans="31:31" ht="12.75" customHeight="1" x14ac:dyDescent="0.15">
      <c r="AE11135" s="13"/>
    </row>
    <row r="11136" spans="31:31" ht="12.75" customHeight="1" x14ac:dyDescent="0.15">
      <c r="AE11136" s="13"/>
    </row>
    <row r="11137" spans="31:31" ht="12.75" customHeight="1" x14ac:dyDescent="0.15">
      <c r="AE11137" s="13"/>
    </row>
    <row r="11138" spans="31:31" ht="12.75" customHeight="1" x14ac:dyDescent="0.15">
      <c r="AE11138" s="13"/>
    </row>
    <row r="11139" spans="31:31" ht="12.75" customHeight="1" x14ac:dyDescent="0.15">
      <c r="AE11139" s="13"/>
    </row>
    <row r="11140" spans="31:31" ht="12.75" customHeight="1" x14ac:dyDescent="0.15">
      <c r="AE11140" s="13"/>
    </row>
    <row r="11141" spans="31:31" ht="12.75" customHeight="1" x14ac:dyDescent="0.15">
      <c r="AE11141" s="13"/>
    </row>
    <row r="11142" spans="31:31" ht="12.75" customHeight="1" x14ac:dyDescent="0.15">
      <c r="AE11142" s="13"/>
    </row>
    <row r="11143" spans="31:31" ht="12.75" customHeight="1" x14ac:dyDescent="0.15">
      <c r="AE11143" s="13"/>
    </row>
    <row r="11144" spans="31:31" ht="12.75" customHeight="1" x14ac:dyDescent="0.15">
      <c r="AE11144" s="13"/>
    </row>
    <row r="11145" spans="31:31" ht="12.75" customHeight="1" x14ac:dyDescent="0.15">
      <c r="AE11145" s="13"/>
    </row>
    <row r="11146" spans="31:31" ht="12.75" customHeight="1" x14ac:dyDescent="0.15">
      <c r="AE11146" s="13"/>
    </row>
    <row r="11147" spans="31:31" ht="12.75" customHeight="1" x14ac:dyDescent="0.15">
      <c r="AE11147" s="13"/>
    </row>
    <row r="11148" spans="31:31" ht="12.75" customHeight="1" x14ac:dyDescent="0.15">
      <c r="AE11148" s="13"/>
    </row>
    <row r="11149" spans="31:31" ht="12.75" customHeight="1" x14ac:dyDescent="0.15">
      <c r="AE11149" s="13"/>
    </row>
    <row r="11150" spans="31:31" ht="12.75" customHeight="1" x14ac:dyDescent="0.15">
      <c r="AE11150" s="13"/>
    </row>
    <row r="11151" spans="31:31" ht="12.75" customHeight="1" x14ac:dyDescent="0.15">
      <c r="AE11151" s="13"/>
    </row>
    <row r="11152" spans="31:31" ht="12.75" customHeight="1" x14ac:dyDescent="0.15">
      <c r="AE11152" s="13"/>
    </row>
    <row r="11153" spans="31:31" ht="12.75" customHeight="1" x14ac:dyDescent="0.15">
      <c r="AE11153" s="13"/>
    </row>
    <row r="11154" spans="31:31" ht="12.75" customHeight="1" x14ac:dyDescent="0.15">
      <c r="AE11154" s="13"/>
    </row>
    <row r="11155" spans="31:31" ht="12.75" customHeight="1" x14ac:dyDescent="0.15">
      <c r="AE11155" s="13"/>
    </row>
    <row r="11156" spans="31:31" ht="12.75" customHeight="1" x14ac:dyDescent="0.15">
      <c r="AE11156" s="13"/>
    </row>
    <row r="11157" spans="31:31" ht="12.75" customHeight="1" x14ac:dyDescent="0.15">
      <c r="AE11157" s="13"/>
    </row>
    <row r="11158" spans="31:31" ht="12.75" customHeight="1" x14ac:dyDescent="0.15">
      <c r="AE11158" s="13"/>
    </row>
    <row r="11159" spans="31:31" ht="12.75" customHeight="1" x14ac:dyDescent="0.15">
      <c r="AE11159" s="13"/>
    </row>
    <row r="11160" spans="31:31" ht="12.75" customHeight="1" x14ac:dyDescent="0.15">
      <c r="AE11160" s="13"/>
    </row>
    <row r="11161" spans="31:31" ht="12.75" customHeight="1" x14ac:dyDescent="0.15">
      <c r="AE11161" s="13"/>
    </row>
    <row r="11162" spans="31:31" ht="12.75" customHeight="1" x14ac:dyDescent="0.15">
      <c r="AE11162" s="13"/>
    </row>
    <row r="11163" spans="31:31" ht="12.75" customHeight="1" x14ac:dyDescent="0.15">
      <c r="AE11163" s="13"/>
    </row>
    <row r="11164" spans="31:31" ht="12.75" customHeight="1" x14ac:dyDescent="0.15">
      <c r="AE11164" s="13"/>
    </row>
    <row r="11165" spans="31:31" ht="12.75" customHeight="1" x14ac:dyDescent="0.15">
      <c r="AE11165" s="13"/>
    </row>
    <row r="11166" spans="31:31" ht="12.75" customHeight="1" x14ac:dyDescent="0.15">
      <c r="AE11166" s="13"/>
    </row>
    <row r="11167" spans="31:31" ht="12.75" customHeight="1" x14ac:dyDescent="0.15">
      <c r="AE11167" s="13"/>
    </row>
    <row r="11168" spans="31:31" ht="12.75" customHeight="1" x14ac:dyDescent="0.15">
      <c r="AE11168" s="13"/>
    </row>
    <row r="11169" spans="31:31" ht="12.75" customHeight="1" x14ac:dyDescent="0.15">
      <c r="AE11169" s="13"/>
    </row>
    <row r="11170" spans="31:31" ht="12.75" customHeight="1" x14ac:dyDescent="0.15">
      <c r="AE11170" s="13"/>
    </row>
    <row r="11171" spans="31:31" ht="12.75" customHeight="1" x14ac:dyDescent="0.15">
      <c r="AE11171" s="13"/>
    </row>
    <row r="11172" spans="31:31" ht="12.75" customHeight="1" x14ac:dyDescent="0.15">
      <c r="AE11172" s="13"/>
    </row>
    <row r="11173" spans="31:31" ht="12.75" customHeight="1" x14ac:dyDescent="0.15">
      <c r="AE11173" s="13"/>
    </row>
    <row r="11174" spans="31:31" ht="12.75" customHeight="1" x14ac:dyDescent="0.15">
      <c r="AE11174" s="13"/>
    </row>
    <row r="11175" spans="31:31" ht="12.75" customHeight="1" x14ac:dyDescent="0.15">
      <c r="AE11175" s="13"/>
    </row>
    <row r="11176" spans="31:31" ht="12.75" customHeight="1" x14ac:dyDescent="0.15">
      <c r="AE11176" s="13"/>
    </row>
    <row r="11177" spans="31:31" ht="12.75" customHeight="1" x14ac:dyDescent="0.15">
      <c r="AE11177" s="13"/>
    </row>
    <row r="11178" spans="31:31" ht="12.75" customHeight="1" x14ac:dyDescent="0.15">
      <c r="AE11178" s="13"/>
    </row>
    <row r="11179" spans="31:31" ht="12.75" customHeight="1" x14ac:dyDescent="0.15">
      <c r="AE11179" s="13"/>
    </row>
    <row r="11180" spans="31:31" ht="12.75" customHeight="1" x14ac:dyDescent="0.15">
      <c r="AE11180" s="13"/>
    </row>
    <row r="11181" spans="31:31" ht="12.75" customHeight="1" x14ac:dyDescent="0.15">
      <c r="AE11181" s="13"/>
    </row>
    <row r="11182" spans="31:31" ht="12.75" customHeight="1" x14ac:dyDescent="0.15">
      <c r="AE11182" s="13"/>
    </row>
    <row r="11183" spans="31:31" ht="12.75" customHeight="1" x14ac:dyDescent="0.15">
      <c r="AE11183" s="13"/>
    </row>
    <row r="11184" spans="31:31" ht="12.75" customHeight="1" x14ac:dyDescent="0.15">
      <c r="AE11184" s="13"/>
    </row>
    <row r="11185" spans="31:31" ht="12.75" customHeight="1" x14ac:dyDescent="0.15">
      <c r="AE11185" s="13"/>
    </row>
    <row r="11186" spans="31:31" ht="12.75" customHeight="1" x14ac:dyDescent="0.15">
      <c r="AE11186" s="13"/>
    </row>
    <row r="11187" spans="31:31" ht="12.75" customHeight="1" x14ac:dyDescent="0.15">
      <c r="AE11187" s="13"/>
    </row>
    <row r="11188" spans="31:31" ht="12.75" customHeight="1" x14ac:dyDescent="0.15">
      <c r="AE11188" s="13"/>
    </row>
    <row r="11189" spans="31:31" ht="12.75" customHeight="1" x14ac:dyDescent="0.15">
      <c r="AE11189" s="13"/>
    </row>
    <row r="11190" spans="31:31" ht="12.75" customHeight="1" x14ac:dyDescent="0.15">
      <c r="AE11190" s="13"/>
    </row>
    <row r="11191" spans="31:31" ht="12.75" customHeight="1" x14ac:dyDescent="0.15">
      <c r="AE11191" s="13"/>
    </row>
    <row r="11192" spans="31:31" ht="12.75" customHeight="1" x14ac:dyDescent="0.15">
      <c r="AE11192" s="13"/>
    </row>
    <row r="11193" spans="31:31" ht="12.75" customHeight="1" x14ac:dyDescent="0.15">
      <c r="AE11193" s="13"/>
    </row>
    <row r="11194" spans="31:31" ht="12.75" customHeight="1" x14ac:dyDescent="0.15">
      <c r="AE11194" s="13"/>
    </row>
    <row r="11195" spans="31:31" ht="12.75" customHeight="1" x14ac:dyDescent="0.15">
      <c r="AE11195" s="13"/>
    </row>
    <row r="11196" spans="31:31" ht="12.75" customHeight="1" x14ac:dyDescent="0.15">
      <c r="AE11196" s="13"/>
    </row>
    <row r="11197" spans="31:31" ht="12.75" customHeight="1" x14ac:dyDescent="0.15">
      <c r="AE11197" s="13"/>
    </row>
    <row r="11198" spans="31:31" ht="12.75" customHeight="1" x14ac:dyDescent="0.15">
      <c r="AE11198" s="13"/>
    </row>
    <row r="11199" spans="31:31" ht="12.75" customHeight="1" x14ac:dyDescent="0.15">
      <c r="AE11199" s="13"/>
    </row>
    <row r="11200" spans="31:31" ht="12.75" customHeight="1" x14ac:dyDescent="0.15">
      <c r="AE11200" s="13"/>
    </row>
    <row r="11201" spans="31:31" ht="12.75" customHeight="1" x14ac:dyDescent="0.15">
      <c r="AE11201" s="13"/>
    </row>
    <row r="11202" spans="31:31" ht="12.75" customHeight="1" x14ac:dyDescent="0.15">
      <c r="AE11202" s="13"/>
    </row>
    <row r="11203" spans="31:31" ht="12.75" customHeight="1" x14ac:dyDescent="0.15">
      <c r="AE11203" s="13"/>
    </row>
    <row r="11204" spans="31:31" ht="12.75" customHeight="1" x14ac:dyDescent="0.15">
      <c r="AE11204" s="13"/>
    </row>
    <row r="11205" spans="31:31" ht="12.75" customHeight="1" x14ac:dyDescent="0.15">
      <c r="AE11205" s="13"/>
    </row>
    <row r="11206" spans="31:31" ht="12.75" customHeight="1" x14ac:dyDescent="0.15">
      <c r="AE11206" s="13"/>
    </row>
    <row r="11207" spans="31:31" ht="12.75" customHeight="1" x14ac:dyDescent="0.15">
      <c r="AE11207" s="13"/>
    </row>
    <row r="11208" spans="31:31" ht="12.75" customHeight="1" x14ac:dyDescent="0.15">
      <c r="AE11208" s="13"/>
    </row>
    <row r="11209" spans="31:31" ht="12.75" customHeight="1" x14ac:dyDescent="0.15">
      <c r="AE11209" s="13"/>
    </row>
    <row r="11210" spans="31:31" ht="12.75" customHeight="1" x14ac:dyDescent="0.15">
      <c r="AE11210" s="13"/>
    </row>
    <row r="11211" spans="31:31" ht="12.75" customHeight="1" x14ac:dyDescent="0.15">
      <c r="AE11211" s="13"/>
    </row>
    <row r="11212" spans="31:31" ht="12.75" customHeight="1" x14ac:dyDescent="0.15">
      <c r="AE11212" s="13"/>
    </row>
    <row r="11213" spans="31:31" ht="12.75" customHeight="1" x14ac:dyDescent="0.15">
      <c r="AE11213" s="13"/>
    </row>
    <row r="11214" spans="31:31" ht="12.75" customHeight="1" x14ac:dyDescent="0.15">
      <c r="AE11214" s="13"/>
    </row>
    <row r="11215" spans="31:31" ht="12.75" customHeight="1" x14ac:dyDescent="0.15">
      <c r="AE11215" s="13"/>
    </row>
    <row r="11216" spans="31:31" ht="12.75" customHeight="1" x14ac:dyDescent="0.15">
      <c r="AE11216" s="13"/>
    </row>
    <row r="11217" spans="31:31" ht="12.75" customHeight="1" x14ac:dyDescent="0.15">
      <c r="AE11217" s="13"/>
    </row>
    <row r="11218" spans="31:31" ht="12.75" customHeight="1" x14ac:dyDescent="0.15">
      <c r="AE11218" s="13"/>
    </row>
    <row r="11219" spans="31:31" ht="12.75" customHeight="1" x14ac:dyDescent="0.15">
      <c r="AE11219" s="13"/>
    </row>
    <row r="11220" spans="31:31" ht="12.75" customHeight="1" x14ac:dyDescent="0.15">
      <c r="AE11220" s="13"/>
    </row>
    <row r="11221" spans="31:31" ht="12.75" customHeight="1" x14ac:dyDescent="0.15">
      <c r="AE11221" s="13"/>
    </row>
    <row r="11222" spans="31:31" ht="12.75" customHeight="1" x14ac:dyDescent="0.15">
      <c r="AE11222" s="13"/>
    </row>
    <row r="11223" spans="31:31" ht="12.75" customHeight="1" x14ac:dyDescent="0.15">
      <c r="AE11223" s="13"/>
    </row>
    <row r="11224" spans="31:31" ht="12.75" customHeight="1" x14ac:dyDescent="0.15">
      <c r="AE11224" s="13"/>
    </row>
    <row r="11225" spans="31:31" ht="12.75" customHeight="1" x14ac:dyDescent="0.15">
      <c r="AE11225" s="13"/>
    </row>
    <row r="11226" spans="31:31" ht="12.75" customHeight="1" x14ac:dyDescent="0.15">
      <c r="AE11226" s="13"/>
    </row>
    <row r="11227" spans="31:31" ht="12.75" customHeight="1" x14ac:dyDescent="0.15">
      <c r="AE11227" s="13"/>
    </row>
    <row r="11228" spans="31:31" ht="12.75" customHeight="1" x14ac:dyDescent="0.15">
      <c r="AE11228" s="13"/>
    </row>
    <row r="11229" spans="31:31" ht="12.75" customHeight="1" x14ac:dyDescent="0.15">
      <c r="AE11229" s="13"/>
    </row>
    <row r="11230" spans="31:31" ht="12.75" customHeight="1" x14ac:dyDescent="0.15">
      <c r="AE11230" s="13"/>
    </row>
    <row r="11231" spans="31:31" ht="12.75" customHeight="1" x14ac:dyDescent="0.15">
      <c r="AE11231" s="13"/>
    </row>
    <row r="11232" spans="31:31" ht="12.75" customHeight="1" x14ac:dyDescent="0.15">
      <c r="AE11232" s="13"/>
    </row>
    <row r="11233" spans="31:31" ht="12.75" customHeight="1" x14ac:dyDescent="0.15">
      <c r="AE11233" s="13"/>
    </row>
    <row r="11234" spans="31:31" ht="12.75" customHeight="1" x14ac:dyDescent="0.15">
      <c r="AE11234" s="13"/>
    </row>
    <row r="11235" spans="31:31" ht="12.75" customHeight="1" x14ac:dyDescent="0.15">
      <c r="AE11235" s="13"/>
    </row>
    <row r="11236" spans="31:31" ht="12.75" customHeight="1" x14ac:dyDescent="0.15">
      <c r="AE11236" s="13"/>
    </row>
    <row r="11237" spans="31:31" ht="12.75" customHeight="1" x14ac:dyDescent="0.15">
      <c r="AE11237" s="13"/>
    </row>
    <row r="11238" spans="31:31" ht="12.75" customHeight="1" x14ac:dyDescent="0.15">
      <c r="AE11238" s="13"/>
    </row>
    <row r="11239" spans="31:31" ht="12.75" customHeight="1" x14ac:dyDescent="0.15">
      <c r="AE11239" s="13"/>
    </row>
    <row r="11240" spans="31:31" ht="12.75" customHeight="1" x14ac:dyDescent="0.15">
      <c r="AE11240" s="13"/>
    </row>
    <row r="11241" spans="31:31" ht="12.75" customHeight="1" x14ac:dyDescent="0.15">
      <c r="AE11241" s="13"/>
    </row>
    <row r="11242" spans="31:31" ht="12.75" customHeight="1" x14ac:dyDescent="0.15">
      <c r="AE11242" s="13"/>
    </row>
    <row r="11243" spans="31:31" ht="12.75" customHeight="1" x14ac:dyDescent="0.15">
      <c r="AE11243" s="13"/>
    </row>
    <row r="11244" spans="31:31" ht="12.75" customHeight="1" x14ac:dyDescent="0.15">
      <c r="AE11244" s="13"/>
    </row>
    <row r="11245" spans="31:31" ht="12.75" customHeight="1" x14ac:dyDescent="0.15">
      <c r="AE11245" s="13"/>
    </row>
    <row r="11246" spans="31:31" ht="12.75" customHeight="1" x14ac:dyDescent="0.15">
      <c r="AE11246" s="13"/>
    </row>
    <row r="11247" spans="31:31" ht="12.75" customHeight="1" x14ac:dyDescent="0.15">
      <c r="AE11247" s="13"/>
    </row>
    <row r="11248" spans="31:31" ht="12.75" customHeight="1" x14ac:dyDescent="0.15">
      <c r="AE11248" s="13"/>
    </row>
    <row r="11249" spans="31:31" ht="12.75" customHeight="1" x14ac:dyDescent="0.15">
      <c r="AE11249" s="13"/>
    </row>
    <row r="11250" spans="31:31" ht="12.75" customHeight="1" x14ac:dyDescent="0.15">
      <c r="AE11250" s="13"/>
    </row>
    <row r="11251" spans="31:31" ht="12.75" customHeight="1" x14ac:dyDescent="0.15">
      <c r="AE11251" s="13"/>
    </row>
    <row r="11252" spans="31:31" ht="12.75" customHeight="1" x14ac:dyDescent="0.15">
      <c r="AE11252" s="13"/>
    </row>
    <row r="11253" spans="31:31" ht="12.75" customHeight="1" x14ac:dyDescent="0.15">
      <c r="AE11253" s="13"/>
    </row>
    <row r="11254" spans="31:31" ht="12.75" customHeight="1" x14ac:dyDescent="0.15">
      <c r="AE11254" s="13"/>
    </row>
    <row r="11255" spans="31:31" ht="12.75" customHeight="1" x14ac:dyDescent="0.15">
      <c r="AE11255" s="13"/>
    </row>
    <row r="11256" spans="31:31" ht="12.75" customHeight="1" x14ac:dyDescent="0.15">
      <c r="AE11256" s="13"/>
    </row>
    <row r="11257" spans="31:31" ht="12.75" customHeight="1" x14ac:dyDescent="0.15">
      <c r="AE11257" s="13"/>
    </row>
    <row r="11258" spans="31:31" ht="12.75" customHeight="1" x14ac:dyDescent="0.15">
      <c r="AE11258" s="13"/>
    </row>
    <row r="11259" spans="31:31" ht="12.75" customHeight="1" x14ac:dyDescent="0.15">
      <c r="AE11259" s="13"/>
    </row>
    <row r="11260" spans="31:31" ht="12.75" customHeight="1" x14ac:dyDescent="0.15">
      <c r="AE11260" s="13"/>
    </row>
    <row r="11261" spans="31:31" ht="12.75" customHeight="1" x14ac:dyDescent="0.15">
      <c r="AE11261" s="13"/>
    </row>
    <row r="11262" spans="31:31" ht="12.75" customHeight="1" x14ac:dyDescent="0.15">
      <c r="AE11262" s="13"/>
    </row>
    <row r="11263" spans="31:31" ht="12.75" customHeight="1" x14ac:dyDescent="0.15">
      <c r="AE11263" s="13"/>
    </row>
    <row r="11264" spans="31:31" ht="12.75" customHeight="1" x14ac:dyDescent="0.15">
      <c r="AE11264" s="13"/>
    </row>
    <row r="11265" spans="31:31" ht="12.75" customHeight="1" x14ac:dyDescent="0.15">
      <c r="AE11265" s="13"/>
    </row>
    <row r="11266" spans="31:31" ht="12.75" customHeight="1" x14ac:dyDescent="0.15">
      <c r="AE11266" s="13"/>
    </row>
    <row r="11267" spans="31:31" ht="12.75" customHeight="1" x14ac:dyDescent="0.15">
      <c r="AE11267" s="13"/>
    </row>
    <row r="11268" spans="31:31" ht="12.75" customHeight="1" x14ac:dyDescent="0.15">
      <c r="AE11268" s="13"/>
    </row>
    <row r="11269" spans="31:31" ht="12.75" customHeight="1" x14ac:dyDescent="0.15">
      <c r="AE11269" s="13"/>
    </row>
    <row r="11270" spans="31:31" ht="12.75" customHeight="1" x14ac:dyDescent="0.15">
      <c r="AE11270" s="13"/>
    </row>
    <row r="11271" spans="31:31" ht="12.75" customHeight="1" x14ac:dyDescent="0.15">
      <c r="AE11271" s="13"/>
    </row>
    <row r="11272" spans="31:31" ht="12.75" customHeight="1" x14ac:dyDescent="0.15">
      <c r="AE11272" s="13"/>
    </row>
    <row r="11273" spans="31:31" ht="12.75" customHeight="1" x14ac:dyDescent="0.15">
      <c r="AE11273" s="13"/>
    </row>
    <row r="11274" spans="31:31" ht="12.75" customHeight="1" x14ac:dyDescent="0.15">
      <c r="AE11274" s="13"/>
    </row>
    <row r="11275" spans="31:31" ht="12.75" customHeight="1" x14ac:dyDescent="0.15">
      <c r="AE11275" s="13"/>
    </row>
    <row r="11276" spans="31:31" ht="12.75" customHeight="1" x14ac:dyDescent="0.15">
      <c r="AE11276" s="13"/>
    </row>
    <row r="11277" spans="31:31" ht="12.75" customHeight="1" x14ac:dyDescent="0.15">
      <c r="AE11277" s="13"/>
    </row>
    <row r="11278" spans="31:31" ht="12.75" customHeight="1" x14ac:dyDescent="0.15">
      <c r="AE11278" s="13"/>
    </row>
    <row r="11279" spans="31:31" ht="12.75" customHeight="1" x14ac:dyDescent="0.15">
      <c r="AE11279" s="13"/>
    </row>
    <row r="11280" spans="31:31" ht="12.75" customHeight="1" x14ac:dyDescent="0.15">
      <c r="AE11280" s="13"/>
    </row>
    <row r="11281" spans="31:31" ht="12.75" customHeight="1" x14ac:dyDescent="0.15">
      <c r="AE11281" s="13"/>
    </row>
    <row r="11282" spans="31:31" ht="12.75" customHeight="1" x14ac:dyDescent="0.15">
      <c r="AE11282" s="13"/>
    </row>
    <row r="11283" spans="31:31" ht="12.75" customHeight="1" x14ac:dyDescent="0.15">
      <c r="AE11283" s="13"/>
    </row>
    <row r="11284" spans="31:31" ht="12.75" customHeight="1" x14ac:dyDescent="0.15">
      <c r="AE11284" s="13"/>
    </row>
    <row r="11285" spans="31:31" ht="12.75" customHeight="1" x14ac:dyDescent="0.15">
      <c r="AE11285" s="13"/>
    </row>
    <row r="11286" spans="31:31" ht="12.75" customHeight="1" x14ac:dyDescent="0.15">
      <c r="AE11286" s="13"/>
    </row>
    <row r="11287" spans="31:31" ht="12.75" customHeight="1" x14ac:dyDescent="0.15">
      <c r="AE11287" s="13"/>
    </row>
    <row r="11288" spans="31:31" ht="12.75" customHeight="1" x14ac:dyDescent="0.15">
      <c r="AE11288" s="13"/>
    </row>
    <row r="11289" spans="31:31" ht="12.75" customHeight="1" x14ac:dyDescent="0.15">
      <c r="AE11289" s="13"/>
    </row>
    <row r="11290" spans="31:31" ht="12.75" customHeight="1" x14ac:dyDescent="0.15">
      <c r="AE11290" s="13"/>
    </row>
    <row r="11291" spans="31:31" ht="12.75" customHeight="1" x14ac:dyDescent="0.15">
      <c r="AE11291" s="13"/>
    </row>
    <row r="11292" spans="31:31" ht="12.75" customHeight="1" x14ac:dyDescent="0.15">
      <c r="AE11292" s="13"/>
    </row>
    <row r="11293" spans="31:31" ht="12.75" customHeight="1" x14ac:dyDescent="0.15">
      <c r="AE11293" s="13"/>
    </row>
    <row r="11294" spans="31:31" ht="12.75" customHeight="1" x14ac:dyDescent="0.15">
      <c r="AE11294" s="13"/>
    </row>
    <row r="11295" spans="31:31" ht="12.75" customHeight="1" x14ac:dyDescent="0.15">
      <c r="AE11295" s="13"/>
    </row>
    <row r="11296" spans="31:31" ht="12.75" customHeight="1" x14ac:dyDescent="0.15">
      <c r="AE11296" s="13"/>
    </row>
    <row r="11297" spans="31:31" ht="12.75" customHeight="1" x14ac:dyDescent="0.15">
      <c r="AE11297" s="13"/>
    </row>
    <row r="11298" spans="31:31" ht="12.75" customHeight="1" x14ac:dyDescent="0.15">
      <c r="AE11298" s="13"/>
    </row>
    <row r="11299" spans="31:31" ht="12.75" customHeight="1" x14ac:dyDescent="0.15">
      <c r="AE11299" s="13"/>
    </row>
    <row r="11300" spans="31:31" ht="12.75" customHeight="1" x14ac:dyDescent="0.15">
      <c r="AE11300" s="13"/>
    </row>
    <row r="11301" spans="31:31" ht="12.75" customHeight="1" x14ac:dyDescent="0.15">
      <c r="AE11301" s="13"/>
    </row>
    <row r="11302" spans="31:31" ht="12.75" customHeight="1" x14ac:dyDescent="0.15">
      <c r="AE11302" s="13"/>
    </row>
    <row r="11303" spans="31:31" ht="12.75" customHeight="1" x14ac:dyDescent="0.15">
      <c r="AE11303" s="13"/>
    </row>
    <row r="11304" spans="31:31" ht="12.75" customHeight="1" x14ac:dyDescent="0.15">
      <c r="AE11304" s="13"/>
    </row>
    <row r="11305" spans="31:31" ht="12.75" customHeight="1" x14ac:dyDescent="0.15">
      <c r="AE11305" s="13"/>
    </row>
    <row r="11306" spans="31:31" ht="12.75" customHeight="1" x14ac:dyDescent="0.15">
      <c r="AE11306" s="13"/>
    </row>
    <row r="11307" spans="31:31" ht="12.75" customHeight="1" x14ac:dyDescent="0.15">
      <c r="AE11307" s="13"/>
    </row>
    <row r="11308" spans="31:31" ht="12.75" customHeight="1" x14ac:dyDescent="0.15">
      <c r="AE11308" s="13"/>
    </row>
    <row r="11309" spans="31:31" ht="12.75" customHeight="1" x14ac:dyDescent="0.15">
      <c r="AE11309" s="13"/>
    </row>
    <row r="11310" spans="31:31" ht="12.75" customHeight="1" x14ac:dyDescent="0.15">
      <c r="AE11310" s="13"/>
    </row>
    <row r="11311" spans="31:31" ht="12.75" customHeight="1" x14ac:dyDescent="0.15">
      <c r="AE11311" s="13"/>
    </row>
    <row r="11312" spans="31:31" ht="12.75" customHeight="1" x14ac:dyDescent="0.15">
      <c r="AE11312" s="13"/>
    </row>
    <row r="11313" spans="31:31" ht="12.75" customHeight="1" x14ac:dyDescent="0.15">
      <c r="AE11313" s="13"/>
    </row>
    <row r="11314" spans="31:31" ht="12.75" customHeight="1" x14ac:dyDescent="0.15">
      <c r="AE11314" s="13"/>
    </row>
    <row r="11315" spans="31:31" ht="12.75" customHeight="1" x14ac:dyDescent="0.15">
      <c r="AE11315" s="13"/>
    </row>
    <row r="11316" spans="31:31" ht="12.75" customHeight="1" x14ac:dyDescent="0.15">
      <c r="AE11316" s="13"/>
    </row>
    <row r="11317" spans="31:31" ht="12.75" customHeight="1" x14ac:dyDescent="0.15">
      <c r="AE11317" s="13"/>
    </row>
    <row r="11318" spans="31:31" ht="12.75" customHeight="1" x14ac:dyDescent="0.15">
      <c r="AE11318" s="13"/>
    </row>
    <row r="11319" spans="31:31" ht="12.75" customHeight="1" x14ac:dyDescent="0.15">
      <c r="AE11319" s="13"/>
    </row>
    <row r="11320" spans="31:31" ht="12.75" customHeight="1" x14ac:dyDescent="0.15">
      <c r="AE11320" s="13"/>
    </row>
    <row r="11321" spans="31:31" ht="12.75" customHeight="1" x14ac:dyDescent="0.15">
      <c r="AE11321" s="13"/>
    </row>
    <row r="11322" spans="31:31" ht="12.75" customHeight="1" x14ac:dyDescent="0.15">
      <c r="AE11322" s="13"/>
    </row>
    <row r="11323" spans="31:31" ht="12.75" customHeight="1" x14ac:dyDescent="0.15">
      <c r="AE11323" s="13"/>
    </row>
    <row r="11324" spans="31:31" ht="12.75" customHeight="1" x14ac:dyDescent="0.15">
      <c r="AE11324" s="13"/>
    </row>
    <row r="11325" spans="31:31" ht="12.75" customHeight="1" x14ac:dyDescent="0.15">
      <c r="AE11325" s="13"/>
    </row>
    <row r="11326" spans="31:31" ht="12.75" customHeight="1" x14ac:dyDescent="0.15">
      <c r="AE11326" s="13"/>
    </row>
    <row r="11327" spans="31:31" ht="12.75" customHeight="1" x14ac:dyDescent="0.15">
      <c r="AE11327" s="13"/>
    </row>
    <row r="11328" spans="31:31" ht="12.75" customHeight="1" x14ac:dyDescent="0.15">
      <c r="AE11328" s="13"/>
    </row>
    <row r="11329" spans="31:31" ht="12.75" customHeight="1" x14ac:dyDescent="0.15">
      <c r="AE11329" s="13"/>
    </row>
    <row r="11330" spans="31:31" ht="12.75" customHeight="1" x14ac:dyDescent="0.15">
      <c r="AE11330" s="13"/>
    </row>
    <row r="11331" spans="31:31" ht="12.75" customHeight="1" x14ac:dyDescent="0.15">
      <c r="AE11331" s="13"/>
    </row>
    <row r="11332" spans="31:31" ht="12.75" customHeight="1" x14ac:dyDescent="0.15">
      <c r="AE11332" s="13"/>
    </row>
    <row r="11333" spans="31:31" ht="12.75" customHeight="1" x14ac:dyDescent="0.15">
      <c r="AE11333" s="13"/>
    </row>
    <row r="11334" spans="31:31" ht="12.75" customHeight="1" x14ac:dyDescent="0.15">
      <c r="AE11334" s="13"/>
    </row>
    <row r="11335" spans="31:31" ht="12.75" customHeight="1" x14ac:dyDescent="0.15">
      <c r="AE11335" s="13"/>
    </row>
    <row r="11336" spans="31:31" ht="12.75" customHeight="1" x14ac:dyDescent="0.15">
      <c r="AE11336" s="13"/>
    </row>
    <row r="11337" spans="31:31" ht="12.75" customHeight="1" x14ac:dyDescent="0.15">
      <c r="AE11337" s="13"/>
    </row>
    <row r="11338" spans="31:31" ht="12.75" customHeight="1" x14ac:dyDescent="0.15">
      <c r="AE11338" s="13"/>
    </row>
    <row r="11339" spans="31:31" ht="12.75" customHeight="1" x14ac:dyDescent="0.15">
      <c r="AE11339" s="13"/>
    </row>
    <row r="11340" spans="31:31" ht="12.75" customHeight="1" x14ac:dyDescent="0.15">
      <c r="AE11340" s="13"/>
    </row>
    <row r="11341" spans="31:31" ht="12.75" customHeight="1" x14ac:dyDescent="0.15">
      <c r="AE11341" s="13"/>
    </row>
    <row r="11342" spans="31:31" ht="12.75" customHeight="1" x14ac:dyDescent="0.15">
      <c r="AE11342" s="13"/>
    </row>
    <row r="11343" spans="31:31" ht="12.75" customHeight="1" x14ac:dyDescent="0.15">
      <c r="AE11343" s="13"/>
    </row>
    <row r="11344" spans="31:31" ht="12.75" customHeight="1" x14ac:dyDescent="0.15">
      <c r="AE11344" s="13"/>
    </row>
    <row r="11345" spans="31:31" ht="12.75" customHeight="1" x14ac:dyDescent="0.15">
      <c r="AE11345" s="13"/>
    </row>
    <row r="11346" spans="31:31" ht="12.75" customHeight="1" x14ac:dyDescent="0.15">
      <c r="AE11346" s="13"/>
    </row>
    <row r="11347" spans="31:31" ht="12.75" customHeight="1" x14ac:dyDescent="0.15">
      <c r="AE11347" s="13"/>
    </row>
    <row r="11348" spans="31:31" ht="12.75" customHeight="1" x14ac:dyDescent="0.15">
      <c r="AE11348" s="13"/>
    </row>
    <row r="11349" spans="31:31" ht="12.75" customHeight="1" x14ac:dyDescent="0.15">
      <c r="AE11349" s="13"/>
    </row>
    <row r="11350" spans="31:31" ht="12.75" customHeight="1" x14ac:dyDescent="0.15">
      <c r="AE11350" s="13"/>
    </row>
    <row r="11351" spans="31:31" ht="12.75" customHeight="1" x14ac:dyDescent="0.15">
      <c r="AE11351" s="13"/>
    </row>
    <row r="11352" spans="31:31" ht="12.75" customHeight="1" x14ac:dyDescent="0.15">
      <c r="AE11352" s="13"/>
    </row>
    <row r="11353" spans="31:31" ht="12.75" customHeight="1" x14ac:dyDescent="0.15">
      <c r="AE11353" s="13"/>
    </row>
    <row r="11354" spans="31:31" ht="12.75" customHeight="1" x14ac:dyDescent="0.15">
      <c r="AE11354" s="13"/>
    </row>
    <row r="11355" spans="31:31" ht="12.75" customHeight="1" x14ac:dyDescent="0.15">
      <c r="AE11355" s="13"/>
    </row>
    <row r="11356" spans="31:31" ht="12.75" customHeight="1" x14ac:dyDescent="0.15">
      <c r="AE11356" s="13"/>
    </row>
    <row r="11357" spans="31:31" ht="12.75" customHeight="1" x14ac:dyDescent="0.15">
      <c r="AE11357" s="13"/>
    </row>
    <row r="11358" spans="31:31" ht="12.75" customHeight="1" x14ac:dyDescent="0.15">
      <c r="AE11358" s="13"/>
    </row>
    <row r="11359" spans="31:31" ht="12.75" customHeight="1" x14ac:dyDescent="0.15">
      <c r="AE11359" s="13"/>
    </row>
    <row r="11360" spans="31:31" ht="12.75" customHeight="1" x14ac:dyDescent="0.15">
      <c r="AE11360" s="13"/>
    </row>
    <row r="11361" spans="31:31" ht="12.75" customHeight="1" x14ac:dyDescent="0.15">
      <c r="AE11361" s="13"/>
    </row>
    <row r="11362" spans="31:31" ht="12.75" customHeight="1" x14ac:dyDescent="0.15">
      <c r="AE11362" s="13"/>
    </row>
    <row r="11363" spans="31:31" ht="12.75" customHeight="1" x14ac:dyDescent="0.15">
      <c r="AE11363" s="13"/>
    </row>
    <row r="11364" spans="31:31" ht="12.75" customHeight="1" x14ac:dyDescent="0.15">
      <c r="AE11364" s="13"/>
    </row>
    <row r="11365" spans="31:31" ht="12.75" customHeight="1" x14ac:dyDescent="0.15">
      <c r="AE11365" s="13"/>
    </row>
    <row r="11366" spans="31:31" ht="12.75" customHeight="1" x14ac:dyDescent="0.15">
      <c r="AE11366" s="13"/>
    </row>
    <row r="11367" spans="31:31" ht="12.75" customHeight="1" x14ac:dyDescent="0.15">
      <c r="AE11367" s="13"/>
    </row>
    <row r="11368" spans="31:31" ht="12.75" customHeight="1" x14ac:dyDescent="0.15">
      <c r="AE11368" s="13"/>
    </row>
    <row r="11369" spans="31:31" ht="12.75" customHeight="1" x14ac:dyDescent="0.15">
      <c r="AE11369" s="13"/>
    </row>
    <row r="11370" spans="31:31" ht="12.75" customHeight="1" x14ac:dyDescent="0.15">
      <c r="AE11370" s="13"/>
    </row>
    <row r="11371" spans="31:31" ht="12.75" customHeight="1" x14ac:dyDescent="0.15">
      <c r="AE11371" s="13"/>
    </row>
    <row r="11372" spans="31:31" ht="12.75" customHeight="1" x14ac:dyDescent="0.15">
      <c r="AE11372" s="13"/>
    </row>
    <row r="11373" spans="31:31" ht="12.75" customHeight="1" x14ac:dyDescent="0.15">
      <c r="AE11373" s="13"/>
    </row>
    <row r="11374" spans="31:31" ht="12.75" customHeight="1" x14ac:dyDescent="0.15">
      <c r="AE11374" s="13"/>
    </row>
    <row r="11375" spans="31:31" ht="12.75" customHeight="1" x14ac:dyDescent="0.15">
      <c r="AE11375" s="13"/>
    </row>
    <row r="11376" spans="31:31" ht="12.75" customHeight="1" x14ac:dyDescent="0.15">
      <c r="AE11376" s="13"/>
    </row>
    <row r="11377" spans="31:31" ht="12.75" customHeight="1" x14ac:dyDescent="0.15">
      <c r="AE11377" s="13"/>
    </row>
    <row r="11378" spans="31:31" ht="12.75" customHeight="1" x14ac:dyDescent="0.15">
      <c r="AE11378" s="13"/>
    </row>
    <row r="11379" spans="31:31" ht="12.75" customHeight="1" x14ac:dyDescent="0.15">
      <c r="AE11379" s="13"/>
    </row>
    <row r="11380" spans="31:31" ht="12.75" customHeight="1" x14ac:dyDescent="0.15">
      <c r="AE11380" s="13"/>
    </row>
    <row r="11381" spans="31:31" ht="12.75" customHeight="1" x14ac:dyDescent="0.15">
      <c r="AE11381" s="13"/>
    </row>
    <row r="11382" spans="31:31" ht="12.75" customHeight="1" x14ac:dyDescent="0.15">
      <c r="AE11382" s="13"/>
    </row>
    <row r="11383" spans="31:31" ht="12.75" customHeight="1" x14ac:dyDescent="0.15">
      <c r="AE11383" s="13"/>
    </row>
    <row r="11384" spans="31:31" ht="12.75" customHeight="1" x14ac:dyDescent="0.15">
      <c r="AE11384" s="13"/>
    </row>
    <row r="11385" spans="31:31" ht="12.75" customHeight="1" x14ac:dyDescent="0.15">
      <c r="AE11385" s="13"/>
    </row>
    <row r="11386" spans="31:31" ht="12.75" customHeight="1" x14ac:dyDescent="0.15">
      <c r="AE11386" s="13"/>
    </row>
    <row r="11387" spans="31:31" ht="12.75" customHeight="1" x14ac:dyDescent="0.15">
      <c r="AE11387" s="13"/>
    </row>
    <row r="11388" spans="31:31" ht="12.75" customHeight="1" x14ac:dyDescent="0.15">
      <c r="AE11388" s="13"/>
    </row>
    <row r="11389" spans="31:31" ht="12.75" customHeight="1" x14ac:dyDescent="0.15">
      <c r="AE11389" s="13"/>
    </row>
    <row r="11390" spans="31:31" ht="12.75" customHeight="1" x14ac:dyDescent="0.15">
      <c r="AE11390" s="13"/>
    </row>
    <row r="11391" spans="31:31" ht="12.75" customHeight="1" x14ac:dyDescent="0.15">
      <c r="AE11391" s="13"/>
    </row>
    <row r="11392" spans="31:31" ht="12.75" customHeight="1" x14ac:dyDescent="0.15">
      <c r="AE11392" s="13"/>
    </row>
    <row r="11393" spans="31:31" ht="12.75" customHeight="1" x14ac:dyDescent="0.15">
      <c r="AE11393" s="13"/>
    </row>
    <row r="11394" spans="31:31" ht="12.75" customHeight="1" x14ac:dyDescent="0.15">
      <c r="AE11394" s="13"/>
    </row>
    <row r="11395" spans="31:31" ht="12.75" customHeight="1" x14ac:dyDescent="0.15">
      <c r="AE11395" s="13"/>
    </row>
    <row r="11396" spans="31:31" ht="12.75" customHeight="1" x14ac:dyDescent="0.15">
      <c r="AE11396" s="13"/>
    </row>
    <row r="11397" spans="31:31" ht="12.75" customHeight="1" x14ac:dyDescent="0.15">
      <c r="AE11397" s="13"/>
    </row>
    <row r="11398" spans="31:31" ht="12.75" customHeight="1" x14ac:dyDescent="0.15">
      <c r="AE11398" s="13"/>
    </row>
    <row r="11399" spans="31:31" ht="12.75" customHeight="1" x14ac:dyDescent="0.15">
      <c r="AE11399" s="13"/>
    </row>
    <row r="11400" spans="31:31" ht="12.75" customHeight="1" x14ac:dyDescent="0.15">
      <c r="AE11400" s="13"/>
    </row>
    <row r="11401" spans="31:31" ht="12.75" customHeight="1" x14ac:dyDescent="0.15">
      <c r="AE11401" s="13"/>
    </row>
    <row r="11402" spans="31:31" ht="12.75" customHeight="1" x14ac:dyDescent="0.15">
      <c r="AE11402" s="13"/>
    </row>
    <row r="11403" spans="31:31" ht="12.75" customHeight="1" x14ac:dyDescent="0.15">
      <c r="AE11403" s="13"/>
    </row>
    <row r="11404" spans="31:31" ht="12.75" customHeight="1" x14ac:dyDescent="0.15">
      <c r="AE11404" s="13"/>
    </row>
    <row r="11405" spans="31:31" ht="12.75" customHeight="1" x14ac:dyDescent="0.15">
      <c r="AE11405" s="13"/>
    </row>
    <row r="11406" spans="31:31" ht="12.75" customHeight="1" x14ac:dyDescent="0.15">
      <c r="AE11406" s="13"/>
    </row>
    <row r="11407" spans="31:31" ht="12.75" customHeight="1" x14ac:dyDescent="0.15">
      <c r="AE11407" s="13"/>
    </row>
    <row r="11408" spans="31:31" ht="12.75" customHeight="1" x14ac:dyDescent="0.15">
      <c r="AE11408" s="13"/>
    </row>
    <row r="11409" spans="31:31" ht="12.75" customHeight="1" x14ac:dyDescent="0.15">
      <c r="AE11409" s="13"/>
    </row>
    <row r="11410" spans="31:31" ht="12.75" customHeight="1" x14ac:dyDescent="0.15">
      <c r="AE11410" s="13"/>
    </row>
    <row r="11411" spans="31:31" ht="12.75" customHeight="1" x14ac:dyDescent="0.15">
      <c r="AE11411" s="13"/>
    </row>
    <row r="11412" spans="31:31" ht="12.75" customHeight="1" x14ac:dyDescent="0.15">
      <c r="AE11412" s="13"/>
    </row>
    <row r="11413" spans="31:31" ht="12.75" customHeight="1" x14ac:dyDescent="0.15">
      <c r="AE11413" s="13"/>
    </row>
    <row r="11414" spans="31:31" ht="12.75" customHeight="1" x14ac:dyDescent="0.15">
      <c r="AE11414" s="13"/>
    </row>
    <row r="11415" spans="31:31" ht="12.75" customHeight="1" x14ac:dyDescent="0.15">
      <c r="AE11415" s="13"/>
    </row>
    <row r="11416" spans="31:31" ht="12.75" customHeight="1" x14ac:dyDescent="0.15">
      <c r="AE11416" s="13"/>
    </row>
    <row r="11417" spans="31:31" ht="12.75" customHeight="1" x14ac:dyDescent="0.15">
      <c r="AE11417" s="13"/>
    </row>
    <row r="11418" spans="31:31" ht="12.75" customHeight="1" x14ac:dyDescent="0.15">
      <c r="AE11418" s="13"/>
    </row>
    <row r="11419" spans="31:31" ht="12.75" customHeight="1" x14ac:dyDescent="0.15">
      <c r="AE11419" s="13"/>
    </row>
    <row r="11420" spans="31:31" ht="12.75" customHeight="1" x14ac:dyDescent="0.15">
      <c r="AE11420" s="13"/>
    </row>
    <row r="11421" spans="31:31" ht="12.75" customHeight="1" x14ac:dyDescent="0.15">
      <c r="AE11421" s="13"/>
    </row>
    <row r="11422" spans="31:31" ht="12.75" customHeight="1" x14ac:dyDescent="0.15">
      <c r="AE11422" s="13"/>
    </row>
    <row r="11423" spans="31:31" ht="12.75" customHeight="1" x14ac:dyDescent="0.15">
      <c r="AE11423" s="13"/>
    </row>
    <row r="11424" spans="31:31" ht="12.75" customHeight="1" x14ac:dyDescent="0.15">
      <c r="AE11424" s="13"/>
    </row>
    <row r="11425" spans="31:31" ht="12.75" customHeight="1" x14ac:dyDescent="0.15">
      <c r="AE11425" s="13"/>
    </row>
    <row r="11426" spans="31:31" ht="12.75" customHeight="1" x14ac:dyDescent="0.15">
      <c r="AE11426" s="13"/>
    </row>
    <row r="11427" spans="31:31" ht="12.75" customHeight="1" x14ac:dyDescent="0.15">
      <c r="AE11427" s="13"/>
    </row>
    <row r="11428" spans="31:31" ht="12.75" customHeight="1" x14ac:dyDescent="0.15">
      <c r="AE11428" s="13"/>
    </row>
    <row r="11429" spans="31:31" ht="12.75" customHeight="1" x14ac:dyDescent="0.15">
      <c r="AE11429" s="13"/>
    </row>
    <row r="11430" spans="31:31" ht="12.75" customHeight="1" x14ac:dyDescent="0.15">
      <c r="AE11430" s="13"/>
    </row>
    <row r="11431" spans="31:31" ht="12.75" customHeight="1" x14ac:dyDescent="0.15">
      <c r="AE11431" s="13"/>
    </row>
    <row r="11432" spans="31:31" ht="12.75" customHeight="1" x14ac:dyDescent="0.15">
      <c r="AE11432" s="13"/>
    </row>
    <row r="11433" spans="31:31" ht="12.75" customHeight="1" x14ac:dyDescent="0.15">
      <c r="AE11433" s="13"/>
    </row>
    <row r="11434" spans="31:31" ht="12.75" customHeight="1" x14ac:dyDescent="0.15">
      <c r="AE11434" s="13"/>
    </row>
    <row r="11435" spans="31:31" ht="12.75" customHeight="1" x14ac:dyDescent="0.15">
      <c r="AE11435" s="13"/>
    </row>
    <row r="11436" spans="31:31" ht="12.75" customHeight="1" x14ac:dyDescent="0.15">
      <c r="AE11436" s="13"/>
    </row>
    <row r="11437" spans="31:31" ht="12.75" customHeight="1" x14ac:dyDescent="0.15">
      <c r="AE11437" s="13"/>
    </row>
    <row r="11438" spans="31:31" ht="12.75" customHeight="1" x14ac:dyDescent="0.15">
      <c r="AE11438" s="13"/>
    </row>
    <row r="11439" spans="31:31" ht="12.75" customHeight="1" x14ac:dyDescent="0.15">
      <c r="AE11439" s="13"/>
    </row>
    <row r="11440" spans="31:31" ht="12.75" customHeight="1" x14ac:dyDescent="0.15">
      <c r="AE11440" s="13"/>
    </row>
    <row r="11441" spans="31:31" ht="12.75" customHeight="1" x14ac:dyDescent="0.15">
      <c r="AE11441" s="13"/>
    </row>
    <row r="11442" spans="31:31" ht="12.75" customHeight="1" x14ac:dyDescent="0.15">
      <c r="AE11442" s="13"/>
    </row>
    <row r="11443" spans="31:31" ht="12.75" customHeight="1" x14ac:dyDescent="0.15">
      <c r="AE11443" s="13"/>
    </row>
    <row r="11444" spans="31:31" ht="12.75" customHeight="1" x14ac:dyDescent="0.15">
      <c r="AE11444" s="13"/>
    </row>
    <row r="11445" spans="31:31" ht="12.75" customHeight="1" x14ac:dyDescent="0.15">
      <c r="AE11445" s="13"/>
    </row>
    <row r="11446" spans="31:31" ht="12.75" customHeight="1" x14ac:dyDescent="0.15">
      <c r="AE11446" s="13"/>
    </row>
    <row r="11447" spans="31:31" ht="12.75" customHeight="1" x14ac:dyDescent="0.15">
      <c r="AE11447" s="13"/>
    </row>
    <row r="11448" spans="31:31" ht="12.75" customHeight="1" x14ac:dyDescent="0.15">
      <c r="AE11448" s="13"/>
    </row>
    <row r="11449" spans="31:31" ht="12.75" customHeight="1" x14ac:dyDescent="0.15">
      <c r="AE11449" s="13"/>
    </row>
    <row r="11450" spans="31:31" ht="12.75" customHeight="1" x14ac:dyDescent="0.15">
      <c r="AE11450" s="13"/>
    </row>
    <row r="11451" spans="31:31" ht="12.75" customHeight="1" x14ac:dyDescent="0.15">
      <c r="AE11451" s="13"/>
    </row>
    <row r="11452" spans="31:31" ht="12.75" customHeight="1" x14ac:dyDescent="0.15">
      <c r="AE11452" s="13"/>
    </row>
    <row r="11453" spans="31:31" ht="12.75" customHeight="1" x14ac:dyDescent="0.15">
      <c r="AE11453" s="13"/>
    </row>
    <row r="11454" spans="31:31" ht="12.75" customHeight="1" x14ac:dyDescent="0.15">
      <c r="AE11454" s="13"/>
    </row>
    <row r="11455" spans="31:31" ht="12.75" customHeight="1" x14ac:dyDescent="0.15">
      <c r="AE11455" s="13"/>
    </row>
    <row r="11456" spans="31:31" ht="12.75" customHeight="1" x14ac:dyDescent="0.15">
      <c r="AE11456" s="13"/>
    </row>
    <row r="11457" spans="31:31" ht="12.75" customHeight="1" x14ac:dyDescent="0.15">
      <c r="AE11457" s="13"/>
    </row>
    <row r="11458" spans="31:31" ht="12.75" customHeight="1" x14ac:dyDescent="0.15">
      <c r="AE11458" s="13"/>
    </row>
    <row r="11459" spans="31:31" ht="12.75" customHeight="1" x14ac:dyDescent="0.15">
      <c r="AE11459" s="13"/>
    </row>
    <row r="11460" spans="31:31" ht="12.75" customHeight="1" x14ac:dyDescent="0.15">
      <c r="AE11460" s="13"/>
    </row>
    <row r="11461" spans="31:31" ht="12.75" customHeight="1" x14ac:dyDescent="0.15">
      <c r="AE11461" s="13"/>
    </row>
    <row r="11462" spans="31:31" ht="12.75" customHeight="1" x14ac:dyDescent="0.15">
      <c r="AE11462" s="13"/>
    </row>
    <row r="11463" spans="31:31" ht="12.75" customHeight="1" x14ac:dyDescent="0.15">
      <c r="AE11463" s="13"/>
    </row>
    <row r="11464" spans="31:31" ht="12.75" customHeight="1" x14ac:dyDescent="0.15">
      <c r="AE11464" s="13"/>
    </row>
    <row r="11465" spans="31:31" ht="12.75" customHeight="1" x14ac:dyDescent="0.15">
      <c r="AE11465" s="13"/>
    </row>
    <row r="11466" spans="31:31" ht="12.75" customHeight="1" x14ac:dyDescent="0.15">
      <c r="AE11466" s="13"/>
    </row>
    <row r="11467" spans="31:31" ht="12.75" customHeight="1" x14ac:dyDescent="0.15">
      <c r="AE11467" s="13"/>
    </row>
    <row r="11468" spans="31:31" ht="12.75" customHeight="1" x14ac:dyDescent="0.15">
      <c r="AE11468" s="13"/>
    </row>
    <row r="11469" spans="31:31" ht="12.75" customHeight="1" x14ac:dyDescent="0.15">
      <c r="AE11469" s="13"/>
    </row>
    <row r="11470" spans="31:31" ht="12.75" customHeight="1" x14ac:dyDescent="0.15">
      <c r="AE11470" s="13"/>
    </row>
    <row r="11471" spans="31:31" ht="12.75" customHeight="1" x14ac:dyDescent="0.15">
      <c r="AE11471" s="13"/>
    </row>
    <row r="11472" spans="31:31" ht="12.75" customHeight="1" x14ac:dyDescent="0.15">
      <c r="AE11472" s="13"/>
    </row>
    <row r="11473" spans="31:31" ht="12.75" customHeight="1" x14ac:dyDescent="0.15">
      <c r="AE11473" s="13"/>
    </row>
    <row r="11474" spans="31:31" ht="12.75" customHeight="1" x14ac:dyDescent="0.15">
      <c r="AE11474" s="13"/>
    </row>
    <row r="11475" spans="31:31" ht="12.75" customHeight="1" x14ac:dyDescent="0.15">
      <c r="AE11475" s="13"/>
    </row>
    <row r="11476" spans="31:31" ht="12.75" customHeight="1" x14ac:dyDescent="0.15">
      <c r="AE11476" s="13"/>
    </row>
    <row r="11477" spans="31:31" ht="12.75" customHeight="1" x14ac:dyDescent="0.15">
      <c r="AE11477" s="13"/>
    </row>
    <row r="11478" spans="31:31" ht="12.75" customHeight="1" x14ac:dyDescent="0.15">
      <c r="AE11478" s="13"/>
    </row>
    <row r="11479" spans="31:31" ht="12.75" customHeight="1" x14ac:dyDescent="0.15">
      <c r="AE11479" s="13"/>
    </row>
    <row r="11480" spans="31:31" ht="12.75" customHeight="1" x14ac:dyDescent="0.15">
      <c r="AE11480" s="13"/>
    </row>
    <row r="11481" spans="31:31" ht="12.75" customHeight="1" x14ac:dyDescent="0.15">
      <c r="AE11481" s="13"/>
    </row>
    <row r="11482" spans="31:31" ht="12.75" customHeight="1" x14ac:dyDescent="0.15">
      <c r="AE11482" s="13"/>
    </row>
    <row r="11483" spans="31:31" ht="12.75" customHeight="1" x14ac:dyDescent="0.15">
      <c r="AE11483" s="13"/>
    </row>
    <row r="11484" spans="31:31" ht="12.75" customHeight="1" x14ac:dyDescent="0.15">
      <c r="AE11484" s="13"/>
    </row>
    <row r="11485" spans="31:31" ht="12.75" customHeight="1" x14ac:dyDescent="0.15">
      <c r="AE11485" s="13"/>
    </row>
    <row r="11486" spans="31:31" ht="12.75" customHeight="1" x14ac:dyDescent="0.15">
      <c r="AE11486" s="13"/>
    </row>
    <row r="11487" spans="31:31" ht="12.75" customHeight="1" x14ac:dyDescent="0.15">
      <c r="AE11487" s="13"/>
    </row>
    <row r="11488" spans="31:31" ht="12.75" customHeight="1" x14ac:dyDescent="0.15">
      <c r="AE11488" s="13"/>
    </row>
    <row r="11489" spans="31:31" ht="12.75" customHeight="1" x14ac:dyDescent="0.15">
      <c r="AE11489" s="13"/>
    </row>
    <row r="11490" spans="31:31" ht="12.75" customHeight="1" x14ac:dyDescent="0.15">
      <c r="AE11490" s="13"/>
    </row>
    <row r="11491" spans="31:31" ht="12.75" customHeight="1" x14ac:dyDescent="0.15">
      <c r="AE11491" s="13"/>
    </row>
    <row r="11492" spans="31:31" ht="12.75" customHeight="1" x14ac:dyDescent="0.15">
      <c r="AE11492" s="13"/>
    </row>
    <row r="11493" spans="31:31" ht="12.75" customHeight="1" x14ac:dyDescent="0.15">
      <c r="AE11493" s="13"/>
    </row>
    <row r="11494" spans="31:31" ht="12.75" customHeight="1" x14ac:dyDescent="0.15">
      <c r="AE11494" s="13"/>
    </row>
    <row r="11495" spans="31:31" ht="12.75" customHeight="1" x14ac:dyDescent="0.15">
      <c r="AE11495" s="13"/>
    </row>
    <row r="11496" spans="31:31" ht="12.75" customHeight="1" x14ac:dyDescent="0.15">
      <c r="AE11496" s="13"/>
    </row>
    <row r="11497" spans="31:31" ht="12.75" customHeight="1" x14ac:dyDescent="0.15">
      <c r="AE11497" s="13"/>
    </row>
    <row r="11498" spans="31:31" ht="12.75" customHeight="1" x14ac:dyDescent="0.15">
      <c r="AE11498" s="13"/>
    </row>
    <row r="11499" spans="31:31" ht="12.75" customHeight="1" x14ac:dyDescent="0.15">
      <c r="AE11499" s="13"/>
    </row>
    <row r="11500" spans="31:31" ht="12.75" customHeight="1" x14ac:dyDescent="0.15">
      <c r="AE11500" s="13"/>
    </row>
    <row r="11501" spans="31:31" ht="12.75" customHeight="1" x14ac:dyDescent="0.15">
      <c r="AE11501" s="13"/>
    </row>
    <row r="11502" spans="31:31" ht="12.75" customHeight="1" x14ac:dyDescent="0.15">
      <c r="AE11502" s="13"/>
    </row>
    <row r="11503" spans="31:31" ht="12.75" customHeight="1" x14ac:dyDescent="0.15">
      <c r="AE11503" s="13"/>
    </row>
    <row r="11504" spans="31:31" ht="12.75" customHeight="1" x14ac:dyDescent="0.15">
      <c r="AE11504" s="13"/>
    </row>
    <row r="11505" spans="31:31" ht="12.75" customHeight="1" x14ac:dyDescent="0.15">
      <c r="AE11505" s="13"/>
    </row>
    <row r="11506" spans="31:31" ht="12.75" customHeight="1" x14ac:dyDescent="0.15">
      <c r="AE11506" s="13"/>
    </row>
    <row r="11507" spans="31:31" ht="12.75" customHeight="1" x14ac:dyDescent="0.15">
      <c r="AE11507" s="13"/>
    </row>
    <row r="11508" spans="31:31" ht="12.75" customHeight="1" x14ac:dyDescent="0.15">
      <c r="AE11508" s="13"/>
    </row>
    <row r="11509" spans="31:31" ht="12.75" customHeight="1" x14ac:dyDescent="0.15">
      <c r="AE11509" s="13"/>
    </row>
    <row r="11510" spans="31:31" ht="12.75" customHeight="1" x14ac:dyDescent="0.15">
      <c r="AE11510" s="13"/>
    </row>
    <row r="11511" spans="31:31" ht="12.75" customHeight="1" x14ac:dyDescent="0.15">
      <c r="AE11511" s="13"/>
    </row>
    <row r="11512" spans="31:31" ht="12.75" customHeight="1" x14ac:dyDescent="0.15">
      <c r="AE11512" s="13"/>
    </row>
    <row r="11513" spans="31:31" ht="12.75" customHeight="1" x14ac:dyDescent="0.15">
      <c r="AE11513" s="13"/>
    </row>
    <row r="11514" spans="31:31" ht="12.75" customHeight="1" x14ac:dyDescent="0.15">
      <c r="AE11514" s="13"/>
    </row>
    <row r="11515" spans="31:31" ht="12.75" customHeight="1" x14ac:dyDescent="0.15">
      <c r="AE11515" s="13"/>
    </row>
    <row r="11516" spans="31:31" ht="12.75" customHeight="1" x14ac:dyDescent="0.15">
      <c r="AE11516" s="13"/>
    </row>
    <row r="11517" spans="31:31" ht="12.75" customHeight="1" x14ac:dyDescent="0.15">
      <c r="AE11517" s="13"/>
    </row>
    <row r="11518" spans="31:31" ht="12.75" customHeight="1" x14ac:dyDescent="0.15">
      <c r="AE11518" s="13"/>
    </row>
    <row r="11519" spans="31:31" ht="12.75" customHeight="1" x14ac:dyDescent="0.15">
      <c r="AE11519" s="13"/>
    </row>
    <row r="11520" spans="31:31" ht="12.75" customHeight="1" x14ac:dyDescent="0.15">
      <c r="AE11520" s="13"/>
    </row>
    <row r="11521" spans="31:31" ht="12.75" customHeight="1" x14ac:dyDescent="0.15">
      <c r="AE11521" s="13"/>
    </row>
    <row r="11522" spans="31:31" ht="12.75" customHeight="1" x14ac:dyDescent="0.15">
      <c r="AE11522" s="13"/>
    </row>
    <row r="11523" spans="31:31" ht="12.75" customHeight="1" x14ac:dyDescent="0.15">
      <c r="AE11523" s="13"/>
    </row>
    <row r="11524" spans="31:31" ht="12.75" customHeight="1" x14ac:dyDescent="0.15">
      <c r="AE11524" s="13"/>
    </row>
    <row r="11525" spans="31:31" ht="12.75" customHeight="1" x14ac:dyDescent="0.15">
      <c r="AE11525" s="13"/>
    </row>
    <row r="11526" spans="31:31" ht="12.75" customHeight="1" x14ac:dyDescent="0.15">
      <c r="AE11526" s="13"/>
    </row>
    <row r="11527" spans="31:31" ht="12.75" customHeight="1" x14ac:dyDescent="0.15">
      <c r="AE11527" s="13"/>
    </row>
    <row r="11528" spans="31:31" ht="12.75" customHeight="1" x14ac:dyDescent="0.15">
      <c r="AE11528" s="13"/>
    </row>
    <row r="11529" spans="31:31" ht="12.75" customHeight="1" x14ac:dyDescent="0.15">
      <c r="AE11529" s="13"/>
    </row>
    <row r="11530" spans="31:31" ht="12.75" customHeight="1" x14ac:dyDescent="0.15">
      <c r="AE11530" s="13"/>
    </row>
    <row r="11531" spans="31:31" ht="12.75" customHeight="1" x14ac:dyDescent="0.15">
      <c r="AE11531" s="13"/>
    </row>
    <row r="11532" spans="31:31" ht="12.75" customHeight="1" x14ac:dyDescent="0.15">
      <c r="AE11532" s="13"/>
    </row>
    <row r="11533" spans="31:31" ht="12.75" customHeight="1" x14ac:dyDescent="0.15">
      <c r="AE11533" s="13"/>
    </row>
    <row r="11534" spans="31:31" ht="12.75" customHeight="1" x14ac:dyDescent="0.15">
      <c r="AE11534" s="13"/>
    </row>
    <row r="11535" spans="31:31" ht="12.75" customHeight="1" x14ac:dyDescent="0.15">
      <c r="AE11535" s="13"/>
    </row>
    <row r="11536" spans="31:31" ht="12.75" customHeight="1" x14ac:dyDescent="0.15">
      <c r="AE11536" s="13"/>
    </row>
    <row r="11537" spans="31:31" ht="12.75" customHeight="1" x14ac:dyDescent="0.15">
      <c r="AE11537" s="13"/>
    </row>
    <row r="11538" spans="31:31" ht="12.75" customHeight="1" x14ac:dyDescent="0.15">
      <c r="AE11538" s="13"/>
    </row>
    <row r="11539" spans="31:31" ht="12.75" customHeight="1" x14ac:dyDescent="0.15">
      <c r="AE11539" s="13"/>
    </row>
    <row r="11540" spans="31:31" ht="12.75" customHeight="1" x14ac:dyDescent="0.15">
      <c r="AE11540" s="13"/>
    </row>
    <row r="11541" spans="31:31" ht="12.75" customHeight="1" x14ac:dyDescent="0.15">
      <c r="AE11541" s="13"/>
    </row>
    <row r="11542" spans="31:31" ht="12.75" customHeight="1" x14ac:dyDescent="0.15">
      <c r="AE11542" s="13"/>
    </row>
    <row r="11543" spans="31:31" ht="12.75" customHeight="1" x14ac:dyDescent="0.15">
      <c r="AE11543" s="13"/>
    </row>
    <row r="11544" spans="31:31" ht="12.75" customHeight="1" x14ac:dyDescent="0.15">
      <c r="AE11544" s="13"/>
    </row>
    <row r="11545" spans="31:31" ht="12.75" customHeight="1" x14ac:dyDescent="0.15">
      <c r="AE11545" s="13"/>
    </row>
    <row r="11546" spans="31:31" ht="12.75" customHeight="1" x14ac:dyDescent="0.15">
      <c r="AE11546" s="13"/>
    </row>
    <row r="11547" spans="31:31" ht="12.75" customHeight="1" x14ac:dyDescent="0.15">
      <c r="AE11547" s="13"/>
    </row>
    <row r="11548" spans="31:31" ht="12.75" customHeight="1" x14ac:dyDescent="0.15">
      <c r="AE11548" s="13"/>
    </row>
    <row r="11549" spans="31:31" ht="12.75" customHeight="1" x14ac:dyDescent="0.15">
      <c r="AE11549" s="13"/>
    </row>
    <row r="11550" spans="31:31" ht="12.75" customHeight="1" x14ac:dyDescent="0.15">
      <c r="AE11550" s="13"/>
    </row>
    <row r="11551" spans="31:31" ht="12.75" customHeight="1" x14ac:dyDescent="0.15">
      <c r="AE11551" s="13"/>
    </row>
    <row r="11552" spans="31:31" ht="12.75" customHeight="1" x14ac:dyDescent="0.15">
      <c r="AE11552" s="13"/>
    </row>
    <row r="11553" spans="31:31" ht="12.75" customHeight="1" x14ac:dyDescent="0.15">
      <c r="AE11553" s="13"/>
    </row>
    <row r="11554" spans="31:31" ht="12.75" customHeight="1" x14ac:dyDescent="0.15">
      <c r="AE11554" s="13"/>
    </row>
    <row r="11555" spans="31:31" ht="12.75" customHeight="1" x14ac:dyDescent="0.15">
      <c r="AE11555" s="13"/>
    </row>
    <row r="11556" spans="31:31" ht="12.75" customHeight="1" x14ac:dyDescent="0.15">
      <c r="AE11556" s="13"/>
    </row>
    <row r="11557" spans="31:31" ht="12.75" customHeight="1" x14ac:dyDescent="0.15">
      <c r="AE11557" s="13"/>
    </row>
    <row r="11558" spans="31:31" ht="12.75" customHeight="1" x14ac:dyDescent="0.15">
      <c r="AE11558" s="13"/>
    </row>
    <row r="11559" spans="31:31" ht="12.75" customHeight="1" x14ac:dyDescent="0.15">
      <c r="AE11559" s="13"/>
    </row>
    <row r="11560" spans="31:31" ht="12.75" customHeight="1" x14ac:dyDescent="0.15">
      <c r="AE11560" s="13"/>
    </row>
    <row r="11561" spans="31:31" ht="12.75" customHeight="1" x14ac:dyDescent="0.15">
      <c r="AE11561" s="13"/>
    </row>
    <row r="11562" spans="31:31" ht="12.75" customHeight="1" x14ac:dyDescent="0.15">
      <c r="AE11562" s="13"/>
    </row>
    <row r="11563" spans="31:31" ht="12.75" customHeight="1" x14ac:dyDescent="0.15">
      <c r="AE11563" s="13"/>
    </row>
    <row r="11564" spans="31:31" ht="12.75" customHeight="1" x14ac:dyDescent="0.15">
      <c r="AE11564" s="13"/>
    </row>
    <row r="11565" spans="31:31" ht="12.75" customHeight="1" x14ac:dyDescent="0.15">
      <c r="AE11565" s="13"/>
    </row>
    <row r="11566" spans="31:31" ht="12.75" customHeight="1" x14ac:dyDescent="0.15">
      <c r="AE11566" s="13"/>
    </row>
    <row r="11567" spans="31:31" ht="12.75" customHeight="1" x14ac:dyDescent="0.15">
      <c r="AE11567" s="13"/>
    </row>
    <row r="11568" spans="31:31" ht="12.75" customHeight="1" x14ac:dyDescent="0.15">
      <c r="AE11568" s="13"/>
    </row>
    <row r="11569" spans="31:31" ht="12.75" customHeight="1" x14ac:dyDescent="0.15">
      <c r="AE11569" s="13"/>
    </row>
    <row r="11570" spans="31:31" ht="12.75" customHeight="1" x14ac:dyDescent="0.15">
      <c r="AE11570" s="13"/>
    </row>
    <row r="11571" spans="31:31" ht="12.75" customHeight="1" x14ac:dyDescent="0.15">
      <c r="AE11571" s="13"/>
    </row>
    <row r="11572" spans="31:31" ht="12.75" customHeight="1" x14ac:dyDescent="0.15">
      <c r="AE11572" s="13"/>
    </row>
    <row r="11573" spans="31:31" ht="12.75" customHeight="1" x14ac:dyDescent="0.15">
      <c r="AE11573" s="13"/>
    </row>
    <row r="11574" spans="31:31" ht="12.75" customHeight="1" x14ac:dyDescent="0.15">
      <c r="AE11574" s="13"/>
    </row>
    <row r="11575" spans="31:31" ht="12.75" customHeight="1" x14ac:dyDescent="0.15">
      <c r="AE11575" s="13"/>
    </row>
    <row r="11576" spans="31:31" ht="12.75" customHeight="1" x14ac:dyDescent="0.15">
      <c r="AE11576" s="13"/>
    </row>
    <row r="11577" spans="31:31" ht="12.75" customHeight="1" x14ac:dyDescent="0.15">
      <c r="AE11577" s="13"/>
    </row>
    <row r="11578" spans="31:31" ht="12.75" customHeight="1" x14ac:dyDescent="0.15">
      <c r="AE11578" s="13"/>
    </row>
    <row r="11579" spans="31:31" ht="12.75" customHeight="1" x14ac:dyDescent="0.15">
      <c r="AE11579" s="13"/>
    </row>
    <row r="11580" spans="31:31" ht="12.75" customHeight="1" x14ac:dyDescent="0.15">
      <c r="AE11580" s="13"/>
    </row>
    <row r="11581" spans="31:31" ht="12.75" customHeight="1" x14ac:dyDescent="0.15">
      <c r="AE11581" s="13"/>
    </row>
    <row r="11582" spans="31:31" ht="12.75" customHeight="1" x14ac:dyDescent="0.15">
      <c r="AE11582" s="13"/>
    </row>
    <row r="11583" spans="31:31" ht="12.75" customHeight="1" x14ac:dyDescent="0.15">
      <c r="AE11583" s="13"/>
    </row>
    <row r="11584" spans="31:31" ht="12.75" customHeight="1" x14ac:dyDescent="0.15">
      <c r="AE11584" s="13"/>
    </row>
    <row r="11585" spans="31:31" ht="12.75" customHeight="1" x14ac:dyDescent="0.15">
      <c r="AE11585" s="13"/>
    </row>
    <row r="11586" spans="31:31" ht="12.75" customHeight="1" x14ac:dyDescent="0.15">
      <c r="AE11586" s="13"/>
    </row>
    <row r="11587" spans="31:31" ht="12.75" customHeight="1" x14ac:dyDescent="0.15">
      <c r="AE11587" s="13"/>
    </row>
    <row r="11588" spans="31:31" ht="12.75" customHeight="1" x14ac:dyDescent="0.15">
      <c r="AE11588" s="13"/>
    </row>
    <row r="11589" spans="31:31" ht="12.75" customHeight="1" x14ac:dyDescent="0.15">
      <c r="AE11589" s="13"/>
    </row>
    <row r="11590" spans="31:31" ht="12.75" customHeight="1" x14ac:dyDescent="0.15">
      <c r="AE11590" s="13"/>
    </row>
    <row r="11591" spans="31:31" ht="12.75" customHeight="1" x14ac:dyDescent="0.15">
      <c r="AE11591" s="13"/>
    </row>
    <row r="11592" spans="31:31" ht="12.75" customHeight="1" x14ac:dyDescent="0.15">
      <c r="AE11592" s="13"/>
    </row>
    <row r="11593" spans="31:31" ht="12.75" customHeight="1" x14ac:dyDescent="0.15">
      <c r="AE11593" s="13"/>
    </row>
    <row r="11594" spans="31:31" ht="12.75" customHeight="1" x14ac:dyDescent="0.15">
      <c r="AE11594" s="13"/>
    </row>
    <row r="11595" spans="31:31" ht="12.75" customHeight="1" x14ac:dyDescent="0.15">
      <c r="AE11595" s="13"/>
    </row>
    <row r="11596" spans="31:31" ht="12.75" customHeight="1" x14ac:dyDescent="0.15">
      <c r="AE11596" s="13"/>
    </row>
    <row r="11597" spans="31:31" ht="12.75" customHeight="1" x14ac:dyDescent="0.15">
      <c r="AE11597" s="13"/>
    </row>
    <row r="11598" spans="31:31" ht="12.75" customHeight="1" x14ac:dyDescent="0.15">
      <c r="AE11598" s="13"/>
    </row>
    <row r="11599" spans="31:31" ht="12.75" customHeight="1" x14ac:dyDescent="0.15">
      <c r="AE11599" s="13"/>
    </row>
    <row r="11600" spans="31:31" ht="12.75" customHeight="1" x14ac:dyDescent="0.15">
      <c r="AE11600" s="13"/>
    </row>
    <row r="11601" spans="31:31" ht="12.75" customHeight="1" x14ac:dyDescent="0.15">
      <c r="AE11601" s="13"/>
    </row>
    <row r="11602" spans="31:31" ht="12.75" customHeight="1" x14ac:dyDescent="0.15">
      <c r="AE11602" s="13"/>
    </row>
    <row r="11603" spans="31:31" ht="12.75" customHeight="1" x14ac:dyDescent="0.15">
      <c r="AE11603" s="13"/>
    </row>
    <row r="11604" spans="31:31" ht="12.75" customHeight="1" x14ac:dyDescent="0.15">
      <c r="AE11604" s="13"/>
    </row>
    <row r="11605" spans="31:31" ht="12.75" customHeight="1" x14ac:dyDescent="0.15">
      <c r="AE11605" s="13"/>
    </row>
    <row r="11606" spans="31:31" ht="12.75" customHeight="1" x14ac:dyDescent="0.15">
      <c r="AE11606" s="13"/>
    </row>
    <row r="11607" spans="31:31" ht="12.75" customHeight="1" x14ac:dyDescent="0.15">
      <c r="AE11607" s="13"/>
    </row>
    <row r="11608" spans="31:31" ht="12.75" customHeight="1" x14ac:dyDescent="0.15">
      <c r="AE11608" s="13"/>
    </row>
    <row r="11609" spans="31:31" ht="12.75" customHeight="1" x14ac:dyDescent="0.15">
      <c r="AE11609" s="13"/>
    </row>
    <row r="11610" spans="31:31" ht="12.75" customHeight="1" x14ac:dyDescent="0.15">
      <c r="AE11610" s="13"/>
    </row>
    <row r="11611" spans="31:31" ht="12.75" customHeight="1" x14ac:dyDescent="0.15">
      <c r="AE11611" s="13"/>
    </row>
    <row r="11612" spans="31:31" ht="12.75" customHeight="1" x14ac:dyDescent="0.15">
      <c r="AE11612" s="13"/>
    </row>
    <row r="11613" spans="31:31" ht="12.75" customHeight="1" x14ac:dyDescent="0.15">
      <c r="AE11613" s="13"/>
    </row>
    <row r="11614" spans="31:31" ht="12.75" customHeight="1" x14ac:dyDescent="0.15">
      <c r="AE11614" s="13"/>
    </row>
    <row r="11615" spans="31:31" ht="12.75" customHeight="1" x14ac:dyDescent="0.15">
      <c r="AE11615" s="13"/>
    </row>
    <row r="11616" spans="31:31" ht="12.75" customHeight="1" x14ac:dyDescent="0.15">
      <c r="AE11616" s="13"/>
    </row>
    <row r="11617" spans="31:31" ht="12.75" customHeight="1" x14ac:dyDescent="0.15">
      <c r="AE11617" s="13"/>
    </row>
    <row r="11618" spans="31:31" ht="12.75" customHeight="1" x14ac:dyDescent="0.15">
      <c r="AE11618" s="13"/>
    </row>
    <row r="11619" spans="31:31" ht="12.75" customHeight="1" x14ac:dyDescent="0.15">
      <c r="AE11619" s="13"/>
    </row>
    <row r="11620" spans="31:31" ht="12.75" customHeight="1" x14ac:dyDescent="0.15">
      <c r="AE11620" s="13"/>
    </row>
    <row r="11621" spans="31:31" ht="12.75" customHeight="1" x14ac:dyDescent="0.15">
      <c r="AE11621" s="13"/>
    </row>
    <row r="11622" spans="31:31" ht="12.75" customHeight="1" x14ac:dyDescent="0.15">
      <c r="AE11622" s="13"/>
    </row>
    <row r="11623" spans="31:31" ht="12.75" customHeight="1" x14ac:dyDescent="0.15">
      <c r="AE11623" s="13"/>
    </row>
    <row r="11624" spans="31:31" ht="12.75" customHeight="1" x14ac:dyDescent="0.15">
      <c r="AE11624" s="13"/>
    </row>
    <row r="11625" spans="31:31" ht="12.75" customHeight="1" x14ac:dyDescent="0.15">
      <c r="AE11625" s="13"/>
    </row>
    <row r="11626" spans="31:31" ht="12.75" customHeight="1" x14ac:dyDescent="0.15">
      <c r="AE11626" s="13"/>
    </row>
    <row r="11627" spans="31:31" ht="12.75" customHeight="1" x14ac:dyDescent="0.15">
      <c r="AE11627" s="13"/>
    </row>
    <row r="11628" spans="31:31" ht="12.75" customHeight="1" x14ac:dyDescent="0.15">
      <c r="AE11628" s="13"/>
    </row>
    <row r="11629" spans="31:31" ht="12.75" customHeight="1" x14ac:dyDescent="0.15">
      <c r="AE11629" s="13"/>
    </row>
    <row r="11630" spans="31:31" ht="12.75" customHeight="1" x14ac:dyDescent="0.15">
      <c r="AE11630" s="13"/>
    </row>
    <row r="11631" spans="31:31" ht="12.75" customHeight="1" x14ac:dyDescent="0.15">
      <c r="AE11631" s="13"/>
    </row>
    <row r="11632" spans="31:31" ht="12.75" customHeight="1" x14ac:dyDescent="0.15">
      <c r="AE11632" s="13"/>
    </row>
    <row r="11633" spans="31:31" ht="12.75" customHeight="1" x14ac:dyDescent="0.15">
      <c r="AE11633" s="13"/>
    </row>
    <row r="11634" spans="31:31" ht="12.75" customHeight="1" x14ac:dyDescent="0.15">
      <c r="AE11634" s="13"/>
    </row>
    <row r="11635" spans="31:31" ht="12.75" customHeight="1" x14ac:dyDescent="0.15">
      <c r="AE11635" s="13"/>
    </row>
    <row r="11636" spans="31:31" ht="12.75" customHeight="1" x14ac:dyDescent="0.15">
      <c r="AE11636" s="13"/>
    </row>
    <row r="11637" spans="31:31" ht="12.75" customHeight="1" x14ac:dyDescent="0.15">
      <c r="AE11637" s="13"/>
    </row>
    <row r="11638" spans="31:31" ht="12.75" customHeight="1" x14ac:dyDescent="0.15">
      <c r="AE11638" s="13"/>
    </row>
    <row r="11639" spans="31:31" ht="12.75" customHeight="1" x14ac:dyDescent="0.15">
      <c r="AE11639" s="13"/>
    </row>
    <row r="11640" spans="31:31" ht="12.75" customHeight="1" x14ac:dyDescent="0.15">
      <c r="AE11640" s="13"/>
    </row>
    <row r="11641" spans="31:31" ht="12.75" customHeight="1" x14ac:dyDescent="0.15">
      <c r="AE11641" s="13"/>
    </row>
    <row r="11642" spans="31:31" ht="12.75" customHeight="1" x14ac:dyDescent="0.15">
      <c r="AE11642" s="13"/>
    </row>
    <row r="11643" spans="31:31" ht="12.75" customHeight="1" x14ac:dyDescent="0.15">
      <c r="AE11643" s="13"/>
    </row>
    <row r="11644" spans="31:31" ht="12.75" customHeight="1" x14ac:dyDescent="0.15">
      <c r="AE11644" s="13"/>
    </row>
    <row r="11645" spans="31:31" ht="12.75" customHeight="1" x14ac:dyDescent="0.15">
      <c r="AE11645" s="13"/>
    </row>
    <row r="11646" spans="31:31" ht="12.75" customHeight="1" x14ac:dyDescent="0.15">
      <c r="AE11646" s="13"/>
    </row>
    <row r="11647" spans="31:31" ht="12.75" customHeight="1" x14ac:dyDescent="0.15">
      <c r="AE11647" s="13"/>
    </row>
    <row r="11648" spans="31:31" ht="12.75" customHeight="1" x14ac:dyDescent="0.15">
      <c r="AE11648" s="13"/>
    </row>
    <row r="11649" spans="31:31" ht="12.75" customHeight="1" x14ac:dyDescent="0.15">
      <c r="AE11649" s="13"/>
    </row>
    <row r="11650" spans="31:31" ht="12.75" customHeight="1" x14ac:dyDescent="0.15">
      <c r="AE11650" s="13"/>
    </row>
    <row r="11651" spans="31:31" ht="12.75" customHeight="1" x14ac:dyDescent="0.15">
      <c r="AE11651" s="13"/>
    </row>
    <row r="11652" spans="31:31" ht="12.75" customHeight="1" x14ac:dyDescent="0.15">
      <c r="AE11652" s="13"/>
    </row>
    <row r="11653" spans="31:31" ht="12.75" customHeight="1" x14ac:dyDescent="0.15">
      <c r="AE11653" s="13"/>
    </row>
    <row r="11654" spans="31:31" ht="12.75" customHeight="1" x14ac:dyDescent="0.15">
      <c r="AE11654" s="13"/>
    </row>
    <row r="11655" spans="31:31" ht="12.75" customHeight="1" x14ac:dyDescent="0.15">
      <c r="AE11655" s="13"/>
    </row>
    <row r="11656" spans="31:31" ht="12.75" customHeight="1" x14ac:dyDescent="0.15">
      <c r="AE11656" s="13"/>
    </row>
    <row r="11657" spans="31:31" ht="12.75" customHeight="1" x14ac:dyDescent="0.15">
      <c r="AE11657" s="13"/>
    </row>
    <row r="11658" spans="31:31" ht="12.75" customHeight="1" x14ac:dyDescent="0.15">
      <c r="AE11658" s="13"/>
    </row>
    <row r="11659" spans="31:31" ht="12.75" customHeight="1" x14ac:dyDescent="0.15">
      <c r="AE11659" s="13"/>
    </row>
    <row r="11660" spans="31:31" ht="12.75" customHeight="1" x14ac:dyDescent="0.15">
      <c r="AE11660" s="13"/>
    </row>
    <row r="11661" spans="31:31" ht="12.75" customHeight="1" x14ac:dyDescent="0.15">
      <c r="AE11661" s="13"/>
    </row>
    <row r="11662" spans="31:31" ht="12.75" customHeight="1" x14ac:dyDescent="0.15">
      <c r="AE11662" s="13"/>
    </row>
    <row r="11663" spans="31:31" ht="12.75" customHeight="1" x14ac:dyDescent="0.15">
      <c r="AE11663" s="13"/>
    </row>
    <row r="11664" spans="31:31" ht="12.75" customHeight="1" x14ac:dyDescent="0.15">
      <c r="AE11664" s="13"/>
    </row>
    <row r="11665" spans="31:31" ht="12.75" customHeight="1" x14ac:dyDescent="0.15">
      <c r="AE11665" s="13"/>
    </row>
    <row r="11666" spans="31:31" ht="12.75" customHeight="1" x14ac:dyDescent="0.15">
      <c r="AE11666" s="13"/>
    </row>
    <row r="11667" spans="31:31" ht="12.75" customHeight="1" x14ac:dyDescent="0.15">
      <c r="AE11667" s="13"/>
    </row>
    <row r="11668" spans="31:31" ht="12.75" customHeight="1" x14ac:dyDescent="0.15">
      <c r="AE11668" s="13"/>
    </row>
    <row r="11669" spans="31:31" ht="12.75" customHeight="1" x14ac:dyDescent="0.15">
      <c r="AE11669" s="13"/>
    </row>
    <row r="11670" spans="31:31" ht="12.75" customHeight="1" x14ac:dyDescent="0.15">
      <c r="AE11670" s="13"/>
    </row>
    <row r="11671" spans="31:31" ht="12.75" customHeight="1" x14ac:dyDescent="0.15">
      <c r="AE11671" s="13"/>
    </row>
    <row r="11672" spans="31:31" ht="12.75" customHeight="1" x14ac:dyDescent="0.15">
      <c r="AE11672" s="13"/>
    </row>
    <row r="11673" spans="31:31" ht="12.75" customHeight="1" x14ac:dyDescent="0.15">
      <c r="AE11673" s="13"/>
    </row>
    <row r="11674" spans="31:31" ht="12.75" customHeight="1" x14ac:dyDescent="0.15">
      <c r="AE11674" s="13"/>
    </row>
    <row r="11675" spans="31:31" ht="12.75" customHeight="1" x14ac:dyDescent="0.15">
      <c r="AE11675" s="13"/>
    </row>
    <row r="11676" spans="31:31" ht="12.75" customHeight="1" x14ac:dyDescent="0.15">
      <c r="AE11676" s="13"/>
    </row>
    <row r="11677" spans="31:31" ht="12.75" customHeight="1" x14ac:dyDescent="0.15">
      <c r="AE11677" s="13"/>
    </row>
    <row r="11678" spans="31:31" ht="12.75" customHeight="1" x14ac:dyDescent="0.15">
      <c r="AE11678" s="13"/>
    </row>
    <row r="11679" spans="31:31" ht="12.75" customHeight="1" x14ac:dyDescent="0.15">
      <c r="AE11679" s="13"/>
    </row>
    <row r="11680" spans="31:31" ht="12.75" customHeight="1" x14ac:dyDescent="0.15">
      <c r="AE11680" s="13"/>
    </row>
    <row r="11681" spans="31:31" ht="12.75" customHeight="1" x14ac:dyDescent="0.15">
      <c r="AE11681" s="13"/>
    </row>
    <row r="11682" spans="31:31" ht="12.75" customHeight="1" x14ac:dyDescent="0.15">
      <c r="AE11682" s="13"/>
    </row>
    <row r="11683" spans="31:31" ht="12.75" customHeight="1" x14ac:dyDescent="0.15">
      <c r="AE11683" s="13"/>
    </row>
    <row r="11684" spans="31:31" ht="12.75" customHeight="1" x14ac:dyDescent="0.15">
      <c r="AE11684" s="13"/>
    </row>
    <row r="11685" spans="31:31" ht="12.75" customHeight="1" x14ac:dyDescent="0.15">
      <c r="AE11685" s="13"/>
    </row>
    <row r="11686" spans="31:31" ht="12.75" customHeight="1" x14ac:dyDescent="0.15">
      <c r="AE11686" s="13"/>
    </row>
    <row r="11687" spans="31:31" ht="12.75" customHeight="1" x14ac:dyDescent="0.15">
      <c r="AE11687" s="13"/>
    </row>
    <row r="11688" spans="31:31" ht="12.75" customHeight="1" x14ac:dyDescent="0.15">
      <c r="AE11688" s="13"/>
    </row>
    <row r="11689" spans="31:31" ht="12.75" customHeight="1" x14ac:dyDescent="0.15">
      <c r="AE11689" s="13"/>
    </row>
    <row r="11690" spans="31:31" ht="12.75" customHeight="1" x14ac:dyDescent="0.15">
      <c r="AE11690" s="13"/>
    </row>
    <row r="11691" spans="31:31" ht="12.75" customHeight="1" x14ac:dyDescent="0.15">
      <c r="AE11691" s="13"/>
    </row>
    <row r="11692" spans="31:31" ht="12.75" customHeight="1" x14ac:dyDescent="0.15">
      <c r="AE11692" s="13"/>
    </row>
    <row r="11693" spans="31:31" ht="12.75" customHeight="1" x14ac:dyDescent="0.15">
      <c r="AE11693" s="13"/>
    </row>
    <row r="11694" spans="31:31" ht="12.75" customHeight="1" x14ac:dyDescent="0.15">
      <c r="AE11694" s="13"/>
    </row>
    <row r="11695" spans="31:31" ht="12.75" customHeight="1" x14ac:dyDescent="0.15">
      <c r="AE11695" s="13"/>
    </row>
    <row r="11696" spans="31:31" ht="12.75" customHeight="1" x14ac:dyDescent="0.15">
      <c r="AE11696" s="13"/>
    </row>
    <row r="11697" spans="31:31" ht="12.75" customHeight="1" x14ac:dyDescent="0.15">
      <c r="AE11697" s="13"/>
    </row>
    <row r="11698" spans="31:31" ht="12.75" customHeight="1" x14ac:dyDescent="0.15">
      <c r="AE11698" s="13"/>
    </row>
    <row r="11699" spans="31:31" ht="12.75" customHeight="1" x14ac:dyDescent="0.15">
      <c r="AE11699" s="13"/>
    </row>
    <row r="11700" spans="31:31" ht="12.75" customHeight="1" x14ac:dyDescent="0.15">
      <c r="AE11700" s="13"/>
    </row>
    <row r="11701" spans="31:31" ht="12.75" customHeight="1" x14ac:dyDescent="0.15">
      <c r="AE11701" s="13"/>
    </row>
    <row r="11702" spans="31:31" ht="12.75" customHeight="1" x14ac:dyDescent="0.15">
      <c r="AE11702" s="13"/>
    </row>
    <row r="11703" spans="31:31" ht="12.75" customHeight="1" x14ac:dyDescent="0.15">
      <c r="AE11703" s="13"/>
    </row>
    <row r="11704" spans="31:31" ht="12.75" customHeight="1" x14ac:dyDescent="0.15">
      <c r="AE11704" s="13"/>
    </row>
    <row r="11705" spans="31:31" ht="12.75" customHeight="1" x14ac:dyDescent="0.15">
      <c r="AE11705" s="13"/>
    </row>
    <row r="11706" spans="31:31" ht="12.75" customHeight="1" x14ac:dyDescent="0.15">
      <c r="AE11706" s="13"/>
    </row>
    <row r="11707" spans="31:31" ht="12.75" customHeight="1" x14ac:dyDescent="0.15">
      <c r="AE11707" s="13"/>
    </row>
    <row r="11708" spans="31:31" ht="12.75" customHeight="1" x14ac:dyDescent="0.15">
      <c r="AE11708" s="13"/>
    </row>
    <row r="11709" spans="31:31" ht="12.75" customHeight="1" x14ac:dyDescent="0.15">
      <c r="AE11709" s="13"/>
    </row>
    <row r="11710" spans="31:31" ht="12.75" customHeight="1" x14ac:dyDescent="0.15">
      <c r="AE11710" s="13"/>
    </row>
    <row r="11711" spans="31:31" ht="12.75" customHeight="1" x14ac:dyDescent="0.15">
      <c r="AE11711" s="13"/>
    </row>
    <row r="11712" spans="31:31" ht="12.75" customHeight="1" x14ac:dyDescent="0.15">
      <c r="AE11712" s="13"/>
    </row>
    <row r="11713" spans="31:31" ht="12.75" customHeight="1" x14ac:dyDescent="0.15">
      <c r="AE11713" s="13"/>
    </row>
    <row r="11714" spans="31:31" ht="12.75" customHeight="1" x14ac:dyDescent="0.15">
      <c r="AE11714" s="13"/>
    </row>
    <row r="11715" spans="31:31" ht="12.75" customHeight="1" x14ac:dyDescent="0.15">
      <c r="AE11715" s="13"/>
    </row>
    <row r="11716" spans="31:31" ht="12.75" customHeight="1" x14ac:dyDescent="0.15">
      <c r="AE11716" s="13"/>
    </row>
    <row r="11717" spans="31:31" ht="12.75" customHeight="1" x14ac:dyDescent="0.15">
      <c r="AE11717" s="13"/>
    </row>
    <row r="11718" spans="31:31" ht="12.75" customHeight="1" x14ac:dyDescent="0.15">
      <c r="AE11718" s="13"/>
    </row>
    <row r="11719" spans="31:31" ht="12.75" customHeight="1" x14ac:dyDescent="0.15">
      <c r="AE11719" s="13"/>
    </row>
    <row r="11720" spans="31:31" ht="12.75" customHeight="1" x14ac:dyDescent="0.15">
      <c r="AE11720" s="13"/>
    </row>
    <row r="11721" spans="31:31" ht="12.75" customHeight="1" x14ac:dyDescent="0.15">
      <c r="AE11721" s="13"/>
    </row>
    <row r="11722" spans="31:31" ht="12.75" customHeight="1" x14ac:dyDescent="0.15">
      <c r="AE11722" s="13"/>
    </row>
    <row r="11723" spans="31:31" ht="12.75" customHeight="1" x14ac:dyDescent="0.15">
      <c r="AE11723" s="13"/>
    </row>
    <row r="11724" spans="31:31" ht="12.75" customHeight="1" x14ac:dyDescent="0.15">
      <c r="AE11724" s="13"/>
    </row>
    <row r="11725" spans="31:31" ht="12.75" customHeight="1" x14ac:dyDescent="0.15">
      <c r="AE11725" s="13"/>
    </row>
    <row r="11726" spans="31:31" ht="12.75" customHeight="1" x14ac:dyDescent="0.15">
      <c r="AE11726" s="13"/>
    </row>
    <row r="11727" spans="31:31" ht="12.75" customHeight="1" x14ac:dyDescent="0.15">
      <c r="AE11727" s="13"/>
    </row>
    <row r="11728" spans="31:31" ht="12.75" customHeight="1" x14ac:dyDescent="0.15">
      <c r="AE11728" s="13"/>
    </row>
    <row r="11729" spans="31:31" ht="12.75" customHeight="1" x14ac:dyDescent="0.15">
      <c r="AE11729" s="13"/>
    </row>
    <row r="11730" spans="31:31" ht="12.75" customHeight="1" x14ac:dyDescent="0.15">
      <c r="AE11730" s="13"/>
    </row>
    <row r="11731" spans="31:31" ht="12.75" customHeight="1" x14ac:dyDescent="0.15">
      <c r="AE11731" s="13"/>
    </row>
    <row r="11732" spans="31:31" ht="12.75" customHeight="1" x14ac:dyDescent="0.15">
      <c r="AE11732" s="13"/>
    </row>
    <row r="11733" spans="31:31" ht="12.75" customHeight="1" x14ac:dyDescent="0.15">
      <c r="AE11733" s="13"/>
    </row>
    <row r="11734" spans="31:31" ht="12.75" customHeight="1" x14ac:dyDescent="0.15">
      <c r="AE11734" s="13"/>
    </row>
    <row r="11735" spans="31:31" ht="12.75" customHeight="1" x14ac:dyDescent="0.15">
      <c r="AE11735" s="13"/>
    </row>
    <row r="11736" spans="31:31" ht="12.75" customHeight="1" x14ac:dyDescent="0.15">
      <c r="AE11736" s="13"/>
    </row>
    <row r="11737" spans="31:31" ht="12.75" customHeight="1" x14ac:dyDescent="0.15">
      <c r="AE11737" s="13"/>
    </row>
    <row r="11738" spans="31:31" ht="12.75" customHeight="1" x14ac:dyDescent="0.15">
      <c r="AE11738" s="13"/>
    </row>
    <row r="11739" spans="31:31" ht="12.75" customHeight="1" x14ac:dyDescent="0.15">
      <c r="AE11739" s="13"/>
    </row>
    <row r="11740" spans="31:31" ht="12.75" customHeight="1" x14ac:dyDescent="0.15">
      <c r="AE11740" s="13"/>
    </row>
    <row r="11741" spans="31:31" ht="12.75" customHeight="1" x14ac:dyDescent="0.15">
      <c r="AE11741" s="13"/>
    </row>
    <row r="11742" spans="31:31" ht="12.75" customHeight="1" x14ac:dyDescent="0.15">
      <c r="AE11742" s="13"/>
    </row>
    <row r="11743" spans="31:31" ht="12.75" customHeight="1" x14ac:dyDescent="0.15">
      <c r="AE11743" s="13"/>
    </row>
    <row r="11744" spans="31:31" ht="12.75" customHeight="1" x14ac:dyDescent="0.15">
      <c r="AE11744" s="13"/>
    </row>
    <row r="11745" spans="31:31" ht="12.75" customHeight="1" x14ac:dyDescent="0.15">
      <c r="AE11745" s="13"/>
    </row>
    <row r="11746" spans="31:31" ht="12.75" customHeight="1" x14ac:dyDescent="0.15">
      <c r="AE11746" s="13"/>
    </row>
    <row r="11747" spans="31:31" ht="12.75" customHeight="1" x14ac:dyDescent="0.15">
      <c r="AE11747" s="13"/>
    </row>
    <row r="11748" spans="31:31" ht="12.75" customHeight="1" x14ac:dyDescent="0.15">
      <c r="AE11748" s="13"/>
    </row>
    <row r="11749" spans="31:31" ht="12.75" customHeight="1" x14ac:dyDescent="0.15">
      <c r="AE11749" s="13"/>
    </row>
    <row r="11750" spans="31:31" ht="12.75" customHeight="1" x14ac:dyDescent="0.15">
      <c r="AE11750" s="13"/>
    </row>
    <row r="11751" spans="31:31" ht="12.75" customHeight="1" x14ac:dyDescent="0.15">
      <c r="AE11751" s="13"/>
    </row>
    <row r="11752" spans="31:31" ht="12.75" customHeight="1" x14ac:dyDescent="0.15">
      <c r="AE11752" s="13"/>
    </row>
    <row r="11753" spans="31:31" ht="12.75" customHeight="1" x14ac:dyDescent="0.15">
      <c r="AE11753" s="13"/>
    </row>
    <row r="11754" spans="31:31" ht="12.75" customHeight="1" x14ac:dyDescent="0.15">
      <c r="AE11754" s="13"/>
    </row>
    <row r="11755" spans="31:31" ht="12.75" customHeight="1" x14ac:dyDescent="0.15">
      <c r="AE11755" s="13"/>
    </row>
    <row r="11756" spans="31:31" ht="12.75" customHeight="1" x14ac:dyDescent="0.15">
      <c r="AE11756" s="13"/>
    </row>
    <row r="11757" spans="31:31" ht="12.75" customHeight="1" x14ac:dyDescent="0.15">
      <c r="AE11757" s="13"/>
    </row>
    <row r="11758" spans="31:31" ht="12.75" customHeight="1" x14ac:dyDescent="0.15">
      <c r="AE11758" s="13"/>
    </row>
    <row r="11759" spans="31:31" ht="12.75" customHeight="1" x14ac:dyDescent="0.15">
      <c r="AE11759" s="13"/>
    </row>
    <row r="11760" spans="31:31" ht="12.75" customHeight="1" x14ac:dyDescent="0.15">
      <c r="AE11760" s="13"/>
    </row>
    <row r="11761" spans="31:31" ht="12.75" customHeight="1" x14ac:dyDescent="0.15">
      <c r="AE11761" s="13"/>
    </row>
    <row r="11762" spans="31:31" ht="12.75" customHeight="1" x14ac:dyDescent="0.15">
      <c r="AE11762" s="13"/>
    </row>
    <row r="11763" spans="31:31" ht="12.75" customHeight="1" x14ac:dyDescent="0.15">
      <c r="AE11763" s="13"/>
    </row>
    <row r="11764" spans="31:31" ht="12.75" customHeight="1" x14ac:dyDescent="0.15">
      <c r="AE11764" s="13"/>
    </row>
    <row r="11765" spans="31:31" ht="12.75" customHeight="1" x14ac:dyDescent="0.15">
      <c r="AE11765" s="13"/>
    </row>
    <row r="11766" spans="31:31" ht="12.75" customHeight="1" x14ac:dyDescent="0.15">
      <c r="AE11766" s="13"/>
    </row>
    <row r="11767" spans="31:31" ht="12.75" customHeight="1" x14ac:dyDescent="0.15">
      <c r="AE11767" s="13"/>
    </row>
    <row r="11768" spans="31:31" ht="12.75" customHeight="1" x14ac:dyDescent="0.15">
      <c r="AE11768" s="13"/>
    </row>
    <row r="11769" spans="31:31" ht="12.75" customHeight="1" x14ac:dyDescent="0.15">
      <c r="AE11769" s="13"/>
    </row>
    <row r="11770" spans="31:31" ht="12.75" customHeight="1" x14ac:dyDescent="0.15">
      <c r="AE11770" s="13"/>
    </row>
    <row r="11771" spans="31:31" ht="12.75" customHeight="1" x14ac:dyDescent="0.15">
      <c r="AE11771" s="13"/>
    </row>
    <row r="11772" spans="31:31" ht="12.75" customHeight="1" x14ac:dyDescent="0.15">
      <c r="AE11772" s="13"/>
    </row>
    <row r="11773" spans="31:31" ht="12.75" customHeight="1" x14ac:dyDescent="0.15">
      <c r="AE11773" s="13"/>
    </row>
    <row r="11774" spans="31:31" ht="12.75" customHeight="1" x14ac:dyDescent="0.15">
      <c r="AE11774" s="13"/>
    </row>
    <row r="11775" spans="31:31" ht="12.75" customHeight="1" x14ac:dyDescent="0.15">
      <c r="AE11775" s="13"/>
    </row>
    <row r="11776" spans="31:31" ht="12.75" customHeight="1" x14ac:dyDescent="0.15">
      <c r="AE11776" s="13"/>
    </row>
    <row r="11777" spans="31:31" ht="12.75" customHeight="1" x14ac:dyDescent="0.15">
      <c r="AE11777" s="13"/>
    </row>
    <row r="11778" spans="31:31" ht="12.75" customHeight="1" x14ac:dyDescent="0.15">
      <c r="AE11778" s="13"/>
    </row>
    <row r="11779" spans="31:31" ht="12.75" customHeight="1" x14ac:dyDescent="0.15">
      <c r="AE11779" s="13"/>
    </row>
    <row r="11780" spans="31:31" ht="12.75" customHeight="1" x14ac:dyDescent="0.15">
      <c r="AE11780" s="13"/>
    </row>
    <row r="11781" spans="31:31" ht="12.75" customHeight="1" x14ac:dyDescent="0.15">
      <c r="AE11781" s="13"/>
    </row>
    <row r="11782" spans="31:31" ht="12.75" customHeight="1" x14ac:dyDescent="0.15">
      <c r="AE11782" s="13"/>
    </row>
    <row r="11783" spans="31:31" ht="12.75" customHeight="1" x14ac:dyDescent="0.15">
      <c r="AE11783" s="13"/>
    </row>
    <row r="11784" spans="31:31" ht="12.75" customHeight="1" x14ac:dyDescent="0.15">
      <c r="AE11784" s="13"/>
    </row>
    <row r="11785" spans="31:31" ht="12.75" customHeight="1" x14ac:dyDescent="0.15">
      <c r="AE11785" s="13"/>
    </row>
    <row r="11786" spans="31:31" ht="12.75" customHeight="1" x14ac:dyDescent="0.15">
      <c r="AE11786" s="13"/>
    </row>
    <row r="11787" spans="31:31" ht="12.75" customHeight="1" x14ac:dyDescent="0.15">
      <c r="AE11787" s="13"/>
    </row>
    <row r="11788" spans="31:31" ht="12.75" customHeight="1" x14ac:dyDescent="0.15">
      <c r="AE11788" s="13"/>
    </row>
    <row r="11789" spans="31:31" ht="12.75" customHeight="1" x14ac:dyDescent="0.15">
      <c r="AE11789" s="13"/>
    </row>
    <row r="11790" spans="31:31" ht="12.75" customHeight="1" x14ac:dyDescent="0.15">
      <c r="AE11790" s="13"/>
    </row>
    <row r="11791" spans="31:31" ht="12.75" customHeight="1" x14ac:dyDescent="0.15">
      <c r="AE11791" s="13"/>
    </row>
    <row r="11792" spans="31:31" ht="12.75" customHeight="1" x14ac:dyDescent="0.15">
      <c r="AE11792" s="13"/>
    </row>
    <row r="11793" spans="31:31" ht="12.75" customHeight="1" x14ac:dyDescent="0.15">
      <c r="AE11793" s="13"/>
    </row>
    <row r="11794" spans="31:31" ht="12.75" customHeight="1" x14ac:dyDescent="0.15">
      <c r="AE11794" s="13"/>
    </row>
    <row r="11795" spans="31:31" ht="12.75" customHeight="1" x14ac:dyDescent="0.15">
      <c r="AE11795" s="13"/>
    </row>
    <row r="11796" spans="31:31" ht="12.75" customHeight="1" x14ac:dyDescent="0.15">
      <c r="AE11796" s="13"/>
    </row>
    <row r="11797" spans="31:31" ht="12.75" customHeight="1" x14ac:dyDescent="0.15">
      <c r="AE11797" s="13"/>
    </row>
    <row r="11798" spans="31:31" ht="12.75" customHeight="1" x14ac:dyDescent="0.15">
      <c r="AE11798" s="13"/>
    </row>
    <row r="11799" spans="31:31" ht="12.75" customHeight="1" x14ac:dyDescent="0.15">
      <c r="AE11799" s="13"/>
    </row>
    <row r="11800" spans="31:31" ht="12.75" customHeight="1" x14ac:dyDescent="0.15">
      <c r="AE11800" s="13"/>
    </row>
    <row r="11801" spans="31:31" ht="12.75" customHeight="1" x14ac:dyDescent="0.15">
      <c r="AE11801" s="13"/>
    </row>
    <row r="11802" spans="31:31" ht="12.75" customHeight="1" x14ac:dyDescent="0.15">
      <c r="AE11802" s="13"/>
    </row>
    <row r="11803" spans="31:31" ht="12.75" customHeight="1" x14ac:dyDescent="0.15">
      <c r="AE11803" s="13"/>
    </row>
    <row r="11804" spans="31:31" ht="12.75" customHeight="1" x14ac:dyDescent="0.15">
      <c r="AE11804" s="13"/>
    </row>
    <row r="11805" spans="31:31" ht="12.75" customHeight="1" x14ac:dyDescent="0.15">
      <c r="AE11805" s="13"/>
    </row>
    <row r="11806" spans="31:31" ht="12.75" customHeight="1" x14ac:dyDescent="0.15">
      <c r="AE11806" s="13"/>
    </row>
    <row r="11807" spans="31:31" ht="12.75" customHeight="1" x14ac:dyDescent="0.15">
      <c r="AE11807" s="13"/>
    </row>
    <row r="11808" spans="31:31" ht="12.75" customHeight="1" x14ac:dyDescent="0.15">
      <c r="AE11808" s="13"/>
    </row>
    <row r="11809" spans="31:31" ht="12.75" customHeight="1" x14ac:dyDescent="0.15">
      <c r="AE11809" s="13"/>
    </row>
    <row r="11810" spans="31:31" ht="12.75" customHeight="1" x14ac:dyDescent="0.15">
      <c r="AE11810" s="13"/>
    </row>
    <row r="11811" spans="31:31" ht="12.75" customHeight="1" x14ac:dyDescent="0.15">
      <c r="AE11811" s="13"/>
    </row>
    <row r="11812" spans="31:31" ht="12.75" customHeight="1" x14ac:dyDescent="0.15">
      <c r="AE11812" s="13"/>
    </row>
    <row r="11813" spans="31:31" ht="12.75" customHeight="1" x14ac:dyDescent="0.15">
      <c r="AE11813" s="13"/>
    </row>
    <row r="11814" spans="31:31" ht="12.75" customHeight="1" x14ac:dyDescent="0.15">
      <c r="AE11814" s="13"/>
    </row>
    <row r="11815" spans="31:31" ht="12.75" customHeight="1" x14ac:dyDescent="0.15">
      <c r="AE11815" s="13"/>
    </row>
    <row r="11816" spans="31:31" ht="12.75" customHeight="1" x14ac:dyDescent="0.15">
      <c r="AE11816" s="13"/>
    </row>
    <row r="11817" spans="31:31" ht="12.75" customHeight="1" x14ac:dyDescent="0.15">
      <c r="AE11817" s="13"/>
    </row>
    <row r="11818" spans="31:31" ht="12.75" customHeight="1" x14ac:dyDescent="0.15">
      <c r="AE11818" s="13"/>
    </row>
    <row r="11819" spans="31:31" ht="12.75" customHeight="1" x14ac:dyDescent="0.15">
      <c r="AE11819" s="13"/>
    </row>
    <row r="11820" spans="31:31" ht="12.75" customHeight="1" x14ac:dyDescent="0.15">
      <c r="AE11820" s="13"/>
    </row>
    <row r="11821" spans="31:31" ht="12.75" customHeight="1" x14ac:dyDescent="0.15">
      <c r="AE11821" s="13"/>
    </row>
    <row r="11822" spans="31:31" ht="12.75" customHeight="1" x14ac:dyDescent="0.15">
      <c r="AE11822" s="13"/>
    </row>
    <row r="11823" spans="31:31" ht="12.75" customHeight="1" x14ac:dyDescent="0.15">
      <c r="AE11823" s="13"/>
    </row>
    <row r="11824" spans="31:31" ht="12.75" customHeight="1" x14ac:dyDescent="0.15">
      <c r="AE11824" s="13"/>
    </row>
    <row r="11825" spans="31:31" ht="12.75" customHeight="1" x14ac:dyDescent="0.15">
      <c r="AE11825" s="13"/>
    </row>
    <row r="11826" spans="31:31" ht="12.75" customHeight="1" x14ac:dyDescent="0.15">
      <c r="AE11826" s="13"/>
    </row>
    <row r="11827" spans="31:31" ht="12.75" customHeight="1" x14ac:dyDescent="0.15">
      <c r="AE11827" s="13"/>
    </row>
    <row r="11828" spans="31:31" ht="12.75" customHeight="1" x14ac:dyDescent="0.15">
      <c r="AE11828" s="13"/>
    </row>
    <row r="11829" spans="31:31" ht="12.75" customHeight="1" x14ac:dyDescent="0.15">
      <c r="AE11829" s="13"/>
    </row>
    <row r="11830" spans="31:31" ht="12.75" customHeight="1" x14ac:dyDescent="0.15">
      <c r="AE11830" s="13"/>
    </row>
    <row r="11831" spans="31:31" ht="12.75" customHeight="1" x14ac:dyDescent="0.15">
      <c r="AE11831" s="13"/>
    </row>
    <row r="11832" spans="31:31" ht="12.75" customHeight="1" x14ac:dyDescent="0.15">
      <c r="AE11832" s="13"/>
    </row>
    <row r="11833" spans="31:31" ht="12.75" customHeight="1" x14ac:dyDescent="0.15">
      <c r="AE11833" s="13"/>
    </row>
    <row r="11834" spans="31:31" ht="12.75" customHeight="1" x14ac:dyDescent="0.15">
      <c r="AE11834" s="13"/>
    </row>
    <row r="11835" spans="31:31" ht="12.75" customHeight="1" x14ac:dyDescent="0.15">
      <c r="AE11835" s="13"/>
    </row>
    <row r="11836" spans="31:31" ht="12.75" customHeight="1" x14ac:dyDescent="0.15">
      <c r="AE11836" s="13"/>
    </row>
    <row r="11837" spans="31:31" ht="12.75" customHeight="1" x14ac:dyDescent="0.15">
      <c r="AE11837" s="13"/>
    </row>
    <row r="11838" spans="31:31" ht="12.75" customHeight="1" x14ac:dyDescent="0.15">
      <c r="AE11838" s="13"/>
    </row>
    <row r="11839" spans="31:31" ht="12.75" customHeight="1" x14ac:dyDescent="0.15">
      <c r="AE11839" s="13"/>
    </row>
    <row r="11840" spans="31:31" ht="12.75" customHeight="1" x14ac:dyDescent="0.15">
      <c r="AE11840" s="13"/>
    </row>
    <row r="11841" spans="31:31" ht="12.75" customHeight="1" x14ac:dyDescent="0.15">
      <c r="AE11841" s="13"/>
    </row>
    <row r="11842" spans="31:31" ht="12.75" customHeight="1" x14ac:dyDescent="0.15">
      <c r="AE11842" s="13"/>
    </row>
    <row r="11843" spans="31:31" ht="12.75" customHeight="1" x14ac:dyDescent="0.15">
      <c r="AE11843" s="13"/>
    </row>
    <row r="11844" spans="31:31" ht="12.75" customHeight="1" x14ac:dyDescent="0.15">
      <c r="AE11844" s="13"/>
    </row>
    <row r="11845" spans="31:31" ht="12.75" customHeight="1" x14ac:dyDescent="0.15">
      <c r="AE11845" s="13"/>
    </row>
    <row r="11846" spans="31:31" ht="12.75" customHeight="1" x14ac:dyDescent="0.15">
      <c r="AE11846" s="13"/>
    </row>
    <row r="11847" spans="31:31" ht="12.75" customHeight="1" x14ac:dyDescent="0.15">
      <c r="AE11847" s="13"/>
    </row>
    <row r="11848" spans="31:31" ht="12.75" customHeight="1" x14ac:dyDescent="0.15">
      <c r="AE11848" s="13"/>
    </row>
    <row r="11849" spans="31:31" ht="12.75" customHeight="1" x14ac:dyDescent="0.15">
      <c r="AE11849" s="13"/>
    </row>
    <row r="11850" spans="31:31" ht="12.75" customHeight="1" x14ac:dyDescent="0.15">
      <c r="AE11850" s="13"/>
    </row>
    <row r="11851" spans="31:31" ht="12.75" customHeight="1" x14ac:dyDescent="0.15">
      <c r="AE11851" s="13"/>
    </row>
    <row r="11852" spans="31:31" ht="12.75" customHeight="1" x14ac:dyDescent="0.15">
      <c r="AE11852" s="13"/>
    </row>
    <row r="11853" spans="31:31" ht="12.75" customHeight="1" x14ac:dyDescent="0.15">
      <c r="AE11853" s="13"/>
    </row>
    <row r="11854" spans="31:31" ht="12.75" customHeight="1" x14ac:dyDescent="0.15">
      <c r="AE11854" s="13"/>
    </row>
    <row r="11855" spans="31:31" ht="12.75" customHeight="1" x14ac:dyDescent="0.15">
      <c r="AE11855" s="13"/>
    </row>
    <row r="11856" spans="31:31" ht="12.75" customHeight="1" x14ac:dyDescent="0.15">
      <c r="AE11856" s="13"/>
    </row>
    <row r="11857" spans="31:31" ht="12.75" customHeight="1" x14ac:dyDescent="0.15">
      <c r="AE11857" s="13"/>
    </row>
    <row r="11858" spans="31:31" ht="12.75" customHeight="1" x14ac:dyDescent="0.15">
      <c r="AE11858" s="13"/>
    </row>
    <row r="11859" spans="31:31" ht="12.75" customHeight="1" x14ac:dyDescent="0.15">
      <c r="AE11859" s="13"/>
    </row>
    <row r="11860" spans="31:31" ht="12.75" customHeight="1" x14ac:dyDescent="0.15">
      <c r="AE11860" s="13"/>
    </row>
    <row r="11861" spans="31:31" ht="12.75" customHeight="1" x14ac:dyDescent="0.15">
      <c r="AE11861" s="13"/>
    </row>
    <row r="11862" spans="31:31" ht="12.75" customHeight="1" x14ac:dyDescent="0.15">
      <c r="AE11862" s="13"/>
    </row>
    <row r="11863" spans="31:31" ht="12.75" customHeight="1" x14ac:dyDescent="0.15">
      <c r="AE11863" s="13"/>
    </row>
    <row r="11864" spans="31:31" ht="12.75" customHeight="1" x14ac:dyDescent="0.15">
      <c r="AE11864" s="13"/>
    </row>
    <row r="11865" spans="31:31" ht="12.75" customHeight="1" x14ac:dyDescent="0.15">
      <c r="AE11865" s="13"/>
    </row>
    <row r="11866" spans="31:31" ht="12.75" customHeight="1" x14ac:dyDescent="0.15">
      <c r="AE11866" s="13"/>
    </row>
    <row r="11867" spans="31:31" ht="12.75" customHeight="1" x14ac:dyDescent="0.15">
      <c r="AE11867" s="13"/>
    </row>
    <row r="11868" spans="31:31" ht="12.75" customHeight="1" x14ac:dyDescent="0.15">
      <c r="AE11868" s="13"/>
    </row>
    <row r="11869" spans="31:31" ht="12.75" customHeight="1" x14ac:dyDescent="0.15">
      <c r="AE11869" s="13"/>
    </row>
    <row r="11870" spans="31:31" ht="12.75" customHeight="1" x14ac:dyDescent="0.15">
      <c r="AE11870" s="13"/>
    </row>
    <row r="11871" spans="31:31" ht="12.75" customHeight="1" x14ac:dyDescent="0.15">
      <c r="AE11871" s="13"/>
    </row>
    <row r="11872" spans="31:31" ht="12.75" customHeight="1" x14ac:dyDescent="0.15">
      <c r="AE11872" s="13"/>
    </row>
    <row r="11873" spans="31:31" ht="12.75" customHeight="1" x14ac:dyDescent="0.15">
      <c r="AE11873" s="13"/>
    </row>
    <row r="11874" spans="31:31" ht="12.75" customHeight="1" x14ac:dyDescent="0.15">
      <c r="AE11874" s="13"/>
    </row>
    <row r="11875" spans="31:31" ht="12.75" customHeight="1" x14ac:dyDescent="0.15">
      <c r="AE11875" s="13"/>
    </row>
    <row r="11876" spans="31:31" ht="12.75" customHeight="1" x14ac:dyDescent="0.15">
      <c r="AE11876" s="13"/>
    </row>
    <row r="11877" spans="31:31" ht="12.75" customHeight="1" x14ac:dyDescent="0.15">
      <c r="AE11877" s="13"/>
    </row>
    <row r="11878" spans="31:31" ht="12.75" customHeight="1" x14ac:dyDescent="0.15">
      <c r="AE11878" s="13"/>
    </row>
    <row r="11879" spans="31:31" ht="12.75" customHeight="1" x14ac:dyDescent="0.15">
      <c r="AE11879" s="13"/>
    </row>
    <row r="11880" spans="31:31" ht="12.75" customHeight="1" x14ac:dyDescent="0.15">
      <c r="AE11880" s="13"/>
    </row>
    <row r="11881" spans="31:31" ht="12.75" customHeight="1" x14ac:dyDescent="0.15">
      <c r="AE11881" s="13"/>
    </row>
    <row r="11882" spans="31:31" ht="12.75" customHeight="1" x14ac:dyDescent="0.15">
      <c r="AE11882" s="13"/>
    </row>
    <row r="11883" spans="31:31" ht="12.75" customHeight="1" x14ac:dyDescent="0.15">
      <c r="AE11883" s="13"/>
    </row>
    <row r="11884" spans="31:31" ht="12.75" customHeight="1" x14ac:dyDescent="0.15">
      <c r="AE11884" s="13"/>
    </row>
    <row r="11885" spans="31:31" ht="12.75" customHeight="1" x14ac:dyDescent="0.15">
      <c r="AE11885" s="13"/>
    </row>
    <row r="11886" spans="31:31" ht="12.75" customHeight="1" x14ac:dyDescent="0.15">
      <c r="AE11886" s="13"/>
    </row>
    <row r="11887" spans="31:31" ht="12.75" customHeight="1" x14ac:dyDescent="0.15">
      <c r="AE11887" s="13"/>
    </row>
    <row r="11888" spans="31:31" ht="12.75" customHeight="1" x14ac:dyDescent="0.15">
      <c r="AE11888" s="13"/>
    </row>
    <row r="11889" spans="31:31" ht="12.75" customHeight="1" x14ac:dyDescent="0.15">
      <c r="AE11889" s="13"/>
    </row>
    <row r="11890" spans="31:31" ht="12.75" customHeight="1" x14ac:dyDescent="0.15">
      <c r="AE11890" s="13"/>
    </row>
    <row r="11891" spans="31:31" ht="12.75" customHeight="1" x14ac:dyDescent="0.15">
      <c r="AE11891" s="13"/>
    </row>
    <row r="11892" spans="31:31" ht="12.75" customHeight="1" x14ac:dyDescent="0.15">
      <c r="AE11892" s="13"/>
    </row>
    <row r="11893" spans="31:31" ht="12.75" customHeight="1" x14ac:dyDescent="0.15">
      <c r="AE11893" s="13"/>
    </row>
    <row r="11894" spans="31:31" ht="12.75" customHeight="1" x14ac:dyDescent="0.15">
      <c r="AE11894" s="13"/>
    </row>
    <row r="11895" spans="31:31" ht="12.75" customHeight="1" x14ac:dyDescent="0.15">
      <c r="AE11895" s="13"/>
    </row>
    <row r="11896" spans="31:31" ht="12.75" customHeight="1" x14ac:dyDescent="0.15">
      <c r="AE11896" s="13"/>
    </row>
    <row r="11897" spans="31:31" ht="12.75" customHeight="1" x14ac:dyDescent="0.15">
      <c r="AE11897" s="13"/>
    </row>
    <row r="11898" spans="31:31" ht="12.75" customHeight="1" x14ac:dyDescent="0.15">
      <c r="AE11898" s="13"/>
    </row>
    <row r="11899" spans="31:31" ht="12.75" customHeight="1" x14ac:dyDescent="0.15">
      <c r="AE11899" s="13"/>
    </row>
    <row r="11900" spans="31:31" ht="12.75" customHeight="1" x14ac:dyDescent="0.15">
      <c r="AE11900" s="13"/>
    </row>
    <row r="11901" spans="31:31" ht="12.75" customHeight="1" x14ac:dyDescent="0.15">
      <c r="AE11901" s="13"/>
    </row>
    <row r="11902" spans="31:31" ht="12.75" customHeight="1" x14ac:dyDescent="0.15">
      <c r="AE11902" s="13"/>
    </row>
    <row r="11903" spans="31:31" ht="12.75" customHeight="1" x14ac:dyDescent="0.15">
      <c r="AE11903" s="13"/>
    </row>
    <row r="11904" spans="31:31" ht="12.75" customHeight="1" x14ac:dyDescent="0.15">
      <c r="AE11904" s="13"/>
    </row>
    <row r="11905" spans="31:31" ht="12.75" customHeight="1" x14ac:dyDescent="0.15">
      <c r="AE11905" s="13"/>
    </row>
    <row r="11906" spans="31:31" ht="12.75" customHeight="1" x14ac:dyDescent="0.15">
      <c r="AE11906" s="13"/>
    </row>
    <row r="11907" spans="31:31" ht="12.75" customHeight="1" x14ac:dyDescent="0.15">
      <c r="AE11907" s="13"/>
    </row>
    <row r="11908" spans="31:31" ht="12.75" customHeight="1" x14ac:dyDescent="0.15">
      <c r="AE11908" s="13"/>
    </row>
    <row r="11909" spans="31:31" ht="12.75" customHeight="1" x14ac:dyDescent="0.15">
      <c r="AE11909" s="13"/>
    </row>
    <row r="11910" spans="31:31" ht="12.75" customHeight="1" x14ac:dyDescent="0.15">
      <c r="AE11910" s="13"/>
    </row>
    <row r="11911" spans="31:31" ht="12.75" customHeight="1" x14ac:dyDescent="0.15">
      <c r="AE11911" s="13"/>
    </row>
    <row r="11912" spans="31:31" ht="12.75" customHeight="1" x14ac:dyDescent="0.15">
      <c r="AE11912" s="13"/>
    </row>
    <row r="11913" spans="31:31" ht="12.75" customHeight="1" x14ac:dyDescent="0.15">
      <c r="AE11913" s="13"/>
    </row>
    <row r="11914" spans="31:31" ht="12.75" customHeight="1" x14ac:dyDescent="0.15">
      <c r="AE11914" s="13"/>
    </row>
    <row r="11915" spans="31:31" ht="12.75" customHeight="1" x14ac:dyDescent="0.15">
      <c r="AE11915" s="13"/>
    </row>
    <row r="11916" spans="31:31" ht="12.75" customHeight="1" x14ac:dyDescent="0.15">
      <c r="AE11916" s="13"/>
    </row>
    <row r="11917" spans="31:31" ht="12.75" customHeight="1" x14ac:dyDescent="0.15">
      <c r="AE11917" s="13"/>
    </row>
    <row r="11918" spans="31:31" ht="12.75" customHeight="1" x14ac:dyDescent="0.15">
      <c r="AE11918" s="13"/>
    </row>
    <row r="11919" spans="31:31" ht="12.75" customHeight="1" x14ac:dyDescent="0.15">
      <c r="AE11919" s="13"/>
    </row>
    <row r="11920" spans="31:31" ht="12.75" customHeight="1" x14ac:dyDescent="0.15">
      <c r="AE11920" s="13"/>
    </row>
    <row r="11921" spans="31:31" ht="12.75" customHeight="1" x14ac:dyDescent="0.15">
      <c r="AE11921" s="13"/>
    </row>
    <row r="11922" spans="31:31" ht="12.75" customHeight="1" x14ac:dyDescent="0.15">
      <c r="AE11922" s="13"/>
    </row>
    <row r="11923" spans="31:31" ht="12.75" customHeight="1" x14ac:dyDescent="0.15">
      <c r="AE11923" s="13"/>
    </row>
    <row r="11924" spans="31:31" ht="12.75" customHeight="1" x14ac:dyDescent="0.15">
      <c r="AE11924" s="13"/>
    </row>
    <row r="11925" spans="31:31" ht="12.75" customHeight="1" x14ac:dyDescent="0.15">
      <c r="AE11925" s="13"/>
    </row>
    <row r="11926" spans="31:31" ht="12.75" customHeight="1" x14ac:dyDescent="0.15">
      <c r="AE11926" s="13"/>
    </row>
    <row r="11927" spans="31:31" ht="12.75" customHeight="1" x14ac:dyDescent="0.15">
      <c r="AE11927" s="13"/>
    </row>
    <row r="11928" spans="31:31" ht="12.75" customHeight="1" x14ac:dyDescent="0.15">
      <c r="AE11928" s="13"/>
    </row>
    <row r="11929" spans="31:31" ht="12.75" customHeight="1" x14ac:dyDescent="0.15">
      <c r="AE11929" s="13"/>
    </row>
    <row r="11930" spans="31:31" ht="12.75" customHeight="1" x14ac:dyDescent="0.15">
      <c r="AE11930" s="13"/>
    </row>
    <row r="11931" spans="31:31" ht="12.75" customHeight="1" x14ac:dyDescent="0.15">
      <c r="AE11931" s="13"/>
    </row>
    <row r="11932" spans="31:31" ht="12.75" customHeight="1" x14ac:dyDescent="0.15">
      <c r="AE11932" s="13"/>
    </row>
    <row r="11933" spans="31:31" ht="12.75" customHeight="1" x14ac:dyDescent="0.15">
      <c r="AE11933" s="13"/>
    </row>
    <row r="11934" spans="31:31" ht="12.75" customHeight="1" x14ac:dyDescent="0.15">
      <c r="AE11934" s="13"/>
    </row>
    <row r="11935" spans="31:31" ht="12.75" customHeight="1" x14ac:dyDescent="0.15">
      <c r="AE11935" s="13"/>
    </row>
    <row r="11936" spans="31:31" ht="12.75" customHeight="1" x14ac:dyDescent="0.15">
      <c r="AE11936" s="13"/>
    </row>
    <row r="11937" spans="31:31" ht="12.75" customHeight="1" x14ac:dyDescent="0.15">
      <c r="AE11937" s="13"/>
    </row>
    <row r="11938" spans="31:31" ht="12.75" customHeight="1" x14ac:dyDescent="0.15">
      <c r="AE11938" s="13"/>
    </row>
    <row r="11939" spans="31:31" ht="12.75" customHeight="1" x14ac:dyDescent="0.15">
      <c r="AE11939" s="13"/>
    </row>
    <row r="11940" spans="31:31" ht="12.75" customHeight="1" x14ac:dyDescent="0.15">
      <c r="AE11940" s="13"/>
    </row>
    <row r="11941" spans="31:31" ht="12.75" customHeight="1" x14ac:dyDescent="0.15">
      <c r="AE11941" s="13"/>
    </row>
    <row r="11942" spans="31:31" ht="12.75" customHeight="1" x14ac:dyDescent="0.15">
      <c r="AE11942" s="13"/>
    </row>
    <row r="11943" spans="31:31" ht="12.75" customHeight="1" x14ac:dyDescent="0.15">
      <c r="AE11943" s="13"/>
    </row>
    <row r="11944" spans="31:31" ht="12.75" customHeight="1" x14ac:dyDescent="0.15">
      <c r="AE11944" s="13"/>
    </row>
    <row r="11945" spans="31:31" ht="12.75" customHeight="1" x14ac:dyDescent="0.15">
      <c r="AE11945" s="13"/>
    </row>
    <row r="11946" spans="31:31" ht="12.75" customHeight="1" x14ac:dyDescent="0.15">
      <c r="AE11946" s="13"/>
    </row>
    <row r="11947" spans="31:31" ht="12.75" customHeight="1" x14ac:dyDescent="0.15">
      <c r="AE11947" s="13"/>
    </row>
    <row r="11948" spans="31:31" ht="12.75" customHeight="1" x14ac:dyDescent="0.15">
      <c r="AE11948" s="13"/>
    </row>
    <row r="11949" spans="31:31" ht="12.75" customHeight="1" x14ac:dyDescent="0.15">
      <c r="AE11949" s="13"/>
    </row>
    <row r="11950" spans="31:31" ht="12.75" customHeight="1" x14ac:dyDescent="0.15">
      <c r="AE11950" s="13"/>
    </row>
    <row r="11951" spans="31:31" ht="12.75" customHeight="1" x14ac:dyDescent="0.15">
      <c r="AE11951" s="13"/>
    </row>
    <row r="11952" spans="31:31" ht="12.75" customHeight="1" x14ac:dyDescent="0.15">
      <c r="AE11952" s="13"/>
    </row>
    <row r="11953" spans="31:31" ht="12.75" customHeight="1" x14ac:dyDescent="0.15">
      <c r="AE11953" s="13"/>
    </row>
    <row r="11954" spans="31:31" ht="12.75" customHeight="1" x14ac:dyDescent="0.15">
      <c r="AE11954" s="13"/>
    </row>
    <row r="11955" spans="31:31" ht="12.75" customHeight="1" x14ac:dyDescent="0.15">
      <c r="AE11955" s="13"/>
    </row>
    <row r="11956" spans="31:31" ht="12.75" customHeight="1" x14ac:dyDescent="0.15">
      <c r="AE11956" s="13"/>
    </row>
    <row r="11957" spans="31:31" ht="12.75" customHeight="1" x14ac:dyDescent="0.15">
      <c r="AE11957" s="13"/>
    </row>
    <row r="11958" spans="31:31" ht="12.75" customHeight="1" x14ac:dyDescent="0.15">
      <c r="AE11958" s="13"/>
    </row>
    <row r="11959" spans="31:31" ht="12.75" customHeight="1" x14ac:dyDescent="0.15">
      <c r="AE11959" s="13"/>
    </row>
    <row r="11960" spans="31:31" ht="12.75" customHeight="1" x14ac:dyDescent="0.15">
      <c r="AE11960" s="13"/>
    </row>
    <row r="11961" spans="31:31" ht="12.75" customHeight="1" x14ac:dyDescent="0.15">
      <c r="AE11961" s="13"/>
    </row>
    <row r="11962" spans="31:31" ht="12.75" customHeight="1" x14ac:dyDescent="0.15">
      <c r="AE11962" s="13"/>
    </row>
    <row r="11963" spans="31:31" ht="12.75" customHeight="1" x14ac:dyDescent="0.15">
      <c r="AE11963" s="13"/>
    </row>
    <row r="11964" spans="31:31" ht="12.75" customHeight="1" x14ac:dyDescent="0.15">
      <c r="AE11964" s="13"/>
    </row>
    <row r="11965" spans="31:31" ht="12.75" customHeight="1" x14ac:dyDescent="0.15">
      <c r="AE11965" s="13"/>
    </row>
    <row r="11966" spans="31:31" ht="12.75" customHeight="1" x14ac:dyDescent="0.15">
      <c r="AE11966" s="13"/>
    </row>
    <row r="11967" spans="31:31" ht="12.75" customHeight="1" x14ac:dyDescent="0.15">
      <c r="AE11967" s="13"/>
    </row>
    <row r="11968" spans="31:31" ht="12.75" customHeight="1" x14ac:dyDescent="0.15">
      <c r="AE11968" s="13"/>
    </row>
    <row r="11969" spans="31:31" ht="12.75" customHeight="1" x14ac:dyDescent="0.15">
      <c r="AE11969" s="13"/>
    </row>
    <row r="11970" spans="31:31" ht="12.75" customHeight="1" x14ac:dyDescent="0.15">
      <c r="AE11970" s="13"/>
    </row>
    <row r="11971" spans="31:31" ht="12.75" customHeight="1" x14ac:dyDescent="0.15">
      <c r="AE11971" s="13"/>
    </row>
    <row r="11972" spans="31:31" ht="12.75" customHeight="1" x14ac:dyDescent="0.15">
      <c r="AE11972" s="13"/>
    </row>
    <row r="11973" spans="31:31" ht="12.75" customHeight="1" x14ac:dyDescent="0.15">
      <c r="AE11973" s="13"/>
    </row>
    <row r="11974" spans="31:31" ht="12.75" customHeight="1" x14ac:dyDescent="0.15">
      <c r="AE11974" s="13"/>
    </row>
    <row r="11975" spans="31:31" ht="12.75" customHeight="1" x14ac:dyDescent="0.15">
      <c r="AE11975" s="13"/>
    </row>
    <row r="11976" spans="31:31" ht="12.75" customHeight="1" x14ac:dyDescent="0.15">
      <c r="AE11976" s="13"/>
    </row>
    <row r="11977" spans="31:31" ht="12.75" customHeight="1" x14ac:dyDescent="0.15">
      <c r="AE11977" s="13"/>
    </row>
    <row r="11978" spans="31:31" ht="12.75" customHeight="1" x14ac:dyDescent="0.15">
      <c r="AE11978" s="13"/>
    </row>
    <row r="11979" spans="31:31" ht="12.75" customHeight="1" x14ac:dyDescent="0.15">
      <c r="AE11979" s="13"/>
    </row>
    <row r="11980" spans="31:31" ht="12.75" customHeight="1" x14ac:dyDescent="0.15">
      <c r="AE11980" s="13"/>
    </row>
    <row r="11981" spans="31:31" ht="12.75" customHeight="1" x14ac:dyDescent="0.15">
      <c r="AE11981" s="13"/>
    </row>
    <row r="11982" spans="31:31" ht="12.75" customHeight="1" x14ac:dyDescent="0.15">
      <c r="AE11982" s="13"/>
    </row>
    <row r="11983" spans="31:31" ht="12.75" customHeight="1" x14ac:dyDescent="0.15">
      <c r="AE11983" s="13"/>
    </row>
    <row r="11984" spans="31:31" ht="12.75" customHeight="1" x14ac:dyDescent="0.15">
      <c r="AE11984" s="13"/>
    </row>
    <row r="11985" spans="31:31" ht="12.75" customHeight="1" x14ac:dyDescent="0.15">
      <c r="AE11985" s="13"/>
    </row>
    <row r="11986" spans="31:31" ht="12.75" customHeight="1" x14ac:dyDescent="0.15">
      <c r="AE11986" s="13"/>
    </row>
    <row r="11987" spans="31:31" ht="12.75" customHeight="1" x14ac:dyDescent="0.15">
      <c r="AE11987" s="13"/>
    </row>
    <row r="11988" spans="31:31" ht="12.75" customHeight="1" x14ac:dyDescent="0.15">
      <c r="AE11988" s="13"/>
    </row>
    <row r="11989" spans="31:31" ht="12.75" customHeight="1" x14ac:dyDescent="0.15">
      <c r="AE11989" s="13"/>
    </row>
    <row r="11990" spans="31:31" ht="12.75" customHeight="1" x14ac:dyDescent="0.15">
      <c r="AE11990" s="13"/>
    </row>
    <row r="11991" spans="31:31" ht="12.75" customHeight="1" x14ac:dyDescent="0.15">
      <c r="AE11991" s="13"/>
    </row>
    <row r="11992" spans="31:31" ht="12.75" customHeight="1" x14ac:dyDescent="0.15">
      <c r="AE11992" s="13"/>
    </row>
    <row r="11993" spans="31:31" ht="12.75" customHeight="1" x14ac:dyDescent="0.15">
      <c r="AE11993" s="13"/>
    </row>
    <row r="11994" spans="31:31" ht="12.75" customHeight="1" x14ac:dyDescent="0.15">
      <c r="AE11994" s="13"/>
    </row>
    <row r="11995" spans="31:31" ht="12.75" customHeight="1" x14ac:dyDescent="0.15">
      <c r="AE11995" s="13"/>
    </row>
    <row r="11996" spans="31:31" ht="12.75" customHeight="1" x14ac:dyDescent="0.15">
      <c r="AE11996" s="13"/>
    </row>
    <row r="11997" spans="31:31" ht="12.75" customHeight="1" x14ac:dyDescent="0.15">
      <c r="AE11997" s="13"/>
    </row>
    <row r="11998" spans="31:31" ht="12.75" customHeight="1" x14ac:dyDescent="0.15">
      <c r="AE11998" s="13"/>
    </row>
    <row r="11999" spans="31:31" ht="12.75" customHeight="1" x14ac:dyDescent="0.15">
      <c r="AE11999" s="13"/>
    </row>
    <row r="12000" spans="31:31" ht="12.75" customHeight="1" x14ac:dyDescent="0.15">
      <c r="AE12000" s="13"/>
    </row>
    <row r="12001" spans="31:31" ht="12.75" customHeight="1" x14ac:dyDescent="0.15">
      <c r="AE12001" s="13"/>
    </row>
    <row r="12002" spans="31:31" ht="12.75" customHeight="1" x14ac:dyDescent="0.15">
      <c r="AE12002" s="13"/>
    </row>
    <row r="12003" spans="31:31" ht="12.75" customHeight="1" x14ac:dyDescent="0.15">
      <c r="AE12003" s="13"/>
    </row>
    <row r="12004" spans="31:31" ht="12.75" customHeight="1" x14ac:dyDescent="0.15">
      <c r="AE12004" s="13"/>
    </row>
    <row r="12005" spans="31:31" ht="12.75" customHeight="1" x14ac:dyDescent="0.15">
      <c r="AE12005" s="13"/>
    </row>
    <row r="12006" spans="31:31" ht="12.75" customHeight="1" x14ac:dyDescent="0.15">
      <c r="AE12006" s="13"/>
    </row>
    <row r="12007" spans="31:31" ht="12.75" customHeight="1" x14ac:dyDescent="0.15">
      <c r="AE12007" s="13"/>
    </row>
    <row r="12008" spans="31:31" ht="12.75" customHeight="1" x14ac:dyDescent="0.15">
      <c r="AE12008" s="13"/>
    </row>
    <row r="12009" spans="31:31" ht="12.75" customHeight="1" x14ac:dyDescent="0.15">
      <c r="AE12009" s="13"/>
    </row>
    <row r="12010" spans="31:31" ht="12.75" customHeight="1" x14ac:dyDescent="0.15">
      <c r="AE12010" s="13"/>
    </row>
    <row r="12011" spans="31:31" ht="12.75" customHeight="1" x14ac:dyDescent="0.15">
      <c r="AE12011" s="13"/>
    </row>
    <row r="12012" spans="31:31" ht="12.75" customHeight="1" x14ac:dyDescent="0.15">
      <c r="AE12012" s="13"/>
    </row>
    <row r="12013" spans="31:31" ht="12.75" customHeight="1" x14ac:dyDescent="0.15">
      <c r="AE12013" s="13"/>
    </row>
    <row r="12014" spans="31:31" ht="12.75" customHeight="1" x14ac:dyDescent="0.15">
      <c r="AE12014" s="13"/>
    </row>
    <row r="12015" spans="31:31" ht="12.75" customHeight="1" x14ac:dyDescent="0.15">
      <c r="AE12015" s="13"/>
    </row>
    <row r="12016" spans="31:31" ht="12.75" customHeight="1" x14ac:dyDescent="0.15">
      <c r="AE12016" s="13"/>
    </row>
    <row r="12017" spans="31:31" ht="12.75" customHeight="1" x14ac:dyDescent="0.15">
      <c r="AE12017" s="13"/>
    </row>
    <row r="12018" spans="31:31" ht="12.75" customHeight="1" x14ac:dyDescent="0.15">
      <c r="AE12018" s="13"/>
    </row>
    <row r="12019" spans="31:31" ht="12.75" customHeight="1" x14ac:dyDescent="0.15">
      <c r="AE12019" s="13"/>
    </row>
    <row r="12020" spans="31:31" ht="12.75" customHeight="1" x14ac:dyDescent="0.15">
      <c r="AE12020" s="13"/>
    </row>
    <row r="12021" spans="31:31" ht="12.75" customHeight="1" x14ac:dyDescent="0.15">
      <c r="AE12021" s="13"/>
    </row>
    <row r="12022" spans="31:31" ht="12.75" customHeight="1" x14ac:dyDescent="0.15">
      <c r="AE12022" s="13"/>
    </row>
    <row r="12023" spans="31:31" ht="12.75" customHeight="1" x14ac:dyDescent="0.15">
      <c r="AE12023" s="13"/>
    </row>
    <row r="12024" spans="31:31" ht="12.75" customHeight="1" x14ac:dyDescent="0.15">
      <c r="AE12024" s="13"/>
    </row>
    <row r="12025" spans="31:31" ht="12.75" customHeight="1" x14ac:dyDescent="0.15">
      <c r="AE12025" s="13"/>
    </row>
    <row r="12026" spans="31:31" ht="12.75" customHeight="1" x14ac:dyDescent="0.15">
      <c r="AE12026" s="13"/>
    </row>
    <row r="12027" spans="31:31" ht="12.75" customHeight="1" x14ac:dyDescent="0.15">
      <c r="AE12027" s="13"/>
    </row>
    <row r="12028" spans="31:31" ht="12.75" customHeight="1" x14ac:dyDescent="0.15">
      <c r="AE12028" s="13"/>
    </row>
    <row r="12029" spans="31:31" ht="12.75" customHeight="1" x14ac:dyDescent="0.15">
      <c r="AE12029" s="13"/>
    </row>
    <row r="12030" spans="31:31" ht="12.75" customHeight="1" x14ac:dyDescent="0.15">
      <c r="AE12030" s="13"/>
    </row>
    <row r="12031" spans="31:31" ht="12.75" customHeight="1" x14ac:dyDescent="0.15">
      <c r="AE12031" s="13"/>
    </row>
    <row r="12032" spans="31:31" ht="12.75" customHeight="1" x14ac:dyDescent="0.15">
      <c r="AE12032" s="13"/>
    </row>
    <row r="12033" spans="31:31" ht="12.75" customHeight="1" x14ac:dyDescent="0.15">
      <c r="AE12033" s="13"/>
    </row>
    <row r="12034" spans="31:31" ht="12.75" customHeight="1" x14ac:dyDescent="0.15">
      <c r="AE12034" s="13"/>
    </row>
    <row r="12035" spans="31:31" ht="12.75" customHeight="1" x14ac:dyDescent="0.15">
      <c r="AE12035" s="13"/>
    </row>
    <row r="12036" spans="31:31" ht="12.75" customHeight="1" x14ac:dyDescent="0.15">
      <c r="AE12036" s="13"/>
    </row>
    <row r="12037" spans="31:31" ht="12.75" customHeight="1" x14ac:dyDescent="0.15">
      <c r="AE12037" s="13"/>
    </row>
    <row r="12038" spans="31:31" ht="12.75" customHeight="1" x14ac:dyDescent="0.15">
      <c r="AE12038" s="13"/>
    </row>
    <row r="12039" spans="31:31" ht="12.75" customHeight="1" x14ac:dyDescent="0.15">
      <c r="AE12039" s="13"/>
    </row>
    <row r="12040" spans="31:31" ht="12.75" customHeight="1" x14ac:dyDescent="0.15">
      <c r="AE12040" s="13"/>
    </row>
    <row r="12041" spans="31:31" ht="12.75" customHeight="1" x14ac:dyDescent="0.15">
      <c r="AE12041" s="13"/>
    </row>
    <row r="12042" spans="31:31" ht="12.75" customHeight="1" x14ac:dyDescent="0.15">
      <c r="AE12042" s="13"/>
    </row>
    <row r="12043" spans="31:31" ht="12.75" customHeight="1" x14ac:dyDescent="0.15">
      <c r="AE12043" s="13"/>
    </row>
    <row r="12044" spans="31:31" ht="12.75" customHeight="1" x14ac:dyDescent="0.15">
      <c r="AE12044" s="13"/>
    </row>
    <row r="12045" spans="31:31" ht="12.75" customHeight="1" x14ac:dyDescent="0.15">
      <c r="AE12045" s="13"/>
    </row>
    <row r="12046" spans="31:31" ht="12.75" customHeight="1" x14ac:dyDescent="0.15">
      <c r="AE12046" s="13"/>
    </row>
    <row r="12047" spans="31:31" ht="12.75" customHeight="1" x14ac:dyDescent="0.15">
      <c r="AE12047" s="13"/>
    </row>
    <row r="12048" spans="31:31" ht="12.75" customHeight="1" x14ac:dyDescent="0.15">
      <c r="AE12048" s="13"/>
    </row>
    <row r="12049" spans="31:31" ht="12.75" customHeight="1" x14ac:dyDescent="0.15">
      <c r="AE12049" s="13"/>
    </row>
    <row r="12050" spans="31:31" ht="12.75" customHeight="1" x14ac:dyDescent="0.15">
      <c r="AE12050" s="13"/>
    </row>
    <row r="12051" spans="31:31" ht="12.75" customHeight="1" x14ac:dyDescent="0.15">
      <c r="AE12051" s="13"/>
    </row>
    <row r="12052" spans="31:31" ht="12.75" customHeight="1" x14ac:dyDescent="0.15">
      <c r="AE12052" s="13"/>
    </row>
    <row r="12053" spans="31:31" ht="12.75" customHeight="1" x14ac:dyDescent="0.15">
      <c r="AE12053" s="13"/>
    </row>
    <row r="12054" spans="31:31" ht="12.75" customHeight="1" x14ac:dyDescent="0.15">
      <c r="AE12054" s="13"/>
    </row>
    <row r="12055" spans="31:31" ht="12.75" customHeight="1" x14ac:dyDescent="0.15">
      <c r="AE12055" s="13"/>
    </row>
    <row r="12056" spans="31:31" ht="12.75" customHeight="1" x14ac:dyDescent="0.15">
      <c r="AE12056" s="13"/>
    </row>
    <row r="12057" spans="31:31" ht="12.75" customHeight="1" x14ac:dyDescent="0.15">
      <c r="AE12057" s="13"/>
    </row>
    <row r="12058" spans="31:31" ht="12.75" customHeight="1" x14ac:dyDescent="0.15">
      <c r="AE12058" s="13"/>
    </row>
    <row r="12059" spans="31:31" ht="12.75" customHeight="1" x14ac:dyDescent="0.15">
      <c r="AE12059" s="13"/>
    </row>
    <row r="12060" spans="31:31" ht="12.75" customHeight="1" x14ac:dyDescent="0.15">
      <c r="AE12060" s="13"/>
    </row>
    <row r="12061" spans="31:31" ht="12.75" customHeight="1" x14ac:dyDescent="0.15">
      <c r="AE12061" s="13"/>
    </row>
    <row r="12062" spans="31:31" ht="12.75" customHeight="1" x14ac:dyDescent="0.15">
      <c r="AE12062" s="13"/>
    </row>
    <row r="12063" spans="31:31" ht="12.75" customHeight="1" x14ac:dyDescent="0.15">
      <c r="AE12063" s="13"/>
    </row>
    <row r="12064" spans="31:31" ht="12.75" customHeight="1" x14ac:dyDescent="0.15">
      <c r="AE12064" s="13"/>
    </row>
    <row r="12065" spans="31:31" ht="12.75" customHeight="1" x14ac:dyDescent="0.15">
      <c r="AE12065" s="13"/>
    </row>
    <row r="12066" spans="31:31" ht="12.75" customHeight="1" x14ac:dyDescent="0.15">
      <c r="AE12066" s="13"/>
    </row>
    <row r="12067" spans="31:31" ht="12.75" customHeight="1" x14ac:dyDescent="0.15">
      <c r="AE12067" s="13"/>
    </row>
    <row r="12068" spans="31:31" ht="12.75" customHeight="1" x14ac:dyDescent="0.15">
      <c r="AE12068" s="13"/>
    </row>
    <row r="12069" spans="31:31" ht="12.75" customHeight="1" x14ac:dyDescent="0.15">
      <c r="AE12069" s="13"/>
    </row>
    <row r="12070" spans="31:31" ht="12.75" customHeight="1" x14ac:dyDescent="0.15">
      <c r="AE12070" s="13"/>
    </row>
    <row r="12071" spans="31:31" ht="12.75" customHeight="1" x14ac:dyDescent="0.15">
      <c r="AE12071" s="13"/>
    </row>
    <row r="12072" spans="31:31" ht="12.75" customHeight="1" x14ac:dyDescent="0.15">
      <c r="AE12072" s="13"/>
    </row>
    <row r="12073" spans="31:31" ht="12.75" customHeight="1" x14ac:dyDescent="0.15">
      <c r="AE12073" s="13"/>
    </row>
    <row r="12074" spans="31:31" ht="12.75" customHeight="1" x14ac:dyDescent="0.15">
      <c r="AE12074" s="13"/>
    </row>
    <row r="12075" spans="31:31" ht="12.75" customHeight="1" x14ac:dyDescent="0.15">
      <c r="AE12075" s="13"/>
    </row>
    <row r="12076" spans="31:31" ht="12.75" customHeight="1" x14ac:dyDescent="0.15">
      <c r="AE12076" s="13"/>
    </row>
    <row r="12077" spans="31:31" ht="12.75" customHeight="1" x14ac:dyDescent="0.15">
      <c r="AE12077" s="13"/>
    </row>
    <row r="12078" spans="31:31" ht="12.75" customHeight="1" x14ac:dyDescent="0.15">
      <c r="AE12078" s="13"/>
    </row>
    <row r="12079" spans="31:31" ht="12.75" customHeight="1" x14ac:dyDescent="0.15">
      <c r="AE12079" s="13"/>
    </row>
    <row r="12080" spans="31:31" ht="12.75" customHeight="1" x14ac:dyDescent="0.15">
      <c r="AE12080" s="13"/>
    </row>
    <row r="12081" spans="31:31" ht="12.75" customHeight="1" x14ac:dyDescent="0.15">
      <c r="AE12081" s="13"/>
    </row>
    <row r="12082" spans="31:31" ht="12.75" customHeight="1" x14ac:dyDescent="0.15">
      <c r="AE12082" s="13"/>
    </row>
    <row r="12083" spans="31:31" ht="12.75" customHeight="1" x14ac:dyDescent="0.15">
      <c r="AE12083" s="13"/>
    </row>
    <row r="12084" spans="31:31" ht="12.75" customHeight="1" x14ac:dyDescent="0.15">
      <c r="AE12084" s="13"/>
    </row>
    <row r="12085" spans="31:31" ht="12.75" customHeight="1" x14ac:dyDescent="0.15">
      <c r="AE12085" s="13"/>
    </row>
    <row r="12086" spans="31:31" ht="12.75" customHeight="1" x14ac:dyDescent="0.15">
      <c r="AE12086" s="13"/>
    </row>
    <row r="12087" spans="31:31" ht="12.75" customHeight="1" x14ac:dyDescent="0.15">
      <c r="AE12087" s="13"/>
    </row>
    <row r="12088" spans="31:31" ht="12.75" customHeight="1" x14ac:dyDescent="0.15">
      <c r="AE12088" s="13"/>
    </row>
    <row r="12089" spans="31:31" ht="12.75" customHeight="1" x14ac:dyDescent="0.15">
      <c r="AE12089" s="13"/>
    </row>
    <row r="12090" spans="31:31" ht="12.75" customHeight="1" x14ac:dyDescent="0.15">
      <c r="AE12090" s="13"/>
    </row>
    <row r="12091" spans="31:31" ht="12.75" customHeight="1" x14ac:dyDescent="0.15">
      <c r="AE12091" s="13"/>
    </row>
    <row r="12092" spans="31:31" ht="12.75" customHeight="1" x14ac:dyDescent="0.15">
      <c r="AE12092" s="13"/>
    </row>
    <row r="12093" spans="31:31" ht="12.75" customHeight="1" x14ac:dyDescent="0.15">
      <c r="AE12093" s="13"/>
    </row>
    <row r="12094" spans="31:31" ht="12.75" customHeight="1" x14ac:dyDescent="0.15">
      <c r="AE12094" s="13"/>
    </row>
    <row r="12095" spans="31:31" ht="12.75" customHeight="1" x14ac:dyDescent="0.15">
      <c r="AE12095" s="13"/>
    </row>
    <row r="12096" spans="31:31" ht="12.75" customHeight="1" x14ac:dyDescent="0.15">
      <c r="AE12096" s="13"/>
    </row>
    <row r="12097" spans="31:31" ht="12.75" customHeight="1" x14ac:dyDescent="0.15">
      <c r="AE12097" s="13"/>
    </row>
    <row r="12098" spans="31:31" ht="12.75" customHeight="1" x14ac:dyDescent="0.15">
      <c r="AE12098" s="13"/>
    </row>
    <row r="12099" spans="31:31" ht="12.75" customHeight="1" x14ac:dyDescent="0.15">
      <c r="AE12099" s="13"/>
    </row>
    <row r="12100" spans="31:31" ht="12.75" customHeight="1" x14ac:dyDescent="0.15">
      <c r="AE12100" s="13"/>
    </row>
    <row r="12101" spans="31:31" ht="12.75" customHeight="1" x14ac:dyDescent="0.15">
      <c r="AE12101" s="13"/>
    </row>
    <row r="12102" spans="31:31" ht="12.75" customHeight="1" x14ac:dyDescent="0.15">
      <c r="AE12102" s="13"/>
    </row>
    <row r="12103" spans="31:31" ht="12.75" customHeight="1" x14ac:dyDescent="0.15">
      <c r="AE12103" s="13"/>
    </row>
    <row r="12104" spans="31:31" ht="12.75" customHeight="1" x14ac:dyDescent="0.15">
      <c r="AE12104" s="13"/>
    </row>
    <row r="12105" spans="31:31" ht="12.75" customHeight="1" x14ac:dyDescent="0.15">
      <c r="AE12105" s="13"/>
    </row>
    <row r="12106" spans="31:31" ht="12.75" customHeight="1" x14ac:dyDescent="0.15">
      <c r="AE12106" s="13"/>
    </row>
    <row r="12107" spans="31:31" ht="12.75" customHeight="1" x14ac:dyDescent="0.15">
      <c r="AE12107" s="13"/>
    </row>
    <row r="12108" spans="31:31" ht="12.75" customHeight="1" x14ac:dyDescent="0.15">
      <c r="AE12108" s="13"/>
    </row>
    <row r="12109" spans="31:31" ht="12.75" customHeight="1" x14ac:dyDescent="0.15">
      <c r="AE12109" s="13"/>
    </row>
    <row r="12110" spans="31:31" ht="12.75" customHeight="1" x14ac:dyDescent="0.15">
      <c r="AE12110" s="13"/>
    </row>
    <row r="12111" spans="31:31" ht="12.75" customHeight="1" x14ac:dyDescent="0.15">
      <c r="AE12111" s="13"/>
    </row>
    <row r="12112" spans="31:31" ht="12.75" customHeight="1" x14ac:dyDescent="0.15">
      <c r="AE12112" s="13"/>
    </row>
    <row r="12113" spans="31:31" ht="12.75" customHeight="1" x14ac:dyDescent="0.15">
      <c r="AE12113" s="13"/>
    </row>
    <row r="12114" spans="31:31" ht="12.75" customHeight="1" x14ac:dyDescent="0.15">
      <c r="AE12114" s="13"/>
    </row>
    <row r="12115" spans="31:31" ht="12.75" customHeight="1" x14ac:dyDescent="0.15">
      <c r="AE12115" s="13"/>
    </row>
    <row r="12116" spans="31:31" ht="12.75" customHeight="1" x14ac:dyDescent="0.15">
      <c r="AE12116" s="13"/>
    </row>
    <row r="12117" spans="31:31" ht="12.75" customHeight="1" x14ac:dyDescent="0.15">
      <c r="AE12117" s="13"/>
    </row>
    <row r="12118" spans="31:31" ht="12.75" customHeight="1" x14ac:dyDescent="0.15">
      <c r="AE12118" s="13"/>
    </row>
    <row r="12119" spans="31:31" ht="12.75" customHeight="1" x14ac:dyDescent="0.15">
      <c r="AE12119" s="13"/>
    </row>
    <row r="12120" spans="31:31" ht="12.75" customHeight="1" x14ac:dyDescent="0.15">
      <c r="AE12120" s="13"/>
    </row>
    <row r="12121" spans="31:31" ht="12.75" customHeight="1" x14ac:dyDescent="0.15">
      <c r="AE12121" s="13"/>
    </row>
    <row r="12122" spans="31:31" ht="12.75" customHeight="1" x14ac:dyDescent="0.15">
      <c r="AE12122" s="13"/>
    </row>
    <row r="12123" spans="31:31" ht="12.75" customHeight="1" x14ac:dyDescent="0.15">
      <c r="AE12123" s="13"/>
    </row>
    <row r="12124" spans="31:31" ht="12.75" customHeight="1" x14ac:dyDescent="0.15">
      <c r="AE12124" s="13"/>
    </row>
    <row r="12125" spans="31:31" ht="12.75" customHeight="1" x14ac:dyDescent="0.15">
      <c r="AE12125" s="13"/>
    </row>
    <row r="12126" spans="31:31" ht="12.75" customHeight="1" x14ac:dyDescent="0.15">
      <c r="AE12126" s="13"/>
    </row>
    <row r="12127" spans="31:31" ht="12.75" customHeight="1" x14ac:dyDescent="0.15">
      <c r="AE12127" s="13"/>
    </row>
    <row r="12128" spans="31:31" ht="12.75" customHeight="1" x14ac:dyDescent="0.15">
      <c r="AE12128" s="13"/>
    </row>
    <row r="12129" spans="31:31" ht="12.75" customHeight="1" x14ac:dyDescent="0.15">
      <c r="AE12129" s="13"/>
    </row>
    <row r="12130" spans="31:31" ht="12.75" customHeight="1" x14ac:dyDescent="0.15">
      <c r="AE12130" s="13"/>
    </row>
    <row r="12131" spans="31:31" ht="12.75" customHeight="1" x14ac:dyDescent="0.15">
      <c r="AE12131" s="13"/>
    </row>
    <row r="12132" spans="31:31" ht="12.75" customHeight="1" x14ac:dyDescent="0.15">
      <c r="AE12132" s="13"/>
    </row>
    <row r="12133" spans="31:31" ht="12.75" customHeight="1" x14ac:dyDescent="0.15">
      <c r="AE12133" s="13"/>
    </row>
    <row r="12134" spans="31:31" ht="12.75" customHeight="1" x14ac:dyDescent="0.15">
      <c r="AE12134" s="13"/>
    </row>
    <row r="12135" spans="31:31" ht="12.75" customHeight="1" x14ac:dyDescent="0.15">
      <c r="AE12135" s="13"/>
    </row>
    <row r="12136" spans="31:31" ht="12.75" customHeight="1" x14ac:dyDescent="0.15">
      <c r="AE12136" s="13"/>
    </row>
    <row r="12137" spans="31:31" ht="12.75" customHeight="1" x14ac:dyDescent="0.15">
      <c r="AE12137" s="13"/>
    </row>
    <row r="12138" spans="31:31" ht="12.75" customHeight="1" x14ac:dyDescent="0.15">
      <c r="AE12138" s="13"/>
    </row>
    <row r="12139" spans="31:31" ht="12.75" customHeight="1" x14ac:dyDescent="0.15">
      <c r="AE12139" s="13"/>
    </row>
    <row r="12140" spans="31:31" ht="12.75" customHeight="1" x14ac:dyDescent="0.15">
      <c r="AE12140" s="13"/>
    </row>
    <row r="12141" spans="31:31" ht="12.75" customHeight="1" x14ac:dyDescent="0.15">
      <c r="AE12141" s="13"/>
    </row>
    <row r="12142" spans="31:31" ht="12.75" customHeight="1" x14ac:dyDescent="0.15">
      <c r="AE12142" s="13"/>
    </row>
    <row r="12143" spans="31:31" ht="12.75" customHeight="1" x14ac:dyDescent="0.15">
      <c r="AE12143" s="13"/>
    </row>
    <row r="12144" spans="31:31" ht="12.75" customHeight="1" x14ac:dyDescent="0.15">
      <c r="AE12144" s="13"/>
    </row>
    <row r="12145" spans="31:31" ht="12.75" customHeight="1" x14ac:dyDescent="0.15">
      <c r="AE12145" s="13"/>
    </row>
    <row r="12146" spans="31:31" ht="12.75" customHeight="1" x14ac:dyDescent="0.15">
      <c r="AE12146" s="13"/>
    </row>
    <row r="12147" spans="31:31" ht="12.75" customHeight="1" x14ac:dyDescent="0.15">
      <c r="AE12147" s="13"/>
    </row>
    <row r="12148" spans="31:31" ht="12.75" customHeight="1" x14ac:dyDescent="0.15">
      <c r="AE12148" s="13"/>
    </row>
    <row r="12149" spans="31:31" ht="12.75" customHeight="1" x14ac:dyDescent="0.15">
      <c r="AE12149" s="13"/>
    </row>
    <row r="12150" spans="31:31" ht="12.75" customHeight="1" x14ac:dyDescent="0.15">
      <c r="AE12150" s="13"/>
    </row>
    <row r="12151" spans="31:31" ht="12.75" customHeight="1" x14ac:dyDescent="0.15">
      <c r="AE12151" s="13"/>
    </row>
    <row r="12152" spans="31:31" ht="12.75" customHeight="1" x14ac:dyDescent="0.15">
      <c r="AE12152" s="13"/>
    </row>
    <row r="12153" spans="31:31" ht="12.75" customHeight="1" x14ac:dyDescent="0.15">
      <c r="AE12153" s="13"/>
    </row>
    <row r="12154" spans="31:31" ht="12.75" customHeight="1" x14ac:dyDescent="0.15">
      <c r="AE12154" s="13"/>
    </row>
    <row r="12155" spans="31:31" ht="12.75" customHeight="1" x14ac:dyDescent="0.15">
      <c r="AE12155" s="13"/>
    </row>
    <row r="12156" spans="31:31" ht="12.75" customHeight="1" x14ac:dyDescent="0.15">
      <c r="AE12156" s="13"/>
    </row>
    <row r="12157" spans="31:31" ht="12.75" customHeight="1" x14ac:dyDescent="0.15">
      <c r="AE12157" s="13"/>
    </row>
    <row r="12158" spans="31:31" ht="12.75" customHeight="1" x14ac:dyDescent="0.15">
      <c r="AE12158" s="13"/>
    </row>
    <row r="12159" spans="31:31" ht="12.75" customHeight="1" x14ac:dyDescent="0.15">
      <c r="AE12159" s="13"/>
    </row>
    <row r="12160" spans="31:31" ht="12.75" customHeight="1" x14ac:dyDescent="0.15">
      <c r="AE12160" s="13"/>
    </row>
    <row r="12161" spans="31:31" ht="12.75" customHeight="1" x14ac:dyDescent="0.15">
      <c r="AE12161" s="13"/>
    </row>
    <row r="12162" spans="31:31" ht="12.75" customHeight="1" x14ac:dyDescent="0.15">
      <c r="AE12162" s="13"/>
    </row>
    <row r="12163" spans="31:31" ht="12.75" customHeight="1" x14ac:dyDescent="0.15">
      <c r="AE12163" s="13"/>
    </row>
    <row r="12164" spans="31:31" ht="12.75" customHeight="1" x14ac:dyDescent="0.15">
      <c r="AE12164" s="13"/>
    </row>
    <row r="12165" spans="31:31" ht="12.75" customHeight="1" x14ac:dyDescent="0.15">
      <c r="AE12165" s="13"/>
    </row>
    <row r="12166" spans="31:31" ht="12.75" customHeight="1" x14ac:dyDescent="0.15">
      <c r="AE12166" s="13"/>
    </row>
    <row r="12167" spans="31:31" ht="12.75" customHeight="1" x14ac:dyDescent="0.15">
      <c r="AE12167" s="13"/>
    </row>
    <row r="12168" spans="31:31" ht="12.75" customHeight="1" x14ac:dyDescent="0.15">
      <c r="AE12168" s="13"/>
    </row>
    <row r="12169" spans="31:31" ht="12.75" customHeight="1" x14ac:dyDescent="0.15">
      <c r="AE12169" s="13"/>
    </row>
    <row r="12170" spans="31:31" ht="12.75" customHeight="1" x14ac:dyDescent="0.15">
      <c r="AE12170" s="13"/>
    </row>
    <row r="12171" spans="31:31" ht="12.75" customHeight="1" x14ac:dyDescent="0.15">
      <c r="AE12171" s="13"/>
    </row>
    <row r="12172" spans="31:31" ht="12.75" customHeight="1" x14ac:dyDescent="0.15">
      <c r="AE12172" s="13"/>
    </row>
    <row r="12173" spans="31:31" ht="12.75" customHeight="1" x14ac:dyDescent="0.15">
      <c r="AE12173" s="13"/>
    </row>
    <row r="12174" spans="31:31" ht="12.75" customHeight="1" x14ac:dyDescent="0.15">
      <c r="AE12174" s="13"/>
    </row>
    <row r="12175" spans="31:31" ht="12.75" customHeight="1" x14ac:dyDescent="0.15">
      <c r="AE12175" s="13"/>
    </row>
    <row r="12176" spans="31:31" ht="12.75" customHeight="1" x14ac:dyDescent="0.15">
      <c r="AE12176" s="13"/>
    </row>
    <row r="12177" spans="31:31" ht="12.75" customHeight="1" x14ac:dyDescent="0.15">
      <c r="AE12177" s="13"/>
    </row>
    <row r="12178" spans="31:31" ht="12.75" customHeight="1" x14ac:dyDescent="0.15">
      <c r="AE12178" s="13"/>
    </row>
    <row r="12179" spans="31:31" ht="12.75" customHeight="1" x14ac:dyDescent="0.15">
      <c r="AE12179" s="13"/>
    </row>
    <row r="12180" spans="31:31" ht="12.75" customHeight="1" x14ac:dyDescent="0.15">
      <c r="AE12180" s="13"/>
    </row>
    <row r="12181" spans="31:31" ht="12.75" customHeight="1" x14ac:dyDescent="0.15">
      <c r="AE12181" s="13"/>
    </row>
    <row r="12182" spans="31:31" ht="12.75" customHeight="1" x14ac:dyDescent="0.15">
      <c r="AE12182" s="13"/>
    </row>
    <row r="12183" spans="31:31" ht="12.75" customHeight="1" x14ac:dyDescent="0.15">
      <c r="AE12183" s="13"/>
    </row>
    <row r="12184" spans="31:31" ht="12.75" customHeight="1" x14ac:dyDescent="0.15">
      <c r="AE12184" s="13"/>
    </row>
    <row r="12185" spans="31:31" ht="12.75" customHeight="1" x14ac:dyDescent="0.15">
      <c r="AE12185" s="13"/>
    </row>
    <row r="12186" spans="31:31" ht="12.75" customHeight="1" x14ac:dyDescent="0.15">
      <c r="AE12186" s="13"/>
    </row>
    <row r="12187" spans="31:31" ht="12.75" customHeight="1" x14ac:dyDescent="0.15">
      <c r="AE12187" s="13"/>
    </row>
    <row r="12188" spans="31:31" ht="12.75" customHeight="1" x14ac:dyDescent="0.15">
      <c r="AE12188" s="13"/>
    </row>
    <row r="12189" spans="31:31" ht="12.75" customHeight="1" x14ac:dyDescent="0.15">
      <c r="AE12189" s="13"/>
    </row>
    <row r="12190" spans="31:31" ht="12.75" customHeight="1" x14ac:dyDescent="0.15">
      <c r="AE12190" s="13"/>
    </row>
    <row r="12191" spans="31:31" ht="12.75" customHeight="1" x14ac:dyDescent="0.15">
      <c r="AE12191" s="13"/>
    </row>
    <row r="12192" spans="31:31" ht="12.75" customHeight="1" x14ac:dyDescent="0.15">
      <c r="AE12192" s="13"/>
    </row>
    <row r="12193" spans="31:31" ht="12.75" customHeight="1" x14ac:dyDescent="0.15">
      <c r="AE12193" s="13"/>
    </row>
    <row r="12194" spans="31:31" ht="12.75" customHeight="1" x14ac:dyDescent="0.15">
      <c r="AE12194" s="13"/>
    </row>
    <row r="12195" spans="31:31" ht="12.75" customHeight="1" x14ac:dyDescent="0.15">
      <c r="AE12195" s="13"/>
    </row>
    <row r="12196" spans="31:31" ht="12.75" customHeight="1" x14ac:dyDescent="0.15">
      <c r="AE12196" s="13"/>
    </row>
    <row r="12197" spans="31:31" ht="12.75" customHeight="1" x14ac:dyDescent="0.15">
      <c r="AE12197" s="13"/>
    </row>
    <row r="12198" spans="31:31" ht="12.75" customHeight="1" x14ac:dyDescent="0.15">
      <c r="AE12198" s="13"/>
    </row>
    <row r="12199" spans="31:31" ht="12.75" customHeight="1" x14ac:dyDescent="0.15">
      <c r="AE12199" s="13"/>
    </row>
    <row r="12200" spans="31:31" ht="12.75" customHeight="1" x14ac:dyDescent="0.15">
      <c r="AE12200" s="13"/>
    </row>
    <row r="12201" spans="31:31" ht="12.75" customHeight="1" x14ac:dyDescent="0.15">
      <c r="AE12201" s="13"/>
    </row>
    <row r="12202" spans="31:31" ht="12.75" customHeight="1" x14ac:dyDescent="0.15">
      <c r="AE12202" s="13"/>
    </row>
    <row r="12203" spans="31:31" ht="12.75" customHeight="1" x14ac:dyDescent="0.15">
      <c r="AE12203" s="13"/>
    </row>
    <row r="12204" spans="31:31" ht="12.75" customHeight="1" x14ac:dyDescent="0.15">
      <c r="AE12204" s="13"/>
    </row>
    <row r="12205" spans="31:31" ht="12.75" customHeight="1" x14ac:dyDescent="0.15">
      <c r="AE12205" s="13"/>
    </row>
    <row r="12206" spans="31:31" ht="12.75" customHeight="1" x14ac:dyDescent="0.15">
      <c r="AE12206" s="13"/>
    </row>
    <row r="12207" spans="31:31" ht="12.75" customHeight="1" x14ac:dyDescent="0.15">
      <c r="AE12207" s="13"/>
    </row>
    <row r="12208" spans="31:31" ht="12.75" customHeight="1" x14ac:dyDescent="0.15">
      <c r="AE12208" s="13"/>
    </row>
    <row r="12209" spans="31:31" ht="12.75" customHeight="1" x14ac:dyDescent="0.15">
      <c r="AE12209" s="13"/>
    </row>
    <row r="12210" spans="31:31" ht="12.75" customHeight="1" x14ac:dyDescent="0.15">
      <c r="AE12210" s="13"/>
    </row>
    <row r="12211" spans="31:31" ht="12.75" customHeight="1" x14ac:dyDescent="0.15">
      <c r="AE12211" s="13"/>
    </row>
    <row r="12212" spans="31:31" ht="12.75" customHeight="1" x14ac:dyDescent="0.15">
      <c r="AE12212" s="13"/>
    </row>
    <row r="12213" spans="31:31" ht="12.75" customHeight="1" x14ac:dyDescent="0.15">
      <c r="AE12213" s="13"/>
    </row>
    <row r="12214" spans="31:31" ht="12.75" customHeight="1" x14ac:dyDescent="0.15">
      <c r="AE12214" s="13"/>
    </row>
    <row r="12215" spans="31:31" ht="12.75" customHeight="1" x14ac:dyDescent="0.15">
      <c r="AE12215" s="13"/>
    </row>
    <row r="12216" spans="31:31" ht="12.75" customHeight="1" x14ac:dyDescent="0.15">
      <c r="AE12216" s="13"/>
    </row>
    <row r="12217" spans="31:31" ht="12.75" customHeight="1" x14ac:dyDescent="0.15">
      <c r="AE12217" s="13"/>
    </row>
    <row r="12218" spans="31:31" ht="12.75" customHeight="1" x14ac:dyDescent="0.15">
      <c r="AE12218" s="13"/>
    </row>
    <row r="12219" spans="31:31" ht="12.75" customHeight="1" x14ac:dyDescent="0.15">
      <c r="AE12219" s="13"/>
    </row>
    <row r="12220" spans="31:31" ht="12.75" customHeight="1" x14ac:dyDescent="0.15">
      <c r="AE12220" s="13"/>
    </row>
    <row r="12221" spans="31:31" ht="12.75" customHeight="1" x14ac:dyDescent="0.15">
      <c r="AE12221" s="13"/>
    </row>
    <row r="12222" spans="31:31" ht="12.75" customHeight="1" x14ac:dyDescent="0.15">
      <c r="AE12222" s="13"/>
    </row>
    <row r="12223" spans="31:31" ht="12.75" customHeight="1" x14ac:dyDescent="0.15">
      <c r="AE12223" s="13"/>
    </row>
    <row r="12224" spans="31:31" ht="12.75" customHeight="1" x14ac:dyDescent="0.15">
      <c r="AE12224" s="13"/>
    </row>
    <row r="12225" spans="31:31" ht="12.75" customHeight="1" x14ac:dyDescent="0.15">
      <c r="AE12225" s="13"/>
    </row>
    <row r="12226" spans="31:31" ht="12.75" customHeight="1" x14ac:dyDescent="0.15">
      <c r="AE12226" s="13"/>
    </row>
    <row r="12227" spans="31:31" ht="12.75" customHeight="1" x14ac:dyDescent="0.15">
      <c r="AE12227" s="13"/>
    </row>
    <row r="12228" spans="31:31" ht="12.75" customHeight="1" x14ac:dyDescent="0.15">
      <c r="AE12228" s="13"/>
    </row>
    <row r="12229" spans="31:31" ht="12.75" customHeight="1" x14ac:dyDescent="0.15">
      <c r="AE12229" s="13"/>
    </row>
    <row r="12230" spans="31:31" ht="12.75" customHeight="1" x14ac:dyDescent="0.15">
      <c r="AE12230" s="13"/>
    </row>
    <row r="12231" spans="31:31" ht="12.75" customHeight="1" x14ac:dyDescent="0.15">
      <c r="AE12231" s="13"/>
    </row>
    <row r="12232" spans="31:31" ht="12.75" customHeight="1" x14ac:dyDescent="0.15">
      <c r="AE12232" s="13"/>
    </row>
    <row r="12233" spans="31:31" ht="12.75" customHeight="1" x14ac:dyDescent="0.15">
      <c r="AE12233" s="13"/>
    </row>
    <row r="12234" spans="31:31" ht="12.75" customHeight="1" x14ac:dyDescent="0.15">
      <c r="AE12234" s="13"/>
    </row>
    <row r="12235" spans="31:31" ht="12.75" customHeight="1" x14ac:dyDescent="0.15">
      <c r="AE12235" s="13"/>
    </row>
    <row r="12236" spans="31:31" ht="12.75" customHeight="1" x14ac:dyDescent="0.15">
      <c r="AE12236" s="13"/>
    </row>
    <row r="12237" spans="31:31" ht="12.75" customHeight="1" x14ac:dyDescent="0.15">
      <c r="AE12237" s="13"/>
    </row>
    <row r="12238" spans="31:31" ht="12.75" customHeight="1" x14ac:dyDescent="0.15">
      <c r="AE12238" s="13"/>
    </row>
    <row r="12239" spans="31:31" ht="12.75" customHeight="1" x14ac:dyDescent="0.15">
      <c r="AE12239" s="13"/>
    </row>
    <row r="12240" spans="31:31" ht="12.75" customHeight="1" x14ac:dyDescent="0.15">
      <c r="AE12240" s="13"/>
    </row>
    <row r="12241" spans="31:31" ht="12.75" customHeight="1" x14ac:dyDescent="0.15">
      <c r="AE12241" s="13"/>
    </row>
    <row r="12242" spans="31:31" ht="12.75" customHeight="1" x14ac:dyDescent="0.15">
      <c r="AE12242" s="13"/>
    </row>
    <row r="12243" spans="31:31" ht="12.75" customHeight="1" x14ac:dyDescent="0.15">
      <c r="AE12243" s="13"/>
    </row>
    <row r="12244" spans="31:31" ht="12.75" customHeight="1" x14ac:dyDescent="0.15">
      <c r="AE12244" s="13"/>
    </row>
    <row r="12245" spans="31:31" ht="12.75" customHeight="1" x14ac:dyDescent="0.15">
      <c r="AE12245" s="13"/>
    </row>
    <row r="12246" spans="31:31" ht="12.75" customHeight="1" x14ac:dyDescent="0.15">
      <c r="AE12246" s="13"/>
    </row>
    <row r="12247" spans="31:31" ht="12.75" customHeight="1" x14ac:dyDescent="0.15">
      <c r="AE12247" s="13"/>
    </row>
    <row r="12248" spans="31:31" ht="12.75" customHeight="1" x14ac:dyDescent="0.15">
      <c r="AE12248" s="13"/>
    </row>
    <row r="12249" spans="31:31" ht="12.75" customHeight="1" x14ac:dyDescent="0.15">
      <c r="AE12249" s="13"/>
    </row>
    <row r="12250" spans="31:31" ht="12.75" customHeight="1" x14ac:dyDescent="0.15">
      <c r="AE12250" s="13"/>
    </row>
    <row r="12251" spans="31:31" ht="12.75" customHeight="1" x14ac:dyDescent="0.15">
      <c r="AE12251" s="13"/>
    </row>
    <row r="12252" spans="31:31" ht="12.75" customHeight="1" x14ac:dyDescent="0.15">
      <c r="AE12252" s="13"/>
    </row>
    <row r="12253" spans="31:31" ht="12.75" customHeight="1" x14ac:dyDescent="0.15">
      <c r="AE12253" s="13"/>
    </row>
    <row r="12254" spans="31:31" ht="12.75" customHeight="1" x14ac:dyDescent="0.15">
      <c r="AE12254" s="13"/>
    </row>
    <row r="12255" spans="31:31" ht="12.75" customHeight="1" x14ac:dyDescent="0.15">
      <c r="AE12255" s="13"/>
    </row>
    <row r="12256" spans="31:31" ht="12.75" customHeight="1" x14ac:dyDescent="0.15">
      <c r="AE12256" s="13"/>
    </row>
    <row r="12257" spans="31:31" ht="12.75" customHeight="1" x14ac:dyDescent="0.15">
      <c r="AE12257" s="13"/>
    </row>
    <row r="12258" spans="31:31" ht="12.75" customHeight="1" x14ac:dyDescent="0.15">
      <c r="AE12258" s="13"/>
    </row>
    <row r="12259" spans="31:31" ht="12.75" customHeight="1" x14ac:dyDescent="0.15">
      <c r="AE12259" s="13"/>
    </row>
    <row r="12260" spans="31:31" ht="12.75" customHeight="1" x14ac:dyDescent="0.15">
      <c r="AE12260" s="13"/>
    </row>
    <row r="12261" spans="31:31" ht="12.75" customHeight="1" x14ac:dyDescent="0.15">
      <c r="AE12261" s="13"/>
    </row>
    <row r="12262" spans="31:31" ht="12.75" customHeight="1" x14ac:dyDescent="0.15">
      <c r="AE12262" s="13"/>
    </row>
    <row r="12263" spans="31:31" ht="12.75" customHeight="1" x14ac:dyDescent="0.15">
      <c r="AE12263" s="13"/>
    </row>
    <row r="12264" spans="31:31" ht="12.75" customHeight="1" x14ac:dyDescent="0.15">
      <c r="AE12264" s="13"/>
    </row>
    <row r="12265" spans="31:31" ht="12.75" customHeight="1" x14ac:dyDescent="0.15">
      <c r="AE12265" s="13"/>
    </row>
    <row r="12266" spans="31:31" ht="12.75" customHeight="1" x14ac:dyDescent="0.15">
      <c r="AE12266" s="13"/>
    </row>
    <row r="12267" spans="31:31" ht="12.75" customHeight="1" x14ac:dyDescent="0.15">
      <c r="AE12267" s="13"/>
    </row>
    <row r="12268" spans="31:31" ht="12.75" customHeight="1" x14ac:dyDescent="0.15">
      <c r="AE12268" s="13"/>
    </row>
    <row r="12269" spans="31:31" ht="12.75" customHeight="1" x14ac:dyDescent="0.15">
      <c r="AE12269" s="13"/>
    </row>
    <row r="12270" spans="31:31" ht="12.75" customHeight="1" x14ac:dyDescent="0.15">
      <c r="AE12270" s="13"/>
    </row>
    <row r="12271" spans="31:31" ht="12.75" customHeight="1" x14ac:dyDescent="0.15">
      <c r="AE12271" s="13"/>
    </row>
    <row r="12272" spans="31:31" ht="12.75" customHeight="1" x14ac:dyDescent="0.15">
      <c r="AE12272" s="13"/>
    </row>
    <row r="12273" spans="31:31" ht="12.75" customHeight="1" x14ac:dyDescent="0.15">
      <c r="AE12273" s="13"/>
    </row>
    <row r="12274" spans="31:31" ht="12.75" customHeight="1" x14ac:dyDescent="0.15">
      <c r="AE12274" s="13"/>
    </row>
    <row r="12275" spans="31:31" ht="12.75" customHeight="1" x14ac:dyDescent="0.15">
      <c r="AE12275" s="13"/>
    </row>
    <row r="12276" spans="31:31" ht="12.75" customHeight="1" x14ac:dyDescent="0.15">
      <c r="AE12276" s="13"/>
    </row>
    <row r="12277" spans="31:31" ht="12.75" customHeight="1" x14ac:dyDescent="0.15">
      <c r="AE12277" s="13"/>
    </row>
    <row r="12278" spans="31:31" ht="12.75" customHeight="1" x14ac:dyDescent="0.15">
      <c r="AE12278" s="13"/>
    </row>
    <row r="12279" spans="31:31" ht="12.75" customHeight="1" x14ac:dyDescent="0.15">
      <c r="AE12279" s="13"/>
    </row>
    <row r="12280" spans="31:31" ht="12.75" customHeight="1" x14ac:dyDescent="0.15">
      <c r="AE12280" s="13"/>
    </row>
    <row r="12281" spans="31:31" ht="12.75" customHeight="1" x14ac:dyDescent="0.15">
      <c r="AE12281" s="13"/>
    </row>
    <row r="12282" spans="31:31" ht="12.75" customHeight="1" x14ac:dyDescent="0.15">
      <c r="AE12282" s="13"/>
    </row>
    <row r="12283" spans="31:31" ht="12.75" customHeight="1" x14ac:dyDescent="0.15">
      <c r="AE12283" s="13"/>
    </row>
    <row r="12284" spans="31:31" ht="12.75" customHeight="1" x14ac:dyDescent="0.15">
      <c r="AE12284" s="13"/>
    </row>
    <row r="12285" spans="31:31" ht="12.75" customHeight="1" x14ac:dyDescent="0.15">
      <c r="AE12285" s="13"/>
    </row>
    <row r="12286" spans="31:31" ht="12.75" customHeight="1" x14ac:dyDescent="0.15">
      <c r="AE12286" s="13"/>
    </row>
    <row r="12287" spans="31:31" ht="12.75" customHeight="1" x14ac:dyDescent="0.15">
      <c r="AE12287" s="13"/>
    </row>
    <row r="12288" spans="31:31" ht="12.75" customHeight="1" x14ac:dyDescent="0.15">
      <c r="AE12288" s="13"/>
    </row>
    <row r="12289" spans="31:31" ht="12.75" customHeight="1" x14ac:dyDescent="0.15">
      <c r="AE12289" s="13"/>
    </row>
    <row r="12290" spans="31:31" ht="12.75" customHeight="1" x14ac:dyDescent="0.15">
      <c r="AE12290" s="13"/>
    </row>
    <row r="12291" spans="31:31" ht="12.75" customHeight="1" x14ac:dyDescent="0.15">
      <c r="AE12291" s="13"/>
    </row>
    <row r="12292" spans="31:31" ht="12.75" customHeight="1" x14ac:dyDescent="0.15">
      <c r="AE12292" s="13"/>
    </row>
    <row r="12293" spans="31:31" ht="12.75" customHeight="1" x14ac:dyDescent="0.15">
      <c r="AE12293" s="13"/>
    </row>
    <row r="12294" spans="31:31" ht="12.75" customHeight="1" x14ac:dyDescent="0.15">
      <c r="AE12294" s="13"/>
    </row>
    <row r="12295" spans="31:31" ht="12.75" customHeight="1" x14ac:dyDescent="0.15">
      <c r="AE12295" s="13"/>
    </row>
    <row r="12296" spans="31:31" ht="12.75" customHeight="1" x14ac:dyDescent="0.15">
      <c r="AE12296" s="13"/>
    </row>
    <row r="12297" spans="31:31" ht="12.75" customHeight="1" x14ac:dyDescent="0.15">
      <c r="AE12297" s="13"/>
    </row>
    <row r="12298" spans="31:31" ht="12.75" customHeight="1" x14ac:dyDescent="0.15">
      <c r="AE12298" s="13"/>
    </row>
    <row r="12299" spans="31:31" ht="12.75" customHeight="1" x14ac:dyDescent="0.15">
      <c r="AE12299" s="13"/>
    </row>
    <row r="12300" spans="31:31" ht="12.75" customHeight="1" x14ac:dyDescent="0.15">
      <c r="AE12300" s="13"/>
    </row>
    <row r="12301" spans="31:31" ht="12.75" customHeight="1" x14ac:dyDescent="0.15">
      <c r="AE12301" s="13"/>
    </row>
    <row r="12302" spans="31:31" ht="12.75" customHeight="1" x14ac:dyDescent="0.15">
      <c r="AE12302" s="13"/>
    </row>
    <row r="12303" spans="31:31" ht="12.75" customHeight="1" x14ac:dyDescent="0.15">
      <c r="AE12303" s="13"/>
    </row>
    <row r="12304" spans="31:31" ht="12.75" customHeight="1" x14ac:dyDescent="0.15">
      <c r="AE12304" s="13"/>
    </row>
    <row r="12305" spans="31:31" ht="12.75" customHeight="1" x14ac:dyDescent="0.15">
      <c r="AE12305" s="13"/>
    </row>
    <row r="12306" spans="31:31" ht="12.75" customHeight="1" x14ac:dyDescent="0.15">
      <c r="AE12306" s="13"/>
    </row>
    <row r="12307" spans="31:31" ht="12.75" customHeight="1" x14ac:dyDescent="0.15">
      <c r="AE12307" s="13"/>
    </row>
    <row r="12308" spans="31:31" ht="12.75" customHeight="1" x14ac:dyDescent="0.15">
      <c r="AE12308" s="13"/>
    </row>
    <row r="12309" spans="31:31" ht="12.75" customHeight="1" x14ac:dyDescent="0.15">
      <c r="AE12309" s="13"/>
    </row>
    <row r="12310" spans="31:31" ht="12.75" customHeight="1" x14ac:dyDescent="0.15">
      <c r="AE12310" s="13"/>
    </row>
    <row r="12311" spans="31:31" ht="12.75" customHeight="1" x14ac:dyDescent="0.15">
      <c r="AE12311" s="13"/>
    </row>
    <row r="12312" spans="31:31" ht="12.75" customHeight="1" x14ac:dyDescent="0.15">
      <c r="AE12312" s="13"/>
    </row>
    <row r="12313" spans="31:31" ht="12.75" customHeight="1" x14ac:dyDescent="0.15">
      <c r="AE12313" s="13"/>
    </row>
    <row r="12314" spans="31:31" ht="12.75" customHeight="1" x14ac:dyDescent="0.15">
      <c r="AE12314" s="13"/>
    </row>
    <row r="12315" spans="31:31" ht="12.75" customHeight="1" x14ac:dyDescent="0.15">
      <c r="AE12315" s="13"/>
    </row>
    <row r="12316" spans="31:31" ht="12.75" customHeight="1" x14ac:dyDescent="0.15">
      <c r="AE12316" s="13"/>
    </row>
    <row r="12317" spans="31:31" ht="12.75" customHeight="1" x14ac:dyDescent="0.15">
      <c r="AE12317" s="13"/>
    </row>
    <row r="12318" spans="31:31" ht="12.75" customHeight="1" x14ac:dyDescent="0.15">
      <c r="AE12318" s="13"/>
    </row>
    <row r="12319" spans="31:31" ht="12.75" customHeight="1" x14ac:dyDescent="0.15">
      <c r="AE12319" s="13"/>
    </row>
    <row r="12320" spans="31:31" ht="12.75" customHeight="1" x14ac:dyDescent="0.15">
      <c r="AE12320" s="13"/>
    </row>
    <row r="12321" spans="31:31" ht="12.75" customHeight="1" x14ac:dyDescent="0.15">
      <c r="AE12321" s="13"/>
    </row>
    <row r="12322" spans="31:31" ht="12.75" customHeight="1" x14ac:dyDescent="0.15">
      <c r="AE12322" s="13"/>
    </row>
    <row r="12323" spans="31:31" ht="12.75" customHeight="1" x14ac:dyDescent="0.15">
      <c r="AE12323" s="13"/>
    </row>
    <row r="12324" spans="31:31" ht="12.75" customHeight="1" x14ac:dyDescent="0.15">
      <c r="AE12324" s="13"/>
    </row>
    <row r="12325" spans="31:31" ht="12.75" customHeight="1" x14ac:dyDescent="0.15">
      <c r="AE12325" s="13"/>
    </row>
    <row r="12326" spans="31:31" ht="12.75" customHeight="1" x14ac:dyDescent="0.15">
      <c r="AE12326" s="13"/>
    </row>
    <row r="12327" spans="31:31" ht="12.75" customHeight="1" x14ac:dyDescent="0.15">
      <c r="AE12327" s="13"/>
    </row>
    <row r="12328" spans="31:31" ht="12.75" customHeight="1" x14ac:dyDescent="0.15">
      <c r="AE12328" s="13"/>
    </row>
    <row r="12329" spans="31:31" ht="12.75" customHeight="1" x14ac:dyDescent="0.15">
      <c r="AE12329" s="13"/>
    </row>
    <row r="12330" spans="31:31" ht="12.75" customHeight="1" x14ac:dyDescent="0.15">
      <c r="AE12330" s="13"/>
    </row>
    <row r="12331" spans="31:31" ht="12.75" customHeight="1" x14ac:dyDescent="0.15">
      <c r="AE12331" s="13"/>
    </row>
    <row r="12332" spans="31:31" ht="12.75" customHeight="1" x14ac:dyDescent="0.15">
      <c r="AE12332" s="13"/>
    </row>
    <row r="12333" spans="31:31" ht="12.75" customHeight="1" x14ac:dyDescent="0.15">
      <c r="AE12333" s="13"/>
    </row>
    <row r="12334" spans="31:31" ht="12.75" customHeight="1" x14ac:dyDescent="0.15">
      <c r="AE12334" s="13"/>
    </row>
    <row r="12335" spans="31:31" ht="12.75" customHeight="1" x14ac:dyDescent="0.15">
      <c r="AE12335" s="13"/>
    </row>
    <row r="12336" spans="31:31" ht="12.75" customHeight="1" x14ac:dyDescent="0.15">
      <c r="AE12336" s="13"/>
    </row>
    <row r="12337" spans="31:31" ht="12.75" customHeight="1" x14ac:dyDescent="0.15">
      <c r="AE12337" s="13"/>
    </row>
    <row r="12338" spans="31:31" ht="12.75" customHeight="1" x14ac:dyDescent="0.15">
      <c r="AE12338" s="13"/>
    </row>
    <row r="12339" spans="31:31" ht="12.75" customHeight="1" x14ac:dyDescent="0.15">
      <c r="AE12339" s="13"/>
    </row>
    <row r="12340" spans="31:31" ht="12.75" customHeight="1" x14ac:dyDescent="0.15">
      <c r="AE12340" s="13"/>
    </row>
    <row r="12341" spans="31:31" ht="12.75" customHeight="1" x14ac:dyDescent="0.15">
      <c r="AE12341" s="13"/>
    </row>
    <row r="12342" spans="31:31" ht="12.75" customHeight="1" x14ac:dyDescent="0.15">
      <c r="AE12342" s="13"/>
    </row>
    <row r="12343" spans="31:31" ht="12.75" customHeight="1" x14ac:dyDescent="0.15">
      <c r="AE12343" s="13"/>
    </row>
    <row r="12344" spans="31:31" ht="12.75" customHeight="1" x14ac:dyDescent="0.15">
      <c r="AE12344" s="13"/>
    </row>
    <row r="12345" spans="31:31" ht="12.75" customHeight="1" x14ac:dyDescent="0.15">
      <c r="AE12345" s="13"/>
    </row>
    <row r="12346" spans="31:31" ht="12.75" customHeight="1" x14ac:dyDescent="0.15">
      <c r="AE12346" s="13"/>
    </row>
    <row r="12347" spans="31:31" ht="12.75" customHeight="1" x14ac:dyDescent="0.15">
      <c r="AE12347" s="13"/>
    </row>
    <row r="12348" spans="31:31" ht="12.75" customHeight="1" x14ac:dyDescent="0.15">
      <c r="AE12348" s="13"/>
    </row>
    <row r="12349" spans="31:31" ht="12.75" customHeight="1" x14ac:dyDescent="0.15">
      <c r="AE12349" s="13"/>
    </row>
    <row r="12350" spans="31:31" ht="12.75" customHeight="1" x14ac:dyDescent="0.15">
      <c r="AE12350" s="13"/>
    </row>
    <row r="12351" spans="31:31" ht="12.75" customHeight="1" x14ac:dyDescent="0.15">
      <c r="AE12351" s="13"/>
    </row>
    <row r="12352" spans="31:31" ht="12.75" customHeight="1" x14ac:dyDescent="0.15">
      <c r="AE12352" s="13"/>
    </row>
    <row r="12353" spans="31:31" ht="12.75" customHeight="1" x14ac:dyDescent="0.15">
      <c r="AE12353" s="13"/>
    </row>
    <row r="12354" spans="31:31" ht="12.75" customHeight="1" x14ac:dyDescent="0.15">
      <c r="AE12354" s="13"/>
    </row>
    <row r="12355" spans="31:31" ht="12.75" customHeight="1" x14ac:dyDescent="0.15">
      <c r="AE12355" s="13"/>
    </row>
    <row r="12356" spans="31:31" ht="12.75" customHeight="1" x14ac:dyDescent="0.15">
      <c r="AE12356" s="13"/>
    </row>
    <row r="12357" spans="31:31" ht="12.75" customHeight="1" x14ac:dyDescent="0.15">
      <c r="AE12357" s="13"/>
    </row>
    <row r="12358" spans="31:31" ht="12.75" customHeight="1" x14ac:dyDescent="0.15">
      <c r="AE12358" s="13"/>
    </row>
    <row r="12359" spans="31:31" ht="12.75" customHeight="1" x14ac:dyDescent="0.15">
      <c r="AE12359" s="13"/>
    </row>
    <row r="12360" spans="31:31" ht="12.75" customHeight="1" x14ac:dyDescent="0.15">
      <c r="AE12360" s="13"/>
    </row>
    <row r="12361" spans="31:31" ht="12.75" customHeight="1" x14ac:dyDescent="0.15">
      <c r="AE12361" s="13"/>
    </row>
    <row r="12362" spans="31:31" ht="12.75" customHeight="1" x14ac:dyDescent="0.15">
      <c r="AE12362" s="13"/>
    </row>
    <row r="12363" spans="31:31" ht="12.75" customHeight="1" x14ac:dyDescent="0.15">
      <c r="AE12363" s="13"/>
    </row>
    <row r="12364" spans="31:31" ht="12.75" customHeight="1" x14ac:dyDescent="0.15">
      <c r="AE12364" s="13"/>
    </row>
    <row r="12365" spans="31:31" ht="12.75" customHeight="1" x14ac:dyDescent="0.15">
      <c r="AE12365" s="13"/>
    </row>
    <row r="12366" spans="31:31" ht="12.75" customHeight="1" x14ac:dyDescent="0.15">
      <c r="AE12366" s="13"/>
    </row>
    <row r="12367" spans="31:31" ht="12.75" customHeight="1" x14ac:dyDescent="0.15">
      <c r="AE12367" s="13"/>
    </row>
    <row r="12368" spans="31:31" ht="12.75" customHeight="1" x14ac:dyDescent="0.15">
      <c r="AE12368" s="13"/>
    </row>
    <row r="12369" spans="31:31" ht="12.75" customHeight="1" x14ac:dyDescent="0.15">
      <c r="AE12369" s="13"/>
    </row>
    <row r="12370" spans="31:31" ht="12.75" customHeight="1" x14ac:dyDescent="0.15">
      <c r="AE12370" s="13"/>
    </row>
    <row r="12371" spans="31:31" ht="12.75" customHeight="1" x14ac:dyDescent="0.15">
      <c r="AE12371" s="13"/>
    </row>
    <row r="12372" spans="31:31" ht="12.75" customHeight="1" x14ac:dyDescent="0.15">
      <c r="AE12372" s="13"/>
    </row>
    <row r="12373" spans="31:31" ht="12.75" customHeight="1" x14ac:dyDescent="0.15">
      <c r="AE12373" s="13"/>
    </row>
    <row r="12374" spans="31:31" ht="12.75" customHeight="1" x14ac:dyDescent="0.15">
      <c r="AE12374" s="13"/>
    </row>
    <row r="12375" spans="31:31" ht="12.75" customHeight="1" x14ac:dyDescent="0.15">
      <c r="AE12375" s="13"/>
    </row>
    <row r="12376" spans="31:31" ht="12.75" customHeight="1" x14ac:dyDescent="0.15">
      <c r="AE12376" s="13"/>
    </row>
    <row r="12377" spans="31:31" ht="12.75" customHeight="1" x14ac:dyDescent="0.15">
      <c r="AE12377" s="13"/>
    </row>
    <row r="12378" spans="31:31" ht="12.75" customHeight="1" x14ac:dyDescent="0.15">
      <c r="AE12378" s="13"/>
    </row>
    <row r="12379" spans="31:31" ht="12.75" customHeight="1" x14ac:dyDescent="0.15">
      <c r="AE12379" s="13"/>
    </row>
    <row r="12380" spans="31:31" ht="12.75" customHeight="1" x14ac:dyDescent="0.15">
      <c r="AE12380" s="13"/>
    </row>
    <row r="12381" spans="31:31" ht="12.75" customHeight="1" x14ac:dyDescent="0.15">
      <c r="AE12381" s="13"/>
    </row>
    <row r="12382" spans="31:31" ht="12.75" customHeight="1" x14ac:dyDescent="0.15">
      <c r="AE12382" s="13"/>
    </row>
    <row r="12383" spans="31:31" ht="12.75" customHeight="1" x14ac:dyDescent="0.15">
      <c r="AE12383" s="13"/>
    </row>
    <row r="12384" spans="31:31" ht="12.75" customHeight="1" x14ac:dyDescent="0.15">
      <c r="AE12384" s="13"/>
    </row>
    <row r="12385" spans="31:31" ht="12.75" customHeight="1" x14ac:dyDescent="0.15">
      <c r="AE12385" s="13"/>
    </row>
    <row r="12386" spans="31:31" ht="12.75" customHeight="1" x14ac:dyDescent="0.15">
      <c r="AE12386" s="13"/>
    </row>
    <row r="12387" spans="31:31" ht="12.75" customHeight="1" x14ac:dyDescent="0.15">
      <c r="AE12387" s="13"/>
    </row>
    <row r="12388" spans="31:31" ht="12.75" customHeight="1" x14ac:dyDescent="0.15">
      <c r="AE12388" s="13"/>
    </row>
    <row r="12389" spans="31:31" ht="12.75" customHeight="1" x14ac:dyDescent="0.15">
      <c r="AE12389" s="13"/>
    </row>
    <row r="12390" spans="31:31" ht="12.75" customHeight="1" x14ac:dyDescent="0.15">
      <c r="AE12390" s="13"/>
    </row>
    <row r="12391" spans="31:31" ht="12.75" customHeight="1" x14ac:dyDescent="0.15">
      <c r="AE12391" s="13"/>
    </row>
    <row r="12392" spans="31:31" ht="12.75" customHeight="1" x14ac:dyDescent="0.15">
      <c r="AE12392" s="13"/>
    </row>
    <row r="12393" spans="31:31" ht="12.75" customHeight="1" x14ac:dyDescent="0.15">
      <c r="AE12393" s="13"/>
    </row>
    <row r="12394" spans="31:31" ht="12.75" customHeight="1" x14ac:dyDescent="0.15">
      <c r="AE12394" s="13"/>
    </row>
    <row r="12395" spans="31:31" ht="12.75" customHeight="1" x14ac:dyDescent="0.15">
      <c r="AE12395" s="13"/>
    </row>
    <row r="12396" spans="31:31" ht="12.75" customHeight="1" x14ac:dyDescent="0.15">
      <c r="AE12396" s="13"/>
    </row>
    <row r="12397" spans="31:31" ht="12.75" customHeight="1" x14ac:dyDescent="0.15">
      <c r="AE12397" s="13"/>
    </row>
    <row r="12398" spans="31:31" ht="12.75" customHeight="1" x14ac:dyDescent="0.15">
      <c r="AE12398" s="13"/>
    </row>
    <row r="12399" spans="31:31" ht="12.75" customHeight="1" x14ac:dyDescent="0.15">
      <c r="AE12399" s="13"/>
    </row>
    <row r="12400" spans="31:31" ht="12.75" customHeight="1" x14ac:dyDescent="0.15">
      <c r="AE12400" s="13"/>
    </row>
    <row r="12401" spans="31:31" ht="12.75" customHeight="1" x14ac:dyDescent="0.15">
      <c r="AE12401" s="13"/>
    </row>
    <row r="12402" spans="31:31" ht="12.75" customHeight="1" x14ac:dyDescent="0.15">
      <c r="AE12402" s="13"/>
    </row>
    <row r="12403" spans="31:31" ht="12.75" customHeight="1" x14ac:dyDescent="0.15">
      <c r="AE12403" s="13"/>
    </row>
    <row r="12404" spans="31:31" ht="12.75" customHeight="1" x14ac:dyDescent="0.15">
      <c r="AE12404" s="13"/>
    </row>
    <row r="12405" spans="31:31" ht="12.75" customHeight="1" x14ac:dyDescent="0.15">
      <c r="AE12405" s="13"/>
    </row>
    <row r="12406" spans="31:31" ht="12.75" customHeight="1" x14ac:dyDescent="0.15">
      <c r="AE12406" s="13"/>
    </row>
    <row r="12407" spans="31:31" ht="12.75" customHeight="1" x14ac:dyDescent="0.15">
      <c r="AE12407" s="13"/>
    </row>
    <row r="12408" spans="31:31" ht="12.75" customHeight="1" x14ac:dyDescent="0.15">
      <c r="AE12408" s="13"/>
    </row>
    <row r="12409" spans="31:31" ht="12.75" customHeight="1" x14ac:dyDescent="0.15">
      <c r="AE12409" s="13"/>
    </row>
    <row r="12410" spans="31:31" ht="12.75" customHeight="1" x14ac:dyDescent="0.15">
      <c r="AE12410" s="13"/>
    </row>
    <row r="12411" spans="31:31" ht="12.75" customHeight="1" x14ac:dyDescent="0.15">
      <c r="AE12411" s="13"/>
    </row>
    <row r="12412" spans="31:31" ht="12.75" customHeight="1" x14ac:dyDescent="0.15">
      <c r="AE12412" s="13"/>
    </row>
    <row r="12413" spans="31:31" ht="12.75" customHeight="1" x14ac:dyDescent="0.15">
      <c r="AE12413" s="13"/>
    </row>
    <row r="12414" spans="31:31" ht="12.75" customHeight="1" x14ac:dyDescent="0.15">
      <c r="AE12414" s="13"/>
    </row>
    <row r="12415" spans="31:31" ht="12.75" customHeight="1" x14ac:dyDescent="0.15">
      <c r="AE12415" s="13"/>
    </row>
    <row r="12416" spans="31:31" ht="12.75" customHeight="1" x14ac:dyDescent="0.15">
      <c r="AE12416" s="13"/>
    </row>
    <row r="12417" spans="31:31" ht="12.75" customHeight="1" x14ac:dyDescent="0.15">
      <c r="AE12417" s="13"/>
    </row>
    <row r="12418" spans="31:31" ht="12.75" customHeight="1" x14ac:dyDescent="0.15">
      <c r="AE12418" s="13"/>
    </row>
    <row r="12419" spans="31:31" ht="12.75" customHeight="1" x14ac:dyDescent="0.15">
      <c r="AE12419" s="13"/>
    </row>
    <row r="12420" spans="31:31" ht="12.75" customHeight="1" x14ac:dyDescent="0.15">
      <c r="AE12420" s="13"/>
    </row>
    <row r="12421" spans="31:31" ht="12.75" customHeight="1" x14ac:dyDescent="0.15">
      <c r="AE12421" s="13"/>
    </row>
    <row r="12422" spans="31:31" ht="12.75" customHeight="1" x14ac:dyDescent="0.15">
      <c r="AE12422" s="13"/>
    </row>
    <row r="12423" spans="31:31" ht="12.75" customHeight="1" x14ac:dyDescent="0.15">
      <c r="AE12423" s="13"/>
    </row>
    <row r="12424" spans="31:31" ht="12.75" customHeight="1" x14ac:dyDescent="0.15">
      <c r="AE12424" s="13"/>
    </row>
    <row r="12425" spans="31:31" ht="12.75" customHeight="1" x14ac:dyDescent="0.15">
      <c r="AE12425" s="13"/>
    </row>
    <row r="12426" spans="31:31" ht="12.75" customHeight="1" x14ac:dyDescent="0.15">
      <c r="AE12426" s="13"/>
    </row>
    <row r="12427" spans="31:31" ht="12.75" customHeight="1" x14ac:dyDescent="0.15">
      <c r="AE12427" s="13"/>
    </row>
    <row r="12428" spans="31:31" ht="12.75" customHeight="1" x14ac:dyDescent="0.15">
      <c r="AE12428" s="13"/>
    </row>
    <row r="12429" spans="31:31" ht="12.75" customHeight="1" x14ac:dyDescent="0.15">
      <c r="AE12429" s="13"/>
    </row>
    <row r="12430" spans="31:31" ht="12.75" customHeight="1" x14ac:dyDescent="0.15">
      <c r="AE12430" s="13"/>
    </row>
    <row r="12431" spans="31:31" ht="12.75" customHeight="1" x14ac:dyDescent="0.15">
      <c r="AE12431" s="13"/>
    </row>
    <row r="12432" spans="31:31" ht="12.75" customHeight="1" x14ac:dyDescent="0.15">
      <c r="AE12432" s="13"/>
    </row>
    <row r="12433" spans="31:31" ht="12.75" customHeight="1" x14ac:dyDescent="0.15">
      <c r="AE12433" s="13"/>
    </row>
    <row r="12434" spans="31:31" ht="12.75" customHeight="1" x14ac:dyDescent="0.15">
      <c r="AE12434" s="13"/>
    </row>
    <row r="12435" spans="31:31" ht="12.75" customHeight="1" x14ac:dyDescent="0.15">
      <c r="AE12435" s="13"/>
    </row>
    <row r="12436" spans="31:31" ht="12.75" customHeight="1" x14ac:dyDescent="0.15">
      <c r="AE12436" s="13"/>
    </row>
    <row r="12437" spans="31:31" ht="12.75" customHeight="1" x14ac:dyDescent="0.15">
      <c r="AE12437" s="13"/>
    </row>
    <row r="12438" spans="31:31" ht="12.75" customHeight="1" x14ac:dyDescent="0.15">
      <c r="AE12438" s="13"/>
    </row>
    <row r="12439" spans="31:31" ht="12.75" customHeight="1" x14ac:dyDescent="0.15">
      <c r="AE12439" s="13"/>
    </row>
    <row r="12440" spans="31:31" ht="12.75" customHeight="1" x14ac:dyDescent="0.15">
      <c r="AE12440" s="13"/>
    </row>
    <row r="12441" spans="31:31" ht="12.75" customHeight="1" x14ac:dyDescent="0.15">
      <c r="AE12441" s="13"/>
    </row>
    <row r="12442" spans="31:31" ht="12.75" customHeight="1" x14ac:dyDescent="0.15">
      <c r="AE12442" s="13"/>
    </row>
    <row r="12443" spans="31:31" ht="12.75" customHeight="1" x14ac:dyDescent="0.15">
      <c r="AE12443" s="13"/>
    </row>
    <row r="12444" spans="31:31" ht="12.75" customHeight="1" x14ac:dyDescent="0.15">
      <c r="AE12444" s="13"/>
    </row>
    <row r="12445" spans="31:31" ht="12.75" customHeight="1" x14ac:dyDescent="0.15">
      <c r="AE12445" s="13"/>
    </row>
    <row r="12446" spans="31:31" ht="12.75" customHeight="1" x14ac:dyDescent="0.15">
      <c r="AE12446" s="13"/>
    </row>
    <row r="12447" spans="31:31" ht="12.75" customHeight="1" x14ac:dyDescent="0.15">
      <c r="AE12447" s="13"/>
    </row>
    <row r="12448" spans="31:31" ht="12.75" customHeight="1" x14ac:dyDescent="0.15">
      <c r="AE12448" s="13"/>
    </row>
    <row r="12449" spans="31:31" ht="12.75" customHeight="1" x14ac:dyDescent="0.15">
      <c r="AE12449" s="13"/>
    </row>
    <row r="12450" spans="31:31" ht="12.75" customHeight="1" x14ac:dyDescent="0.15">
      <c r="AE12450" s="13"/>
    </row>
    <row r="12451" spans="31:31" ht="12.75" customHeight="1" x14ac:dyDescent="0.15">
      <c r="AE12451" s="13"/>
    </row>
    <row r="12452" spans="31:31" ht="12.75" customHeight="1" x14ac:dyDescent="0.15">
      <c r="AE12452" s="13"/>
    </row>
    <row r="12453" spans="31:31" ht="12.75" customHeight="1" x14ac:dyDescent="0.15">
      <c r="AE12453" s="13"/>
    </row>
    <row r="12454" spans="31:31" ht="12.75" customHeight="1" x14ac:dyDescent="0.15">
      <c r="AE12454" s="13"/>
    </row>
    <row r="12455" spans="31:31" ht="12.75" customHeight="1" x14ac:dyDescent="0.15">
      <c r="AE12455" s="13"/>
    </row>
    <row r="12456" spans="31:31" ht="12.75" customHeight="1" x14ac:dyDescent="0.15">
      <c r="AE12456" s="13"/>
    </row>
    <row r="12457" spans="31:31" ht="12.75" customHeight="1" x14ac:dyDescent="0.15">
      <c r="AE12457" s="13"/>
    </row>
    <row r="12458" spans="31:31" ht="12.75" customHeight="1" x14ac:dyDescent="0.15">
      <c r="AE12458" s="13"/>
    </row>
    <row r="12459" spans="31:31" ht="12.75" customHeight="1" x14ac:dyDescent="0.15">
      <c r="AE12459" s="13"/>
    </row>
    <row r="12460" spans="31:31" ht="12.75" customHeight="1" x14ac:dyDescent="0.15">
      <c r="AE12460" s="13"/>
    </row>
    <row r="12461" spans="31:31" ht="12.75" customHeight="1" x14ac:dyDescent="0.15">
      <c r="AE12461" s="13"/>
    </row>
    <row r="12462" spans="31:31" ht="12.75" customHeight="1" x14ac:dyDescent="0.15">
      <c r="AE12462" s="13"/>
    </row>
    <row r="12463" spans="31:31" ht="12.75" customHeight="1" x14ac:dyDescent="0.15">
      <c r="AE12463" s="13"/>
    </row>
    <row r="12464" spans="31:31" ht="12.75" customHeight="1" x14ac:dyDescent="0.15">
      <c r="AE12464" s="13"/>
    </row>
    <row r="12465" spans="31:31" ht="12.75" customHeight="1" x14ac:dyDescent="0.15">
      <c r="AE12465" s="13"/>
    </row>
    <row r="12466" spans="31:31" ht="12.75" customHeight="1" x14ac:dyDescent="0.15">
      <c r="AE12466" s="13"/>
    </row>
    <row r="12467" spans="31:31" ht="12.75" customHeight="1" x14ac:dyDescent="0.15">
      <c r="AE12467" s="13"/>
    </row>
    <row r="12468" spans="31:31" ht="12.75" customHeight="1" x14ac:dyDescent="0.15">
      <c r="AE12468" s="13"/>
    </row>
    <row r="12469" spans="31:31" ht="12.75" customHeight="1" x14ac:dyDescent="0.15">
      <c r="AE12469" s="13"/>
    </row>
    <row r="12470" spans="31:31" ht="12.75" customHeight="1" x14ac:dyDescent="0.15">
      <c r="AE12470" s="13"/>
    </row>
    <row r="12471" spans="31:31" ht="12.75" customHeight="1" x14ac:dyDescent="0.15">
      <c r="AE12471" s="13"/>
    </row>
    <row r="12472" spans="31:31" ht="12.75" customHeight="1" x14ac:dyDescent="0.15">
      <c r="AE12472" s="13"/>
    </row>
    <row r="12473" spans="31:31" ht="12.75" customHeight="1" x14ac:dyDescent="0.15">
      <c r="AE12473" s="13"/>
    </row>
    <row r="12474" spans="31:31" ht="12.75" customHeight="1" x14ac:dyDescent="0.15">
      <c r="AE12474" s="13"/>
    </row>
    <row r="12475" spans="31:31" ht="12.75" customHeight="1" x14ac:dyDescent="0.15">
      <c r="AE12475" s="13"/>
    </row>
    <row r="12476" spans="31:31" ht="12.75" customHeight="1" x14ac:dyDescent="0.15">
      <c r="AE12476" s="13"/>
    </row>
    <row r="12477" spans="31:31" ht="12.75" customHeight="1" x14ac:dyDescent="0.15">
      <c r="AE12477" s="13"/>
    </row>
    <row r="12478" spans="31:31" ht="12.75" customHeight="1" x14ac:dyDescent="0.15">
      <c r="AE12478" s="13"/>
    </row>
    <row r="12479" spans="31:31" ht="12.75" customHeight="1" x14ac:dyDescent="0.15">
      <c r="AE12479" s="13"/>
    </row>
    <row r="12480" spans="31:31" ht="12.75" customHeight="1" x14ac:dyDescent="0.15">
      <c r="AE12480" s="13"/>
    </row>
    <row r="12481" spans="31:31" ht="12.75" customHeight="1" x14ac:dyDescent="0.15">
      <c r="AE12481" s="13"/>
    </row>
    <row r="12482" spans="31:31" ht="12.75" customHeight="1" x14ac:dyDescent="0.15">
      <c r="AE12482" s="13"/>
    </row>
    <row r="12483" spans="31:31" ht="12.75" customHeight="1" x14ac:dyDescent="0.15">
      <c r="AE12483" s="13"/>
    </row>
    <row r="12484" spans="31:31" ht="12.75" customHeight="1" x14ac:dyDescent="0.15">
      <c r="AE12484" s="13"/>
    </row>
    <row r="12485" spans="31:31" ht="12.75" customHeight="1" x14ac:dyDescent="0.15">
      <c r="AE12485" s="13"/>
    </row>
    <row r="12486" spans="31:31" ht="12.75" customHeight="1" x14ac:dyDescent="0.15">
      <c r="AE12486" s="13"/>
    </row>
    <row r="12487" spans="31:31" ht="12.75" customHeight="1" x14ac:dyDescent="0.15">
      <c r="AE12487" s="13"/>
    </row>
    <row r="12488" spans="31:31" ht="12.75" customHeight="1" x14ac:dyDescent="0.15">
      <c r="AE12488" s="13"/>
    </row>
    <row r="12489" spans="31:31" ht="12.75" customHeight="1" x14ac:dyDescent="0.15">
      <c r="AE12489" s="13"/>
    </row>
    <row r="12490" spans="31:31" ht="12.75" customHeight="1" x14ac:dyDescent="0.15">
      <c r="AE12490" s="13"/>
    </row>
    <row r="12491" spans="31:31" ht="12.75" customHeight="1" x14ac:dyDescent="0.15">
      <c r="AE12491" s="13"/>
    </row>
    <row r="12492" spans="31:31" ht="12.75" customHeight="1" x14ac:dyDescent="0.15">
      <c r="AE12492" s="13"/>
    </row>
    <row r="12493" spans="31:31" ht="12.75" customHeight="1" x14ac:dyDescent="0.15">
      <c r="AE12493" s="13"/>
    </row>
    <row r="12494" spans="31:31" ht="12.75" customHeight="1" x14ac:dyDescent="0.15">
      <c r="AE12494" s="13"/>
    </row>
    <row r="12495" spans="31:31" ht="12.75" customHeight="1" x14ac:dyDescent="0.15">
      <c r="AE12495" s="13"/>
    </row>
    <row r="12496" spans="31:31" ht="12.75" customHeight="1" x14ac:dyDescent="0.15">
      <c r="AE12496" s="13"/>
    </row>
    <row r="12497" spans="31:31" ht="12.75" customHeight="1" x14ac:dyDescent="0.15">
      <c r="AE12497" s="13"/>
    </row>
    <row r="12498" spans="31:31" ht="12.75" customHeight="1" x14ac:dyDescent="0.15">
      <c r="AE12498" s="13"/>
    </row>
    <row r="12499" spans="31:31" ht="12.75" customHeight="1" x14ac:dyDescent="0.15">
      <c r="AE12499" s="13"/>
    </row>
    <row r="12500" spans="31:31" ht="12.75" customHeight="1" x14ac:dyDescent="0.15">
      <c r="AE12500" s="13"/>
    </row>
    <row r="12501" spans="31:31" ht="12.75" customHeight="1" x14ac:dyDescent="0.15">
      <c r="AE12501" s="13"/>
    </row>
    <row r="12502" spans="31:31" ht="12.75" customHeight="1" x14ac:dyDescent="0.15">
      <c r="AE12502" s="13"/>
    </row>
    <row r="12503" spans="31:31" ht="12.75" customHeight="1" x14ac:dyDescent="0.15">
      <c r="AE12503" s="13"/>
    </row>
    <row r="12504" spans="31:31" ht="12.75" customHeight="1" x14ac:dyDescent="0.15">
      <c r="AE12504" s="13"/>
    </row>
    <row r="12505" spans="31:31" ht="12.75" customHeight="1" x14ac:dyDescent="0.15">
      <c r="AE12505" s="13"/>
    </row>
    <row r="12506" spans="31:31" ht="12.75" customHeight="1" x14ac:dyDescent="0.15">
      <c r="AE12506" s="13"/>
    </row>
    <row r="12507" spans="31:31" ht="12.75" customHeight="1" x14ac:dyDescent="0.15">
      <c r="AE12507" s="13"/>
    </row>
    <row r="12508" spans="31:31" ht="12.75" customHeight="1" x14ac:dyDescent="0.15">
      <c r="AE12508" s="13"/>
    </row>
    <row r="12509" spans="31:31" ht="12.75" customHeight="1" x14ac:dyDescent="0.15">
      <c r="AE12509" s="13"/>
    </row>
    <row r="12510" spans="31:31" ht="12.75" customHeight="1" x14ac:dyDescent="0.15">
      <c r="AE12510" s="13"/>
    </row>
    <row r="12511" spans="31:31" ht="12.75" customHeight="1" x14ac:dyDescent="0.15">
      <c r="AE12511" s="13"/>
    </row>
    <row r="12512" spans="31:31" ht="12.75" customHeight="1" x14ac:dyDescent="0.15">
      <c r="AE12512" s="13"/>
    </row>
    <row r="12513" spans="31:31" ht="12.75" customHeight="1" x14ac:dyDescent="0.15">
      <c r="AE12513" s="13"/>
    </row>
    <row r="12514" spans="31:31" ht="12.75" customHeight="1" x14ac:dyDescent="0.15">
      <c r="AE12514" s="13"/>
    </row>
    <row r="12515" spans="31:31" ht="12.75" customHeight="1" x14ac:dyDescent="0.15">
      <c r="AE12515" s="13"/>
    </row>
    <row r="12516" spans="31:31" ht="12.75" customHeight="1" x14ac:dyDescent="0.15">
      <c r="AE12516" s="13"/>
    </row>
    <row r="12517" spans="31:31" ht="12.75" customHeight="1" x14ac:dyDescent="0.15">
      <c r="AE12517" s="13"/>
    </row>
    <row r="12518" spans="31:31" ht="12.75" customHeight="1" x14ac:dyDescent="0.15">
      <c r="AE12518" s="13"/>
    </row>
    <row r="12519" spans="31:31" ht="12.75" customHeight="1" x14ac:dyDescent="0.15">
      <c r="AE12519" s="13"/>
    </row>
    <row r="12520" spans="31:31" ht="12.75" customHeight="1" x14ac:dyDescent="0.15">
      <c r="AE12520" s="13"/>
    </row>
    <row r="12521" spans="31:31" ht="12.75" customHeight="1" x14ac:dyDescent="0.15">
      <c r="AE12521" s="13"/>
    </row>
    <row r="12522" spans="31:31" ht="12.75" customHeight="1" x14ac:dyDescent="0.15">
      <c r="AE12522" s="13"/>
    </row>
    <row r="12523" spans="31:31" ht="12.75" customHeight="1" x14ac:dyDescent="0.15">
      <c r="AE12523" s="13"/>
    </row>
    <row r="12524" spans="31:31" ht="12.75" customHeight="1" x14ac:dyDescent="0.15">
      <c r="AE12524" s="13"/>
    </row>
    <row r="12525" spans="31:31" ht="12.75" customHeight="1" x14ac:dyDescent="0.15">
      <c r="AE12525" s="13"/>
    </row>
    <row r="12526" spans="31:31" ht="12.75" customHeight="1" x14ac:dyDescent="0.15">
      <c r="AE12526" s="13"/>
    </row>
    <row r="12527" spans="31:31" ht="12.75" customHeight="1" x14ac:dyDescent="0.15">
      <c r="AE12527" s="13"/>
    </row>
    <row r="12528" spans="31:31" ht="12.75" customHeight="1" x14ac:dyDescent="0.15">
      <c r="AE12528" s="13"/>
    </row>
    <row r="12529" spans="31:31" ht="12.75" customHeight="1" x14ac:dyDescent="0.15">
      <c r="AE12529" s="13"/>
    </row>
    <row r="12530" spans="31:31" ht="12.75" customHeight="1" x14ac:dyDescent="0.15">
      <c r="AE12530" s="13"/>
    </row>
    <row r="12531" spans="31:31" ht="12.75" customHeight="1" x14ac:dyDescent="0.15">
      <c r="AE12531" s="13"/>
    </row>
    <row r="12532" spans="31:31" ht="12.75" customHeight="1" x14ac:dyDescent="0.15">
      <c r="AE12532" s="13"/>
    </row>
    <row r="12533" spans="31:31" ht="12.75" customHeight="1" x14ac:dyDescent="0.15">
      <c r="AE12533" s="13"/>
    </row>
    <row r="12534" spans="31:31" ht="12.75" customHeight="1" x14ac:dyDescent="0.15">
      <c r="AE12534" s="13"/>
    </row>
    <row r="12535" spans="31:31" ht="12.75" customHeight="1" x14ac:dyDescent="0.15">
      <c r="AE12535" s="13"/>
    </row>
    <row r="12536" spans="31:31" ht="12.75" customHeight="1" x14ac:dyDescent="0.15">
      <c r="AE12536" s="13"/>
    </row>
    <row r="12537" spans="31:31" ht="12.75" customHeight="1" x14ac:dyDescent="0.15">
      <c r="AE12537" s="13"/>
    </row>
    <row r="12538" spans="31:31" ht="12.75" customHeight="1" x14ac:dyDescent="0.15">
      <c r="AE12538" s="13"/>
    </row>
    <row r="12539" spans="31:31" ht="12.75" customHeight="1" x14ac:dyDescent="0.15">
      <c r="AE12539" s="13"/>
    </row>
    <row r="12540" spans="31:31" ht="12.75" customHeight="1" x14ac:dyDescent="0.15">
      <c r="AE12540" s="13"/>
    </row>
    <row r="12541" spans="31:31" ht="12.75" customHeight="1" x14ac:dyDescent="0.15">
      <c r="AE12541" s="13"/>
    </row>
    <row r="12542" spans="31:31" ht="12.75" customHeight="1" x14ac:dyDescent="0.15">
      <c r="AE12542" s="13"/>
    </row>
    <row r="12543" spans="31:31" ht="12.75" customHeight="1" x14ac:dyDescent="0.15">
      <c r="AE12543" s="13"/>
    </row>
    <row r="12544" spans="31:31" ht="12.75" customHeight="1" x14ac:dyDescent="0.15">
      <c r="AE12544" s="13"/>
    </row>
    <row r="12545" spans="31:31" ht="12.75" customHeight="1" x14ac:dyDescent="0.15">
      <c r="AE12545" s="13"/>
    </row>
    <row r="12546" spans="31:31" ht="12.75" customHeight="1" x14ac:dyDescent="0.15">
      <c r="AE12546" s="13"/>
    </row>
    <row r="12547" spans="31:31" ht="12.75" customHeight="1" x14ac:dyDescent="0.15">
      <c r="AE12547" s="13"/>
    </row>
    <row r="12548" spans="31:31" ht="12.75" customHeight="1" x14ac:dyDescent="0.15">
      <c r="AE12548" s="13"/>
    </row>
    <row r="12549" spans="31:31" ht="12.75" customHeight="1" x14ac:dyDescent="0.15">
      <c r="AE12549" s="13"/>
    </row>
    <row r="12550" spans="31:31" ht="12.75" customHeight="1" x14ac:dyDescent="0.15">
      <c r="AE12550" s="13"/>
    </row>
    <row r="12551" spans="31:31" ht="12.75" customHeight="1" x14ac:dyDescent="0.15">
      <c r="AE12551" s="13"/>
    </row>
    <row r="12552" spans="31:31" ht="12.75" customHeight="1" x14ac:dyDescent="0.15">
      <c r="AE12552" s="13"/>
    </row>
    <row r="12553" spans="31:31" ht="12.75" customHeight="1" x14ac:dyDescent="0.15">
      <c r="AE12553" s="13"/>
    </row>
    <row r="12554" spans="31:31" ht="12.75" customHeight="1" x14ac:dyDescent="0.15">
      <c r="AE12554" s="13"/>
    </row>
    <row r="12555" spans="31:31" ht="12.75" customHeight="1" x14ac:dyDescent="0.15">
      <c r="AE12555" s="13"/>
    </row>
    <row r="12556" spans="31:31" ht="12.75" customHeight="1" x14ac:dyDescent="0.15">
      <c r="AE12556" s="13"/>
    </row>
    <row r="12557" spans="31:31" ht="12.75" customHeight="1" x14ac:dyDescent="0.15">
      <c r="AE12557" s="13"/>
    </row>
    <row r="12558" spans="31:31" ht="12.75" customHeight="1" x14ac:dyDescent="0.15">
      <c r="AE12558" s="13"/>
    </row>
    <row r="12559" spans="31:31" ht="12.75" customHeight="1" x14ac:dyDescent="0.15">
      <c r="AE12559" s="13"/>
    </row>
    <row r="12560" spans="31:31" ht="12.75" customHeight="1" x14ac:dyDescent="0.15">
      <c r="AE12560" s="13"/>
    </row>
    <row r="12561" spans="31:31" ht="12.75" customHeight="1" x14ac:dyDescent="0.15">
      <c r="AE12561" s="13"/>
    </row>
    <row r="12562" spans="31:31" ht="12.75" customHeight="1" x14ac:dyDescent="0.15">
      <c r="AE12562" s="13"/>
    </row>
    <row r="12563" spans="31:31" ht="12.75" customHeight="1" x14ac:dyDescent="0.15">
      <c r="AE12563" s="13"/>
    </row>
    <row r="12564" spans="31:31" ht="12.75" customHeight="1" x14ac:dyDescent="0.15">
      <c r="AE12564" s="13"/>
    </row>
    <row r="12565" spans="31:31" ht="12.75" customHeight="1" x14ac:dyDescent="0.15">
      <c r="AE12565" s="13"/>
    </row>
    <row r="12566" spans="31:31" ht="12.75" customHeight="1" x14ac:dyDescent="0.15">
      <c r="AE12566" s="13"/>
    </row>
    <row r="12567" spans="31:31" ht="12.75" customHeight="1" x14ac:dyDescent="0.15">
      <c r="AE12567" s="13"/>
    </row>
    <row r="12568" spans="31:31" ht="12.75" customHeight="1" x14ac:dyDescent="0.15">
      <c r="AE12568" s="13"/>
    </row>
    <row r="12569" spans="31:31" ht="12.75" customHeight="1" x14ac:dyDescent="0.15">
      <c r="AE12569" s="13"/>
    </row>
    <row r="12570" spans="31:31" ht="12.75" customHeight="1" x14ac:dyDescent="0.15">
      <c r="AE12570" s="13"/>
    </row>
    <row r="12571" spans="31:31" ht="12.75" customHeight="1" x14ac:dyDescent="0.15">
      <c r="AE12571" s="13"/>
    </row>
    <row r="12572" spans="31:31" ht="12.75" customHeight="1" x14ac:dyDescent="0.15">
      <c r="AE12572" s="13"/>
    </row>
    <row r="12573" spans="31:31" ht="12.75" customHeight="1" x14ac:dyDescent="0.15">
      <c r="AE12573" s="13"/>
    </row>
    <row r="12574" spans="31:31" ht="12.75" customHeight="1" x14ac:dyDescent="0.15">
      <c r="AE12574" s="13"/>
    </row>
    <row r="12575" spans="31:31" ht="12.75" customHeight="1" x14ac:dyDescent="0.15">
      <c r="AE12575" s="13"/>
    </row>
    <row r="12576" spans="31:31" ht="12.75" customHeight="1" x14ac:dyDescent="0.15">
      <c r="AE12576" s="13"/>
    </row>
    <row r="12577" spans="31:31" ht="12.75" customHeight="1" x14ac:dyDescent="0.15">
      <c r="AE12577" s="13"/>
    </row>
    <row r="12578" spans="31:31" ht="12.75" customHeight="1" x14ac:dyDescent="0.15">
      <c r="AE12578" s="13"/>
    </row>
    <row r="12579" spans="31:31" ht="12.75" customHeight="1" x14ac:dyDescent="0.15">
      <c r="AE12579" s="13"/>
    </row>
    <row r="12580" spans="31:31" ht="12.75" customHeight="1" x14ac:dyDescent="0.15">
      <c r="AE12580" s="13"/>
    </row>
    <row r="12581" spans="31:31" ht="12.75" customHeight="1" x14ac:dyDescent="0.15">
      <c r="AE12581" s="13"/>
    </row>
    <row r="12582" spans="31:31" ht="12.75" customHeight="1" x14ac:dyDescent="0.15">
      <c r="AE12582" s="13"/>
    </row>
    <row r="12583" spans="31:31" ht="12.75" customHeight="1" x14ac:dyDescent="0.15">
      <c r="AE12583" s="13"/>
    </row>
    <row r="12584" spans="31:31" ht="12.75" customHeight="1" x14ac:dyDescent="0.15">
      <c r="AE12584" s="13"/>
    </row>
    <row r="12585" spans="31:31" ht="12.75" customHeight="1" x14ac:dyDescent="0.15">
      <c r="AE12585" s="13"/>
    </row>
    <row r="12586" spans="31:31" ht="12.75" customHeight="1" x14ac:dyDescent="0.15">
      <c r="AE12586" s="13"/>
    </row>
    <row r="12587" spans="31:31" ht="12.75" customHeight="1" x14ac:dyDescent="0.15">
      <c r="AE12587" s="13"/>
    </row>
    <row r="12588" spans="31:31" ht="12.75" customHeight="1" x14ac:dyDescent="0.15">
      <c r="AE12588" s="13"/>
    </row>
    <row r="12589" spans="31:31" ht="12.75" customHeight="1" x14ac:dyDescent="0.15">
      <c r="AE12589" s="13"/>
    </row>
    <row r="12590" spans="31:31" ht="12.75" customHeight="1" x14ac:dyDescent="0.15">
      <c r="AE12590" s="13"/>
    </row>
    <row r="12591" spans="31:31" ht="12.75" customHeight="1" x14ac:dyDescent="0.15">
      <c r="AE12591" s="13"/>
    </row>
    <row r="12592" spans="31:31" ht="12.75" customHeight="1" x14ac:dyDescent="0.15">
      <c r="AE12592" s="13"/>
    </row>
    <row r="12593" spans="31:31" ht="12.75" customHeight="1" x14ac:dyDescent="0.15">
      <c r="AE12593" s="13"/>
    </row>
    <row r="12594" spans="31:31" ht="12.75" customHeight="1" x14ac:dyDescent="0.15">
      <c r="AE12594" s="13"/>
    </row>
    <row r="12595" spans="31:31" ht="12.75" customHeight="1" x14ac:dyDescent="0.15">
      <c r="AE12595" s="13"/>
    </row>
    <row r="12596" spans="31:31" ht="12.75" customHeight="1" x14ac:dyDescent="0.15">
      <c r="AE12596" s="13"/>
    </row>
    <row r="12597" spans="31:31" ht="12.75" customHeight="1" x14ac:dyDescent="0.15">
      <c r="AE12597" s="13"/>
    </row>
    <row r="12598" spans="31:31" ht="12.75" customHeight="1" x14ac:dyDescent="0.15">
      <c r="AE12598" s="13"/>
    </row>
    <row r="12599" spans="31:31" ht="12.75" customHeight="1" x14ac:dyDescent="0.15">
      <c r="AE12599" s="13"/>
    </row>
    <row r="12600" spans="31:31" ht="12.75" customHeight="1" x14ac:dyDescent="0.15">
      <c r="AE12600" s="13"/>
    </row>
    <row r="12601" spans="31:31" ht="12.75" customHeight="1" x14ac:dyDescent="0.15">
      <c r="AE12601" s="13"/>
    </row>
    <row r="12602" spans="31:31" ht="12.75" customHeight="1" x14ac:dyDescent="0.15">
      <c r="AE12602" s="13"/>
    </row>
    <row r="12603" spans="31:31" ht="12.75" customHeight="1" x14ac:dyDescent="0.15">
      <c r="AE12603" s="13"/>
    </row>
    <row r="12604" spans="31:31" ht="12.75" customHeight="1" x14ac:dyDescent="0.15">
      <c r="AE12604" s="13"/>
    </row>
    <row r="12605" spans="31:31" ht="12.75" customHeight="1" x14ac:dyDescent="0.15">
      <c r="AE12605" s="13"/>
    </row>
    <row r="12606" spans="31:31" ht="12.75" customHeight="1" x14ac:dyDescent="0.15">
      <c r="AE12606" s="13"/>
    </row>
    <row r="12607" spans="31:31" ht="12.75" customHeight="1" x14ac:dyDescent="0.15">
      <c r="AE12607" s="13"/>
    </row>
    <row r="12608" spans="31:31" ht="12.75" customHeight="1" x14ac:dyDescent="0.15">
      <c r="AE12608" s="13"/>
    </row>
    <row r="12609" spans="31:31" ht="12.75" customHeight="1" x14ac:dyDescent="0.15">
      <c r="AE12609" s="13"/>
    </row>
    <row r="12610" spans="31:31" ht="12.75" customHeight="1" x14ac:dyDescent="0.15">
      <c r="AE12610" s="13"/>
    </row>
    <row r="12611" spans="31:31" ht="12.75" customHeight="1" x14ac:dyDescent="0.15">
      <c r="AE12611" s="13"/>
    </row>
    <row r="12612" spans="31:31" ht="12.75" customHeight="1" x14ac:dyDescent="0.15">
      <c r="AE12612" s="13"/>
    </row>
    <row r="12613" spans="31:31" ht="12.75" customHeight="1" x14ac:dyDescent="0.15">
      <c r="AE12613" s="13"/>
    </row>
    <row r="12614" spans="31:31" ht="12.75" customHeight="1" x14ac:dyDescent="0.15">
      <c r="AE12614" s="13"/>
    </row>
    <row r="12615" spans="31:31" ht="12.75" customHeight="1" x14ac:dyDescent="0.15">
      <c r="AE12615" s="13"/>
    </row>
    <row r="12616" spans="31:31" ht="12.75" customHeight="1" x14ac:dyDescent="0.15">
      <c r="AE12616" s="13"/>
    </row>
    <row r="12617" spans="31:31" ht="12.75" customHeight="1" x14ac:dyDescent="0.15">
      <c r="AE12617" s="13"/>
    </row>
    <row r="12618" spans="31:31" ht="12.75" customHeight="1" x14ac:dyDescent="0.15">
      <c r="AE12618" s="13"/>
    </row>
    <row r="12619" spans="31:31" ht="12.75" customHeight="1" x14ac:dyDescent="0.15">
      <c r="AE12619" s="13"/>
    </row>
    <row r="12620" spans="31:31" ht="12.75" customHeight="1" x14ac:dyDescent="0.15">
      <c r="AE12620" s="13"/>
    </row>
    <row r="12621" spans="31:31" ht="12.75" customHeight="1" x14ac:dyDescent="0.15">
      <c r="AE12621" s="13"/>
    </row>
    <row r="12622" spans="31:31" ht="12.75" customHeight="1" x14ac:dyDescent="0.15">
      <c r="AE12622" s="13"/>
    </row>
    <row r="12623" spans="31:31" ht="12.75" customHeight="1" x14ac:dyDescent="0.15">
      <c r="AE12623" s="13"/>
    </row>
    <row r="12624" spans="31:31" ht="12.75" customHeight="1" x14ac:dyDescent="0.15">
      <c r="AE12624" s="13"/>
    </row>
    <row r="12625" spans="31:31" ht="12.75" customHeight="1" x14ac:dyDescent="0.15">
      <c r="AE12625" s="13"/>
    </row>
    <row r="12626" spans="31:31" ht="12.75" customHeight="1" x14ac:dyDescent="0.15">
      <c r="AE12626" s="13"/>
    </row>
    <row r="12627" spans="31:31" ht="12.75" customHeight="1" x14ac:dyDescent="0.15">
      <c r="AE12627" s="13"/>
    </row>
    <row r="12628" spans="31:31" ht="12.75" customHeight="1" x14ac:dyDescent="0.15">
      <c r="AE12628" s="13"/>
    </row>
    <row r="12629" spans="31:31" ht="12.75" customHeight="1" x14ac:dyDescent="0.15">
      <c r="AE12629" s="13"/>
    </row>
    <row r="12630" spans="31:31" ht="12.75" customHeight="1" x14ac:dyDescent="0.15">
      <c r="AE12630" s="13"/>
    </row>
    <row r="12631" spans="31:31" ht="12.75" customHeight="1" x14ac:dyDescent="0.15">
      <c r="AE12631" s="13"/>
    </row>
    <row r="12632" spans="31:31" ht="12.75" customHeight="1" x14ac:dyDescent="0.15">
      <c r="AE12632" s="13"/>
    </row>
    <row r="12633" spans="31:31" ht="12.75" customHeight="1" x14ac:dyDescent="0.15">
      <c r="AE12633" s="13"/>
    </row>
    <row r="12634" spans="31:31" ht="12.75" customHeight="1" x14ac:dyDescent="0.15">
      <c r="AE12634" s="13"/>
    </row>
    <row r="12635" spans="31:31" ht="12.75" customHeight="1" x14ac:dyDescent="0.15">
      <c r="AE12635" s="13"/>
    </row>
    <row r="12636" spans="31:31" ht="12.75" customHeight="1" x14ac:dyDescent="0.15">
      <c r="AE12636" s="13"/>
    </row>
    <row r="12637" spans="31:31" ht="12.75" customHeight="1" x14ac:dyDescent="0.15">
      <c r="AE12637" s="13"/>
    </row>
    <row r="12638" spans="31:31" ht="12.75" customHeight="1" x14ac:dyDescent="0.15">
      <c r="AE12638" s="13"/>
    </row>
    <row r="12639" spans="31:31" ht="12.75" customHeight="1" x14ac:dyDescent="0.15">
      <c r="AE12639" s="13"/>
    </row>
    <row r="12640" spans="31:31" ht="12.75" customHeight="1" x14ac:dyDescent="0.15">
      <c r="AE12640" s="13"/>
    </row>
    <row r="12641" spans="31:31" ht="12.75" customHeight="1" x14ac:dyDescent="0.15">
      <c r="AE12641" s="13"/>
    </row>
    <row r="12642" spans="31:31" ht="12.75" customHeight="1" x14ac:dyDescent="0.15">
      <c r="AE12642" s="13"/>
    </row>
    <row r="12643" spans="31:31" ht="12.75" customHeight="1" x14ac:dyDescent="0.15">
      <c r="AE12643" s="13"/>
    </row>
    <row r="12644" spans="31:31" ht="12.75" customHeight="1" x14ac:dyDescent="0.15">
      <c r="AE12644" s="13"/>
    </row>
    <row r="12645" spans="31:31" ht="12.75" customHeight="1" x14ac:dyDescent="0.15">
      <c r="AE12645" s="13"/>
    </row>
    <row r="12646" spans="31:31" ht="12.75" customHeight="1" x14ac:dyDescent="0.15">
      <c r="AE12646" s="13"/>
    </row>
    <row r="12647" spans="31:31" ht="12.75" customHeight="1" x14ac:dyDescent="0.15">
      <c r="AE12647" s="13"/>
    </row>
    <row r="12648" spans="31:31" ht="12.75" customHeight="1" x14ac:dyDescent="0.15">
      <c r="AE12648" s="13"/>
    </row>
    <row r="12649" spans="31:31" ht="12.75" customHeight="1" x14ac:dyDescent="0.15">
      <c r="AE12649" s="13"/>
    </row>
    <row r="12650" spans="31:31" ht="12.75" customHeight="1" x14ac:dyDescent="0.15">
      <c r="AE12650" s="13"/>
    </row>
    <row r="12651" spans="31:31" ht="12.75" customHeight="1" x14ac:dyDescent="0.15">
      <c r="AE12651" s="13"/>
    </row>
    <row r="12652" spans="31:31" ht="12.75" customHeight="1" x14ac:dyDescent="0.15">
      <c r="AE12652" s="13"/>
    </row>
    <row r="12653" spans="31:31" ht="12.75" customHeight="1" x14ac:dyDescent="0.15">
      <c r="AE12653" s="13"/>
    </row>
    <row r="12654" spans="31:31" ht="12.75" customHeight="1" x14ac:dyDescent="0.15">
      <c r="AE12654" s="13"/>
    </row>
    <row r="12655" spans="31:31" ht="12.75" customHeight="1" x14ac:dyDescent="0.15">
      <c r="AE12655" s="13"/>
    </row>
    <row r="12656" spans="31:31" ht="12.75" customHeight="1" x14ac:dyDescent="0.15">
      <c r="AE12656" s="13"/>
    </row>
    <row r="12657" spans="31:31" ht="12.75" customHeight="1" x14ac:dyDescent="0.15">
      <c r="AE12657" s="13"/>
    </row>
    <row r="12658" spans="31:31" ht="12.75" customHeight="1" x14ac:dyDescent="0.15">
      <c r="AE12658" s="13"/>
    </row>
    <row r="12659" spans="31:31" ht="12.75" customHeight="1" x14ac:dyDescent="0.15">
      <c r="AE12659" s="13"/>
    </row>
    <row r="12660" spans="31:31" ht="12.75" customHeight="1" x14ac:dyDescent="0.15">
      <c r="AE12660" s="13"/>
    </row>
    <row r="12661" spans="31:31" ht="12.75" customHeight="1" x14ac:dyDescent="0.15">
      <c r="AE12661" s="13"/>
    </row>
    <row r="12662" spans="31:31" ht="12.75" customHeight="1" x14ac:dyDescent="0.15">
      <c r="AE12662" s="13"/>
    </row>
    <row r="12663" spans="31:31" ht="12.75" customHeight="1" x14ac:dyDescent="0.15">
      <c r="AE12663" s="13"/>
    </row>
    <row r="12664" spans="31:31" ht="12.75" customHeight="1" x14ac:dyDescent="0.15">
      <c r="AE12664" s="13"/>
    </row>
    <row r="12665" spans="31:31" ht="12.75" customHeight="1" x14ac:dyDescent="0.15">
      <c r="AE12665" s="13"/>
    </row>
    <row r="12666" spans="31:31" ht="12.75" customHeight="1" x14ac:dyDescent="0.15">
      <c r="AE12666" s="13"/>
    </row>
    <row r="12667" spans="31:31" ht="12.75" customHeight="1" x14ac:dyDescent="0.15">
      <c r="AE12667" s="13"/>
    </row>
    <row r="12668" spans="31:31" ht="12.75" customHeight="1" x14ac:dyDescent="0.15">
      <c r="AE12668" s="13"/>
    </row>
    <row r="12669" spans="31:31" ht="12.75" customHeight="1" x14ac:dyDescent="0.15">
      <c r="AE12669" s="13"/>
    </row>
    <row r="12670" spans="31:31" ht="12.75" customHeight="1" x14ac:dyDescent="0.15">
      <c r="AE12670" s="13"/>
    </row>
    <row r="12671" spans="31:31" ht="12.75" customHeight="1" x14ac:dyDescent="0.15">
      <c r="AE12671" s="13"/>
    </row>
    <row r="12672" spans="31:31" ht="12.75" customHeight="1" x14ac:dyDescent="0.15">
      <c r="AE12672" s="13"/>
    </row>
    <row r="12673" spans="31:31" ht="12.75" customHeight="1" x14ac:dyDescent="0.15">
      <c r="AE12673" s="13"/>
    </row>
    <row r="12674" spans="31:31" ht="12.75" customHeight="1" x14ac:dyDescent="0.15">
      <c r="AE12674" s="13"/>
    </row>
    <row r="12675" spans="31:31" ht="12.75" customHeight="1" x14ac:dyDescent="0.15">
      <c r="AE12675" s="13"/>
    </row>
    <row r="12676" spans="31:31" ht="12.75" customHeight="1" x14ac:dyDescent="0.15">
      <c r="AE12676" s="13"/>
    </row>
    <row r="12677" spans="31:31" ht="12.75" customHeight="1" x14ac:dyDescent="0.15">
      <c r="AE12677" s="13"/>
    </row>
    <row r="12678" spans="31:31" ht="12.75" customHeight="1" x14ac:dyDescent="0.15">
      <c r="AE12678" s="13"/>
    </row>
    <row r="12679" spans="31:31" ht="12.75" customHeight="1" x14ac:dyDescent="0.15">
      <c r="AE12679" s="13"/>
    </row>
    <row r="12680" spans="31:31" ht="12.75" customHeight="1" x14ac:dyDescent="0.15">
      <c r="AE12680" s="13"/>
    </row>
    <row r="12681" spans="31:31" ht="12.75" customHeight="1" x14ac:dyDescent="0.15">
      <c r="AE12681" s="13"/>
    </row>
    <row r="12682" spans="31:31" ht="12.75" customHeight="1" x14ac:dyDescent="0.15">
      <c r="AE12682" s="13"/>
    </row>
    <row r="12683" spans="31:31" ht="12.75" customHeight="1" x14ac:dyDescent="0.15">
      <c r="AE12683" s="13"/>
    </row>
    <row r="12684" spans="31:31" ht="12.75" customHeight="1" x14ac:dyDescent="0.15">
      <c r="AE12684" s="13"/>
    </row>
    <row r="12685" spans="31:31" ht="12.75" customHeight="1" x14ac:dyDescent="0.15">
      <c r="AE12685" s="13"/>
    </row>
    <row r="12686" spans="31:31" ht="12.75" customHeight="1" x14ac:dyDescent="0.15">
      <c r="AE12686" s="13"/>
    </row>
    <row r="12687" spans="31:31" ht="12.75" customHeight="1" x14ac:dyDescent="0.15">
      <c r="AE12687" s="13"/>
    </row>
    <row r="12688" spans="31:31" ht="12.75" customHeight="1" x14ac:dyDescent="0.15">
      <c r="AE12688" s="13"/>
    </row>
    <row r="12689" spans="31:31" ht="12.75" customHeight="1" x14ac:dyDescent="0.15">
      <c r="AE12689" s="13"/>
    </row>
    <row r="12690" spans="31:31" ht="12.75" customHeight="1" x14ac:dyDescent="0.15">
      <c r="AE12690" s="13"/>
    </row>
    <row r="12691" spans="31:31" ht="12.75" customHeight="1" x14ac:dyDescent="0.15">
      <c r="AE12691" s="13"/>
    </row>
    <row r="12692" spans="31:31" ht="12.75" customHeight="1" x14ac:dyDescent="0.15">
      <c r="AE12692" s="13"/>
    </row>
    <row r="12693" spans="31:31" ht="12.75" customHeight="1" x14ac:dyDescent="0.15">
      <c r="AE12693" s="13"/>
    </row>
    <row r="12694" spans="31:31" ht="12.75" customHeight="1" x14ac:dyDescent="0.15">
      <c r="AE12694" s="13"/>
    </row>
    <row r="12695" spans="31:31" ht="12.75" customHeight="1" x14ac:dyDescent="0.15">
      <c r="AE12695" s="13"/>
    </row>
    <row r="12696" spans="31:31" ht="12.75" customHeight="1" x14ac:dyDescent="0.15">
      <c r="AE12696" s="13"/>
    </row>
    <row r="12697" spans="31:31" ht="12.75" customHeight="1" x14ac:dyDescent="0.15">
      <c r="AE12697" s="13"/>
    </row>
    <row r="12698" spans="31:31" ht="12.75" customHeight="1" x14ac:dyDescent="0.15">
      <c r="AE12698" s="13"/>
    </row>
    <row r="12699" spans="31:31" ht="12.75" customHeight="1" x14ac:dyDescent="0.15">
      <c r="AE12699" s="13"/>
    </row>
    <row r="12700" spans="31:31" ht="12.75" customHeight="1" x14ac:dyDescent="0.15">
      <c r="AE12700" s="13"/>
    </row>
    <row r="12701" spans="31:31" ht="12.75" customHeight="1" x14ac:dyDescent="0.15">
      <c r="AE12701" s="13"/>
    </row>
    <row r="12702" spans="31:31" ht="12.75" customHeight="1" x14ac:dyDescent="0.15">
      <c r="AE12702" s="13"/>
    </row>
    <row r="12703" spans="31:31" ht="12.75" customHeight="1" x14ac:dyDescent="0.15">
      <c r="AE12703" s="13"/>
    </row>
    <row r="12704" spans="31:31" ht="12.75" customHeight="1" x14ac:dyDescent="0.15">
      <c r="AE12704" s="13"/>
    </row>
    <row r="12705" spans="31:31" ht="12.75" customHeight="1" x14ac:dyDescent="0.15">
      <c r="AE12705" s="13"/>
    </row>
    <row r="12706" spans="31:31" ht="12.75" customHeight="1" x14ac:dyDescent="0.15">
      <c r="AE12706" s="13"/>
    </row>
    <row r="12707" spans="31:31" ht="12.75" customHeight="1" x14ac:dyDescent="0.15">
      <c r="AE12707" s="13"/>
    </row>
    <row r="12708" spans="31:31" ht="12.75" customHeight="1" x14ac:dyDescent="0.15">
      <c r="AE12708" s="13"/>
    </row>
    <row r="12709" spans="31:31" ht="12.75" customHeight="1" x14ac:dyDescent="0.15">
      <c r="AE12709" s="13"/>
    </row>
    <row r="12710" spans="31:31" ht="12.75" customHeight="1" x14ac:dyDescent="0.15">
      <c r="AE12710" s="13"/>
    </row>
    <row r="12711" spans="31:31" ht="12.75" customHeight="1" x14ac:dyDescent="0.15">
      <c r="AE12711" s="13"/>
    </row>
    <row r="12712" spans="31:31" ht="12.75" customHeight="1" x14ac:dyDescent="0.15">
      <c r="AE12712" s="13"/>
    </row>
    <row r="12713" spans="31:31" ht="12.75" customHeight="1" x14ac:dyDescent="0.15">
      <c r="AE12713" s="13"/>
    </row>
    <row r="12714" spans="31:31" ht="12.75" customHeight="1" x14ac:dyDescent="0.15">
      <c r="AE12714" s="13"/>
    </row>
    <row r="12715" spans="31:31" ht="12.75" customHeight="1" x14ac:dyDescent="0.15">
      <c r="AE12715" s="13"/>
    </row>
    <row r="12716" spans="31:31" ht="12.75" customHeight="1" x14ac:dyDescent="0.15">
      <c r="AE12716" s="13"/>
    </row>
    <row r="12717" spans="31:31" ht="12.75" customHeight="1" x14ac:dyDescent="0.15">
      <c r="AE12717" s="13"/>
    </row>
    <row r="12718" spans="31:31" ht="12.75" customHeight="1" x14ac:dyDescent="0.15">
      <c r="AE12718" s="13"/>
    </row>
    <row r="12719" spans="31:31" ht="12.75" customHeight="1" x14ac:dyDescent="0.15">
      <c r="AE12719" s="13"/>
    </row>
    <row r="12720" spans="31:31" ht="12.75" customHeight="1" x14ac:dyDescent="0.15">
      <c r="AE12720" s="13"/>
    </row>
    <row r="12721" spans="31:31" ht="12.75" customHeight="1" x14ac:dyDescent="0.15">
      <c r="AE12721" s="13"/>
    </row>
    <row r="12722" spans="31:31" ht="12.75" customHeight="1" x14ac:dyDescent="0.15">
      <c r="AE12722" s="13"/>
    </row>
    <row r="12723" spans="31:31" ht="12.75" customHeight="1" x14ac:dyDescent="0.15">
      <c r="AE12723" s="13"/>
    </row>
    <row r="12724" spans="31:31" ht="12.75" customHeight="1" x14ac:dyDescent="0.15">
      <c r="AE12724" s="13"/>
    </row>
    <row r="12725" spans="31:31" ht="12.75" customHeight="1" x14ac:dyDescent="0.15">
      <c r="AE12725" s="13"/>
    </row>
    <row r="12726" spans="31:31" ht="12.75" customHeight="1" x14ac:dyDescent="0.15">
      <c r="AE12726" s="13"/>
    </row>
    <row r="12727" spans="31:31" ht="12.75" customHeight="1" x14ac:dyDescent="0.15">
      <c r="AE12727" s="13"/>
    </row>
    <row r="12728" spans="31:31" ht="12.75" customHeight="1" x14ac:dyDescent="0.15">
      <c r="AE12728" s="13"/>
    </row>
    <row r="12729" spans="31:31" ht="12.75" customHeight="1" x14ac:dyDescent="0.15">
      <c r="AE12729" s="13"/>
    </row>
    <row r="12730" spans="31:31" ht="12.75" customHeight="1" x14ac:dyDescent="0.15">
      <c r="AE12730" s="13"/>
    </row>
    <row r="12731" spans="31:31" ht="12.75" customHeight="1" x14ac:dyDescent="0.15">
      <c r="AE12731" s="13"/>
    </row>
    <row r="12732" spans="31:31" ht="12.75" customHeight="1" x14ac:dyDescent="0.15">
      <c r="AE12732" s="13"/>
    </row>
    <row r="12733" spans="31:31" ht="12.75" customHeight="1" x14ac:dyDescent="0.15">
      <c r="AE12733" s="13"/>
    </row>
    <row r="12734" spans="31:31" ht="12.75" customHeight="1" x14ac:dyDescent="0.15">
      <c r="AE12734" s="13"/>
    </row>
    <row r="12735" spans="31:31" ht="12.75" customHeight="1" x14ac:dyDescent="0.15">
      <c r="AE12735" s="13"/>
    </row>
    <row r="12736" spans="31:31" ht="12.75" customHeight="1" x14ac:dyDescent="0.15">
      <c r="AE12736" s="13"/>
    </row>
    <row r="12737" spans="31:31" ht="12.75" customHeight="1" x14ac:dyDescent="0.15">
      <c r="AE12737" s="13"/>
    </row>
    <row r="12738" spans="31:31" ht="12.75" customHeight="1" x14ac:dyDescent="0.15">
      <c r="AE12738" s="13"/>
    </row>
    <row r="12739" spans="31:31" ht="12.75" customHeight="1" x14ac:dyDescent="0.15">
      <c r="AE12739" s="13"/>
    </row>
    <row r="12740" spans="31:31" ht="12.75" customHeight="1" x14ac:dyDescent="0.15">
      <c r="AE12740" s="13"/>
    </row>
    <row r="12741" spans="31:31" ht="12.75" customHeight="1" x14ac:dyDescent="0.15">
      <c r="AE12741" s="13"/>
    </row>
    <row r="12742" spans="31:31" ht="12.75" customHeight="1" x14ac:dyDescent="0.15">
      <c r="AE12742" s="13"/>
    </row>
    <row r="12743" spans="31:31" ht="12.75" customHeight="1" x14ac:dyDescent="0.15">
      <c r="AE12743" s="13"/>
    </row>
    <row r="12744" spans="31:31" ht="12.75" customHeight="1" x14ac:dyDescent="0.15">
      <c r="AE12744" s="13"/>
    </row>
    <row r="12745" spans="31:31" ht="12.75" customHeight="1" x14ac:dyDescent="0.15">
      <c r="AE12745" s="13"/>
    </row>
    <row r="12746" spans="31:31" ht="12.75" customHeight="1" x14ac:dyDescent="0.15">
      <c r="AE12746" s="13"/>
    </row>
    <row r="12747" spans="31:31" ht="12.75" customHeight="1" x14ac:dyDescent="0.15">
      <c r="AE12747" s="13"/>
    </row>
    <row r="12748" spans="31:31" ht="12.75" customHeight="1" x14ac:dyDescent="0.15">
      <c r="AE12748" s="13"/>
    </row>
    <row r="12749" spans="31:31" ht="12.75" customHeight="1" x14ac:dyDescent="0.15">
      <c r="AE12749" s="13"/>
    </row>
    <row r="12750" spans="31:31" ht="12.75" customHeight="1" x14ac:dyDescent="0.15">
      <c r="AE12750" s="13"/>
    </row>
    <row r="12751" spans="31:31" ht="12.75" customHeight="1" x14ac:dyDescent="0.15">
      <c r="AE12751" s="13"/>
    </row>
    <row r="12752" spans="31:31" ht="12.75" customHeight="1" x14ac:dyDescent="0.15">
      <c r="AE12752" s="13"/>
    </row>
    <row r="12753" spans="31:31" ht="12.75" customHeight="1" x14ac:dyDescent="0.15">
      <c r="AE12753" s="13"/>
    </row>
    <row r="12754" spans="31:31" ht="12.75" customHeight="1" x14ac:dyDescent="0.15">
      <c r="AE12754" s="13"/>
    </row>
    <row r="12755" spans="31:31" ht="12.75" customHeight="1" x14ac:dyDescent="0.15">
      <c r="AE12755" s="13"/>
    </row>
    <row r="12756" spans="31:31" ht="12.75" customHeight="1" x14ac:dyDescent="0.15">
      <c r="AE12756" s="13"/>
    </row>
    <row r="12757" spans="31:31" ht="12.75" customHeight="1" x14ac:dyDescent="0.15">
      <c r="AE12757" s="13"/>
    </row>
    <row r="12758" spans="31:31" ht="12.75" customHeight="1" x14ac:dyDescent="0.15">
      <c r="AE12758" s="13"/>
    </row>
    <row r="12759" spans="31:31" ht="12.75" customHeight="1" x14ac:dyDescent="0.15">
      <c r="AE12759" s="13"/>
    </row>
    <row r="12760" spans="31:31" ht="12.75" customHeight="1" x14ac:dyDescent="0.15">
      <c r="AE12760" s="13"/>
    </row>
    <row r="12761" spans="31:31" ht="12.75" customHeight="1" x14ac:dyDescent="0.15">
      <c r="AE12761" s="13"/>
    </row>
    <row r="12762" spans="31:31" ht="12.75" customHeight="1" x14ac:dyDescent="0.15">
      <c r="AE12762" s="13"/>
    </row>
    <row r="12763" spans="31:31" ht="12.75" customHeight="1" x14ac:dyDescent="0.15">
      <c r="AE12763" s="13"/>
    </row>
    <row r="12764" spans="31:31" ht="12.75" customHeight="1" x14ac:dyDescent="0.15">
      <c r="AE12764" s="13"/>
    </row>
    <row r="12765" spans="31:31" ht="12.75" customHeight="1" x14ac:dyDescent="0.15">
      <c r="AE12765" s="13"/>
    </row>
    <row r="12766" spans="31:31" ht="12.75" customHeight="1" x14ac:dyDescent="0.15">
      <c r="AE12766" s="13"/>
    </row>
    <row r="12767" spans="31:31" ht="12.75" customHeight="1" x14ac:dyDescent="0.15">
      <c r="AE12767" s="13"/>
    </row>
    <row r="12768" spans="31:31" ht="12.75" customHeight="1" x14ac:dyDescent="0.15">
      <c r="AE12768" s="13"/>
    </row>
    <row r="12769" spans="31:31" ht="12.75" customHeight="1" x14ac:dyDescent="0.15">
      <c r="AE12769" s="13"/>
    </row>
    <row r="12770" spans="31:31" ht="12.75" customHeight="1" x14ac:dyDescent="0.15">
      <c r="AE12770" s="13"/>
    </row>
    <row r="12771" spans="31:31" ht="12.75" customHeight="1" x14ac:dyDescent="0.15">
      <c r="AE12771" s="13"/>
    </row>
    <row r="12772" spans="31:31" ht="12.75" customHeight="1" x14ac:dyDescent="0.15">
      <c r="AE12772" s="13"/>
    </row>
    <row r="12773" spans="31:31" ht="12.75" customHeight="1" x14ac:dyDescent="0.15">
      <c r="AE12773" s="13"/>
    </row>
    <row r="12774" spans="31:31" ht="12.75" customHeight="1" x14ac:dyDescent="0.15">
      <c r="AE12774" s="13"/>
    </row>
    <row r="12775" spans="31:31" ht="12.75" customHeight="1" x14ac:dyDescent="0.15">
      <c r="AE12775" s="13"/>
    </row>
    <row r="12776" spans="31:31" ht="12.75" customHeight="1" x14ac:dyDescent="0.15">
      <c r="AE12776" s="13"/>
    </row>
    <row r="12777" spans="31:31" ht="12.75" customHeight="1" x14ac:dyDescent="0.15">
      <c r="AE12777" s="13"/>
    </row>
    <row r="12778" spans="31:31" ht="12.75" customHeight="1" x14ac:dyDescent="0.15">
      <c r="AE12778" s="13"/>
    </row>
    <row r="12779" spans="31:31" ht="12.75" customHeight="1" x14ac:dyDescent="0.15">
      <c r="AE12779" s="13"/>
    </row>
    <row r="12780" spans="31:31" ht="12.75" customHeight="1" x14ac:dyDescent="0.15">
      <c r="AE12780" s="13"/>
    </row>
    <row r="12781" spans="31:31" ht="12.75" customHeight="1" x14ac:dyDescent="0.15">
      <c r="AE12781" s="13"/>
    </row>
    <row r="12782" spans="31:31" ht="12.75" customHeight="1" x14ac:dyDescent="0.15">
      <c r="AE12782" s="13"/>
    </row>
    <row r="12783" spans="31:31" ht="12.75" customHeight="1" x14ac:dyDescent="0.15">
      <c r="AE12783" s="13"/>
    </row>
    <row r="12784" spans="31:31" ht="12.75" customHeight="1" x14ac:dyDescent="0.15">
      <c r="AE12784" s="13"/>
    </row>
    <row r="12785" spans="31:31" ht="12.75" customHeight="1" x14ac:dyDescent="0.15">
      <c r="AE12785" s="13"/>
    </row>
    <row r="12786" spans="31:31" ht="12.75" customHeight="1" x14ac:dyDescent="0.15">
      <c r="AE12786" s="13"/>
    </row>
    <row r="12787" spans="31:31" ht="12.75" customHeight="1" x14ac:dyDescent="0.15">
      <c r="AE12787" s="13"/>
    </row>
    <row r="12788" spans="31:31" ht="12.75" customHeight="1" x14ac:dyDescent="0.15">
      <c r="AE12788" s="13"/>
    </row>
    <row r="12789" spans="31:31" ht="12.75" customHeight="1" x14ac:dyDescent="0.15">
      <c r="AE12789" s="13"/>
    </row>
    <row r="12790" spans="31:31" ht="12.75" customHeight="1" x14ac:dyDescent="0.15">
      <c r="AE12790" s="13"/>
    </row>
    <row r="12791" spans="31:31" ht="12.75" customHeight="1" x14ac:dyDescent="0.15">
      <c r="AE12791" s="13"/>
    </row>
    <row r="12792" spans="31:31" ht="12.75" customHeight="1" x14ac:dyDescent="0.15">
      <c r="AE12792" s="13"/>
    </row>
    <row r="12793" spans="31:31" ht="12.75" customHeight="1" x14ac:dyDescent="0.15">
      <c r="AE12793" s="13"/>
    </row>
    <row r="12794" spans="31:31" ht="12.75" customHeight="1" x14ac:dyDescent="0.15">
      <c r="AE12794" s="13"/>
    </row>
    <row r="12795" spans="31:31" ht="12.75" customHeight="1" x14ac:dyDescent="0.15">
      <c r="AE12795" s="13"/>
    </row>
    <row r="12796" spans="31:31" ht="12.75" customHeight="1" x14ac:dyDescent="0.15">
      <c r="AE12796" s="13"/>
    </row>
    <row r="12797" spans="31:31" ht="12.75" customHeight="1" x14ac:dyDescent="0.15">
      <c r="AE12797" s="13"/>
    </row>
    <row r="12798" spans="31:31" ht="12.75" customHeight="1" x14ac:dyDescent="0.15">
      <c r="AE12798" s="13"/>
    </row>
    <row r="12799" spans="31:31" ht="12.75" customHeight="1" x14ac:dyDescent="0.15">
      <c r="AE12799" s="13"/>
    </row>
    <row r="12800" spans="31:31" ht="12.75" customHeight="1" x14ac:dyDescent="0.15">
      <c r="AE12800" s="13"/>
    </row>
    <row r="12801" spans="31:31" ht="12.75" customHeight="1" x14ac:dyDescent="0.15">
      <c r="AE12801" s="13"/>
    </row>
    <row r="12802" spans="31:31" ht="12.75" customHeight="1" x14ac:dyDescent="0.15">
      <c r="AE12802" s="13"/>
    </row>
    <row r="12803" spans="31:31" ht="12.75" customHeight="1" x14ac:dyDescent="0.15">
      <c r="AE12803" s="13"/>
    </row>
    <row r="12804" spans="31:31" ht="12.75" customHeight="1" x14ac:dyDescent="0.15">
      <c r="AE12804" s="13"/>
    </row>
    <row r="12805" spans="31:31" ht="12.75" customHeight="1" x14ac:dyDescent="0.15">
      <c r="AE12805" s="13"/>
    </row>
    <row r="12806" spans="31:31" ht="12.75" customHeight="1" x14ac:dyDescent="0.15">
      <c r="AE12806" s="13"/>
    </row>
    <row r="12807" spans="31:31" ht="12.75" customHeight="1" x14ac:dyDescent="0.15">
      <c r="AE12807" s="13"/>
    </row>
    <row r="12808" spans="31:31" ht="12.75" customHeight="1" x14ac:dyDescent="0.15">
      <c r="AE12808" s="13"/>
    </row>
    <row r="12809" spans="31:31" ht="12.75" customHeight="1" x14ac:dyDescent="0.15">
      <c r="AE12809" s="13"/>
    </row>
    <row r="12810" spans="31:31" ht="12.75" customHeight="1" x14ac:dyDescent="0.15">
      <c r="AE12810" s="13"/>
    </row>
    <row r="12811" spans="31:31" ht="12.75" customHeight="1" x14ac:dyDescent="0.15">
      <c r="AE12811" s="13"/>
    </row>
    <row r="12812" spans="31:31" ht="12.75" customHeight="1" x14ac:dyDescent="0.15">
      <c r="AE12812" s="13"/>
    </row>
    <row r="12813" spans="31:31" ht="12.75" customHeight="1" x14ac:dyDescent="0.15">
      <c r="AE12813" s="13"/>
    </row>
    <row r="12814" spans="31:31" ht="12.75" customHeight="1" x14ac:dyDescent="0.15">
      <c r="AE12814" s="13"/>
    </row>
    <row r="12815" spans="31:31" ht="12.75" customHeight="1" x14ac:dyDescent="0.15">
      <c r="AE12815" s="13"/>
    </row>
    <row r="12816" spans="31:31" ht="12.75" customHeight="1" x14ac:dyDescent="0.15">
      <c r="AE12816" s="13"/>
    </row>
    <row r="12817" spans="31:31" ht="12.75" customHeight="1" x14ac:dyDescent="0.15">
      <c r="AE12817" s="13"/>
    </row>
    <row r="12818" spans="31:31" ht="12.75" customHeight="1" x14ac:dyDescent="0.15">
      <c r="AE12818" s="13"/>
    </row>
    <row r="12819" spans="31:31" ht="12.75" customHeight="1" x14ac:dyDescent="0.15">
      <c r="AE12819" s="13"/>
    </row>
    <row r="12820" spans="31:31" ht="12.75" customHeight="1" x14ac:dyDescent="0.15">
      <c r="AE12820" s="13"/>
    </row>
    <row r="12821" spans="31:31" ht="12.75" customHeight="1" x14ac:dyDescent="0.15">
      <c r="AE12821" s="13"/>
    </row>
    <row r="12822" spans="31:31" ht="12.75" customHeight="1" x14ac:dyDescent="0.15">
      <c r="AE12822" s="13"/>
    </row>
    <row r="12823" spans="31:31" ht="12.75" customHeight="1" x14ac:dyDescent="0.15">
      <c r="AE12823" s="13"/>
    </row>
    <row r="12824" spans="31:31" ht="12.75" customHeight="1" x14ac:dyDescent="0.15">
      <c r="AE12824" s="13"/>
    </row>
    <row r="12825" spans="31:31" ht="12.75" customHeight="1" x14ac:dyDescent="0.15">
      <c r="AE12825" s="13"/>
    </row>
    <row r="12826" spans="31:31" ht="12.75" customHeight="1" x14ac:dyDescent="0.15">
      <c r="AE12826" s="13"/>
    </row>
    <row r="12827" spans="31:31" ht="12.75" customHeight="1" x14ac:dyDescent="0.15">
      <c r="AE12827" s="13"/>
    </row>
    <row r="12828" spans="31:31" ht="12.75" customHeight="1" x14ac:dyDescent="0.15">
      <c r="AE12828" s="13"/>
    </row>
    <row r="12829" spans="31:31" ht="12.75" customHeight="1" x14ac:dyDescent="0.15">
      <c r="AE12829" s="13"/>
    </row>
    <row r="12830" spans="31:31" ht="12.75" customHeight="1" x14ac:dyDescent="0.15">
      <c r="AE12830" s="13"/>
    </row>
    <row r="12831" spans="31:31" ht="12.75" customHeight="1" x14ac:dyDescent="0.15">
      <c r="AE12831" s="13"/>
    </row>
    <row r="12832" spans="31:31" ht="12.75" customHeight="1" x14ac:dyDescent="0.15">
      <c r="AE12832" s="13"/>
    </row>
    <row r="12833" spans="31:31" ht="12.75" customHeight="1" x14ac:dyDescent="0.15">
      <c r="AE12833" s="13"/>
    </row>
    <row r="12834" spans="31:31" ht="12.75" customHeight="1" x14ac:dyDescent="0.15">
      <c r="AE12834" s="13"/>
    </row>
    <row r="12835" spans="31:31" ht="12.75" customHeight="1" x14ac:dyDescent="0.15">
      <c r="AE12835" s="13"/>
    </row>
    <row r="12836" spans="31:31" ht="12.75" customHeight="1" x14ac:dyDescent="0.15">
      <c r="AE12836" s="13"/>
    </row>
    <row r="12837" spans="31:31" ht="12.75" customHeight="1" x14ac:dyDescent="0.15">
      <c r="AE12837" s="13"/>
    </row>
    <row r="12838" spans="31:31" ht="12.75" customHeight="1" x14ac:dyDescent="0.15">
      <c r="AE12838" s="13"/>
    </row>
    <row r="12839" spans="31:31" ht="12.75" customHeight="1" x14ac:dyDescent="0.15">
      <c r="AE12839" s="13"/>
    </row>
    <row r="12840" spans="31:31" ht="12.75" customHeight="1" x14ac:dyDescent="0.15">
      <c r="AE12840" s="13"/>
    </row>
    <row r="12841" spans="31:31" ht="12.75" customHeight="1" x14ac:dyDescent="0.15">
      <c r="AE12841" s="13"/>
    </row>
    <row r="12842" spans="31:31" ht="12.75" customHeight="1" x14ac:dyDescent="0.15">
      <c r="AE12842" s="13"/>
    </row>
    <row r="12843" spans="31:31" ht="12.75" customHeight="1" x14ac:dyDescent="0.15">
      <c r="AE12843" s="13"/>
    </row>
    <row r="12844" spans="31:31" ht="12.75" customHeight="1" x14ac:dyDescent="0.15">
      <c r="AE12844" s="13"/>
    </row>
    <row r="12845" spans="31:31" ht="12.75" customHeight="1" x14ac:dyDescent="0.15">
      <c r="AE12845" s="13"/>
    </row>
    <row r="12846" spans="31:31" ht="12.75" customHeight="1" x14ac:dyDescent="0.15">
      <c r="AE12846" s="13"/>
    </row>
    <row r="12847" spans="31:31" ht="12.75" customHeight="1" x14ac:dyDescent="0.15">
      <c r="AE12847" s="13"/>
    </row>
    <row r="12848" spans="31:31" ht="12.75" customHeight="1" x14ac:dyDescent="0.15">
      <c r="AE12848" s="13"/>
    </row>
    <row r="12849" spans="31:31" ht="12.75" customHeight="1" x14ac:dyDescent="0.15">
      <c r="AE12849" s="13"/>
    </row>
    <row r="12850" spans="31:31" ht="12.75" customHeight="1" x14ac:dyDescent="0.15">
      <c r="AE12850" s="13"/>
    </row>
    <row r="12851" spans="31:31" ht="12.75" customHeight="1" x14ac:dyDescent="0.15">
      <c r="AE12851" s="13"/>
    </row>
    <row r="12852" spans="31:31" ht="12.75" customHeight="1" x14ac:dyDescent="0.15">
      <c r="AE12852" s="13"/>
    </row>
    <row r="12853" spans="31:31" ht="12.75" customHeight="1" x14ac:dyDescent="0.15">
      <c r="AE12853" s="13"/>
    </row>
    <row r="12854" spans="31:31" ht="12.75" customHeight="1" x14ac:dyDescent="0.15">
      <c r="AE12854" s="13"/>
    </row>
    <row r="12855" spans="31:31" ht="12.75" customHeight="1" x14ac:dyDescent="0.15">
      <c r="AE12855" s="13"/>
    </row>
    <row r="12856" spans="31:31" ht="12.75" customHeight="1" x14ac:dyDescent="0.15">
      <c r="AE12856" s="13"/>
    </row>
    <row r="12857" spans="31:31" ht="12.75" customHeight="1" x14ac:dyDescent="0.15">
      <c r="AE12857" s="13"/>
    </row>
    <row r="12858" spans="31:31" ht="12.75" customHeight="1" x14ac:dyDescent="0.15">
      <c r="AE12858" s="13"/>
    </row>
    <row r="12859" spans="31:31" ht="12.75" customHeight="1" x14ac:dyDescent="0.15">
      <c r="AE12859" s="13"/>
    </row>
    <row r="12860" spans="31:31" ht="12.75" customHeight="1" x14ac:dyDescent="0.15">
      <c r="AE12860" s="13"/>
    </row>
    <row r="12861" spans="31:31" ht="12.75" customHeight="1" x14ac:dyDescent="0.15">
      <c r="AE12861" s="13"/>
    </row>
    <row r="12862" spans="31:31" ht="12.75" customHeight="1" x14ac:dyDescent="0.15">
      <c r="AE12862" s="13"/>
    </row>
    <row r="12863" spans="31:31" ht="12.75" customHeight="1" x14ac:dyDescent="0.15">
      <c r="AE12863" s="13"/>
    </row>
    <row r="12864" spans="31:31" ht="12.75" customHeight="1" x14ac:dyDescent="0.15">
      <c r="AE12864" s="13"/>
    </row>
    <row r="12865" spans="31:31" ht="12.75" customHeight="1" x14ac:dyDescent="0.15">
      <c r="AE12865" s="13"/>
    </row>
    <row r="12866" spans="31:31" ht="12.75" customHeight="1" x14ac:dyDescent="0.15">
      <c r="AE12866" s="13"/>
    </row>
    <row r="12867" spans="31:31" ht="12.75" customHeight="1" x14ac:dyDescent="0.15">
      <c r="AE12867" s="13"/>
    </row>
    <row r="12868" spans="31:31" ht="12.75" customHeight="1" x14ac:dyDescent="0.15">
      <c r="AE12868" s="13"/>
    </row>
    <row r="12869" spans="31:31" ht="12.75" customHeight="1" x14ac:dyDescent="0.15">
      <c r="AE12869" s="13"/>
    </row>
    <row r="12870" spans="31:31" ht="12.75" customHeight="1" x14ac:dyDescent="0.15">
      <c r="AE12870" s="13"/>
    </row>
    <row r="12871" spans="31:31" ht="12.75" customHeight="1" x14ac:dyDescent="0.15">
      <c r="AE12871" s="13"/>
    </row>
    <row r="12872" spans="31:31" ht="12.75" customHeight="1" x14ac:dyDescent="0.15">
      <c r="AE12872" s="13"/>
    </row>
    <row r="12873" spans="31:31" ht="12.75" customHeight="1" x14ac:dyDescent="0.15">
      <c r="AE12873" s="13"/>
    </row>
    <row r="12874" spans="31:31" ht="12.75" customHeight="1" x14ac:dyDescent="0.15">
      <c r="AE12874" s="13"/>
    </row>
    <row r="12875" spans="31:31" ht="12.75" customHeight="1" x14ac:dyDescent="0.15">
      <c r="AE12875" s="13"/>
    </row>
    <row r="12876" spans="31:31" ht="12.75" customHeight="1" x14ac:dyDescent="0.15">
      <c r="AE12876" s="13"/>
    </row>
    <row r="12877" spans="31:31" ht="12.75" customHeight="1" x14ac:dyDescent="0.15">
      <c r="AE12877" s="13"/>
    </row>
    <row r="12878" spans="31:31" ht="12.75" customHeight="1" x14ac:dyDescent="0.15">
      <c r="AE12878" s="13"/>
    </row>
    <row r="12879" spans="31:31" ht="12.75" customHeight="1" x14ac:dyDescent="0.15">
      <c r="AE12879" s="13"/>
    </row>
    <row r="12880" spans="31:31" ht="12.75" customHeight="1" x14ac:dyDescent="0.15">
      <c r="AE12880" s="13"/>
    </row>
    <row r="12881" spans="31:31" ht="12.75" customHeight="1" x14ac:dyDescent="0.15">
      <c r="AE12881" s="13"/>
    </row>
    <row r="12882" spans="31:31" ht="12.75" customHeight="1" x14ac:dyDescent="0.15">
      <c r="AE12882" s="13"/>
    </row>
    <row r="12883" spans="31:31" ht="12.75" customHeight="1" x14ac:dyDescent="0.15">
      <c r="AE12883" s="13"/>
    </row>
    <row r="12884" spans="31:31" ht="12.75" customHeight="1" x14ac:dyDescent="0.15">
      <c r="AE12884" s="13"/>
    </row>
    <row r="12885" spans="31:31" ht="12.75" customHeight="1" x14ac:dyDescent="0.15">
      <c r="AE12885" s="13"/>
    </row>
    <row r="12886" spans="31:31" ht="12.75" customHeight="1" x14ac:dyDescent="0.15">
      <c r="AE12886" s="13"/>
    </row>
    <row r="12887" spans="31:31" ht="12.75" customHeight="1" x14ac:dyDescent="0.15">
      <c r="AE12887" s="13"/>
    </row>
    <row r="12888" spans="31:31" ht="12.75" customHeight="1" x14ac:dyDescent="0.15">
      <c r="AE12888" s="13"/>
    </row>
    <row r="12889" spans="31:31" ht="12.75" customHeight="1" x14ac:dyDescent="0.15">
      <c r="AE12889" s="13"/>
    </row>
    <row r="12890" spans="31:31" ht="12.75" customHeight="1" x14ac:dyDescent="0.15">
      <c r="AE12890" s="13"/>
    </row>
    <row r="12891" spans="31:31" ht="12.75" customHeight="1" x14ac:dyDescent="0.15">
      <c r="AE12891" s="13"/>
    </row>
    <row r="12892" spans="31:31" ht="12.75" customHeight="1" x14ac:dyDescent="0.15">
      <c r="AE12892" s="13"/>
    </row>
    <row r="12893" spans="31:31" ht="12.75" customHeight="1" x14ac:dyDescent="0.15">
      <c r="AE12893" s="13"/>
    </row>
    <row r="12894" spans="31:31" ht="12.75" customHeight="1" x14ac:dyDescent="0.15">
      <c r="AE12894" s="13"/>
    </row>
    <row r="12895" spans="31:31" ht="12.75" customHeight="1" x14ac:dyDescent="0.15">
      <c r="AE12895" s="13"/>
    </row>
    <row r="12896" spans="31:31" ht="12.75" customHeight="1" x14ac:dyDescent="0.15">
      <c r="AE12896" s="13"/>
    </row>
    <row r="12897" spans="31:31" ht="12.75" customHeight="1" x14ac:dyDescent="0.15">
      <c r="AE12897" s="13"/>
    </row>
    <row r="12898" spans="31:31" ht="12.75" customHeight="1" x14ac:dyDescent="0.15">
      <c r="AE12898" s="13"/>
    </row>
    <row r="12899" spans="31:31" ht="12.75" customHeight="1" x14ac:dyDescent="0.15">
      <c r="AE12899" s="13"/>
    </row>
    <row r="12900" spans="31:31" ht="12.75" customHeight="1" x14ac:dyDescent="0.15">
      <c r="AE12900" s="13"/>
    </row>
    <row r="12901" spans="31:31" ht="12.75" customHeight="1" x14ac:dyDescent="0.15">
      <c r="AE12901" s="13"/>
    </row>
    <row r="12902" spans="31:31" ht="12.75" customHeight="1" x14ac:dyDescent="0.15">
      <c r="AE12902" s="13"/>
    </row>
    <row r="12903" spans="31:31" ht="12.75" customHeight="1" x14ac:dyDescent="0.15">
      <c r="AE12903" s="13"/>
    </row>
    <row r="12904" spans="31:31" ht="12.75" customHeight="1" x14ac:dyDescent="0.15">
      <c r="AE12904" s="13"/>
    </row>
    <row r="12905" spans="31:31" ht="12.75" customHeight="1" x14ac:dyDescent="0.15">
      <c r="AE12905" s="13"/>
    </row>
    <row r="12906" spans="31:31" ht="12.75" customHeight="1" x14ac:dyDescent="0.15">
      <c r="AE12906" s="13"/>
    </row>
    <row r="12907" spans="31:31" ht="12.75" customHeight="1" x14ac:dyDescent="0.15">
      <c r="AE12907" s="13"/>
    </row>
    <row r="12908" spans="31:31" ht="12.75" customHeight="1" x14ac:dyDescent="0.15">
      <c r="AE12908" s="13"/>
    </row>
    <row r="12909" spans="31:31" ht="12.75" customHeight="1" x14ac:dyDescent="0.15">
      <c r="AE12909" s="13"/>
    </row>
    <row r="12910" spans="31:31" ht="12.75" customHeight="1" x14ac:dyDescent="0.15">
      <c r="AE12910" s="13"/>
    </row>
    <row r="12911" spans="31:31" ht="12.75" customHeight="1" x14ac:dyDescent="0.15">
      <c r="AE12911" s="13"/>
    </row>
    <row r="12912" spans="31:31" ht="12.75" customHeight="1" x14ac:dyDescent="0.15">
      <c r="AE12912" s="13"/>
    </row>
    <row r="12913" spans="31:31" ht="12.75" customHeight="1" x14ac:dyDescent="0.15">
      <c r="AE12913" s="13"/>
    </row>
    <row r="12914" spans="31:31" ht="12.75" customHeight="1" x14ac:dyDescent="0.15">
      <c r="AE12914" s="13"/>
    </row>
    <row r="12915" spans="31:31" ht="12.75" customHeight="1" x14ac:dyDescent="0.15">
      <c r="AE12915" s="13"/>
    </row>
    <row r="12916" spans="31:31" ht="12.75" customHeight="1" x14ac:dyDescent="0.15">
      <c r="AE12916" s="13"/>
    </row>
    <row r="12917" spans="31:31" ht="12.75" customHeight="1" x14ac:dyDescent="0.15">
      <c r="AE12917" s="13"/>
    </row>
    <row r="12918" spans="31:31" ht="12.75" customHeight="1" x14ac:dyDescent="0.15">
      <c r="AE12918" s="13"/>
    </row>
    <row r="12919" spans="31:31" ht="12.75" customHeight="1" x14ac:dyDescent="0.15">
      <c r="AE12919" s="13"/>
    </row>
    <row r="12920" spans="31:31" ht="12.75" customHeight="1" x14ac:dyDescent="0.15">
      <c r="AE12920" s="13"/>
    </row>
    <row r="12921" spans="31:31" ht="12.75" customHeight="1" x14ac:dyDescent="0.15">
      <c r="AE12921" s="13"/>
    </row>
    <row r="12922" spans="31:31" ht="12.75" customHeight="1" x14ac:dyDescent="0.15">
      <c r="AE12922" s="13"/>
    </row>
    <row r="12923" spans="31:31" ht="12.75" customHeight="1" x14ac:dyDescent="0.15">
      <c r="AE12923" s="13"/>
    </row>
    <row r="12924" spans="31:31" ht="12.75" customHeight="1" x14ac:dyDescent="0.15">
      <c r="AE12924" s="13"/>
    </row>
    <row r="12925" spans="31:31" ht="12.75" customHeight="1" x14ac:dyDescent="0.15">
      <c r="AE12925" s="13"/>
    </row>
    <row r="12926" spans="31:31" ht="12.75" customHeight="1" x14ac:dyDescent="0.15">
      <c r="AE12926" s="13"/>
    </row>
    <row r="12927" spans="31:31" ht="12.75" customHeight="1" x14ac:dyDescent="0.15">
      <c r="AE12927" s="13"/>
    </row>
    <row r="12928" spans="31:31" ht="12.75" customHeight="1" x14ac:dyDescent="0.15">
      <c r="AE12928" s="13"/>
    </row>
    <row r="12929" spans="31:31" ht="12.75" customHeight="1" x14ac:dyDescent="0.15">
      <c r="AE12929" s="13"/>
    </row>
    <row r="12930" spans="31:31" ht="12.75" customHeight="1" x14ac:dyDescent="0.15">
      <c r="AE12930" s="13"/>
    </row>
    <row r="12931" spans="31:31" ht="12.75" customHeight="1" x14ac:dyDescent="0.15">
      <c r="AE12931" s="13"/>
    </row>
    <row r="12932" spans="31:31" ht="12.75" customHeight="1" x14ac:dyDescent="0.15">
      <c r="AE12932" s="13"/>
    </row>
    <row r="12933" spans="31:31" ht="12.75" customHeight="1" x14ac:dyDescent="0.15">
      <c r="AE12933" s="13"/>
    </row>
    <row r="12934" spans="31:31" ht="12.75" customHeight="1" x14ac:dyDescent="0.15">
      <c r="AE12934" s="13"/>
    </row>
    <row r="12935" spans="31:31" ht="12.75" customHeight="1" x14ac:dyDescent="0.15">
      <c r="AE12935" s="13"/>
    </row>
    <row r="12936" spans="31:31" ht="12.75" customHeight="1" x14ac:dyDescent="0.15">
      <c r="AE12936" s="13"/>
    </row>
    <row r="12937" spans="31:31" ht="12.75" customHeight="1" x14ac:dyDescent="0.15">
      <c r="AE12937" s="13"/>
    </row>
    <row r="12938" spans="31:31" ht="12.75" customHeight="1" x14ac:dyDescent="0.15">
      <c r="AE12938" s="13"/>
    </row>
    <row r="12939" spans="31:31" ht="12.75" customHeight="1" x14ac:dyDescent="0.15">
      <c r="AE12939" s="13"/>
    </row>
    <row r="12940" spans="31:31" ht="12.75" customHeight="1" x14ac:dyDescent="0.15">
      <c r="AE12940" s="13"/>
    </row>
    <row r="12941" spans="31:31" ht="12.75" customHeight="1" x14ac:dyDescent="0.15">
      <c r="AE12941" s="13"/>
    </row>
    <row r="12942" spans="31:31" ht="12.75" customHeight="1" x14ac:dyDescent="0.15">
      <c r="AE12942" s="13"/>
    </row>
    <row r="12943" spans="31:31" ht="12.75" customHeight="1" x14ac:dyDescent="0.15">
      <c r="AE12943" s="13"/>
    </row>
    <row r="12944" spans="31:31" ht="12.75" customHeight="1" x14ac:dyDescent="0.15">
      <c r="AE12944" s="13"/>
    </row>
    <row r="12945" spans="31:31" ht="12.75" customHeight="1" x14ac:dyDescent="0.15">
      <c r="AE12945" s="13"/>
    </row>
    <row r="12946" spans="31:31" ht="12.75" customHeight="1" x14ac:dyDescent="0.15">
      <c r="AE12946" s="13"/>
    </row>
    <row r="12947" spans="31:31" ht="12.75" customHeight="1" x14ac:dyDescent="0.15">
      <c r="AE12947" s="13"/>
    </row>
    <row r="12948" spans="31:31" ht="12.75" customHeight="1" x14ac:dyDescent="0.15">
      <c r="AE12948" s="13"/>
    </row>
    <row r="12949" spans="31:31" ht="12.75" customHeight="1" x14ac:dyDescent="0.15">
      <c r="AE12949" s="13"/>
    </row>
    <row r="12950" spans="31:31" ht="12.75" customHeight="1" x14ac:dyDescent="0.15">
      <c r="AE12950" s="13"/>
    </row>
    <row r="12951" spans="31:31" ht="12.75" customHeight="1" x14ac:dyDescent="0.15">
      <c r="AE12951" s="13"/>
    </row>
    <row r="12952" spans="31:31" ht="12.75" customHeight="1" x14ac:dyDescent="0.15">
      <c r="AE12952" s="13"/>
    </row>
    <row r="12953" spans="31:31" ht="12.75" customHeight="1" x14ac:dyDescent="0.15">
      <c r="AE12953" s="13"/>
    </row>
    <row r="12954" spans="31:31" ht="12.75" customHeight="1" x14ac:dyDescent="0.15">
      <c r="AE12954" s="13"/>
    </row>
    <row r="12955" spans="31:31" ht="12.75" customHeight="1" x14ac:dyDescent="0.15">
      <c r="AE12955" s="13"/>
    </row>
    <row r="12956" spans="31:31" ht="12.75" customHeight="1" x14ac:dyDescent="0.15">
      <c r="AE12956" s="13"/>
    </row>
    <row r="12957" spans="31:31" ht="12.75" customHeight="1" x14ac:dyDescent="0.15">
      <c r="AE12957" s="13"/>
    </row>
    <row r="12958" spans="31:31" ht="12.75" customHeight="1" x14ac:dyDescent="0.15">
      <c r="AE12958" s="13"/>
    </row>
    <row r="12959" spans="31:31" ht="12.75" customHeight="1" x14ac:dyDescent="0.15">
      <c r="AE12959" s="13"/>
    </row>
    <row r="12960" spans="31:31" ht="12.75" customHeight="1" x14ac:dyDescent="0.15">
      <c r="AE12960" s="13"/>
    </row>
    <row r="12961" spans="31:31" ht="12.75" customHeight="1" x14ac:dyDescent="0.15">
      <c r="AE12961" s="13"/>
    </row>
    <row r="12962" spans="31:31" ht="12.75" customHeight="1" x14ac:dyDescent="0.15">
      <c r="AE12962" s="13"/>
    </row>
    <row r="12963" spans="31:31" ht="12.75" customHeight="1" x14ac:dyDescent="0.15">
      <c r="AE12963" s="13"/>
    </row>
    <row r="12964" spans="31:31" ht="12.75" customHeight="1" x14ac:dyDescent="0.15">
      <c r="AE12964" s="13"/>
    </row>
    <row r="12965" spans="31:31" ht="12.75" customHeight="1" x14ac:dyDescent="0.15">
      <c r="AE12965" s="13"/>
    </row>
    <row r="12966" spans="31:31" ht="12.75" customHeight="1" x14ac:dyDescent="0.15">
      <c r="AE12966" s="13"/>
    </row>
    <row r="12967" spans="31:31" ht="12.75" customHeight="1" x14ac:dyDescent="0.15">
      <c r="AE12967" s="13"/>
    </row>
    <row r="12968" spans="31:31" ht="12.75" customHeight="1" x14ac:dyDescent="0.15">
      <c r="AE12968" s="13"/>
    </row>
    <row r="12969" spans="31:31" ht="12.75" customHeight="1" x14ac:dyDescent="0.15">
      <c r="AE12969" s="13"/>
    </row>
    <row r="12970" spans="31:31" ht="12.75" customHeight="1" x14ac:dyDescent="0.15">
      <c r="AE12970" s="13"/>
    </row>
    <row r="12971" spans="31:31" ht="12.75" customHeight="1" x14ac:dyDescent="0.15">
      <c r="AE12971" s="13"/>
    </row>
    <row r="12972" spans="31:31" ht="12.75" customHeight="1" x14ac:dyDescent="0.15">
      <c r="AE12972" s="13"/>
    </row>
    <row r="12973" spans="31:31" ht="12.75" customHeight="1" x14ac:dyDescent="0.15">
      <c r="AE12973" s="13"/>
    </row>
    <row r="12974" spans="31:31" ht="12.75" customHeight="1" x14ac:dyDescent="0.15">
      <c r="AE12974" s="13"/>
    </row>
    <row r="12975" spans="31:31" ht="12.75" customHeight="1" x14ac:dyDescent="0.15">
      <c r="AE12975" s="13"/>
    </row>
    <row r="12976" spans="31:31" ht="12.75" customHeight="1" x14ac:dyDescent="0.15">
      <c r="AE12976" s="13"/>
    </row>
    <row r="12977" spans="31:31" ht="12.75" customHeight="1" x14ac:dyDescent="0.15">
      <c r="AE12977" s="13"/>
    </row>
    <row r="12978" spans="31:31" ht="12.75" customHeight="1" x14ac:dyDescent="0.15">
      <c r="AE12978" s="13"/>
    </row>
    <row r="12979" spans="31:31" ht="12.75" customHeight="1" x14ac:dyDescent="0.15">
      <c r="AE12979" s="13"/>
    </row>
    <row r="12980" spans="31:31" ht="12.75" customHeight="1" x14ac:dyDescent="0.15">
      <c r="AE12980" s="13"/>
    </row>
    <row r="12981" spans="31:31" ht="12.75" customHeight="1" x14ac:dyDescent="0.15">
      <c r="AE12981" s="13"/>
    </row>
    <row r="12982" spans="31:31" ht="12.75" customHeight="1" x14ac:dyDescent="0.15">
      <c r="AE12982" s="13"/>
    </row>
    <row r="12983" spans="31:31" ht="12.75" customHeight="1" x14ac:dyDescent="0.15">
      <c r="AE12983" s="13"/>
    </row>
    <row r="12984" spans="31:31" ht="12.75" customHeight="1" x14ac:dyDescent="0.15">
      <c r="AE12984" s="13"/>
    </row>
    <row r="12985" spans="31:31" ht="12.75" customHeight="1" x14ac:dyDescent="0.15">
      <c r="AE12985" s="13"/>
    </row>
    <row r="12986" spans="31:31" ht="12.75" customHeight="1" x14ac:dyDescent="0.15">
      <c r="AE12986" s="13"/>
    </row>
    <row r="12987" spans="31:31" ht="12.75" customHeight="1" x14ac:dyDescent="0.15">
      <c r="AE12987" s="13"/>
    </row>
    <row r="12988" spans="31:31" ht="12.75" customHeight="1" x14ac:dyDescent="0.15">
      <c r="AE12988" s="13"/>
    </row>
    <row r="12989" spans="31:31" ht="12.75" customHeight="1" x14ac:dyDescent="0.15">
      <c r="AE12989" s="13"/>
    </row>
    <row r="12990" spans="31:31" ht="12.75" customHeight="1" x14ac:dyDescent="0.15">
      <c r="AE12990" s="13"/>
    </row>
    <row r="12991" spans="31:31" ht="12.75" customHeight="1" x14ac:dyDescent="0.15">
      <c r="AE12991" s="13"/>
    </row>
    <row r="12992" spans="31:31" ht="12.75" customHeight="1" x14ac:dyDescent="0.15">
      <c r="AE12992" s="13"/>
    </row>
    <row r="12993" spans="31:31" ht="12.75" customHeight="1" x14ac:dyDescent="0.15">
      <c r="AE12993" s="13"/>
    </row>
    <row r="12994" spans="31:31" ht="12.75" customHeight="1" x14ac:dyDescent="0.15">
      <c r="AE12994" s="13"/>
    </row>
    <row r="12995" spans="31:31" ht="12.75" customHeight="1" x14ac:dyDescent="0.15">
      <c r="AE12995" s="13"/>
    </row>
    <row r="12996" spans="31:31" ht="12.75" customHeight="1" x14ac:dyDescent="0.15">
      <c r="AE12996" s="13"/>
    </row>
    <row r="12997" spans="31:31" ht="12.75" customHeight="1" x14ac:dyDescent="0.15">
      <c r="AE12997" s="13"/>
    </row>
    <row r="12998" spans="31:31" ht="12.75" customHeight="1" x14ac:dyDescent="0.15">
      <c r="AE12998" s="13"/>
    </row>
    <row r="12999" spans="31:31" ht="12.75" customHeight="1" x14ac:dyDescent="0.15">
      <c r="AE12999" s="13"/>
    </row>
    <row r="13000" spans="31:31" ht="12.75" customHeight="1" x14ac:dyDescent="0.15">
      <c r="AE13000" s="13"/>
    </row>
    <row r="13001" spans="31:31" ht="12.75" customHeight="1" x14ac:dyDescent="0.15">
      <c r="AE13001" s="13"/>
    </row>
    <row r="13002" spans="31:31" ht="12.75" customHeight="1" x14ac:dyDescent="0.15">
      <c r="AE13002" s="13"/>
    </row>
    <row r="13003" spans="31:31" ht="12.75" customHeight="1" x14ac:dyDescent="0.15">
      <c r="AE13003" s="13"/>
    </row>
    <row r="13004" spans="31:31" ht="12.75" customHeight="1" x14ac:dyDescent="0.15">
      <c r="AE13004" s="13"/>
    </row>
    <row r="13005" spans="31:31" ht="12.75" customHeight="1" x14ac:dyDescent="0.15">
      <c r="AE13005" s="13"/>
    </row>
    <row r="13006" spans="31:31" ht="12.75" customHeight="1" x14ac:dyDescent="0.15">
      <c r="AE13006" s="13"/>
    </row>
    <row r="13007" spans="31:31" ht="12.75" customHeight="1" x14ac:dyDescent="0.15">
      <c r="AE13007" s="13"/>
    </row>
    <row r="13008" spans="31:31" ht="12.75" customHeight="1" x14ac:dyDescent="0.15">
      <c r="AE13008" s="13"/>
    </row>
    <row r="13009" spans="31:31" ht="12.75" customHeight="1" x14ac:dyDescent="0.15">
      <c r="AE13009" s="13"/>
    </row>
    <row r="13010" spans="31:31" ht="12.75" customHeight="1" x14ac:dyDescent="0.15">
      <c r="AE13010" s="13"/>
    </row>
    <row r="13011" spans="31:31" ht="12.75" customHeight="1" x14ac:dyDescent="0.15">
      <c r="AE13011" s="13"/>
    </row>
    <row r="13012" spans="31:31" ht="12.75" customHeight="1" x14ac:dyDescent="0.15">
      <c r="AE13012" s="13"/>
    </row>
    <row r="13013" spans="31:31" ht="12.75" customHeight="1" x14ac:dyDescent="0.15">
      <c r="AE13013" s="13"/>
    </row>
    <row r="13014" spans="31:31" ht="12.75" customHeight="1" x14ac:dyDescent="0.15">
      <c r="AE13014" s="13"/>
    </row>
    <row r="13015" spans="31:31" ht="12.75" customHeight="1" x14ac:dyDescent="0.15">
      <c r="AE13015" s="13"/>
    </row>
    <row r="13016" spans="31:31" ht="12.75" customHeight="1" x14ac:dyDescent="0.15">
      <c r="AE13016" s="13"/>
    </row>
    <row r="13017" spans="31:31" ht="12.75" customHeight="1" x14ac:dyDescent="0.15">
      <c r="AE13017" s="13"/>
    </row>
    <row r="13018" spans="31:31" ht="12.75" customHeight="1" x14ac:dyDescent="0.15">
      <c r="AE13018" s="13"/>
    </row>
    <row r="13019" spans="31:31" ht="12.75" customHeight="1" x14ac:dyDescent="0.15">
      <c r="AE13019" s="13"/>
    </row>
    <row r="13020" spans="31:31" ht="12.75" customHeight="1" x14ac:dyDescent="0.15">
      <c r="AE13020" s="13"/>
    </row>
    <row r="13021" spans="31:31" ht="12.75" customHeight="1" x14ac:dyDescent="0.15">
      <c r="AE13021" s="13"/>
    </row>
    <row r="13022" spans="31:31" ht="12.75" customHeight="1" x14ac:dyDescent="0.15">
      <c r="AE13022" s="13"/>
    </row>
    <row r="13023" spans="31:31" ht="12.75" customHeight="1" x14ac:dyDescent="0.15">
      <c r="AE13023" s="13"/>
    </row>
    <row r="13024" spans="31:31" ht="12.75" customHeight="1" x14ac:dyDescent="0.15">
      <c r="AE13024" s="13"/>
    </row>
    <row r="13025" spans="31:31" ht="12.75" customHeight="1" x14ac:dyDescent="0.15">
      <c r="AE13025" s="13"/>
    </row>
    <row r="13026" spans="31:31" ht="12.75" customHeight="1" x14ac:dyDescent="0.15">
      <c r="AE13026" s="13"/>
    </row>
    <row r="13027" spans="31:31" ht="12.75" customHeight="1" x14ac:dyDescent="0.15">
      <c r="AE13027" s="13"/>
    </row>
    <row r="13028" spans="31:31" ht="12.75" customHeight="1" x14ac:dyDescent="0.15">
      <c r="AE13028" s="13"/>
    </row>
    <row r="13029" spans="31:31" ht="12.75" customHeight="1" x14ac:dyDescent="0.15">
      <c r="AE13029" s="13"/>
    </row>
    <row r="13030" spans="31:31" ht="12.75" customHeight="1" x14ac:dyDescent="0.15">
      <c r="AE13030" s="13"/>
    </row>
    <row r="13031" spans="31:31" ht="12.75" customHeight="1" x14ac:dyDescent="0.15">
      <c r="AE13031" s="13"/>
    </row>
    <row r="13032" spans="31:31" ht="12.75" customHeight="1" x14ac:dyDescent="0.15">
      <c r="AE13032" s="13"/>
    </row>
    <row r="13033" spans="31:31" ht="12.75" customHeight="1" x14ac:dyDescent="0.15">
      <c r="AE13033" s="13"/>
    </row>
    <row r="13034" spans="31:31" ht="12.75" customHeight="1" x14ac:dyDescent="0.15">
      <c r="AE13034" s="13"/>
    </row>
    <row r="13035" spans="31:31" ht="12.75" customHeight="1" x14ac:dyDescent="0.15">
      <c r="AE13035" s="13"/>
    </row>
    <row r="13036" spans="31:31" ht="12.75" customHeight="1" x14ac:dyDescent="0.15">
      <c r="AE13036" s="13"/>
    </row>
    <row r="13037" spans="31:31" ht="12.75" customHeight="1" x14ac:dyDescent="0.15">
      <c r="AE13037" s="13"/>
    </row>
    <row r="13038" spans="31:31" ht="12.75" customHeight="1" x14ac:dyDescent="0.15">
      <c r="AE13038" s="13"/>
    </row>
    <row r="13039" spans="31:31" ht="12.75" customHeight="1" x14ac:dyDescent="0.15">
      <c r="AE13039" s="13"/>
    </row>
    <row r="13040" spans="31:31" ht="12.75" customHeight="1" x14ac:dyDescent="0.15">
      <c r="AE13040" s="13"/>
    </row>
    <row r="13041" spans="31:31" ht="12.75" customHeight="1" x14ac:dyDescent="0.15">
      <c r="AE13041" s="13"/>
    </row>
    <row r="13042" spans="31:31" ht="12.75" customHeight="1" x14ac:dyDescent="0.15">
      <c r="AE13042" s="13"/>
    </row>
    <row r="13043" spans="31:31" ht="12.75" customHeight="1" x14ac:dyDescent="0.15">
      <c r="AE13043" s="13"/>
    </row>
    <row r="13044" spans="31:31" ht="12.75" customHeight="1" x14ac:dyDescent="0.15">
      <c r="AE13044" s="13"/>
    </row>
    <row r="13045" spans="31:31" ht="12.75" customHeight="1" x14ac:dyDescent="0.15">
      <c r="AE13045" s="13"/>
    </row>
    <row r="13046" spans="31:31" ht="12.75" customHeight="1" x14ac:dyDescent="0.15">
      <c r="AE13046" s="13"/>
    </row>
    <row r="13047" spans="31:31" ht="12.75" customHeight="1" x14ac:dyDescent="0.15">
      <c r="AE13047" s="13"/>
    </row>
    <row r="13048" spans="31:31" ht="12.75" customHeight="1" x14ac:dyDescent="0.15">
      <c r="AE13048" s="13"/>
    </row>
    <row r="13049" spans="31:31" ht="12.75" customHeight="1" x14ac:dyDescent="0.15">
      <c r="AE13049" s="13"/>
    </row>
    <row r="13050" spans="31:31" ht="12.75" customHeight="1" x14ac:dyDescent="0.15">
      <c r="AE13050" s="13"/>
    </row>
    <row r="13051" spans="31:31" ht="12.75" customHeight="1" x14ac:dyDescent="0.15">
      <c r="AE13051" s="13"/>
    </row>
    <row r="13052" spans="31:31" ht="12.75" customHeight="1" x14ac:dyDescent="0.15">
      <c r="AE13052" s="13"/>
    </row>
    <row r="13053" spans="31:31" ht="12.75" customHeight="1" x14ac:dyDescent="0.15">
      <c r="AE13053" s="13"/>
    </row>
    <row r="13054" spans="31:31" ht="12.75" customHeight="1" x14ac:dyDescent="0.15">
      <c r="AE13054" s="13"/>
    </row>
    <row r="13055" spans="31:31" ht="12.75" customHeight="1" x14ac:dyDescent="0.15">
      <c r="AE13055" s="13"/>
    </row>
    <row r="13056" spans="31:31" ht="12.75" customHeight="1" x14ac:dyDescent="0.15">
      <c r="AE13056" s="13"/>
    </row>
    <row r="13057" spans="31:31" ht="12.75" customHeight="1" x14ac:dyDescent="0.15">
      <c r="AE13057" s="13"/>
    </row>
    <row r="13058" spans="31:31" ht="12.75" customHeight="1" x14ac:dyDescent="0.15">
      <c r="AE13058" s="13"/>
    </row>
    <row r="13059" spans="31:31" ht="12.75" customHeight="1" x14ac:dyDescent="0.15">
      <c r="AE13059" s="13"/>
    </row>
    <row r="13060" spans="31:31" ht="12.75" customHeight="1" x14ac:dyDescent="0.15">
      <c r="AE13060" s="13"/>
    </row>
    <row r="13061" spans="31:31" ht="12.75" customHeight="1" x14ac:dyDescent="0.15">
      <c r="AE13061" s="13"/>
    </row>
    <row r="13062" spans="31:31" ht="12.75" customHeight="1" x14ac:dyDescent="0.15">
      <c r="AE13062" s="13"/>
    </row>
    <row r="13063" spans="31:31" ht="12.75" customHeight="1" x14ac:dyDescent="0.15">
      <c r="AE13063" s="13"/>
    </row>
    <row r="13064" spans="31:31" ht="12.75" customHeight="1" x14ac:dyDescent="0.15">
      <c r="AE13064" s="13"/>
    </row>
    <row r="13065" spans="31:31" ht="12.75" customHeight="1" x14ac:dyDescent="0.15">
      <c r="AE13065" s="13"/>
    </row>
    <row r="13066" spans="31:31" ht="12.75" customHeight="1" x14ac:dyDescent="0.15">
      <c r="AE13066" s="13"/>
    </row>
    <row r="13067" spans="31:31" ht="12.75" customHeight="1" x14ac:dyDescent="0.15">
      <c r="AE13067" s="13"/>
    </row>
    <row r="13068" spans="31:31" ht="12.75" customHeight="1" x14ac:dyDescent="0.15">
      <c r="AE13068" s="13"/>
    </row>
    <row r="13069" spans="31:31" ht="12.75" customHeight="1" x14ac:dyDescent="0.15">
      <c r="AE13069" s="13"/>
    </row>
    <row r="13070" spans="31:31" ht="12.75" customHeight="1" x14ac:dyDescent="0.15">
      <c r="AE13070" s="13"/>
    </row>
    <row r="13071" spans="31:31" ht="12.75" customHeight="1" x14ac:dyDescent="0.15">
      <c r="AE13071" s="13"/>
    </row>
    <row r="13072" spans="31:31" ht="12.75" customHeight="1" x14ac:dyDescent="0.15">
      <c r="AE13072" s="13"/>
    </row>
    <row r="13073" spans="31:31" ht="12.75" customHeight="1" x14ac:dyDescent="0.15">
      <c r="AE13073" s="13"/>
    </row>
    <row r="13074" spans="31:31" ht="12.75" customHeight="1" x14ac:dyDescent="0.15">
      <c r="AE13074" s="13"/>
    </row>
    <row r="13075" spans="31:31" ht="12.75" customHeight="1" x14ac:dyDescent="0.15">
      <c r="AE13075" s="13"/>
    </row>
    <row r="13076" spans="31:31" ht="12.75" customHeight="1" x14ac:dyDescent="0.15">
      <c r="AE13076" s="13"/>
    </row>
    <row r="13077" spans="31:31" ht="12.75" customHeight="1" x14ac:dyDescent="0.15">
      <c r="AE13077" s="13"/>
    </row>
    <row r="13078" spans="31:31" ht="12.75" customHeight="1" x14ac:dyDescent="0.15">
      <c r="AE13078" s="13"/>
    </row>
    <row r="13079" spans="31:31" ht="12.75" customHeight="1" x14ac:dyDescent="0.15">
      <c r="AE13079" s="13"/>
    </row>
    <row r="13080" spans="31:31" ht="12.75" customHeight="1" x14ac:dyDescent="0.15">
      <c r="AE13080" s="13"/>
    </row>
    <row r="13081" spans="31:31" ht="12.75" customHeight="1" x14ac:dyDescent="0.15">
      <c r="AE13081" s="13"/>
    </row>
    <row r="13082" spans="31:31" ht="12.75" customHeight="1" x14ac:dyDescent="0.15">
      <c r="AE13082" s="13"/>
    </row>
    <row r="13083" spans="31:31" ht="12.75" customHeight="1" x14ac:dyDescent="0.15">
      <c r="AE13083" s="13"/>
    </row>
    <row r="13084" spans="31:31" ht="12.75" customHeight="1" x14ac:dyDescent="0.15">
      <c r="AE13084" s="13"/>
    </row>
    <row r="13085" spans="31:31" ht="12.75" customHeight="1" x14ac:dyDescent="0.15">
      <c r="AE13085" s="13"/>
    </row>
    <row r="13086" spans="31:31" ht="12.75" customHeight="1" x14ac:dyDescent="0.15">
      <c r="AE13086" s="13"/>
    </row>
    <row r="13087" spans="31:31" ht="12.75" customHeight="1" x14ac:dyDescent="0.15">
      <c r="AE13087" s="13"/>
    </row>
    <row r="13088" spans="31:31" ht="12.75" customHeight="1" x14ac:dyDescent="0.15">
      <c r="AE13088" s="13"/>
    </row>
    <row r="13089" spans="31:31" ht="12.75" customHeight="1" x14ac:dyDescent="0.15">
      <c r="AE13089" s="13"/>
    </row>
    <row r="13090" spans="31:31" ht="12.75" customHeight="1" x14ac:dyDescent="0.15">
      <c r="AE13090" s="13"/>
    </row>
    <row r="13091" spans="31:31" ht="12.75" customHeight="1" x14ac:dyDescent="0.15">
      <c r="AE13091" s="13"/>
    </row>
    <row r="13092" spans="31:31" ht="12.75" customHeight="1" x14ac:dyDescent="0.15">
      <c r="AE13092" s="13"/>
    </row>
    <row r="13093" spans="31:31" ht="12.75" customHeight="1" x14ac:dyDescent="0.15">
      <c r="AE13093" s="13"/>
    </row>
    <row r="13094" spans="31:31" ht="12.75" customHeight="1" x14ac:dyDescent="0.15">
      <c r="AE13094" s="13"/>
    </row>
    <row r="13095" spans="31:31" ht="12.75" customHeight="1" x14ac:dyDescent="0.15">
      <c r="AE13095" s="13"/>
    </row>
    <row r="13096" spans="31:31" ht="12.75" customHeight="1" x14ac:dyDescent="0.15">
      <c r="AE13096" s="13"/>
    </row>
    <row r="13097" spans="31:31" ht="12.75" customHeight="1" x14ac:dyDescent="0.15">
      <c r="AE13097" s="13"/>
    </row>
    <row r="13098" spans="31:31" ht="12.75" customHeight="1" x14ac:dyDescent="0.15">
      <c r="AE13098" s="13"/>
    </row>
    <row r="13099" spans="31:31" ht="12.75" customHeight="1" x14ac:dyDescent="0.15">
      <c r="AE13099" s="13"/>
    </row>
    <row r="13100" spans="31:31" ht="12.75" customHeight="1" x14ac:dyDescent="0.15">
      <c r="AE13100" s="13"/>
    </row>
    <row r="13101" spans="31:31" ht="12.75" customHeight="1" x14ac:dyDescent="0.15">
      <c r="AE13101" s="13"/>
    </row>
    <row r="13102" spans="31:31" ht="12.75" customHeight="1" x14ac:dyDescent="0.15">
      <c r="AE13102" s="13"/>
    </row>
    <row r="13103" spans="31:31" ht="12.75" customHeight="1" x14ac:dyDescent="0.15">
      <c r="AE13103" s="13"/>
    </row>
    <row r="13104" spans="31:31" ht="12.75" customHeight="1" x14ac:dyDescent="0.15">
      <c r="AE13104" s="13"/>
    </row>
    <row r="13105" spans="31:31" ht="12.75" customHeight="1" x14ac:dyDescent="0.15">
      <c r="AE13105" s="13"/>
    </row>
    <row r="13106" spans="31:31" ht="12.75" customHeight="1" x14ac:dyDescent="0.15">
      <c r="AE13106" s="13"/>
    </row>
    <row r="13107" spans="31:31" ht="12.75" customHeight="1" x14ac:dyDescent="0.15">
      <c r="AE13107" s="13"/>
    </row>
    <row r="13108" spans="31:31" ht="12.75" customHeight="1" x14ac:dyDescent="0.15">
      <c r="AE13108" s="13"/>
    </row>
    <row r="13109" spans="31:31" ht="12.75" customHeight="1" x14ac:dyDescent="0.15">
      <c r="AE13109" s="13"/>
    </row>
    <row r="13110" spans="31:31" ht="12.75" customHeight="1" x14ac:dyDescent="0.15">
      <c r="AE13110" s="13"/>
    </row>
    <row r="13111" spans="31:31" ht="12.75" customHeight="1" x14ac:dyDescent="0.15">
      <c r="AE13111" s="13"/>
    </row>
    <row r="13112" spans="31:31" ht="12.75" customHeight="1" x14ac:dyDescent="0.15">
      <c r="AE13112" s="13"/>
    </row>
    <row r="13113" spans="31:31" ht="12.75" customHeight="1" x14ac:dyDescent="0.15">
      <c r="AE13113" s="13"/>
    </row>
    <row r="13114" spans="31:31" ht="12.75" customHeight="1" x14ac:dyDescent="0.15">
      <c r="AE13114" s="13"/>
    </row>
    <row r="13115" spans="31:31" ht="12.75" customHeight="1" x14ac:dyDescent="0.15">
      <c r="AE13115" s="13"/>
    </row>
    <row r="13116" spans="31:31" ht="12.75" customHeight="1" x14ac:dyDescent="0.15">
      <c r="AE13116" s="13"/>
    </row>
    <row r="13117" spans="31:31" ht="12.75" customHeight="1" x14ac:dyDescent="0.15">
      <c r="AE13117" s="13"/>
    </row>
    <row r="13118" spans="31:31" ht="12.75" customHeight="1" x14ac:dyDescent="0.15">
      <c r="AE13118" s="13"/>
    </row>
    <row r="13119" spans="31:31" ht="12.75" customHeight="1" x14ac:dyDescent="0.15">
      <c r="AE13119" s="13"/>
    </row>
    <row r="13120" spans="31:31" ht="12.75" customHeight="1" x14ac:dyDescent="0.15">
      <c r="AE13120" s="13"/>
    </row>
    <row r="13121" spans="31:31" ht="12.75" customHeight="1" x14ac:dyDescent="0.15">
      <c r="AE13121" s="13"/>
    </row>
    <row r="13122" spans="31:31" ht="12.75" customHeight="1" x14ac:dyDescent="0.15">
      <c r="AE13122" s="13"/>
    </row>
    <row r="13123" spans="31:31" ht="12.75" customHeight="1" x14ac:dyDescent="0.15">
      <c r="AE13123" s="13"/>
    </row>
    <row r="13124" spans="31:31" ht="12.75" customHeight="1" x14ac:dyDescent="0.15">
      <c r="AE13124" s="13"/>
    </row>
    <row r="13125" spans="31:31" ht="12.75" customHeight="1" x14ac:dyDescent="0.15">
      <c r="AE13125" s="13"/>
    </row>
    <row r="13126" spans="31:31" ht="12.75" customHeight="1" x14ac:dyDescent="0.15">
      <c r="AE13126" s="13"/>
    </row>
    <row r="13127" spans="31:31" ht="12.75" customHeight="1" x14ac:dyDescent="0.15">
      <c r="AE13127" s="13"/>
    </row>
    <row r="13128" spans="31:31" ht="12.75" customHeight="1" x14ac:dyDescent="0.15">
      <c r="AE13128" s="13"/>
    </row>
    <row r="13129" spans="31:31" ht="12.75" customHeight="1" x14ac:dyDescent="0.15">
      <c r="AE13129" s="13"/>
    </row>
    <row r="13130" spans="31:31" ht="12.75" customHeight="1" x14ac:dyDescent="0.15">
      <c r="AE13130" s="13"/>
    </row>
    <row r="13131" spans="31:31" ht="12.75" customHeight="1" x14ac:dyDescent="0.15">
      <c r="AE13131" s="13"/>
    </row>
    <row r="13132" spans="31:31" ht="12.75" customHeight="1" x14ac:dyDescent="0.15">
      <c r="AE13132" s="13"/>
    </row>
    <row r="13133" spans="31:31" ht="12.75" customHeight="1" x14ac:dyDescent="0.15">
      <c r="AE13133" s="13"/>
    </row>
    <row r="13134" spans="31:31" ht="12.75" customHeight="1" x14ac:dyDescent="0.15">
      <c r="AE13134" s="13"/>
    </row>
    <row r="13135" spans="31:31" ht="12.75" customHeight="1" x14ac:dyDescent="0.15">
      <c r="AE13135" s="13"/>
    </row>
    <row r="13136" spans="31:31" ht="12.75" customHeight="1" x14ac:dyDescent="0.15">
      <c r="AE13136" s="13"/>
    </row>
    <row r="13137" spans="31:31" ht="12.75" customHeight="1" x14ac:dyDescent="0.15">
      <c r="AE13137" s="13"/>
    </row>
    <row r="13138" spans="31:31" ht="12.75" customHeight="1" x14ac:dyDescent="0.15">
      <c r="AE13138" s="13"/>
    </row>
    <row r="13139" spans="31:31" ht="12.75" customHeight="1" x14ac:dyDescent="0.15">
      <c r="AE13139" s="13"/>
    </row>
    <row r="13140" spans="31:31" ht="12.75" customHeight="1" x14ac:dyDescent="0.15">
      <c r="AE13140" s="13"/>
    </row>
    <row r="13141" spans="31:31" ht="12.75" customHeight="1" x14ac:dyDescent="0.15">
      <c r="AE13141" s="13"/>
    </row>
    <row r="13142" spans="31:31" ht="12.75" customHeight="1" x14ac:dyDescent="0.15">
      <c r="AE13142" s="13"/>
    </row>
    <row r="13143" spans="31:31" ht="12.75" customHeight="1" x14ac:dyDescent="0.15">
      <c r="AE13143" s="13"/>
    </row>
    <row r="13144" spans="31:31" ht="12.75" customHeight="1" x14ac:dyDescent="0.15">
      <c r="AE13144" s="13"/>
    </row>
    <row r="13145" spans="31:31" ht="12.75" customHeight="1" x14ac:dyDescent="0.15">
      <c r="AE13145" s="13"/>
    </row>
    <row r="13146" spans="31:31" ht="12.75" customHeight="1" x14ac:dyDescent="0.15">
      <c r="AE13146" s="13"/>
    </row>
    <row r="13147" spans="31:31" ht="12.75" customHeight="1" x14ac:dyDescent="0.15">
      <c r="AE13147" s="13"/>
    </row>
    <row r="13148" spans="31:31" ht="12.75" customHeight="1" x14ac:dyDescent="0.15">
      <c r="AE13148" s="13"/>
    </row>
    <row r="13149" spans="31:31" ht="12.75" customHeight="1" x14ac:dyDescent="0.15">
      <c r="AE13149" s="13"/>
    </row>
    <row r="13150" spans="31:31" ht="12.75" customHeight="1" x14ac:dyDescent="0.15">
      <c r="AE13150" s="13"/>
    </row>
    <row r="13151" spans="31:31" ht="12.75" customHeight="1" x14ac:dyDescent="0.15">
      <c r="AE13151" s="13"/>
    </row>
    <row r="13152" spans="31:31" ht="12.75" customHeight="1" x14ac:dyDescent="0.15">
      <c r="AE13152" s="13"/>
    </row>
    <row r="13153" spans="31:31" ht="12.75" customHeight="1" x14ac:dyDescent="0.15">
      <c r="AE13153" s="13"/>
    </row>
    <row r="13154" spans="31:31" ht="12.75" customHeight="1" x14ac:dyDescent="0.15">
      <c r="AE13154" s="13"/>
    </row>
    <row r="13155" spans="31:31" ht="12.75" customHeight="1" x14ac:dyDescent="0.15">
      <c r="AE13155" s="13"/>
    </row>
    <row r="13156" spans="31:31" ht="12.75" customHeight="1" x14ac:dyDescent="0.15">
      <c r="AE13156" s="13"/>
    </row>
    <row r="13157" spans="31:31" ht="12.75" customHeight="1" x14ac:dyDescent="0.15">
      <c r="AE13157" s="13"/>
    </row>
    <row r="13158" spans="31:31" ht="12.75" customHeight="1" x14ac:dyDescent="0.15">
      <c r="AE13158" s="13"/>
    </row>
    <row r="13159" spans="31:31" ht="12.75" customHeight="1" x14ac:dyDescent="0.15">
      <c r="AE13159" s="13"/>
    </row>
    <row r="13160" spans="31:31" ht="12.75" customHeight="1" x14ac:dyDescent="0.15">
      <c r="AE13160" s="13"/>
    </row>
    <row r="13161" spans="31:31" ht="12.75" customHeight="1" x14ac:dyDescent="0.15">
      <c r="AE13161" s="13"/>
    </row>
    <row r="13162" spans="31:31" ht="12.75" customHeight="1" x14ac:dyDescent="0.15">
      <c r="AE13162" s="13"/>
    </row>
    <row r="13163" spans="31:31" ht="12.75" customHeight="1" x14ac:dyDescent="0.15">
      <c r="AE13163" s="13"/>
    </row>
    <row r="13164" spans="31:31" ht="12.75" customHeight="1" x14ac:dyDescent="0.15">
      <c r="AE13164" s="13"/>
    </row>
    <row r="13165" spans="31:31" ht="12.75" customHeight="1" x14ac:dyDescent="0.15">
      <c r="AE13165" s="13"/>
    </row>
    <row r="13166" spans="31:31" ht="12.75" customHeight="1" x14ac:dyDescent="0.15">
      <c r="AE13166" s="13"/>
    </row>
    <row r="13167" spans="31:31" ht="12.75" customHeight="1" x14ac:dyDescent="0.15">
      <c r="AE13167" s="13"/>
    </row>
    <row r="13168" spans="31:31" ht="12.75" customHeight="1" x14ac:dyDescent="0.15">
      <c r="AE13168" s="13"/>
    </row>
    <row r="13169" spans="31:31" ht="12.75" customHeight="1" x14ac:dyDescent="0.15">
      <c r="AE13169" s="13"/>
    </row>
    <row r="13170" spans="31:31" ht="12.75" customHeight="1" x14ac:dyDescent="0.15">
      <c r="AE13170" s="13"/>
    </row>
    <row r="13171" spans="31:31" ht="12.75" customHeight="1" x14ac:dyDescent="0.15">
      <c r="AE13171" s="13"/>
    </row>
    <row r="13172" spans="31:31" ht="12.75" customHeight="1" x14ac:dyDescent="0.15">
      <c r="AE13172" s="13"/>
    </row>
    <row r="13173" spans="31:31" ht="12.75" customHeight="1" x14ac:dyDescent="0.15">
      <c r="AE13173" s="13"/>
    </row>
    <row r="13174" spans="31:31" ht="12.75" customHeight="1" x14ac:dyDescent="0.15">
      <c r="AE13174" s="13"/>
    </row>
    <row r="13175" spans="31:31" ht="12.75" customHeight="1" x14ac:dyDescent="0.15">
      <c r="AE13175" s="13"/>
    </row>
    <row r="13176" spans="31:31" ht="12.75" customHeight="1" x14ac:dyDescent="0.15">
      <c r="AE13176" s="13"/>
    </row>
    <row r="13177" spans="31:31" ht="12.75" customHeight="1" x14ac:dyDescent="0.15">
      <c r="AE13177" s="13"/>
    </row>
    <row r="13178" spans="31:31" ht="12.75" customHeight="1" x14ac:dyDescent="0.15">
      <c r="AE13178" s="13"/>
    </row>
    <row r="13179" spans="31:31" ht="12.75" customHeight="1" x14ac:dyDescent="0.15">
      <c r="AE13179" s="13"/>
    </row>
    <row r="13180" spans="31:31" ht="12.75" customHeight="1" x14ac:dyDescent="0.15">
      <c r="AE13180" s="13"/>
    </row>
    <row r="13181" spans="31:31" ht="12.75" customHeight="1" x14ac:dyDescent="0.15">
      <c r="AE13181" s="13"/>
    </row>
    <row r="13182" spans="31:31" ht="12.75" customHeight="1" x14ac:dyDescent="0.15">
      <c r="AE13182" s="13"/>
    </row>
    <row r="13183" spans="31:31" ht="12.75" customHeight="1" x14ac:dyDescent="0.15">
      <c r="AE13183" s="13"/>
    </row>
    <row r="13184" spans="31:31" ht="12.75" customHeight="1" x14ac:dyDescent="0.15">
      <c r="AE13184" s="13"/>
    </row>
    <row r="13185" spans="31:31" ht="12.75" customHeight="1" x14ac:dyDescent="0.15">
      <c r="AE13185" s="13"/>
    </row>
    <row r="13186" spans="31:31" ht="12.75" customHeight="1" x14ac:dyDescent="0.15">
      <c r="AE13186" s="13"/>
    </row>
    <row r="13187" spans="31:31" ht="12.75" customHeight="1" x14ac:dyDescent="0.15">
      <c r="AE13187" s="13"/>
    </row>
    <row r="13188" spans="31:31" ht="12.75" customHeight="1" x14ac:dyDescent="0.15">
      <c r="AE13188" s="13"/>
    </row>
    <row r="13189" spans="31:31" ht="12.75" customHeight="1" x14ac:dyDescent="0.15">
      <c r="AE13189" s="13"/>
    </row>
    <row r="13190" spans="31:31" ht="12.75" customHeight="1" x14ac:dyDescent="0.15">
      <c r="AE13190" s="13"/>
    </row>
    <row r="13191" spans="31:31" ht="12.75" customHeight="1" x14ac:dyDescent="0.15">
      <c r="AE13191" s="13"/>
    </row>
    <row r="13192" spans="31:31" ht="12.75" customHeight="1" x14ac:dyDescent="0.15">
      <c r="AE13192" s="13"/>
    </row>
    <row r="13193" spans="31:31" ht="12.75" customHeight="1" x14ac:dyDescent="0.15">
      <c r="AE13193" s="13"/>
    </row>
    <row r="13194" spans="31:31" ht="12.75" customHeight="1" x14ac:dyDescent="0.15">
      <c r="AE13194" s="13"/>
    </row>
    <row r="13195" spans="31:31" ht="12.75" customHeight="1" x14ac:dyDescent="0.15">
      <c r="AE13195" s="13"/>
    </row>
    <row r="13196" spans="31:31" ht="12.75" customHeight="1" x14ac:dyDescent="0.15">
      <c r="AE13196" s="13"/>
    </row>
    <row r="13197" spans="31:31" ht="12.75" customHeight="1" x14ac:dyDescent="0.15">
      <c r="AE13197" s="13"/>
    </row>
    <row r="13198" spans="31:31" ht="12.75" customHeight="1" x14ac:dyDescent="0.15">
      <c r="AE13198" s="13"/>
    </row>
    <row r="13199" spans="31:31" ht="12.75" customHeight="1" x14ac:dyDescent="0.15">
      <c r="AE13199" s="13"/>
    </row>
    <row r="13200" spans="31:31" ht="12.75" customHeight="1" x14ac:dyDescent="0.15">
      <c r="AE13200" s="13"/>
    </row>
    <row r="13201" spans="31:31" ht="12.75" customHeight="1" x14ac:dyDescent="0.15">
      <c r="AE13201" s="13"/>
    </row>
    <row r="13202" spans="31:31" ht="12.75" customHeight="1" x14ac:dyDescent="0.15">
      <c r="AE13202" s="13"/>
    </row>
    <row r="13203" spans="31:31" ht="12.75" customHeight="1" x14ac:dyDescent="0.15">
      <c r="AE13203" s="13"/>
    </row>
    <row r="13204" spans="31:31" ht="12.75" customHeight="1" x14ac:dyDescent="0.15">
      <c r="AE13204" s="13"/>
    </row>
    <row r="13205" spans="31:31" ht="12.75" customHeight="1" x14ac:dyDescent="0.15">
      <c r="AE13205" s="13"/>
    </row>
    <row r="13206" spans="31:31" ht="12.75" customHeight="1" x14ac:dyDescent="0.15">
      <c r="AE13206" s="13"/>
    </row>
    <row r="13207" spans="31:31" ht="12.75" customHeight="1" x14ac:dyDescent="0.15">
      <c r="AE13207" s="13"/>
    </row>
    <row r="13208" spans="31:31" ht="12.75" customHeight="1" x14ac:dyDescent="0.15">
      <c r="AE13208" s="13"/>
    </row>
    <row r="13209" spans="31:31" ht="12.75" customHeight="1" x14ac:dyDescent="0.15">
      <c r="AE13209" s="13"/>
    </row>
    <row r="13210" spans="31:31" ht="12.75" customHeight="1" x14ac:dyDescent="0.15">
      <c r="AE13210" s="13"/>
    </row>
    <row r="13211" spans="31:31" ht="12.75" customHeight="1" x14ac:dyDescent="0.15">
      <c r="AE13211" s="13"/>
    </row>
    <row r="13212" spans="31:31" ht="12.75" customHeight="1" x14ac:dyDescent="0.15">
      <c r="AE13212" s="13"/>
    </row>
    <row r="13213" spans="31:31" ht="12.75" customHeight="1" x14ac:dyDescent="0.15">
      <c r="AE13213" s="13"/>
    </row>
    <row r="13214" spans="31:31" ht="12.75" customHeight="1" x14ac:dyDescent="0.15">
      <c r="AE13214" s="13"/>
    </row>
    <row r="13215" spans="31:31" ht="12.75" customHeight="1" x14ac:dyDescent="0.15">
      <c r="AE13215" s="13"/>
    </row>
    <row r="13216" spans="31:31" ht="12.75" customHeight="1" x14ac:dyDescent="0.15">
      <c r="AE13216" s="13"/>
    </row>
    <row r="13217" spans="31:31" ht="12.75" customHeight="1" x14ac:dyDescent="0.15">
      <c r="AE13217" s="13"/>
    </row>
    <row r="13218" spans="31:31" ht="12.75" customHeight="1" x14ac:dyDescent="0.15">
      <c r="AE13218" s="13"/>
    </row>
    <row r="13219" spans="31:31" ht="12.75" customHeight="1" x14ac:dyDescent="0.15">
      <c r="AE13219" s="13"/>
    </row>
    <row r="13220" spans="31:31" ht="12.75" customHeight="1" x14ac:dyDescent="0.15">
      <c r="AE13220" s="13"/>
    </row>
    <row r="13221" spans="31:31" ht="12.75" customHeight="1" x14ac:dyDescent="0.15">
      <c r="AE13221" s="13"/>
    </row>
    <row r="13222" spans="31:31" ht="12.75" customHeight="1" x14ac:dyDescent="0.15">
      <c r="AE13222" s="13"/>
    </row>
    <row r="13223" spans="31:31" ht="12.75" customHeight="1" x14ac:dyDescent="0.15">
      <c r="AE13223" s="13"/>
    </row>
    <row r="13224" spans="31:31" ht="12.75" customHeight="1" x14ac:dyDescent="0.15">
      <c r="AE13224" s="13"/>
    </row>
    <row r="13225" spans="31:31" ht="12.75" customHeight="1" x14ac:dyDescent="0.15">
      <c r="AE13225" s="13"/>
    </row>
    <row r="13226" spans="31:31" ht="12.75" customHeight="1" x14ac:dyDescent="0.15">
      <c r="AE13226" s="13"/>
    </row>
    <row r="13227" spans="31:31" ht="12.75" customHeight="1" x14ac:dyDescent="0.15">
      <c r="AE13227" s="13"/>
    </row>
    <row r="13228" spans="31:31" ht="12.75" customHeight="1" x14ac:dyDescent="0.15">
      <c r="AE13228" s="13"/>
    </row>
    <row r="13229" spans="31:31" ht="12.75" customHeight="1" x14ac:dyDescent="0.15">
      <c r="AE13229" s="13"/>
    </row>
    <row r="13230" spans="31:31" ht="12.75" customHeight="1" x14ac:dyDescent="0.15">
      <c r="AE13230" s="13"/>
    </row>
    <row r="13231" spans="31:31" ht="12.75" customHeight="1" x14ac:dyDescent="0.15">
      <c r="AE13231" s="13"/>
    </row>
    <row r="13232" spans="31:31" ht="12.75" customHeight="1" x14ac:dyDescent="0.15">
      <c r="AE13232" s="13"/>
    </row>
    <row r="13233" spans="31:31" ht="12.75" customHeight="1" x14ac:dyDescent="0.15">
      <c r="AE13233" s="13"/>
    </row>
    <row r="13234" spans="31:31" ht="12.75" customHeight="1" x14ac:dyDescent="0.15">
      <c r="AE13234" s="13"/>
    </row>
    <row r="13235" spans="31:31" ht="12.75" customHeight="1" x14ac:dyDescent="0.15">
      <c r="AE13235" s="13"/>
    </row>
    <row r="13236" spans="31:31" ht="12.75" customHeight="1" x14ac:dyDescent="0.15">
      <c r="AE13236" s="13"/>
    </row>
    <row r="13237" spans="31:31" ht="12.75" customHeight="1" x14ac:dyDescent="0.15">
      <c r="AE13237" s="13"/>
    </row>
    <row r="13238" spans="31:31" ht="12.75" customHeight="1" x14ac:dyDescent="0.15">
      <c r="AE13238" s="13"/>
    </row>
    <row r="13239" spans="31:31" ht="12.75" customHeight="1" x14ac:dyDescent="0.15">
      <c r="AE13239" s="13"/>
    </row>
    <row r="13240" spans="31:31" ht="12.75" customHeight="1" x14ac:dyDescent="0.15">
      <c r="AE13240" s="13"/>
    </row>
    <row r="13241" spans="31:31" ht="12.75" customHeight="1" x14ac:dyDescent="0.15">
      <c r="AE13241" s="13"/>
    </row>
    <row r="13242" spans="31:31" ht="12.75" customHeight="1" x14ac:dyDescent="0.15">
      <c r="AE13242" s="13"/>
    </row>
    <row r="13243" spans="31:31" ht="12.75" customHeight="1" x14ac:dyDescent="0.15">
      <c r="AE13243" s="13"/>
    </row>
    <row r="13244" spans="31:31" ht="12.75" customHeight="1" x14ac:dyDescent="0.15">
      <c r="AE13244" s="13"/>
    </row>
    <row r="13245" spans="31:31" ht="12.75" customHeight="1" x14ac:dyDescent="0.15">
      <c r="AE13245" s="13"/>
    </row>
    <row r="13246" spans="31:31" ht="12.75" customHeight="1" x14ac:dyDescent="0.15">
      <c r="AE13246" s="13"/>
    </row>
    <row r="13247" spans="31:31" ht="12.75" customHeight="1" x14ac:dyDescent="0.15">
      <c r="AE13247" s="13"/>
    </row>
    <row r="13248" spans="31:31" ht="12.75" customHeight="1" x14ac:dyDescent="0.15">
      <c r="AE13248" s="13"/>
    </row>
    <row r="13249" spans="31:31" ht="12.75" customHeight="1" x14ac:dyDescent="0.15">
      <c r="AE13249" s="13"/>
    </row>
    <row r="13250" spans="31:31" ht="12.75" customHeight="1" x14ac:dyDescent="0.15">
      <c r="AE13250" s="13"/>
    </row>
    <row r="13251" spans="31:31" ht="12.75" customHeight="1" x14ac:dyDescent="0.15">
      <c r="AE13251" s="13"/>
    </row>
    <row r="13252" spans="31:31" ht="12.75" customHeight="1" x14ac:dyDescent="0.15">
      <c r="AE13252" s="13"/>
    </row>
    <row r="13253" spans="31:31" ht="12.75" customHeight="1" x14ac:dyDescent="0.15">
      <c r="AE13253" s="13"/>
    </row>
    <row r="13254" spans="31:31" ht="12.75" customHeight="1" x14ac:dyDescent="0.15">
      <c r="AE13254" s="13"/>
    </row>
    <row r="13255" spans="31:31" ht="12.75" customHeight="1" x14ac:dyDescent="0.15">
      <c r="AE13255" s="13"/>
    </row>
    <row r="13256" spans="31:31" ht="12.75" customHeight="1" x14ac:dyDescent="0.15">
      <c r="AE13256" s="13"/>
    </row>
    <row r="13257" spans="31:31" ht="12.75" customHeight="1" x14ac:dyDescent="0.15">
      <c r="AE13257" s="13"/>
    </row>
    <row r="13258" spans="31:31" ht="12.75" customHeight="1" x14ac:dyDescent="0.15">
      <c r="AE13258" s="13"/>
    </row>
    <row r="13259" spans="31:31" ht="12.75" customHeight="1" x14ac:dyDescent="0.15">
      <c r="AE13259" s="13"/>
    </row>
    <row r="13260" spans="31:31" ht="12.75" customHeight="1" x14ac:dyDescent="0.15">
      <c r="AE13260" s="13"/>
    </row>
    <row r="13261" spans="31:31" ht="12.75" customHeight="1" x14ac:dyDescent="0.15">
      <c r="AE13261" s="13"/>
    </row>
    <row r="13262" spans="31:31" ht="12.75" customHeight="1" x14ac:dyDescent="0.15">
      <c r="AE13262" s="13"/>
    </row>
    <row r="13263" spans="31:31" ht="12.75" customHeight="1" x14ac:dyDescent="0.15">
      <c r="AE13263" s="13"/>
    </row>
    <row r="13264" spans="31:31" ht="12.75" customHeight="1" x14ac:dyDescent="0.15">
      <c r="AE13264" s="13"/>
    </row>
    <row r="13265" spans="31:31" ht="12.75" customHeight="1" x14ac:dyDescent="0.15">
      <c r="AE13265" s="13"/>
    </row>
    <row r="13266" spans="31:31" ht="12.75" customHeight="1" x14ac:dyDescent="0.15">
      <c r="AE13266" s="13"/>
    </row>
    <row r="13267" spans="31:31" ht="12.75" customHeight="1" x14ac:dyDescent="0.15">
      <c r="AE13267" s="13"/>
    </row>
    <row r="13268" spans="31:31" ht="12.75" customHeight="1" x14ac:dyDescent="0.15">
      <c r="AE13268" s="13"/>
    </row>
    <row r="13269" spans="31:31" ht="12.75" customHeight="1" x14ac:dyDescent="0.15">
      <c r="AE13269" s="13"/>
    </row>
    <row r="13270" spans="31:31" ht="12.75" customHeight="1" x14ac:dyDescent="0.15">
      <c r="AE13270" s="13"/>
    </row>
    <row r="13271" spans="31:31" ht="12.75" customHeight="1" x14ac:dyDescent="0.15">
      <c r="AE13271" s="13"/>
    </row>
    <row r="13272" spans="31:31" ht="12.75" customHeight="1" x14ac:dyDescent="0.15">
      <c r="AE13272" s="13"/>
    </row>
    <row r="13273" spans="31:31" ht="12.75" customHeight="1" x14ac:dyDescent="0.15">
      <c r="AE13273" s="13"/>
    </row>
    <row r="13274" spans="31:31" ht="12.75" customHeight="1" x14ac:dyDescent="0.15">
      <c r="AE13274" s="13"/>
    </row>
    <row r="13275" spans="31:31" ht="12.75" customHeight="1" x14ac:dyDescent="0.15">
      <c r="AE13275" s="13"/>
    </row>
    <row r="13276" spans="31:31" ht="12.75" customHeight="1" x14ac:dyDescent="0.15">
      <c r="AE13276" s="13"/>
    </row>
    <row r="13277" spans="31:31" ht="12.75" customHeight="1" x14ac:dyDescent="0.15">
      <c r="AE13277" s="13"/>
    </row>
    <row r="13278" spans="31:31" ht="12.75" customHeight="1" x14ac:dyDescent="0.15">
      <c r="AE13278" s="13"/>
    </row>
    <row r="13279" spans="31:31" ht="12.75" customHeight="1" x14ac:dyDescent="0.15">
      <c r="AE13279" s="13"/>
    </row>
    <row r="13280" spans="31:31" ht="12.75" customHeight="1" x14ac:dyDescent="0.15">
      <c r="AE13280" s="13"/>
    </row>
    <row r="13281" spans="31:31" ht="12.75" customHeight="1" x14ac:dyDescent="0.15">
      <c r="AE13281" s="13"/>
    </row>
    <row r="13282" spans="31:31" ht="12.75" customHeight="1" x14ac:dyDescent="0.15">
      <c r="AE13282" s="13"/>
    </row>
    <row r="13283" spans="31:31" ht="12.75" customHeight="1" x14ac:dyDescent="0.15">
      <c r="AE13283" s="13"/>
    </row>
    <row r="13284" spans="31:31" ht="12.75" customHeight="1" x14ac:dyDescent="0.15">
      <c r="AE13284" s="13"/>
    </row>
    <row r="13285" spans="31:31" ht="12.75" customHeight="1" x14ac:dyDescent="0.15">
      <c r="AE13285" s="13"/>
    </row>
    <row r="13286" spans="31:31" ht="12.75" customHeight="1" x14ac:dyDescent="0.15">
      <c r="AE13286" s="13"/>
    </row>
    <row r="13287" spans="31:31" ht="12.75" customHeight="1" x14ac:dyDescent="0.15">
      <c r="AE13287" s="13"/>
    </row>
    <row r="13288" spans="31:31" ht="12.75" customHeight="1" x14ac:dyDescent="0.15">
      <c r="AE13288" s="13"/>
    </row>
    <row r="13289" spans="31:31" ht="12.75" customHeight="1" x14ac:dyDescent="0.15">
      <c r="AE13289" s="13"/>
    </row>
    <row r="13290" spans="31:31" ht="12.75" customHeight="1" x14ac:dyDescent="0.15">
      <c r="AE13290" s="13"/>
    </row>
    <row r="13291" spans="31:31" ht="12.75" customHeight="1" x14ac:dyDescent="0.15">
      <c r="AE13291" s="13"/>
    </row>
    <row r="13292" spans="31:31" ht="12.75" customHeight="1" x14ac:dyDescent="0.15">
      <c r="AE13292" s="13"/>
    </row>
    <row r="13293" spans="31:31" ht="12.75" customHeight="1" x14ac:dyDescent="0.15">
      <c r="AE13293" s="13"/>
    </row>
    <row r="13294" spans="31:31" ht="12.75" customHeight="1" x14ac:dyDescent="0.15">
      <c r="AE13294" s="13"/>
    </row>
    <row r="13295" spans="31:31" ht="12.75" customHeight="1" x14ac:dyDescent="0.15">
      <c r="AE13295" s="13"/>
    </row>
    <row r="13296" spans="31:31" ht="12.75" customHeight="1" x14ac:dyDescent="0.15">
      <c r="AE13296" s="13"/>
    </row>
    <row r="13297" spans="31:31" ht="12.75" customHeight="1" x14ac:dyDescent="0.15">
      <c r="AE13297" s="13"/>
    </row>
    <row r="13298" spans="31:31" ht="12.75" customHeight="1" x14ac:dyDescent="0.15">
      <c r="AE13298" s="13"/>
    </row>
    <row r="13299" spans="31:31" ht="12.75" customHeight="1" x14ac:dyDescent="0.15">
      <c r="AE13299" s="13"/>
    </row>
    <row r="13300" spans="31:31" ht="12.75" customHeight="1" x14ac:dyDescent="0.15">
      <c r="AE13300" s="13"/>
    </row>
    <row r="13301" spans="31:31" ht="12.75" customHeight="1" x14ac:dyDescent="0.15">
      <c r="AE13301" s="13"/>
    </row>
    <row r="13302" spans="31:31" ht="12.75" customHeight="1" x14ac:dyDescent="0.15">
      <c r="AE13302" s="13"/>
    </row>
    <row r="13303" spans="31:31" ht="12.75" customHeight="1" x14ac:dyDescent="0.15">
      <c r="AE13303" s="13"/>
    </row>
    <row r="13304" spans="31:31" ht="12.75" customHeight="1" x14ac:dyDescent="0.15">
      <c r="AE13304" s="13"/>
    </row>
    <row r="13305" spans="31:31" ht="12.75" customHeight="1" x14ac:dyDescent="0.15">
      <c r="AE13305" s="13"/>
    </row>
    <row r="13306" spans="31:31" ht="12.75" customHeight="1" x14ac:dyDescent="0.15">
      <c r="AE13306" s="13"/>
    </row>
    <row r="13307" spans="31:31" ht="12.75" customHeight="1" x14ac:dyDescent="0.15">
      <c r="AE13307" s="13"/>
    </row>
    <row r="13308" spans="31:31" ht="12.75" customHeight="1" x14ac:dyDescent="0.15">
      <c r="AE13308" s="13"/>
    </row>
    <row r="13309" spans="31:31" ht="12.75" customHeight="1" x14ac:dyDescent="0.15">
      <c r="AE13309" s="13"/>
    </row>
    <row r="13310" spans="31:31" ht="12.75" customHeight="1" x14ac:dyDescent="0.15">
      <c r="AE13310" s="13"/>
    </row>
    <row r="13311" spans="31:31" ht="12.75" customHeight="1" x14ac:dyDescent="0.15">
      <c r="AE13311" s="13"/>
    </row>
    <row r="13312" spans="31:31" ht="12.75" customHeight="1" x14ac:dyDescent="0.15">
      <c r="AE13312" s="13"/>
    </row>
    <row r="13313" spans="31:31" ht="12.75" customHeight="1" x14ac:dyDescent="0.15">
      <c r="AE13313" s="13"/>
    </row>
    <row r="13314" spans="31:31" ht="12.75" customHeight="1" x14ac:dyDescent="0.15">
      <c r="AE13314" s="13"/>
    </row>
    <row r="13315" spans="31:31" ht="12.75" customHeight="1" x14ac:dyDescent="0.15">
      <c r="AE13315" s="13"/>
    </row>
    <row r="13316" spans="31:31" ht="12.75" customHeight="1" x14ac:dyDescent="0.15">
      <c r="AE13316" s="13"/>
    </row>
    <row r="13317" spans="31:31" ht="12.75" customHeight="1" x14ac:dyDescent="0.15">
      <c r="AE13317" s="13"/>
    </row>
    <row r="13318" spans="31:31" ht="12.75" customHeight="1" x14ac:dyDescent="0.15">
      <c r="AE13318" s="13"/>
    </row>
    <row r="13319" spans="31:31" ht="12.75" customHeight="1" x14ac:dyDescent="0.15">
      <c r="AE13319" s="13"/>
    </row>
    <row r="13320" spans="31:31" ht="12.75" customHeight="1" x14ac:dyDescent="0.15">
      <c r="AE13320" s="13"/>
    </row>
    <row r="13321" spans="31:31" ht="12.75" customHeight="1" x14ac:dyDescent="0.15">
      <c r="AE13321" s="13"/>
    </row>
    <row r="13322" spans="31:31" ht="12.75" customHeight="1" x14ac:dyDescent="0.15">
      <c r="AE13322" s="13"/>
    </row>
    <row r="13323" spans="31:31" ht="12.75" customHeight="1" x14ac:dyDescent="0.15">
      <c r="AE13323" s="13"/>
    </row>
    <row r="13324" spans="31:31" ht="12.75" customHeight="1" x14ac:dyDescent="0.15">
      <c r="AE13324" s="13"/>
    </row>
    <row r="13325" spans="31:31" ht="12.75" customHeight="1" x14ac:dyDescent="0.15">
      <c r="AE13325" s="13"/>
    </row>
    <row r="13326" spans="31:31" ht="12.75" customHeight="1" x14ac:dyDescent="0.15">
      <c r="AE13326" s="13"/>
    </row>
    <row r="13327" spans="31:31" ht="12.75" customHeight="1" x14ac:dyDescent="0.15">
      <c r="AE13327" s="13"/>
    </row>
    <row r="13328" spans="31:31" ht="12.75" customHeight="1" x14ac:dyDescent="0.15">
      <c r="AE13328" s="13"/>
    </row>
    <row r="13329" spans="31:31" ht="12.75" customHeight="1" x14ac:dyDescent="0.15">
      <c r="AE13329" s="13"/>
    </row>
    <row r="13330" spans="31:31" ht="12.75" customHeight="1" x14ac:dyDescent="0.15">
      <c r="AE13330" s="13"/>
    </row>
    <row r="13331" spans="31:31" ht="12.75" customHeight="1" x14ac:dyDescent="0.15">
      <c r="AE13331" s="13"/>
    </row>
    <row r="13332" spans="31:31" ht="12.75" customHeight="1" x14ac:dyDescent="0.15">
      <c r="AE13332" s="13"/>
    </row>
    <row r="13333" spans="31:31" ht="12.75" customHeight="1" x14ac:dyDescent="0.15">
      <c r="AE13333" s="13"/>
    </row>
    <row r="13334" spans="31:31" ht="12.75" customHeight="1" x14ac:dyDescent="0.15">
      <c r="AE13334" s="13"/>
    </row>
    <row r="13335" spans="31:31" ht="12.75" customHeight="1" x14ac:dyDescent="0.15">
      <c r="AE13335" s="13"/>
    </row>
    <row r="13336" spans="31:31" ht="12.75" customHeight="1" x14ac:dyDescent="0.15">
      <c r="AE13336" s="13"/>
    </row>
    <row r="13337" spans="31:31" ht="12.75" customHeight="1" x14ac:dyDescent="0.15">
      <c r="AE13337" s="13"/>
    </row>
    <row r="13338" spans="31:31" ht="12.75" customHeight="1" x14ac:dyDescent="0.15">
      <c r="AE13338" s="13"/>
    </row>
    <row r="13339" spans="31:31" ht="12.75" customHeight="1" x14ac:dyDescent="0.15">
      <c r="AE13339" s="13"/>
    </row>
    <row r="13340" spans="31:31" ht="12.75" customHeight="1" x14ac:dyDescent="0.15">
      <c r="AE13340" s="13"/>
    </row>
    <row r="13341" spans="31:31" ht="12.75" customHeight="1" x14ac:dyDescent="0.15">
      <c r="AE13341" s="13"/>
    </row>
    <row r="13342" spans="31:31" ht="12.75" customHeight="1" x14ac:dyDescent="0.15">
      <c r="AE13342" s="13"/>
    </row>
    <row r="13343" spans="31:31" ht="12.75" customHeight="1" x14ac:dyDescent="0.15">
      <c r="AE13343" s="13"/>
    </row>
    <row r="13344" spans="31:31" ht="12.75" customHeight="1" x14ac:dyDescent="0.15">
      <c r="AE13344" s="13"/>
    </row>
    <row r="13345" spans="31:31" ht="12.75" customHeight="1" x14ac:dyDescent="0.15">
      <c r="AE13345" s="13"/>
    </row>
    <row r="13346" spans="31:31" ht="12.75" customHeight="1" x14ac:dyDescent="0.15">
      <c r="AE13346" s="13"/>
    </row>
    <row r="13347" spans="31:31" ht="12.75" customHeight="1" x14ac:dyDescent="0.15">
      <c r="AE13347" s="13"/>
    </row>
    <row r="13348" spans="31:31" ht="12.75" customHeight="1" x14ac:dyDescent="0.15">
      <c r="AE13348" s="13"/>
    </row>
    <row r="13349" spans="31:31" ht="12.75" customHeight="1" x14ac:dyDescent="0.15">
      <c r="AE13349" s="13"/>
    </row>
    <row r="13350" spans="31:31" ht="12.75" customHeight="1" x14ac:dyDescent="0.15">
      <c r="AE13350" s="13"/>
    </row>
    <row r="13351" spans="31:31" ht="12.75" customHeight="1" x14ac:dyDescent="0.15">
      <c r="AE13351" s="13"/>
    </row>
    <row r="13352" spans="31:31" ht="12.75" customHeight="1" x14ac:dyDescent="0.15">
      <c r="AE13352" s="13"/>
    </row>
    <row r="13353" spans="31:31" ht="12.75" customHeight="1" x14ac:dyDescent="0.15">
      <c r="AE13353" s="13"/>
    </row>
    <row r="13354" spans="31:31" ht="12.75" customHeight="1" x14ac:dyDescent="0.15">
      <c r="AE13354" s="13"/>
    </row>
    <row r="13355" spans="31:31" ht="12.75" customHeight="1" x14ac:dyDescent="0.15">
      <c r="AE13355" s="13"/>
    </row>
    <row r="13356" spans="31:31" ht="12.75" customHeight="1" x14ac:dyDescent="0.15">
      <c r="AE13356" s="13"/>
    </row>
    <row r="13357" spans="31:31" ht="12.75" customHeight="1" x14ac:dyDescent="0.15">
      <c r="AE13357" s="13"/>
    </row>
    <row r="13358" spans="31:31" ht="12.75" customHeight="1" x14ac:dyDescent="0.15">
      <c r="AE13358" s="13"/>
    </row>
    <row r="13359" spans="31:31" ht="12.75" customHeight="1" x14ac:dyDescent="0.15">
      <c r="AE13359" s="13"/>
    </row>
    <row r="13360" spans="31:31" ht="12.75" customHeight="1" x14ac:dyDescent="0.15">
      <c r="AE13360" s="13"/>
    </row>
    <row r="13361" spans="31:31" ht="12.75" customHeight="1" x14ac:dyDescent="0.15">
      <c r="AE13361" s="13"/>
    </row>
    <row r="13362" spans="31:31" ht="12.75" customHeight="1" x14ac:dyDescent="0.15">
      <c r="AE13362" s="13"/>
    </row>
    <row r="13363" spans="31:31" ht="12.75" customHeight="1" x14ac:dyDescent="0.15">
      <c r="AE13363" s="13"/>
    </row>
    <row r="13364" spans="31:31" ht="12.75" customHeight="1" x14ac:dyDescent="0.15">
      <c r="AE13364" s="13"/>
    </row>
    <row r="13365" spans="31:31" ht="12.75" customHeight="1" x14ac:dyDescent="0.15">
      <c r="AE13365" s="13"/>
    </row>
    <row r="13366" spans="31:31" ht="12.75" customHeight="1" x14ac:dyDescent="0.15">
      <c r="AE13366" s="13"/>
    </row>
    <row r="13367" spans="31:31" ht="12.75" customHeight="1" x14ac:dyDescent="0.15">
      <c r="AE13367" s="13"/>
    </row>
    <row r="13368" spans="31:31" ht="12.75" customHeight="1" x14ac:dyDescent="0.15">
      <c r="AE13368" s="13"/>
    </row>
    <row r="13369" spans="31:31" ht="12.75" customHeight="1" x14ac:dyDescent="0.15">
      <c r="AE13369" s="13"/>
    </row>
    <row r="13370" spans="31:31" ht="12.75" customHeight="1" x14ac:dyDescent="0.15">
      <c r="AE13370" s="13"/>
    </row>
    <row r="13371" spans="31:31" ht="12.75" customHeight="1" x14ac:dyDescent="0.15">
      <c r="AE13371" s="13"/>
    </row>
    <row r="13372" spans="31:31" ht="12.75" customHeight="1" x14ac:dyDescent="0.15">
      <c r="AE13372" s="13"/>
    </row>
    <row r="13373" spans="31:31" ht="12.75" customHeight="1" x14ac:dyDescent="0.15">
      <c r="AE13373" s="13"/>
    </row>
    <row r="13374" spans="31:31" ht="12.75" customHeight="1" x14ac:dyDescent="0.15">
      <c r="AE13374" s="13"/>
    </row>
    <row r="13375" spans="31:31" ht="12.75" customHeight="1" x14ac:dyDescent="0.15">
      <c r="AE13375" s="13"/>
    </row>
    <row r="13376" spans="31:31" ht="12.75" customHeight="1" x14ac:dyDescent="0.15">
      <c r="AE13376" s="13"/>
    </row>
    <row r="13377" spans="31:31" ht="12.75" customHeight="1" x14ac:dyDescent="0.15">
      <c r="AE13377" s="13"/>
    </row>
    <row r="13378" spans="31:31" ht="12.75" customHeight="1" x14ac:dyDescent="0.15">
      <c r="AE13378" s="13"/>
    </row>
    <row r="13379" spans="31:31" ht="12.75" customHeight="1" x14ac:dyDescent="0.15">
      <c r="AE13379" s="13"/>
    </row>
    <row r="13380" spans="31:31" ht="12.75" customHeight="1" x14ac:dyDescent="0.15">
      <c r="AE13380" s="13"/>
    </row>
    <row r="13381" spans="31:31" ht="12.75" customHeight="1" x14ac:dyDescent="0.15">
      <c r="AE13381" s="13"/>
    </row>
    <row r="13382" spans="31:31" ht="12.75" customHeight="1" x14ac:dyDescent="0.15">
      <c r="AE13382" s="13"/>
    </row>
    <row r="13383" spans="31:31" ht="12.75" customHeight="1" x14ac:dyDescent="0.15">
      <c r="AE13383" s="13"/>
    </row>
    <row r="13384" spans="31:31" ht="12.75" customHeight="1" x14ac:dyDescent="0.15">
      <c r="AE13384" s="13"/>
    </row>
    <row r="13385" spans="31:31" ht="12.75" customHeight="1" x14ac:dyDescent="0.15">
      <c r="AE13385" s="13"/>
    </row>
    <row r="13386" spans="31:31" ht="12.75" customHeight="1" x14ac:dyDescent="0.15">
      <c r="AE13386" s="13"/>
    </row>
    <row r="13387" spans="31:31" ht="12.75" customHeight="1" x14ac:dyDescent="0.15">
      <c r="AE13387" s="13"/>
    </row>
    <row r="13388" spans="31:31" ht="12.75" customHeight="1" x14ac:dyDescent="0.15">
      <c r="AE13388" s="13"/>
    </row>
    <row r="13389" spans="31:31" ht="12.75" customHeight="1" x14ac:dyDescent="0.15">
      <c r="AE13389" s="13"/>
    </row>
    <row r="13390" spans="31:31" ht="12.75" customHeight="1" x14ac:dyDescent="0.15">
      <c r="AE13390" s="13"/>
    </row>
    <row r="13391" spans="31:31" ht="12.75" customHeight="1" x14ac:dyDescent="0.15">
      <c r="AE13391" s="13"/>
    </row>
    <row r="13392" spans="31:31" ht="12.75" customHeight="1" x14ac:dyDescent="0.15">
      <c r="AE13392" s="13"/>
    </row>
    <row r="13393" spans="31:31" ht="12.75" customHeight="1" x14ac:dyDescent="0.15">
      <c r="AE13393" s="13"/>
    </row>
    <row r="13394" spans="31:31" ht="12.75" customHeight="1" x14ac:dyDescent="0.15">
      <c r="AE13394" s="13"/>
    </row>
    <row r="13395" spans="31:31" ht="12.75" customHeight="1" x14ac:dyDescent="0.15">
      <c r="AE13395" s="13"/>
    </row>
    <row r="13396" spans="31:31" ht="12.75" customHeight="1" x14ac:dyDescent="0.15">
      <c r="AE13396" s="13"/>
    </row>
    <row r="13397" spans="31:31" ht="12.75" customHeight="1" x14ac:dyDescent="0.15">
      <c r="AE13397" s="13"/>
    </row>
    <row r="13398" spans="31:31" ht="12.75" customHeight="1" x14ac:dyDescent="0.15">
      <c r="AE13398" s="13"/>
    </row>
    <row r="13399" spans="31:31" ht="12.75" customHeight="1" x14ac:dyDescent="0.15">
      <c r="AE13399" s="13"/>
    </row>
    <row r="13400" spans="31:31" ht="12.75" customHeight="1" x14ac:dyDescent="0.15">
      <c r="AE13400" s="13"/>
    </row>
    <row r="13401" spans="31:31" ht="12.75" customHeight="1" x14ac:dyDescent="0.15">
      <c r="AE13401" s="13"/>
    </row>
    <row r="13402" spans="31:31" ht="12.75" customHeight="1" x14ac:dyDescent="0.15">
      <c r="AE13402" s="13"/>
    </row>
    <row r="13403" spans="31:31" ht="12.75" customHeight="1" x14ac:dyDescent="0.15">
      <c r="AE13403" s="13"/>
    </row>
    <row r="13404" spans="31:31" ht="12.75" customHeight="1" x14ac:dyDescent="0.15">
      <c r="AE13404" s="13"/>
    </row>
    <row r="13405" spans="31:31" ht="12.75" customHeight="1" x14ac:dyDescent="0.15">
      <c r="AE13405" s="13"/>
    </row>
    <row r="13406" spans="31:31" ht="12.75" customHeight="1" x14ac:dyDescent="0.15">
      <c r="AE13406" s="13"/>
    </row>
    <row r="13407" spans="31:31" ht="12.75" customHeight="1" x14ac:dyDescent="0.15">
      <c r="AE13407" s="13"/>
    </row>
    <row r="13408" spans="31:31" ht="12.75" customHeight="1" x14ac:dyDescent="0.15">
      <c r="AE13408" s="13"/>
    </row>
    <row r="13409" spans="31:31" ht="12.75" customHeight="1" x14ac:dyDescent="0.15">
      <c r="AE13409" s="13"/>
    </row>
    <row r="13410" spans="31:31" ht="12.75" customHeight="1" x14ac:dyDescent="0.15">
      <c r="AE13410" s="13"/>
    </row>
    <row r="13411" spans="31:31" ht="12.75" customHeight="1" x14ac:dyDescent="0.15">
      <c r="AE13411" s="13"/>
    </row>
    <row r="13412" spans="31:31" ht="12.75" customHeight="1" x14ac:dyDescent="0.15">
      <c r="AE13412" s="13"/>
    </row>
    <row r="13413" spans="31:31" ht="12.75" customHeight="1" x14ac:dyDescent="0.15">
      <c r="AE13413" s="13"/>
    </row>
    <row r="13414" spans="31:31" ht="12.75" customHeight="1" x14ac:dyDescent="0.15">
      <c r="AE13414" s="13"/>
    </row>
    <row r="13415" spans="31:31" ht="12.75" customHeight="1" x14ac:dyDescent="0.15">
      <c r="AE13415" s="13"/>
    </row>
    <row r="13416" spans="31:31" ht="12.75" customHeight="1" x14ac:dyDescent="0.15">
      <c r="AE13416" s="13"/>
    </row>
    <row r="13417" spans="31:31" ht="12.75" customHeight="1" x14ac:dyDescent="0.15">
      <c r="AE13417" s="13"/>
    </row>
    <row r="13418" spans="31:31" ht="12.75" customHeight="1" x14ac:dyDescent="0.15">
      <c r="AE13418" s="13"/>
    </row>
    <row r="13419" spans="31:31" ht="12.75" customHeight="1" x14ac:dyDescent="0.15">
      <c r="AE13419" s="13"/>
    </row>
    <row r="13420" spans="31:31" ht="12.75" customHeight="1" x14ac:dyDescent="0.15">
      <c r="AE13420" s="13"/>
    </row>
    <row r="13421" spans="31:31" ht="12.75" customHeight="1" x14ac:dyDescent="0.15">
      <c r="AE13421" s="13"/>
    </row>
    <row r="13422" spans="31:31" ht="12.75" customHeight="1" x14ac:dyDescent="0.15">
      <c r="AE13422" s="13"/>
    </row>
    <row r="13423" spans="31:31" ht="12.75" customHeight="1" x14ac:dyDescent="0.15">
      <c r="AE13423" s="13"/>
    </row>
    <row r="13424" spans="31:31" ht="12.75" customHeight="1" x14ac:dyDescent="0.15">
      <c r="AE13424" s="13"/>
    </row>
    <row r="13425" spans="31:31" ht="12.75" customHeight="1" x14ac:dyDescent="0.15">
      <c r="AE13425" s="13"/>
    </row>
    <row r="13426" spans="31:31" ht="12.75" customHeight="1" x14ac:dyDescent="0.15">
      <c r="AE13426" s="13"/>
    </row>
    <row r="13427" spans="31:31" ht="12.75" customHeight="1" x14ac:dyDescent="0.15">
      <c r="AE13427" s="13"/>
    </row>
    <row r="13428" spans="31:31" ht="12.75" customHeight="1" x14ac:dyDescent="0.15">
      <c r="AE13428" s="13"/>
    </row>
    <row r="13429" spans="31:31" ht="12.75" customHeight="1" x14ac:dyDescent="0.15">
      <c r="AE13429" s="13"/>
    </row>
    <row r="13430" spans="31:31" ht="12.75" customHeight="1" x14ac:dyDescent="0.15">
      <c r="AE13430" s="13"/>
    </row>
    <row r="13431" spans="31:31" ht="12.75" customHeight="1" x14ac:dyDescent="0.15">
      <c r="AE13431" s="13"/>
    </row>
    <row r="13432" spans="31:31" ht="12.75" customHeight="1" x14ac:dyDescent="0.15">
      <c r="AE13432" s="13"/>
    </row>
    <row r="13433" spans="31:31" ht="12.75" customHeight="1" x14ac:dyDescent="0.15">
      <c r="AE13433" s="13"/>
    </row>
    <row r="13434" spans="31:31" ht="12.75" customHeight="1" x14ac:dyDescent="0.15">
      <c r="AE13434" s="13"/>
    </row>
    <row r="13435" spans="31:31" ht="12.75" customHeight="1" x14ac:dyDescent="0.15">
      <c r="AE13435" s="13"/>
    </row>
    <row r="13436" spans="31:31" ht="12.75" customHeight="1" x14ac:dyDescent="0.15">
      <c r="AE13436" s="13"/>
    </row>
    <row r="13437" spans="31:31" ht="12.75" customHeight="1" x14ac:dyDescent="0.15">
      <c r="AE13437" s="13"/>
    </row>
    <row r="13438" spans="31:31" ht="12.75" customHeight="1" x14ac:dyDescent="0.15">
      <c r="AE13438" s="13"/>
    </row>
    <row r="13439" spans="31:31" ht="12.75" customHeight="1" x14ac:dyDescent="0.15">
      <c r="AE13439" s="13"/>
    </row>
    <row r="13440" spans="31:31" ht="12.75" customHeight="1" x14ac:dyDescent="0.15">
      <c r="AE13440" s="13"/>
    </row>
    <row r="13441" spans="31:31" ht="12.75" customHeight="1" x14ac:dyDescent="0.15">
      <c r="AE13441" s="13"/>
    </row>
    <row r="13442" spans="31:31" ht="12.75" customHeight="1" x14ac:dyDescent="0.15">
      <c r="AE13442" s="13"/>
    </row>
    <row r="13443" spans="31:31" ht="12.75" customHeight="1" x14ac:dyDescent="0.15">
      <c r="AE13443" s="13"/>
    </row>
    <row r="13444" spans="31:31" ht="12.75" customHeight="1" x14ac:dyDescent="0.15">
      <c r="AE13444" s="13"/>
    </row>
    <row r="13445" spans="31:31" ht="12.75" customHeight="1" x14ac:dyDescent="0.15">
      <c r="AE13445" s="13"/>
    </row>
    <row r="13446" spans="31:31" ht="12.75" customHeight="1" x14ac:dyDescent="0.15">
      <c r="AE13446" s="13"/>
    </row>
    <row r="13447" spans="31:31" ht="12.75" customHeight="1" x14ac:dyDescent="0.15">
      <c r="AE13447" s="13"/>
    </row>
    <row r="13448" spans="31:31" ht="12.75" customHeight="1" x14ac:dyDescent="0.15">
      <c r="AE13448" s="13"/>
    </row>
    <row r="13449" spans="31:31" ht="12.75" customHeight="1" x14ac:dyDescent="0.15">
      <c r="AE13449" s="13"/>
    </row>
    <row r="13450" spans="31:31" ht="12.75" customHeight="1" x14ac:dyDescent="0.15">
      <c r="AE13450" s="13"/>
    </row>
    <row r="13451" spans="31:31" ht="12.75" customHeight="1" x14ac:dyDescent="0.15">
      <c r="AE13451" s="13"/>
    </row>
    <row r="13452" spans="31:31" ht="12.75" customHeight="1" x14ac:dyDescent="0.15">
      <c r="AE13452" s="13"/>
    </row>
    <row r="13453" spans="31:31" ht="12.75" customHeight="1" x14ac:dyDescent="0.15">
      <c r="AE13453" s="13"/>
    </row>
    <row r="13454" spans="31:31" ht="12.75" customHeight="1" x14ac:dyDescent="0.15">
      <c r="AE13454" s="13"/>
    </row>
    <row r="13455" spans="31:31" ht="12.75" customHeight="1" x14ac:dyDescent="0.15">
      <c r="AE13455" s="13"/>
    </row>
    <row r="13456" spans="31:31" ht="12.75" customHeight="1" x14ac:dyDescent="0.15">
      <c r="AE13456" s="13"/>
    </row>
    <row r="13457" spans="31:31" ht="12.75" customHeight="1" x14ac:dyDescent="0.15">
      <c r="AE13457" s="13"/>
    </row>
    <row r="13458" spans="31:31" ht="12.75" customHeight="1" x14ac:dyDescent="0.15">
      <c r="AE13458" s="13"/>
    </row>
    <row r="13459" spans="31:31" ht="12.75" customHeight="1" x14ac:dyDescent="0.15">
      <c r="AE13459" s="13"/>
    </row>
    <row r="13460" spans="31:31" ht="12.75" customHeight="1" x14ac:dyDescent="0.15">
      <c r="AE13460" s="13"/>
    </row>
    <row r="13461" spans="31:31" ht="12.75" customHeight="1" x14ac:dyDescent="0.15">
      <c r="AE13461" s="13"/>
    </row>
    <row r="13462" spans="31:31" ht="12.75" customHeight="1" x14ac:dyDescent="0.15">
      <c r="AE13462" s="13"/>
    </row>
    <row r="13463" spans="31:31" ht="12.75" customHeight="1" x14ac:dyDescent="0.15">
      <c r="AE13463" s="13"/>
    </row>
    <row r="13464" spans="31:31" ht="12.75" customHeight="1" x14ac:dyDescent="0.15">
      <c r="AE13464" s="13"/>
    </row>
    <row r="13465" spans="31:31" ht="12.75" customHeight="1" x14ac:dyDescent="0.15">
      <c r="AE13465" s="13"/>
    </row>
    <row r="13466" spans="31:31" ht="12.75" customHeight="1" x14ac:dyDescent="0.15">
      <c r="AE13466" s="13"/>
    </row>
    <row r="13467" spans="31:31" ht="12.75" customHeight="1" x14ac:dyDescent="0.15">
      <c r="AE13467" s="13"/>
    </row>
    <row r="13468" spans="31:31" ht="12.75" customHeight="1" x14ac:dyDescent="0.15">
      <c r="AE13468" s="13"/>
    </row>
    <row r="13469" spans="31:31" ht="12.75" customHeight="1" x14ac:dyDescent="0.15">
      <c r="AE13469" s="13"/>
    </row>
    <row r="13470" spans="31:31" ht="12.75" customHeight="1" x14ac:dyDescent="0.15">
      <c r="AE13470" s="13"/>
    </row>
    <row r="13471" spans="31:31" ht="12.75" customHeight="1" x14ac:dyDescent="0.15">
      <c r="AE13471" s="13"/>
    </row>
    <row r="13472" spans="31:31" ht="12.75" customHeight="1" x14ac:dyDescent="0.15">
      <c r="AE13472" s="13"/>
    </row>
    <row r="13473" spans="31:31" ht="12.75" customHeight="1" x14ac:dyDescent="0.15">
      <c r="AE13473" s="13"/>
    </row>
    <row r="13474" spans="31:31" ht="12.75" customHeight="1" x14ac:dyDescent="0.15">
      <c r="AE13474" s="13"/>
    </row>
    <row r="13475" spans="31:31" ht="12.75" customHeight="1" x14ac:dyDescent="0.15">
      <c r="AE13475" s="13"/>
    </row>
    <row r="13476" spans="31:31" ht="12.75" customHeight="1" x14ac:dyDescent="0.15">
      <c r="AE13476" s="13"/>
    </row>
    <row r="13477" spans="31:31" ht="12.75" customHeight="1" x14ac:dyDescent="0.15">
      <c r="AE13477" s="13"/>
    </row>
    <row r="13478" spans="31:31" ht="12.75" customHeight="1" x14ac:dyDescent="0.15">
      <c r="AE13478" s="13"/>
    </row>
    <row r="13479" spans="31:31" ht="12.75" customHeight="1" x14ac:dyDescent="0.15">
      <c r="AE13479" s="13"/>
    </row>
    <row r="13480" spans="31:31" ht="12.75" customHeight="1" x14ac:dyDescent="0.15">
      <c r="AE13480" s="13"/>
    </row>
    <row r="13481" spans="31:31" ht="12.75" customHeight="1" x14ac:dyDescent="0.15">
      <c r="AE13481" s="13"/>
    </row>
    <row r="13482" spans="31:31" ht="12.75" customHeight="1" x14ac:dyDescent="0.15">
      <c r="AE13482" s="13"/>
    </row>
    <row r="13483" spans="31:31" ht="12.75" customHeight="1" x14ac:dyDescent="0.15">
      <c r="AE13483" s="13"/>
    </row>
    <row r="13484" spans="31:31" ht="12.75" customHeight="1" x14ac:dyDescent="0.15">
      <c r="AE13484" s="13"/>
    </row>
    <row r="13485" spans="31:31" ht="12.75" customHeight="1" x14ac:dyDescent="0.15">
      <c r="AE13485" s="13"/>
    </row>
    <row r="13486" spans="31:31" ht="12.75" customHeight="1" x14ac:dyDescent="0.15">
      <c r="AE13486" s="13"/>
    </row>
    <row r="13487" spans="31:31" ht="12.75" customHeight="1" x14ac:dyDescent="0.15">
      <c r="AE13487" s="13"/>
    </row>
    <row r="13488" spans="31:31" ht="12.75" customHeight="1" x14ac:dyDescent="0.15">
      <c r="AE13488" s="13"/>
    </row>
    <row r="13489" spans="31:31" ht="12.75" customHeight="1" x14ac:dyDescent="0.15">
      <c r="AE13489" s="13"/>
    </row>
    <row r="13490" spans="31:31" ht="12.75" customHeight="1" x14ac:dyDescent="0.15">
      <c r="AE13490" s="13"/>
    </row>
    <row r="13491" spans="31:31" ht="12.75" customHeight="1" x14ac:dyDescent="0.15">
      <c r="AE13491" s="13"/>
    </row>
    <row r="13492" spans="31:31" ht="12.75" customHeight="1" x14ac:dyDescent="0.15">
      <c r="AE13492" s="13"/>
    </row>
    <row r="13493" spans="31:31" ht="12.75" customHeight="1" x14ac:dyDescent="0.15">
      <c r="AE13493" s="13"/>
    </row>
    <row r="13494" spans="31:31" ht="12.75" customHeight="1" x14ac:dyDescent="0.15">
      <c r="AE13494" s="13"/>
    </row>
    <row r="13495" spans="31:31" ht="12.75" customHeight="1" x14ac:dyDescent="0.15">
      <c r="AE13495" s="13"/>
    </row>
    <row r="13496" spans="31:31" ht="12.75" customHeight="1" x14ac:dyDescent="0.15">
      <c r="AE13496" s="13"/>
    </row>
    <row r="13497" spans="31:31" ht="12.75" customHeight="1" x14ac:dyDescent="0.15">
      <c r="AE13497" s="13"/>
    </row>
    <row r="13498" spans="31:31" ht="12.75" customHeight="1" x14ac:dyDescent="0.15">
      <c r="AE13498" s="13"/>
    </row>
    <row r="13499" spans="31:31" ht="12.75" customHeight="1" x14ac:dyDescent="0.15">
      <c r="AE13499" s="13"/>
    </row>
    <row r="13500" spans="31:31" ht="12.75" customHeight="1" x14ac:dyDescent="0.15">
      <c r="AE13500" s="13"/>
    </row>
    <row r="13501" spans="31:31" ht="12.75" customHeight="1" x14ac:dyDescent="0.15">
      <c r="AE13501" s="13"/>
    </row>
    <row r="13502" spans="31:31" ht="12.75" customHeight="1" x14ac:dyDescent="0.15">
      <c r="AE13502" s="13"/>
    </row>
    <row r="13503" spans="31:31" ht="12.75" customHeight="1" x14ac:dyDescent="0.15">
      <c r="AE13503" s="13"/>
    </row>
    <row r="13504" spans="31:31" ht="12.75" customHeight="1" x14ac:dyDescent="0.15">
      <c r="AE13504" s="13"/>
    </row>
    <row r="13505" spans="31:31" ht="12.75" customHeight="1" x14ac:dyDescent="0.15">
      <c r="AE13505" s="13"/>
    </row>
    <row r="13506" spans="31:31" ht="12.75" customHeight="1" x14ac:dyDescent="0.15">
      <c r="AE13506" s="13"/>
    </row>
    <row r="13507" spans="31:31" ht="12.75" customHeight="1" x14ac:dyDescent="0.15">
      <c r="AE13507" s="13"/>
    </row>
    <row r="13508" spans="31:31" ht="12.75" customHeight="1" x14ac:dyDescent="0.15">
      <c r="AE13508" s="13"/>
    </row>
    <row r="13509" spans="31:31" ht="12.75" customHeight="1" x14ac:dyDescent="0.15">
      <c r="AE13509" s="13"/>
    </row>
    <row r="13510" spans="31:31" ht="12.75" customHeight="1" x14ac:dyDescent="0.15">
      <c r="AE13510" s="13"/>
    </row>
    <row r="13511" spans="31:31" ht="12.75" customHeight="1" x14ac:dyDescent="0.15">
      <c r="AE13511" s="13"/>
    </row>
    <row r="13512" spans="31:31" ht="12.75" customHeight="1" x14ac:dyDescent="0.15">
      <c r="AE13512" s="13"/>
    </row>
    <row r="13513" spans="31:31" ht="12.75" customHeight="1" x14ac:dyDescent="0.15">
      <c r="AE13513" s="13"/>
    </row>
    <row r="13514" spans="31:31" ht="12.75" customHeight="1" x14ac:dyDescent="0.15">
      <c r="AE13514" s="13"/>
    </row>
    <row r="13515" spans="31:31" ht="12.75" customHeight="1" x14ac:dyDescent="0.15">
      <c r="AE13515" s="13"/>
    </row>
    <row r="13516" spans="31:31" ht="12.75" customHeight="1" x14ac:dyDescent="0.15">
      <c r="AE13516" s="13"/>
    </row>
    <row r="13517" spans="31:31" ht="12.75" customHeight="1" x14ac:dyDescent="0.15">
      <c r="AE13517" s="13"/>
    </row>
    <row r="13518" spans="31:31" ht="12.75" customHeight="1" x14ac:dyDescent="0.15">
      <c r="AE13518" s="13"/>
    </row>
    <row r="13519" spans="31:31" ht="12.75" customHeight="1" x14ac:dyDescent="0.15">
      <c r="AE13519" s="13"/>
    </row>
    <row r="13520" spans="31:31" ht="12.75" customHeight="1" x14ac:dyDescent="0.15">
      <c r="AE13520" s="13"/>
    </row>
    <row r="13521" spans="31:31" ht="12.75" customHeight="1" x14ac:dyDescent="0.15">
      <c r="AE13521" s="13"/>
    </row>
    <row r="13522" spans="31:31" ht="12.75" customHeight="1" x14ac:dyDescent="0.15">
      <c r="AE13522" s="13"/>
    </row>
    <row r="13523" spans="31:31" ht="12.75" customHeight="1" x14ac:dyDescent="0.15">
      <c r="AE13523" s="13"/>
    </row>
    <row r="13524" spans="31:31" ht="12.75" customHeight="1" x14ac:dyDescent="0.15">
      <c r="AE13524" s="13"/>
    </row>
    <row r="13525" spans="31:31" ht="12.75" customHeight="1" x14ac:dyDescent="0.15">
      <c r="AE13525" s="13"/>
    </row>
    <row r="13526" spans="31:31" ht="12.75" customHeight="1" x14ac:dyDescent="0.15">
      <c r="AE13526" s="13"/>
    </row>
    <row r="13527" spans="31:31" ht="12.75" customHeight="1" x14ac:dyDescent="0.15">
      <c r="AE13527" s="13"/>
    </row>
    <row r="13528" spans="31:31" ht="12.75" customHeight="1" x14ac:dyDescent="0.15">
      <c r="AE13528" s="13"/>
    </row>
    <row r="13529" spans="31:31" ht="12.75" customHeight="1" x14ac:dyDescent="0.15">
      <c r="AE13529" s="13"/>
    </row>
    <row r="13530" spans="31:31" ht="12.75" customHeight="1" x14ac:dyDescent="0.15">
      <c r="AE13530" s="13"/>
    </row>
    <row r="13531" spans="31:31" ht="12.75" customHeight="1" x14ac:dyDescent="0.15">
      <c r="AE13531" s="13"/>
    </row>
    <row r="13532" spans="31:31" ht="12.75" customHeight="1" x14ac:dyDescent="0.15">
      <c r="AE13532" s="13"/>
    </row>
    <row r="13533" spans="31:31" ht="12.75" customHeight="1" x14ac:dyDescent="0.15">
      <c r="AE13533" s="13"/>
    </row>
    <row r="13534" spans="31:31" ht="12.75" customHeight="1" x14ac:dyDescent="0.15">
      <c r="AE13534" s="13"/>
    </row>
    <row r="13535" spans="31:31" ht="12.75" customHeight="1" x14ac:dyDescent="0.15">
      <c r="AE13535" s="13"/>
    </row>
    <row r="13536" spans="31:31" ht="12.75" customHeight="1" x14ac:dyDescent="0.15">
      <c r="AE13536" s="13"/>
    </row>
    <row r="13537" spans="31:31" ht="12.75" customHeight="1" x14ac:dyDescent="0.15">
      <c r="AE13537" s="13"/>
    </row>
    <row r="13538" spans="31:31" ht="12.75" customHeight="1" x14ac:dyDescent="0.15">
      <c r="AE13538" s="13"/>
    </row>
    <row r="13539" spans="31:31" ht="12.75" customHeight="1" x14ac:dyDescent="0.15">
      <c r="AE13539" s="13"/>
    </row>
    <row r="13540" spans="31:31" ht="12.75" customHeight="1" x14ac:dyDescent="0.15">
      <c r="AE13540" s="13"/>
    </row>
    <row r="13541" spans="31:31" ht="12.75" customHeight="1" x14ac:dyDescent="0.15">
      <c r="AE13541" s="13"/>
    </row>
    <row r="13542" spans="31:31" ht="12.75" customHeight="1" x14ac:dyDescent="0.15">
      <c r="AE13542" s="13"/>
    </row>
    <row r="13543" spans="31:31" ht="12.75" customHeight="1" x14ac:dyDescent="0.15">
      <c r="AE13543" s="13"/>
    </row>
    <row r="13544" spans="31:31" ht="12.75" customHeight="1" x14ac:dyDescent="0.15">
      <c r="AE13544" s="13"/>
    </row>
    <row r="13545" spans="31:31" ht="12.75" customHeight="1" x14ac:dyDescent="0.15">
      <c r="AE13545" s="13"/>
    </row>
    <row r="13546" spans="31:31" ht="12.75" customHeight="1" x14ac:dyDescent="0.15">
      <c r="AE13546" s="13"/>
    </row>
    <row r="13547" spans="31:31" ht="12.75" customHeight="1" x14ac:dyDescent="0.15">
      <c r="AE13547" s="13"/>
    </row>
    <row r="13548" spans="31:31" ht="12.75" customHeight="1" x14ac:dyDescent="0.15">
      <c r="AE13548" s="13"/>
    </row>
    <row r="13549" spans="31:31" ht="12.75" customHeight="1" x14ac:dyDescent="0.15">
      <c r="AE13549" s="13"/>
    </row>
    <row r="13550" spans="31:31" ht="12.75" customHeight="1" x14ac:dyDescent="0.15">
      <c r="AE13550" s="13"/>
    </row>
    <row r="13551" spans="31:31" ht="12.75" customHeight="1" x14ac:dyDescent="0.15">
      <c r="AE13551" s="13"/>
    </row>
    <row r="13552" spans="31:31" ht="12.75" customHeight="1" x14ac:dyDescent="0.15">
      <c r="AE13552" s="13"/>
    </row>
    <row r="13553" spans="31:31" ht="12.75" customHeight="1" x14ac:dyDescent="0.15">
      <c r="AE13553" s="13"/>
    </row>
    <row r="13554" spans="31:31" ht="12.75" customHeight="1" x14ac:dyDescent="0.15">
      <c r="AE13554" s="13"/>
    </row>
    <row r="13555" spans="31:31" ht="12.75" customHeight="1" x14ac:dyDescent="0.15">
      <c r="AE13555" s="13"/>
    </row>
    <row r="13556" spans="31:31" ht="12.75" customHeight="1" x14ac:dyDescent="0.15">
      <c r="AE13556" s="13"/>
    </row>
    <row r="13557" spans="31:31" ht="12.75" customHeight="1" x14ac:dyDescent="0.15">
      <c r="AE13557" s="13"/>
    </row>
    <row r="13558" spans="31:31" ht="12.75" customHeight="1" x14ac:dyDescent="0.15">
      <c r="AE13558" s="13"/>
    </row>
    <row r="13559" spans="31:31" ht="12.75" customHeight="1" x14ac:dyDescent="0.15">
      <c r="AE13559" s="13"/>
    </row>
    <row r="13560" spans="31:31" ht="12.75" customHeight="1" x14ac:dyDescent="0.15">
      <c r="AE13560" s="13"/>
    </row>
    <row r="13561" spans="31:31" ht="12.75" customHeight="1" x14ac:dyDescent="0.15">
      <c r="AE13561" s="13"/>
    </row>
    <row r="13562" spans="31:31" ht="12.75" customHeight="1" x14ac:dyDescent="0.15">
      <c r="AE13562" s="13"/>
    </row>
    <row r="13563" spans="31:31" ht="12.75" customHeight="1" x14ac:dyDescent="0.15">
      <c r="AE13563" s="13"/>
    </row>
    <row r="13564" spans="31:31" ht="12.75" customHeight="1" x14ac:dyDescent="0.15">
      <c r="AE13564" s="13"/>
    </row>
    <row r="13565" spans="31:31" ht="12.75" customHeight="1" x14ac:dyDescent="0.15">
      <c r="AE13565" s="13"/>
    </row>
    <row r="13566" spans="31:31" ht="12.75" customHeight="1" x14ac:dyDescent="0.15">
      <c r="AE13566" s="13"/>
    </row>
    <row r="13567" spans="31:31" ht="12.75" customHeight="1" x14ac:dyDescent="0.15">
      <c r="AE13567" s="13"/>
    </row>
    <row r="13568" spans="31:31" ht="12.75" customHeight="1" x14ac:dyDescent="0.15">
      <c r="AE13568" s="13"/>
    </row>
    <row r="13569" spans="31:31" ht="12.75" customHeight="1" x14ac:dyDescent="0.15">
      <c r="AE13569" s="13"/>
    </row>
    <row r="13570" spans="31:31" ht="12.75" customHeight="1" x14ac:dyDescent="0.15">
      <c r="AE13570" s="13"/>
    </row>
    <row r="13571" spans="31:31" ht="12.75" customHeight="1" x14ac:dyDescent="0.15">
      <c r="AE13571" s="13"/>
    </row>
    <row r="13572" spans="31:31" ht="12.75" customHeight="1" x14ac:dyDescent="0.15">
      <c r="AE13572" s="13"/>
    </row>
    <row r="13573" spans="31:31" ht="12.75" customHeight="1" x14ac:dyDescent="0.15">
      <c r="AE13573" s="13"/>
    </row>
    <row r="13574" spans="31:31" ht="12.75" customHeight="1" x14ac:dyDescent="0.15">
      <c r="AE13574" s="13"/>
    </row>
    <row r="13575" spans="31:31" ht="12.75" customHeight="1" x14ac:dyDescent="0.15">
      <c r="AE13575" s="13"/>
    </row>
    <row r="13576" spans="31:31" ht="12.75" customHeight="1" x14ac:dyDescent="0.15">
      <c r="AE13576" s="13"/>
    </row>
    <row r="13577" spans="31:31" ht="12.75" customHeight="1" x14ac:dyDescent="0.15">
      <c r="AE13577" s="13"/>
    </row>
    <row r="13578" spans="31:31" ht="12.75" customHeight="1" x14ac:dyDescent="0.15">
      <c r="AE13578" s="13"/>
    </row>
    <row r="13579" spans="31:31" ht="12.75" customHeight="1" x14ac:dyDescent="0.15">
      <c r="AE13579" s="13"/>
    </row>
    <row r="13580" spans="31:31" ht="12.75" customHeight="1" x14ac:dyDescent="0.15">
      <c r="AE13580" s="13"/>
    </row>
    <row r="13581" spans="31:31" ht="12.75" customHeight="1" x14ac:dyDescent="0.15">
      <c r="AE13581" s="13"/>
    </row>
    <row r="13582" spans="31:31" ht="12.75" customHeight="1" x14ac:dyDescent="0.15">
      <c r="AE13582" s="13"/>
    </row>
    <row r="13583" spans="31:31" ht="12.75" customHeight="1" x14ac:dyDescent="0.15">
      <c r="AE13583" s="13"/>
    </row>
    <row r="13584" spans="31:31" ht="12.75" customHeight="1" x14ac:dyDescent="0.15">
      <c r="AE13584" s="13"/>
    </row>
    <row r="13585" spans="31:31" ht="12.75" customHeight="1" x14ac:dyDescent="0.15">
      <c r="AE13585" s="13"/>
    </row>
    <row r="13586" spans="31:31" ht="12.75" customHeight="1" x14ac:dyDescent="0.15">
      <c r="AE13586" s="13"/>
    </row>
    <row r="13587" spans="31:31" ht="12.75" customHeight="1" x14ac:dyDescent="0.15">
      <c r="AE13587" s="13"/>
    </row>
    <row r="13588" spans="31:31" ht="12.75" customHeight="1" x14ac:dyDescent="0.15">
      <c r="AE13588" s="13"/>
    </row>
    <row r="13589" spans="31:31" ht="12.75" customHeight="1" x14ac:dyDescent="0.15">
      <c r="AE13589" s="13"/>
    </row>
    <row r="13590" spans="31:31" ht="12.75" customHeight="1" x14ac:dyDescent="0.15">
      <c r="AE13590" s="13"/>
    </row>
    <row r="13591" spans="31:31" ht="12.75" customHeight="1" x14ac:dyDescent="0.15">
      <c r="AE13591" s="13"/>
    </row>
    <row r="13592" spans="31:31" ht="12.75" customHeight="1" x14ac:dyDescent="0.15">
      <c r="AE13592" s="13"/>
    </row>
    <row r="13593" spans="31:31" ht="12.75" customHeight="1" x14ac:dyDescent="0.15">
      <c r="AE13593" s="13"/>
    </row>
    <row r="13594" spans="31:31" ht="12.75" customHeight="1" x14ac:dyDescent="0.15">
      <c r="AE13594" s="13"/>
    </row>
    <row r="13595" spans="31:31" ht="12.75" customHeight="1" x14ac:dyDescent="0.15">
      <c r="AE13595" s="13"/>
    </row>
    <row r="13596" spans="31:31" ht="12.75" customHeight="1" x14ac:dyDescent="0.15">
      <c r="AE13596" s="13"/>
    </row>
    <row r="13597" spans="31:31" ht="12.75" customHeight="1" x14ac:dyDescent="0.15">
      <c r="AE13597" s="13"/>
    </row>
    <row r="13598" spans="31:31" ht="12.75" customHeight="1" x14ac:dyDescent="0.15">
      <c r="AE13598" s="13"/>
    </row>
    <row r="13599" spans="31:31" ht="12.75" customHeight="1" x14ac:dyDescent="0.15">
      <c r="AE13599" s="13"/>
    </row>
    <row r="13600" spans="31:31" ht="12.75" customHeight="1" x14ac:dyDescent="0.15">
      <c r="AE13600" s="13"/>
    </row>
    <row r="13601" spans="31:31" ht="12.75" customHeight="1" x14ac:dyDescent="0.15">
      <c r="AE13601" s="13"/>
    </row>
    <row r="13602" spans="31:31" ht="12.75" customHeight="1" x14ac:dyDescent="0.15">
      <c r="AE13602" s="13"/>
    </row>
    <row r="13603" spans="31:31" ht="12.75" customHeight="1" x14ac:dyDescent="0.15">
      <c r="AE13603" s="13"/>
    </row>
    <row r="13604" spans="31:31" ht="12.75" customHeight="1" x14ac:dyDescent="0.15">
      <c r="AE13604" s="13"/>
    </row>
    <row r="13605" spans="31:31" ht="12.75" customHeight="1" x14ac:dyDescent="0.15">
      <c r="AE13605" s="13"/>
    </row>
    <row r="13606" spans="31:31" ht="12.75" customHeight="1" x14ac:dyDescent="0.15">
      <c r="AE13606" s="13"/>
    </row>
    <row r="13607" spans="31:31" ht="12.75" customHeight="1" x14ac:dyDescent="0.15">
      <c r="AE13607" s="13"/>
    </row>
    <row r="13608" spans="31:31" ht="12.75" customHeight="1" x14ac:dyDescent="0.15">
      <c r="AE13608" s="13"/>
    </row>
    <row r="13609" spans="31:31" ht="12.75" customHeight="1" x14ac:dyDescent="0.15">
      <c r="AE13609" s="13"/>
    </row>
    <row r="13610" spans="31:31" ht="12.75" customHeight="1" x14ac:dyDescent="0.15">
      <c r="AE13610" s="13"/>
    </row>
    <row r="13611" spans="31:31" ht="12.75" customHeight="1" x14ac:dyDescent="0.15">
      <c r="AE13611" s="13"/>
    </row>
    <row r="13612" spans="31:31" ht="12.75" customHeight="1" x14ac:dyDescent="0.15">
      <c r="AE13612" s="13"/>
    </row>
    <row r="13613" spans="31:31" ht="12.75" customHeight="1" x14ac:dyDescent="0.15">
      <c r="AE13613" s="13"/>
    </row>
    <row r="13614" spans="31:31" ht="12.75" customHeight="1" x14ac:dyDescent="0.15">
      <c r="AE13614" s="13"/>
    </row>
    <row r="13615" spans="31:31" ht="12.75" customHeight="1" x14ac:dyDescent="0.15">
      <c r="AE13615" s="13"/>
    </row>
    <row r="13616" spans="31:31" ht="12.75" customHeight="1" x14ac:dyDescent="0.15">
      <c r="AE13616" s="13"/>
    </row>
    <row r="13617" spans="31:31" ht="12.75" customHeight="1" x14ac:dyDescent="0.15">
      <c r="AE13617" s="13"/>
    </row>
    <row r="13618" spans="31:31" ht="12.75" customHeight="1" x14ac:dyDescent="0.15">
      <c r="AE13618" s="13"/>
    </row>
    <row r="13619" spans="31:31" ht="12.75" customHeight="1" x14ac:dyDescent="0.15">
      <c r="AE13619" s="13"/>
    </row>
    <row r="13620" spans="31:31" ht="12.75" customHeight="1" x14ac:dyDescent="0.15">
      <c r="AE13620" s="13"/>
    </row>
    <row r="13621" spans="31:31" ht="12.75" customHeight="1" x14ac:dyDescent="0.15">
      <c r="AE13621" s="13"/>
    </row>
    <row r="13622" spans="31:31" ht="12.75" customHeight="1" x14ac:dyDescent="0.15">
      <c r="AE13622" s="13"/>
    </row>
    <row r="13623" spans="31:31" ht="12.75" customHeight="1" x14ac:dyDescent="0.15">
      <c r="AE13623" s="13"/>
    </row>
    <row r="13624" spans="31:31" ht="12.75" customHeight="1" x14ac:dyDescent="0.15">
      <c r="AE13624" s="13"/>
    </row>
    <row r="13625" spans="31:31" ht="12.75" customHeight="1" x14ac:dyDescent="0.15">
      <c r="AE13625" s="13"/>
    </row>
    <row r="13626" spans="31:31" ht="12.75" customHeight="1" x14ac:dyDescent="0.15">
      <c r="AE13626" s="13"/>
    </row>
    <row r="13627" spans="31:31" ht="12.75" customHeight="1" x14ac:dyDescent="0.15">
      <c r="AE13627" s="13"/>
    </row>
    <row r="13628" spans="31:31" ht="12.75" customHeight="1" x14ac:dyDescent="0.15">
      <c r="AE13628" s="13"/>
    </row>
    <row r="13629" spans="31:31" ht="12.75" customHeight="1" x14ac:dyDescent="0.15">
      <c r="AE13629" s="13"/>
    </row>
    <row r="13630" spans="31:31" ht="12.75" customHeight="1" x14ac:dyDescent="0.15">
      <c r="AE13630" s="13"/>
    </row>
    <row r="13631" spans="31:31" ht="12.75" customHeight="1" x14ac:dyDescent="0.15">
      <c r="AE13631" s="13"/>
    </row>
    <row r="13632" spans="31:31" ht="12.75" customHeight="1" x14ac:dyDescent="0.15">
      <c r="AE13632" s="13"/>
    </row>
    <row r="13633" spans="31:31" ht="12.75" customHeight="1" x14ac:dyDescent="0.15">
      <c r="AE13633" s="13"/>
    </row>
    <row r="13634" spans="31:31" ht="12.75" customHeight="1" x14ac:dyDescent="0.15">
      <c r="AE13634" s="13"/>
    </row>
    <row r="13635" spans="31:31" ht="12.75" customHeight="1" x14ac:dyDescent="0.15">
      <c r="AE13635" s="13"/>
    </row>
    <row r="13636" spans="31:31" ht="12.75" customHeight="1" x14ac:dyDescent="0.15">
      <c r="AE13636" s="13"/>
    </row>
    <row r="13637" spans="31:31" ht="12.75" customHeight="1" x14ac:dyDescent="0.15">
      <c r="AE13637" s="13"/>
    </row>
    <row r="13638" spans="31:31" ht="12.75" customHeight="1" x14ac:dyDescent="0.15">
      <c r="AE13638" s="13"/>
    </row>
    <row r="13639" spans="31:31" ht="12.75" customHeight="1" x14ac:dyDescent="0.15">
      <c r="AE13639" s="13"/>
    </row>
    <row r="13640" spans="31:31" ht="12.75" customHeight="1" x14ac:dyDescent="0.15">
      <c r="AE13640" s="13"/>
    </row>
    <row r="13641" spans="31:31" ht="12.75" customHeight="1" x14ac:dyDescent="0.15">
      <c r="AE13641" s="13"/>
    </row>
    <row r="13642" spans="31:31" ht="12.75" customHeight="1" x14ac:dyDescent="0.15">
      <c r="AE13642" s="13"/>
    </row>
    <row r="13643" spans="31:31" ht="12.75" customHeight="1" x14ac:dyDescent="0.15">
      <c r="AE13643" s="13"/>
    </row>
    <row r="13644" spans="31:31" ht="12.75" customHeight="1" x14ac:dyDescent="0.15">
      <c r="AE13644" s="13"/>
    </row>
    <row r="13645" spans="31:31" ht="12.75" customHeight="1" x14ac:dyDescent="0.15">
      <c r="AE13645" s="13"/>
    </row>
    <row r="13646" spans="31:31" ht="12.75" customHeight="1" x14ac:dyDescent="0.15">
      <c r="AE13646" s="13"/>
    </row>
    <row r="13647" spans="31:31" ht="12.75" customHeight="1" x14ac:dyDescent="0.15">
      <c r="AE13647" s="13"/>
    </row>
    <row r="13648" spans="31:31" ht="12.75" customHeight="1" x14ac:dyDescent="0.15">
      <c r="AE13648" s="13"/>
    </row>
    <row r="13649" spans="31:31" ht="12.75" customHeight="1" x14ac:dyDescent="0.15">
      <c r="AE13649" s="13"/>
    </row>
    <row r="13650" spans="31:31" ht="12.75" customHeight="1" x14ac:dyDescent="0.15">
      <c r="AE13650" s="13"/>
    </row>
    <row r="13651" spans="31:31" ht="12.75" customHeight="1" x14ac:dyDescent="0.15">
      <c r="AE13651" s="13"/>
    </row>
    <row r="13652" spans="31:31" ht="12.75" customHeight="1" x14ac:dyDescent="0.15">
      <c r="AE13652" s="13"/>
    </row>
    <row r="13653" spans="31:31" ht="12.75" customHeight="1" x14ac:dyDescent="0.15">
      <c r="AE13653" s="13"/>
    </row>
    <row r="13654" spans="31:31" ht="12.75" customHeight="1" x14ac:dyDescent="0.15">
      <c r="AE13654" s="13"/>
    </row>
    <row r="13655" spans="31:31" ht="12.75" customHeight="1" x14ac:dyDescent="0.15">
      <c r="AE13655" s="13"/>
    </row>
    <row r="13656" spans="31:31" ht="12.75" customHeight="1" x14ac:dyDescent="0.15">
      <c r="AE13656" s="13"/>
    </row>
    <row r="13657" spans="31:31" ht="12.75" customHeight="1" x14ac:dyDescent="0.15">
      <c r="AE13657" s="13"/>
    </row>
    <row r="13658" spans="31:31" ht="12.75" customHeight="1" x14ac:dyDescent="0.15">
      <c r="AE13658" s="13"/>
    </row>
    <row r="13659" spans="31:31" ht="12.75" customHeight="1" x14ac:dyDescent="0.15">
      <c r="AE13659" s="13"/>
    </row>
    <row r="13660" spans="31:31" ht="12.75" customHeight="1" x14ac:dyDescent="0.15">
      <c r="AE13660" s="13"/>
    </row>
    <row r="13661" spans="31:31" ht="12.75" customHeight="1" x14ac:dyDescent="0.15">
      <c r="AE13661" s="13"/>
    </row>
    <row r="13662" spans="31:31" ht="12.75" customHeight="1" x14ac:dyDescent="0.15">
      <c r="AE13662" s="13"/>
    </row>
    <row r="13663" spans="31:31" ht="12.75" customHeight="1" x14ac:dyDescent="0.15">
      <c r="AE13663" s="13"/>
    </row>
    <row r="13664" spans="31:31" ht="12.75" customHeight="1" x14ac:dyDescent="0.15">
      <c r="AE13664" s="13"/>
    </row>
    <row r="13665" spans="31:31" ht="12.75" customHeight="1" x14ac:dyDescent="0.15">
      <c r="AE13665" s="13"/>
    </row>
    <row r="13666" spans="31:31" ht="12.75" customHeight="1" x14ac:dyDescent="0.15">
      <c r="AE13666" s="13"/>
    </row>
    <row r="13667" spans="31:31" ht="12.75" customHeight="1" x14ac:dyDescent="0.15">
      <c r="AE13667" s="13"/>
    </row>
    <row r="13668" spans="31:31" ht="12.75" customHeight="1" x14ac:dyDescent="0.15">
      <c r="AE13668" s="13"/>
    </row>
    <row r="13669" spans="31:31" ht="12.75" customHeight="1" x14ac:dyDescent="0.15">
      <c r="AE13669" s="13"/>
    </row>
    <row r="13670" spans="31:31" ht="12.75" customHeight="1" x14ac:dyDescent="0.15">
      <c r="AE13670" s="13"/>
    </row>
    <row r="13671" spans="31:31" ht="12.75" customHeight="1" x14ac:dyDescent="0.15">
      <c r="AE13671" s="13"/>
    </row>
    <row r="13672" spans="31:31" ht="12.75" customHeight="1" x14ac:dyDescent="0.15">
      <c r="AE13672" s="13"/>
    </row>
    <row r="13673" spans="31:31" ht="12.75" customHeight="1" x14ac:dyDescent="0.15">
      <c r="AE13673" s="13"/>
    </row>
    <row r="13674" spans="31:31" ht="12.75" customHeight="1" x14ac:dyDescent="0.15">
      <c r="AE13674" s="13"/>
    </row>
    <row r="13675" spans="31:31" ht="12.75" customHeight="1" x14ac:dyDescent="0.15">
      <c r="AE13675" s="13"/>
    </row>
    <row r="13676" spans="31:31" ht="12.75" customHeight="1" x14ac:dyDescent="0.15">
      <c r="AE13676" s="13"/>
    </row>
    <row r="13677" spans="31:31" ht="12.75" customHeight="1" x14ac:dyDescent="0.15">
      <c r="AE13677" s="13"/>
    </row>
    <row r="13678" spans="31:31" ht="12.75" customHeight="1" x14ac:dyDescent="0.15">
      <c r="AE13678" s="13"/>
    </row>
    <row r="13679" spans="31:31" ht="12.75" customHeight="1" x14ac:dyDescent="0.15">
      <c r="AE13679" s="13"/>
    </row>
    <row r="13680" spans="31:31" ht="12.75" customHeight="1" x14ac:dyDescent="0.15">
      <c r="AE13680" s="13"/>
    </row>
    <row r="13681" spans="31:31" ht="12.75" customHeight="1" x14ac:dyDescent="0.15">
      <c r="AE13681" s="13"/>
    </row>
    <row r="13682" spans="31:31" ht="12.75" customHeight="1" x14ac:dyDescent="0.15">
      <c r="AE13682" s="13"/>
    </row>
    <row r="13683" spans="31:31" ht="12.75" customHeight="1" x14ac:dyDescent="0.15">
      <c r="AE13683" s="13"/>
    </row>
    <row r="13684" spans="31:31" ht="12.75" customHeight="1" x14ac:dyDescent="0.15">
      <c r="AE13684" s="13"/>
    </row>
    <row r="13685" spans="31:31" ht="12.75" customHeight="1" x14ac:dyDescent="0.15">
      <c r="AE13685" s="13"/>
    </row>
    <row r="13686" spans="31:31" ht="12.75" customHeight="1" x14ac:dyDescent="0.15">
      <c r="AE13686" s="13"/>
    </row>
    <row r="13687" spans="31:31" ht="12.75" customHeight="1" x14ac:dyDescent="0.15">
      <c r="AE13687" s="13"/>
    </row>
    <row r="13688" spans="31:31" ht="12.75" customHeight="1" x14ac:dyDescent="0.15">
      <c r="AE13688" s="13"/>
    </row>
    <row r="13689" spans="31:31" ht="12.75" customHeight="1" x14ac:dyDescent="0.15">
      <c r="AE13689" s="13"/>
    </row>
    <row r="13690" spans="31:31" ht="12.75" customHeight="1" x14ac:dyDescent="0.15">
      <c r="AE13690" s="13"/>
    </row>
    <row r="13691" spans="31:31" ht="12.75" customHeight="1" x14ac:dyDescent="0.15">
      <c r="AE13691" s="13"/>
    </row>
    <row r="13692" spans="31:31" ht="12.75" customHeight="1" x14ac:dyDescent="0.15">
      <c r="AE13692" s="13"/>
    </row>
    <row r="13693" spans="31:31" ht="12.75" customHeight="1" x14ac:dyDescent="0.15">
      <c r="AE13693" s="13"/>
    </row>
    <row r="13694" spans="31:31" ht="12.75" customHeight="1" x14ac:dyDescent="0.15">
      <c r="AE13694" s="13"/>
    </row>
    <row r="13695" spans="31:31" ht="12.75" customHeight="1" x14ac:dyDescent="0.15">
      <c r="AE13695" s="13"/>
    </row>
    <row r="13696" spans="31:31" ht="12.75" customHeight="1" x14ac:dyDescent="0.15">
      <c r="AE13696" s="13"/>
    </row>
    <row r="13697" spans="31:31" ht="12.75" customHeight="1" x14ac:dyDescent="0.15">
      <c r="AE13697" s="13"/>
    </row>
    <row r="13698" spans="31:31" ht="12.75" customHeight="1" x14ac:dyDescent="0.15">
      <c r="AE13698" s="13"/>
    </row>
    <row r="13699" spans="31:31" ht="12.75" customHeight="1" x14ac:dyDescent="0.15">
      <c r="AE13699" s="13"/>
    </row>
    <row r="13700" spans="31:31" ht="12.75" customHeight="1" x14ac:dyDescent="0.15">
      <c r="AE13700" s="13"/>
    </row>
    <row r="13701" spans="31:31" ht="12.75" customHeight="1" x14ac:dyDescent="0.15">
      <c r="AE13701" s="13"/>
    </row>
    <row r="13702" spans="31:31" ht="12.75" customHeight="1" x14ac:dyDescent="0.15">
      <c r="AE13702" s="13"/>
    </row>
    <row r="13703" spans="31:31" ht="12.75" customHeight="1" x14ac:dyDescent="0.15">
      <c r="AE13703" s="13"/>
    </row>
    <row r="13704" spans="31:31" ht="12.75" customHeight="1" x14ac:dyDescent="0.15">
      <c r="AE13704" s="13"/>
    </row>
    <row r="13705" spans="31:31" ht="12.75" customHeight="1" x14ac:dyDescent="0.15">
      <c r="AE13705" s="13"/>
    </row>
    <row r="13706" spans="31:31" ht="12.75" customHeight="1" x14ac:dyDescent="0.15">
      <c r="AE13706" s="13"/>
    </row>
    <row r="13707" spans="31:31" ht="12.75" customHeight="1" x14ac:dyDescent="0.15">
      <c r="AE13707" s="13"/>
    </row>
    <row r="13708" spans="31:31" ht="12.75" customHeight="1" x14ac:dyDescent="0.15">
      <c r="AE13708" s="13"/>
    </row>
    <row r="13709" spans="31:31" ht="12.75" customHeight="1" x14ac:dyDescent="0.15">
      <c r="AE13709" s="13"/>
    </row>
    <row r="13710" spans="31:31" ht="12.75" customHeight="1" x14ac:dyDescent="0.15">
      <c r="AE13710" s="13"/>
    </row>
    <row r="13711" spans="31:31" ht="12.75" customHeight="1" x14ac:dyDescent="0.15">
      <c r="AE13711" s="13"/>
    </row>
    <row r="13712" spans="31:31" ht="12.75" customHeight="1" x14ac:dyDescent="0.15">
      <c r="AE13712" s="13"/>
    </row>
    <row r="13713" spans="31:31" ht="12.75" customHeight="1" x14ac:dyDescent="0.15">
      <c r="AE13713" s="13"/>
    </row>
    <row r="13714" spans="31:31" ht="12.75" customHeight="1" x14ac:dyDescent="0.15">
      <c r="AE13714" s="13"/>
    </row>
    <row r="13715" spans="31:31" ht="12.75" customHeight="1" x14ac:dyDescent="0.15">
      <c r="AE13715" s="13"/>
    </row>
    <row r="13716" spans="31:31" ht="12.75" customHeight="1" x14ac:dyDescent="0.15">
      <c r="AE13716" s="13"/>
    </row>
    <row r="13717" spans="31:31" ht="12.75" customHeight="1" x14ac:dyDescent="0.15">
      <c r="AE13717" s="13"/>
    </row>
    <row r="13718" spans="31:31" ht="12.75" customHeight="1" x14ac:dyDescent="0.15">
      <c r="AE13718" s="13"/>
    </row>
    <row r="13719" spans="31:31" ht="12.75" customHeight="1" x14ac:dyDescent="0.15">
      <c r="AE13719" s="13"/>
    </row>
    <row r="13720" spans="31:31" ht="12.75" customHeight="1" x14ac:dyDescent="0.15">
      <c r="AE13720" s="13"/>
    </row>
    <row r="13721" spans="31:31" ht="12.75" customHeight="1" x14ac:dyDescent="0.15">
      <c r="AE13721" s="13"/>
    </row>
    <row r="13722" spans="31:31" ht="12.75" customHeight="1" x14ac:dyDescent="0.15">
      <c r="AE13722" s="13"/>
    </row>
    <row r="13723" spans="31:31" ht="12.75" customHeight="1" x14ac:dyDescent="0.15">
      <c r="AE13723" s="13"/>
    </row>
    <row r="13724" spans="31:31" ht="12.75" customHeight="1" x14ac:dyDescent="0.15">
      <c r="AE13724" s="13"/>
    </row>
    <row r="13725" spans="31:31" ht="12.75" customHeight="1" x14ac:dyDescent="0.15">
      <c r="AE13725" s="13"/>
    </row>
    <row r="13726" spans="31:31" ht="12.75" customHeight="1" x14ac:dyDescent="0.15">
      <c r="AE13726" s="13"/>
    </row>
    <row r="13727" spans="31:31" ht="12.75" customHeight="1" x14ac:dyDescent="0.15">
      <c r="AE13727" s="13"/>
    </row>
    <row r="13728" spans="31:31" ht="12.75" customHeight="1" x14ac:dyDescent="0.15">
      <c r="AE13728" s="13"/>
    </row>
    <row r="13729" spans="31:31" ht="12.75" customHeight="1" x14ac:dyDescent="0.15">
      <c r="AE13729" s="13"/>
    </row>
    <row r="13730" spans="31:31" ht="12.75" customHeight="1" x14ac:dyDescent="0.15">
      <c r="AE13730" s="13"/>
    </row>
    <row r="13731" spans="31:31" ht="12.75" customHeight="1" x14ac:dyDescent="0.15">
      <c r="AE13731" s="13"/>
    </row>
    <row r="13732" spans="31:31" ht="12.75" customHeight="1" x14ac:dyDescent="0.15">
      <c r="AE13732" s="13"/>
    </row>
    <row r="13733" spans="31:31" ht="12.75" customHeight="1" x14ac:dyDescent="0.15">
      <c r="AE13733" s="13"/>
    </row>
    <row r="13734" spans="31:31" ht="12.75" customHeight="1" x14ac:dyDescent="0.15">
      <c r="AE13734" s="13"/>
    </row>
    <row r="13735" spans="31:31" ht="12.75" customHeight="1" x14ac:dyDescent="0.15">
      <c r="AE13735" s="13"/>
    </row>
    <row r="13736" spans="31:31" ht="12.75" customHeight="1" x14ac:dyDescent="0.15">
      <c r="AE13736" s="13"/>
    </row>
    <row r="13737" spans="31:31" ht="12.75" customHeight="1" x14ac:dyDescent="0.15">
      <c r="AE13737" s="13"/>
    </row>
    <row r="13738" spans="31:31" ht="12.75" customHeight="1" x14ac:dyDescent="0.15">
      <c r="AE13738" s="13"/>
    </row>
    <row r="13739" spans="31:31" ht="12.75" customHeight="1" x14ac:dyDescent="0.15">
      <c r="AE13739" s="13"/>
    </row>
    <row r="13740" spans="31:31" ht="12.75" customHeight="1" x14ac:dyDescent="0.15">
      <c r="AE13740" s="13"/>
    </row>
    <row r="13741" spans="31:31" ht="12.75" customHeight="1" x14ac:dyDescent="0.15">
      <c r="AE13741" s="13"/>
    </row>
    <row r="13742" spans="31:31" ht="12.75" customHeight="1" x14ac:dyDescent="0.15">
      <c r="AE13742" s="13"/>
    </row>
    <row r="13743" spans="31:31" ht="12.75" customHeight="1" x14ac:dyDescent="0.15">
      <c r="AE13743" s="13"/>
    </row>
    <row r="13744" spans="31:31" ht="12.75" customHeight="1" x14ac:dyDescent="0.15">
      <c r="AE13744" s="13"/>
    </row>
    <row r="13745" spans="31:31" ht="12.75" customHeight="1" x14ac:dyDescent="0.15">
      <c r="AE13745" s="13"/>
    </row>
    <row r="13746" spans="31:31" ht="12.75" customHeight="1" x14ac:dyDescent="0.15">
      <c r="AE13746" s="13"/>
    </row>
    <row r="13747" spans="31:31" ht="12.75" customHeight="1" x14ac:dyDescent="0.15">
      <c r="AE13747" s="13"/>
    </row>
    <row r="13748" spans="31:31" ht="12.75" customHeight="1" x14ac:dyDescent="0.15">
      <c r="AE13748" s="13"/>
    </row>
    <row r="13749" spans="31:31" ht="12.75" customHeight="1" x14ac:dyDescent="0.15">
      <c r="AE13749" s="13"/>
    </row>
    <row r="13750" spans="31:31" ht="12.75" customHeight="1" x14ac:dyDescent="0.15">
      <c r="AE13750" s="13"/>
    </row>
    <row r="13751" spans="31:31" ht="12.75" customHeight="1" x14ac:dyDescent="0.15">
      <c r="AE13751" s="13"/>
    </row>
    <row r="13752" spans="31:31" ht="12.75" customHeight="1" x14ac:dyDescent="0.15">
      <c r="AE13752" s="13"/>
    </row>
    <row r="13753" spans="31:31" ht="12.75" customHeight="1" x14ac:dyDescent="0.15">
      <c r="AE13753" s="13"/>
    </row>
    <row r="13754" spans="31:31" ht="12.75" customHeight="1" x14ac:dyDescent="0.15">
      <c r="AE13754" s="13"/>
    </row>
    <row r="13755" spans="31:31" ht="12.75" customHeight="1" x14ac:dyDescent="0.15">
      <c r="AE13755" s="13"/>
    </row>
    <row r="13756" spans="31:31" ht="12.75" customHeight="1" x14ac:dyDescent="0.15">
      <c r="AE13756" s="13"/>
    </row>
    <row r="13757" spans="31:31" ht="12.75" customHeight="1" x14ac:dyDescent="0.15">
      <c r="AE13757" s="13"/>
    </row>
    <row r="13758" spans="31:31" ht="12.75" customHeight="1" x14ac:dyDescent="0.15">
      <c r="AE13758" s="13"/>
    </row>
    <row r="13759" spans="31:31" ht="12.75" customHeight="1" x14ac:dyDescent="0.15">
      <c r="AE13759" s="13"/>
    </row>
    <row r="13760" spans="31:31" ht="12.75" customHeight="1" x14ac:dyDescent="0.15">
      <c r="AE13760" s="13"/>
    </row>
    <row r="13761" spans="31:31" ht="12.75" customHeight="1" x14ac:dyDescent="0.15">
      <c r="AE13761" s="13"/>
    </row>
    <row r="13762" spans="31:31" ht="12.75" customHeight="1" x14ac:dyDescent="0.15">
      <c r="AE13762" s="13"/>
    </row>
    <row r="13763" spans="31:31" ht="12.75" customHeight="1" x14ac:dyDescent="0.15">
      <c r="AE13763" s="13"/>
    </row>
    <row r="13764" spans="31:31" ht="12.75" customHeight="1" x14ac:dyDescent="0.15">
      <c r="AE13764" s="13"/>
    </row>
    <row r="13765" spans="31:31" ht="12.75" customHeight="1" x14ac:dyDescent="0.15">
      <c r="AE13765" s="13"/>
    </row>
    <row r="13766" spans="31:31" ht="12.75" customHeight="1" x14ac:dyDescent="0.15">
      <c r="AE13766" s="13"/>
    </row>
    <row r="13767" spans="31:31" ht="12.75" customHeight="1" x14ac:dyDescent="0.15">
      <c r="AE13767" s="13"/>
    </row>
    <row r="13768" spans="31:31" ht="12.75" customHeight="1" x14ac:dyDescent="0.15">
      <c r="AE13768" s="13"/>
    </row>
    <row r="13769" spans="31:31" ht="12.75" customHeight="1" x14ac:dyDescent="0.15">
      <c r="AE13769" s="13"/>
    </row>
    <row r="13770" spans="31:31" ht="12.75" customHeight="1" x14ac:dyDescent="0.15">
      <c r="AE13770" s="13"/>
    </row>
    <row r="13771" spans="31:31" ht="12.75" customHeight="1" x14ac:dyDescent="0.15">
      <c r="AE13771" s="13"/>
    </row>
    <row r="13772" spans="31:31" ht="12.75" customHeight="1" x14ac:dyDescent="0.15">
      <c r="AE13772" s="13"/>
    </row>
    <row r="13773" spans="31:31" ht="12.75" customHeight="1" x14ac:dyDescent="0.15">
      <c r="AE13773" s="13"/>
    </row>
    <row r="13774" spans="31:31" ht="12.75" customHeight="1" x14ac:dyDescent="0.15">
      <c r="AE13774" s="13"/>
    </row>
    <row r="13775" spans="31:31" ht="12.75" customHeight="1" x14ac:dyDescent="0.15">
      <c r="AE13775" s="13"/>
    </row>
    <row r="13776" spans="31:31" ht="12.75" customHeight="1" x14ac:dyDescent="0.15">
      <c r="AE13776" s="13"/>
    </row>
    <row r="13777" spans="31:31" ht="12.75" customHeight="1" x14ac:dyDescent="0.15">
      <c r="AE13777" s="13"/>
    </row>
    <row r="13778" spans="31:31" ht="12.75" customHeight="1" x14ac:dyDescent="0.15">
      <c r="AE13778" s="13"/>
    </row>
    <row r="13779" spans="31:31" ht="12.75" customHeight="1" x14ac:dyDescent="0.15">
      <c r="AE13779" s="13"/>
    </row>
    <row r="13780" spans="31:31" ht="12.75" customHeight="1" x14ac:dyDescent="0.15">
      <c r="AE13780" s="13"/>
    </row>
    <row r="13781" spans="31:31" ht="12.75" customHeight="1" x14ac:dyDescent="0.15">
      <c r="AE13781" s="13"/>
    </row>
    <row r="13782" spans="31:31" ht="12.75" customHeight="1" x14ac:dyDescent="0.15">
      <c r="AE13782" s="13"/>
    </row>
    <row r="13783" spans="31:31" ht="12.75" customHeight="1" x14ac:dyDescent="0.15">
      <c r="AE13783" s="13"/>
    </row>
    <row r="13784" spans="31:31" ht="12.75" customHeight="1" x14ac:dyDescent="0.15">
      <c r="AE13784" s="13"/>
    </row>
    <row r="13785" spans="31:31" ht="12.75" customHeight="1" x14ac:dyDescent="0.15">
      <c r="AE13785" s="13"/>
    </row>
    <row r="13786" spans="31:31" ht="12.75" customHeight="1" x14ac:dyDescent="0.15">
      <c r="AE13786" s="13"/>
    </row>
    <row r="13787" spans="31:31" ht="12.75" customHeight="1" x14ac:dyDescent="0.15">
      <c r="AE13787" s="13"/>
    </row>
    <row r="13788" spans="31:31" ht="12.75" customHeight="1" x14ac:dyDescent="0.15">
      <c r="AE13788" s="13"/>
    </row>
    <row r="13789" spans="31:31" ht="12.75" customHeight="1" x14ac:dyDescent="0.15">
      <c r="AE13789" s="13"/>
    </row>
    <row r="13790" spans="31:31" ht="12.75" customHeight="1" x14ac:dyDescent="0.15">
      <c r="AE13790" s="13"/>
    </row>
    <row r="13791" spans="31:31" ht="12.75" customHeight="1" x14ac:dyDescent="0.15">
      <c r="AE13791" s="13"/>
    </row>
    <row r="13792" spans="31:31" ht="12.75" customHeight="1" x14ac:dyDescent="0.15">
      <c r="AE13792" s="13"/>
    </row>
    <row r="13793" spans="31:31" ht="12.75" customHeight="1" x14ac:dyDescent="0.15">
      <c r="AE13793" s="13"/>
    </row>
    <row r="13794" spans="31:31" ht="12.75" customHeight="1" x14ac:dyDescent="0.15">
      <c r="AE13794" s="13"/>
    </row>
    <row r="13795" spans="31:31" ht="12.75" customHeight="1" x14ac:dyDescent="0.15">
      <c r="AE13795" s="13"/>
    </row>
    <row r="13796" spans="31:31" ht="12.75" customHeight="1" x14ac:dyDescent="0.15">
      <c r="AE13796" s="13"/>
    </row>
    <row r="13797" spans="31:31" ht="12.75" customHeight="1" x14ac:dyDescent="0.15">
      <c r="AE13797" s="13"/>
    </row>
    <row r="13798" spans="31:31" ht="12.75" customHeight="1" x14ac:dyDescent="0.15">
      <c r="AE13798" s="13"/>
    </row>
    <row r="13799" spans="31:31" ht="12.75" customHeight="1" x14ac:dyDescent="0.15">
      <c r="AE13799" s="13"/>
    </row>
    <row r="13800" spans="31:31" ht="12.75" customHeight="1" x14ac:dyDescent="0.15">
      <c r="AE13800" s="13"/>
    </row>
    <row r="13801" spans="31:31" ht="12.75" customHeight="1" x14ac:dyDescent="0.15">
      <c r="AE13801" s="13"/>
    </row>
    <row r="13802" spans="31:31" ht="12.75" customHeight="1" x14ac:dyDescent="0.15">
      <c r="AE13802" s="13"/>
    </row>
    <row r="13803" spans="31:31" ht="12.75" customHeight="1" x14ac:dyDescent="0.15">
      <c r="AE13803" s="13"/>
    </row>
    <row r="13804" spans="31:31" ht="12.75" customHeight="1" x14ac:dyDescent="0.15">
      <c r="AE13804" s="13"/>
    </row>
    <row r="13805" spans="31:31" ht="12.75" customHeight="1" x14ac:dyDescent="0.15">
      <c r="AE13805" s="13"/>
    </row>
    <row r="13806" spans="31:31" ht="12.75" customHeight="1" x14ac:dyDescent="0.15">
      <c r="AE13806" s="13"/>
    </row>
    <row r="13807" spans="31:31" ht="12.75" customHeight="1" x14ac:dyDescent="0.15">
      <c r="AE13807" s="13"/>
    </row>
    <row r="13808" spans="31:31" ht="12.75" customHeight="1" x14ac:dyDescent="0.15">
      <c r="AE13808" s="13"/>
    </row>
    <row r="13809" spans="31:31" ht="12.75" customHeight="1" x14ac:dyDescent="0.15">
      <c r="AE13809" s="13"/>
    </row>
    <row r="13810" spans="31:31" ht="12.75" customHeight="1" x14ac:dyDescent="0.15">
      <c r="AE13810" s="13"/>
    </row>
    <row r="13811" spans="31:31" ht="12.75" customHeight="1" x14ac:dyDescent="0.15">
      <c r="AE13811" s="13"/>
    </row>
    <row r="13812" spans="31:31" ht="12.75" customHeight="1" x14ac:dyDescent="0.15">
      <c r="AE13812" s="13"/>
    </row>
    <row r="13813" spans="31:31" ht="12.75" customHeight="1" x14ac:dyDescent="0.15">
      <c r="AE13813" s="13"/>
    </row>
    <row r="13814" spans="31:31" ht="12.75" customHeight="1" x14ac:dyDescent="0.15">
      <c r="AE13814" s="13"/>
    </row>
    <row r="13815" spans="31:31" ht="12.75" customHeight="1" x14ac:dyDescent="0.15">
      <c r="AE13815" s="13"/>
    </row>
    <row r="13816" spans="31:31" ht="12.75" customHeight="1" x14ac:dyDescent="0.15">
      <c r="AE13816" s="13"/>
    </row>
    <row r="13817" spans="31:31" ht="12.75" customHeight="1" x14ac:dyDescent="0.15">
      <c r="AE13817" s="13"/>
    </row>
    <row r="13818" spans="31:31" ht="12.75" customHeight="1" x14ac:dyDescent="0.15">
      <c r="AE13818" s="13"/>
    </row>
    <row r="13819" spans="31:31" ht="12.75" customHeight="1" x14ac:dyDescent="0.15">
      <c r="AE13819" s="13"/>
    </row>
    <row r="13820" spans="31:31" ht="12.75" customHeight="1" x14ac:dyDescent="0.15">
      <c r="AE13820" s="13"/>
    </row>
    <row r="13821" spans="31:31" ht="12.75" customHeight="1" x14ac:dyDescent="0.15">
      <c r="AE13821" s="13"/>
    </row>
    <row r="13822" spans="31:31" ht="12.75" customHeight="1" x14ac:dyDescent="0.15">
      <c r="AE13822" s="13"/>
    </row>
    <row r="13823" spans="31:31" ht="12.75" customHeight="1" x14ac:dyDescent="0.15">
      <c r="AE13823" s="13"/>
    </row>
    <row r="13824" spans="31:31" ht="12.75" customHeight="1" x14ac:dyDescent="0.15">
      <c r="AE13824" s="13"/>
    </row>
    <row r="13825" spans="31:31" ht="12.75" customHeight="1" x14ac:dyDescent="0.15">
      <c r="AE13825" s="13"/>
    </row>
    <row r="13826" spans="31:31" ht="12.75" customHeight="1" x14ac:dyDescent="0.15">
      <c r="AE13826" s="13"/>
    </row>
    <row r="13827" spans="31:31" ht="12.75" customHeight="1" x14ac:dyDescent="0.15">
      <c r="AE13827" s="13"/>
    </row>
    <row r="13828" spans="31:31" ht="12.75" customHeight="1" x14ac:dyDescent="0.15">
      <c r="AE13828" s="13"/>
    </row>
    <row r="13829" spans="31:31" ht="12.75" customHeight="1" x14ac:dyDescent="0.15">
      <c r="AE13829" s="13"/>
    </row>
    <row r="13830" spans="31:31" ht="12.75" customHeight="1" x14ac:dyDescent="0.15">
      <c r="AE13830" s="13"/>
    </row>
    <row r="13831" spans="31:31" ht="12.75" customHeight="1" x14ac:dyDescent="0.15">
      <c r="AE13831" s="13"/>
    </row>
    <row r="13832" spans="31:31" ht="12.75" customHeight="1" x14ac:dyDescent="0.15">
      <c r="AE13832" s="13"/>
    </row>
    <row r="13833" spans="31:31" ht="12.75" customHeight="1" x14ac:dyDescent="0.15">
      <c r="AE13833" s="13"/>
    </row>
    <row r="13834" spans="31:31" ht="12.75" customHeight="1" x14ac:dyDescent="0.15">
      <c r="AE13834" s="13"/>
    </row>
    <row r="13835" spans="31:31" ht="12.75" customHeight="1" x14ac:dyDescent="0.15">
      <c r="AE13835" s="13"/>
    </row>
    <row r="13836" spans="31:31" ht="12.75" customHeight="1" x14ac:dyDescent="0.15">
      <c r="AE13836" s="13"/>
    </row>
    <row r="13837" spans="31:31" ht="12.75" customHeight="1" x14ac:dyDescent="0.15">
      <c r="AE13837" s="13"/>
    </row>
    <row r="13838" spans="31:31" ht="12.75" customHeight="1" x14ac:dyDescent="0.15">
      <c r="AE13838" s="13"/>
    </row>
    <row r="13839" spans="31:31" ht="12.75" customHeight="1" x14ac:dyDescent="0.15">
      <c r="AE13839" s="13"/>
    </row>
    <row r="13840" spans="31:31" ht="12.75" customHeight="1" x14ac:dyDescent="0.15">
      <c r="AE13840" s="13"/>
    </row>
    <row r="13841" spans="31:31" ht="12.75" customHeight="1" x14ac:dyDescent="0.15">
      <c r="AE13841" s="13"/>
    </row>
    <row r="13842" spans="31:31" ht="12.75" customHeight="1" x14ac:dyDescent="0.15">
      <c r="AE13842" s="13"/>
    </row>
    <row r="13843" spans="31:31" ht="12.75" customHeight="1" x14ac:dyDescent="0.15">
      <c r="AE13843" s="13"/>
    </row>
    <row r="13844" spans="31:31" ht="12.75" customHeight="1" x14ac:dyDescent="0.15">
      <c r="AE13844" s="13"/>
    </row>
    <row r="13845" spans="31:31" ht="12.75" customHeight="1" x14ac:dyDescent="0.15">
      <c r="AE13845" s="13"/>
    </row>
    <row r="13846" spans="31:31" ht="12.75" customHeight="1" x14ac:dyDescent="0.15">
      <c r="AE13846" s="13"/>
    </row>
    <row r="13847" spans="31:31" ht="12.75" customHeight="1" x14ac:dyDescent="0.15">
      <c r="AE13847" s="13"/>
    </row>
    <row r="13848" spans="31:31" ht="12.75" customHeight="1" x14ac:dyDescent="0.15">
      <c r="AE13848" s="13"/>
    </row>
    <row r="13849" spans="31:31" ht="12.75" customHeight="1" x14ac:dyDescent="0.15">
      <c r="AE13849" s="13"/>
    </row>
    <row r="13850" spans="31:31" ht="12.75" customHeight="1" x14ac:dyDescent="0.15">
      <c r="AE13850" s="13"/>
    </row>
    <row r="13851" spans="31:31" ht="12.75" customHeight="1" x14ac:dyDescent="0.15">
      <c r="AE13851" s="13"/>
    </row>
    <row r="13852" spans="31:31" ht="12.75" customHeight="1" x14ac:dyDescent="0.15">
      <c r="AE13852" s="13"/>
    </row>
    <row r="13853" spans="31:31" ht="12.75" customHeight="1" x14ac:dyDescent="0.15">
      <c r="AE13853" s="13"/>
    </row>
    <row r="13854" spans="31:31" ht="12.75" customHeight="1" x14ac:dyDescent="0.15">
      <c r="AE13854" s="13"/>
    </row>
    <row r="13855" spans="31:31" ht="12.75" customHeight="1" x14ac:dyDescent="0.15">
      <c r="AE13855" s="13"/>
    </row>
    <row r="13856" spans="31:31" ht="12.75" customHeight="1" x14ac:dyDescent="0.15">
      <c r="AE13856" s="13"/>
    </row>
    <row r="13857" spans="31:31" ht="12.75" customHeight="1" x14ac:dyDescent="0.15">
      <c r="AE13857" s="13"/>
    </row>
    <row r="13858" spans="31:31" ht="12.75" customHeight="1" x14ac:dyDescent="0.15">
      <c r="AE13858" s="13"/>
    </row>
    <row r="13859" spans="31:31" ht="12.75" customHeight="1" x14ac:dyDescent="0.15">
      <c r="AE13859" s="13"/>
    </row>
    <row r="13860" spans="31:31" ht="12.75" customHeight="1" x14ac:dyDescent="0.15">
      <c r="AE13860" s="13"/>
    </row>
    <row r="13861" spans="31:31" ht="12.75" customHeight="1" x14ac:dyDescent="0.15">
      <c r="AE13861" s="13"/>
    </row>
    <row r="13862" spans="31:31" ht="12.75" customHeight="1" x14ac:dyDescent="0.15">
      <c r="AE13862" s="13"/>
    </row>
    <row r="13863" spans="31:31" ht="12.75" customHeight="1" x14ac:dyDescent="0.15">
      <c r="AE13863" s="13"/>
    </row>
    <row r="13864" spans="31:31" ht="12.75" customHeight="1" x14ac:dyDescent="0.15">
      <c r="AE13864" s="13"/>
    </row>
    <row r="13865" spans="31:31" ht="12.75" customHeight="1" x14ac:dyDescent="0.15">
      <c r="AE13865" s="13"/>
    </row>
    <row r="13866" spans="31:31" ht="12.75" customHeight="1" x14ac:dyDescent="0.15">
      <c r="AE13866" s="13"/>
    </row>
    <row r="13867" spans="31:31" ht="12.75" customHeight="1" x14ac:dyDescent="0.15">
      <c r="AE13867" s="13"/>
    </row>
    <row r="13868" spans="31:31" ht="12.75" customHeight="1" x14ac:dyDescent="0.15">
      <c r="AE13868" s="13"/>
    </row>
    <row r="13869" spans="31:31" ht="12.75" customHeight="1" x14ac:dyDescent="0.15">
      <c r="AE13869" s="13"/>
    </row>
    <row r="13870" spans="31:31" ht="12.75" customHeight="1" x14ac:dyDescent="0.15">
      <c r="AE13870" s="13"/>
    </row>
    <row r="13871" spans="31:31" ht="12.75" customHeight="1" x14ac:dyDescent="0.15">
      <c r="AE13871" s="13"/>
    </row>
    <row r="13872" spans="31:31" ht="12.75" customHeight="1" x14ac:dyDescent="0.15">
      <c r="AE13872" s="13"/>
    </row>
    <row r="13873" spans="31:31" ht="12.75" customHeight="1" x14ac:dyDescent="0.15">
      <c r="AE13873" s="13"/>
    </row>
    <row r="13874" spans="31:31" ht="12.75" customHeight="1" x14ac:dyDescent="0.15">
      <c r="AE13874" s="13"/>
    </row>
    <row r="13875" spans="31:31" ht="12.75" customHeight="1" x14ac:dyDescent="0.15">
      <c r="AE13875" s="13"/>
    </row>
    <row r="13876" spans="31:31" ht="12.75" customHeight="1" x14ac:dyDescent="0.15">
      <c r="AE13876" s="13"/>
    </row>
    <row r="13877" spans="31:31" ht="12.75" customHeight="1" x14ac:dyDescent="0.15">
      <c r="AE13877" s="13"/>
    </row>
    <row r="13878" spans="31:31" ht="12.75" customHeight="1" x14ac:dyDescent="0.15">
      <c r="AE13878" s="13"/>
    </row>
    <row r="13879" spans="31:31" ht="12.75" customHeight="1" x14ac:dyDescent="0.15">
      <c r="AE13879" s="13"/>
    </row>
    <row r="13880" spans="31:31" ht="12.75" customHeight="1" x14ac:dyDescent="0.15">
      <c r="AE13880" s="13"/>
    </row>
    <row r="13881" spans="31:31" ht="12.75" customHeight="1" x14ac:dyDescent="0.15">
      <c r="AE13881" s="13"/>
    </row>
    <row r="13882" spans="31:31" ht="12.75" customHeight="1" x14ac:dyDescent="0.15">
      <c r="AE13882" s="13"/>
    </row>
    <row r="13883" spans="31:31" ht="12.75" customHeight="1" x14ac:dyDescent="0.15">
      <c r="AE13883" s="13"/>
    </row>
    <row r="13884" spans="31:31" ht="12.75" customHeight="1" x14ac:dyDescent="0.15">
      <c r="AE13884" s="13"/>
    </row>
    <row r="13885" spans="31:31" ht="12.75" customHeight="1" x14ac:dyDescent="0.15">
      <c r="AE13885" s="13"/>
    </row>
    <row r="13886" spans="31:31" ht="12.75" customHeight="1" x14ac:dyDescent="0.15">
      <c r="AE13886" s="13"/>
    </row>
    <row r="13887" spans="31:31" ht="12.75" customHeight="1" x14ac:dyDescent="0.15">
      <c r="AE13887" s="13"/>
    </row>
    <row r="13888" spans="31:31" ht="12.75" customHeight="1" x14ac:dyDescent="0.15">
      <c r="AE13888" s="13"/>
    </row>
    <row r="13889" spans="31:31" ht="12.75" customHeight="1" x14ac:dyDescent="0.15">
      <c r="AE13889" s="13"/>
    </row>
    <row r="13890" spans="31:31" ht="12.75" customHeight="1" x14ac:dyDescent="0.15">
      <c r="AE13890" s="13"/>
    </row>
    <row r="13891" spans="31:31" ht="12.75" customHeight="1" x14ac:dyDescent="0.15">
      <c r="AE13891" s="13"/>
    </row>
    <row r="13892" spans="31:31" ht="12.75" customHeight="1" x14ac:dyDescent="0.15">
      <c r="AE13892" s="13"/>
    </row>
    <row r="13893" spans="31:31" ht="12.75" customHeight="1" x14ac:dyDescent="0.15">
      <c r="AE13893" s="13"/>
    </row>
    <row r="13894" spans="31:31" ht="12.75" customHeight="1" x14ac:dyDescent="0.15">
      <c r="AE13894" s="13"/>
    </row>
    <row r="13895" spans="31:31" ht="12.75" customHeight="1" x14ac:dyDescent="0.15">
      <c r="AE13895" s="13"/>
    </row>
    <row r="13896" spans="31:31" ht="12.75" customHeight="1" x14ac:dyDescent="0.15">
      <c r="AE13896" s="13"/>
    </row>
    <row r="13897" spans="31:31" ht="12.75" customHeight="1" x14ac:dyDescent="0.15">
      <c r="AE13897" s="13"/>
    </row>
    <row r="13898" spans="31:31" ht="12.75" customHeight="1" x14ac:dyDescent="0.15">
      <c r="AE13898" s="13"/>
    </row>
    <row r="13899" spans="31:31" ht="12.75" customHeight="1" x14ac:dyDescent="0.15">
      <c r="AE13899" s="13"/>
    </row>
    <row r="13900" spans="31:31" ht="12.75" customHeight="1" x14ac:dyDescent="0.15">
      <c r="AE13900" s="13"/>
    </row>
    <row r="13901" spans="31:31" ht="12.75" customHeight="1" x14ac:dyDescent="0.15">
      <c r="AE13901" s="13"/>
    </row>
    <row r="13902" spans="31:31" ht="12.75" customHeight="1" x14ac:dyDescent="0.15">
      <c r="AE13902" s="13"/>
    </row>
    <row r="13903" spans="31:31" ht="12.75" customHeight="1" x14ac:dyDescent="0.15">
      <c r="AE13903" s="13"/>
    </row>
    <row r="13904" spans="31:31" ht="12.75" customHeight="1" x14ac:dyDescent="0.15">
      <c r="AE13904" s="13"/>
    </row>
    <row r="13905" spans="31:31" ht="12.75" customHeight="1" x14ac:dyDescent="0.15">
      <c r="AE13905" s="13"/>
    </row>
    <row r="13906" spans="31:31" ht="12.75" customHeight="1" x14ac:dyDescent="0.15">
      <c r="AE13906" s="13"/>
    </row>
    <row r="13907" spans="31:31" ht="12.75" customHeight="1" x14ac:dyDescent="0.15">
      <c r="AE13907" s="13"/>
    </row>
    <row r="13908" spans="31:31" ht="12.75" customHeight="1" x14ac:dyDescent="0.15">
      <c r="AE13908" s="13"/>
    </row>
    <row r="13909" spans="31:31" ht="12.75" customHeight="1" x14ac:dyDescent="0.15">
      <c r="AE13909" s="13"/>
    </row>
    <row r="13910" spans="31:31" ht="12.75" customHeight="1" x14ac:dyDescent="0.15">
      <c r="AE13910" s="13"/>
    </row>
    <row r="13911" spans="31:31" ht="12.75" customHeight="1" x14ac:dyDescent="0.15">
      <c r="AE13911" s="13"/>
    </row>
    <row r="13912" spans="31:31" ht="12.75" customHeight="1" x14ac:dyDescent="0.15">
      <c r="AE13912" s="13"/>
    </row>
    <row r="13913" spans="31:31" ht="12.75" customHeight="1" x14ac:dyDescent="0.15">
      <c r="AE13913" s="13"/>
    </row>
    <row r="13914" spans="31:31" ht="12.75" customHeight="1" x14ac:dyDescent="0.15">
      <c r="AE13914" s="13"/>
    </row>
    <row r="13915" spans="31:31" ht="12.75" customHeight="1" x14ac:dyDescent="0.15">
      <c r="AE13915" s="13"/>
    </row>
    <row r="13916" spans="31:31" ht="12.75" customHeight="1" x14ac:dyDescent="0.15">
      <c r="AE13916" s="13"/>
    </row>
    <row r="13917" spans="31:31" ht="12.75" customHeight="1" x14ac:dyDescent="0.15">
      <c r="AE13917" s="13"/>
    </row>
    <row r="13918" spans="31:31" ht="12.75" customHeight="1" x14ac:dyDescent="0.15">
      <c r="AE13918" s="13"/>
    </row>
    <row r="13919" spans="31:31" ht="12.75" customHeight="1" x14ac:dyDescent="0.15">
      <c r="AE13919" s="13"/>
    </row>
    <row r="13920" spans="31:31" ht="12.75" customHeight="1" x14ac:dyDescent="0.15">
      <c r="AE13920" s="13"/>
    </row>
    <row r="13921" spans="31:31" ht="12.75" customHeight="1" x14ac:dyDescent="0.15">
      <c r="AE13921" s="13"/>
    </row>
    <row r="13922" spans="31:31" ht="12.75" customHeight="1" x14ac:dyDescent="0.15">
      <c r="AE13922" s="13"/>
    </row>
    <row r="13923" spans="31:31" ht="12.75" customHeight="1" x14ac:dyDescent="0.15">
      <c r="AE13923" s="13"/>
    </row>
    <row r="13924" spans="31:31" ht="12.75" customHeight="1" x14ac:dyDescent="0.15">
      <c r="AE13924" s="13"/>
    </row>
    <row r="13925" spans="31:31" ht="12.75" customHeight="1" x14ac:dyDescent="0.15">
      <c r="AE13925" s="13"/>
    </row>
    <row r="13926" spans="31:31" ht="12.75" customHeight="1" x14ac:dyDescent="0.15">
      <c r="AE13926" s="13"/>
    </row>
    <row r="13927" spans="31:31" ht="12.75" customHeight="1" x14ac:dyDescent="0.15">
      <c r="AE13927" s="13"/>
    </row>
    <row r="13928" spans="31:31" ht="12.75" customHeight="1" x14ac:dyDescent="0.15">
      <c r="AE13928" s="13"/>
    </row>
    <row r="13929" spans="31:31" ht="12.75" customHeight="1" x14ac:dyDescent="0.15">
      <c r="AE13929" s="13"/>
    </row>
    <row r="13930" spans="31:31" ht="12.75" customHeight="1" x14ac:dyDescent="0.15">
      <c r="AE13930" s="13"/>
    </row>
    <row r="13931" spans="31:31" ht="12.75" customHeight="1" x14ac:dyDescent="0.15">
      <c r="AE13931" s="13"/>
    </row>
    <row r="13932" spans="31:31" ht="12.75" customHeight="1" x14ac:dyDescent="0.15">
      <c r="AE13932" s="13"/>
    </row>
    <row r="13933" spans="31:31" ht="12.75" customHeight="1" x14ac:dyDescent="0.15">
      <c r="AE13933" s="13"/>
    </row>
    <row r="13934" spans="31:31" ht="12.75" customHeight="1" x14ac:dyDescent="0.15">
      <c r="AE13934" s="13"/>
    </row>
    <row r="13935" spans="31:31" ht="12.75" customHeight="1" x14ac:dyDescent="0.15">
      <c r="AE13935" s="13"/>
    </row>
    <row r="13936" spans="31:31" ht="12.75" customHeight="1" x14ac:dyDescent="0.15">
      <c r="AE13936" s="13"/>
    </row>
    <row r="13937" spans="31:31" ht="12.75" customHeight="1" x14ac:dyDescent="0.15">
      <c r="AE13937" s="13"/>
    </row>
    <row r="13938" spans="31:31" ht="12.75" customHeight="1" x14ac:dyDescent="0.15">
      <c r="AE13938" s="13"/>
    </row>
    <row r="13939" spans="31:31" ht="12.75" customHeight="1" x14ac:dyDescent="0.15">
      <c r="AE13939" s="13"/>
    </row>
    <row r="13940" spans="31:31" ht="12.75" customHeight="1" x14ac:dyDescent="0.15">
      <c r="AE13940" s="13"/>
    </row>
    <row r="13941" spans="31:31" ht="12.75" customHeight="1" x14ac:dyDescent="0.15">
      <c r="AE13941" s="13"/>
    </row>
    <row r="13942" spans="31:31" ht="12.75" customHeight="1" x14ac:dyDescent="0.15">
      <c r="AE13942" s="13"/>
    </row>
    <row r="13943" spans="31:31" ht="12.75" customHeight="1" x14ac:dyDescent="0.15">
      <c r="AE13943" s="13"/>
    </row>
    <row r="13944" spans="31:31" ht="12.75" customHeight="1" x14ac:dyDescent="0.15">
      <c r="AE13944" s="13"/>
    </row>
    <row r="13945" spans="31:31" ht="12.75" customHeight="1" x14ac:dyDescent="0.15">
      <c r="AE13945" s="13"/>
    </row>
    <row r="13946" spans="31:31" ht="12.75" customHeight="1" x14ac:dyDescent="0.15">
      <c r="AE13946" s="13"/>
    </row>
    <row r="13947" spans="31:31" ht="12.75" customHeight="1" x14ac:dyDescent="0.15">
      <c r="AE13947" s="13"/>
    </row>
    <row r="13948" spans="31:31" ht="12.75" customHeight="1" x14ac:dyDescent="0.15">
      <c r="AE13948" s="13"/>
    </row>
    <row r="13949" spans="31:31" ht="12.75" customHeight="1" x14ac:dyDescent="0.15">
      <c r="AE13949" s="13"/>
    </row>
    <row r="13950" spans="31:31" ht="12.75" customHeight="1" x14ac:dyDescent="0.15">
      <c r="AE13950" s="13"/>
    </row>
    <row r="13951" spans="31:31" ht="12.75" customHeight="1" x14ac:dyDescent="0.15">
      <c r="AE13951" s="13"/>
    </row>
    <row r="13952" spans="31:31" ht="12.75" customHeight="1" x14ac:dyDescent="0.15">
      <c r="AE13952" s="13"/>
    </row>
    <row r="13953" spans="31:31" ht="12.75" customHeight="1" x14ac:dyDescent="0.15">
      <c r="AE13953" s="13"/>
    </row>
    <row r="13954" spans="31:31" ht="12.75" customHeight="1" x14ac:dyDescent="0.15">
      <c r="AE13954" s="13"/>
    </row>
    <row r="13955" spans="31:31" ht="12.75" customHeight="1" x14ac:dyDescent="0.15">
      <c r="AE13955" s="13"/>
    </row>
    <row r="13956" spans="31:31" ht="12.75" customHeight="1" x14ac:dyDescent="0.15">
      <c r="AE13956" s="13"/>
    </row>
    <row r="13957" spans="31:31" ht="12.75" customHeight="1" x14ac:dyDescent="0.15">
      <c r="AE13957" s="13"/>
    </row>
    <row r="13958" spans="31:31" ht="12.75" customHeight="1" x14ac:dyDescent="0.15">
      <c r="AE13958" s="13"/>
    </row>
    <row r="13959" spans="31:31" ht="12.75" customHeight="1" x14ac:dyDescent="0.15">
      <c r="AE13959" s="13"/>
    </row>
    <row r="13960" spans="31:31" ht="12.75" customHeight="1" x14ac:dyDescent="0.15">
      <c r="AE13960" s="13"/>
    </row>
    <row r="13961" spans="31:31" ht="12.75" customHeight="1" x14ac:dyDescent="0.15">
      <c r="AE13961" s="13"/>
    </row>
    <row r="13962" spans="31:31" ht="12.75" customHeight="1" x14ac:dyDescent="0.15">
      <c r="AE13962" s="13"/>
    </row>
    <row r="13963" spans="31:31" ht="12.75" customHeight="1" x14ac:dyDescent="0.15">
      <c r="AE13963" s="13"/>
    </row>
    <row r="13964" spans="31:31" ht="12.75" customHeight="1" x14ac:dyDescent="0.15">
      <c r="AE13964" s="13"/>
    </row>
    <row r="13965" spans="31:31" ht="12.75" customHeight="1" x14ac:dyDescent="0.15">
      <c r="AE13965" s="13"/>
    </row>
    <row r="13966" spans="31:31" ht="12.75" customHeight="1" x14ac:dyDescent="0.15">
      <c r="AE13966" s="13"/>
    </row>
    <row r="13967" spans="31:31" ht="12.75" customHeight="1" x14ac:dyDescent="0.15">
      <c r="AE13967" s="13"/>
    </row>
    <row r="13968" spans="31:31" ht="12.75" customHeight="1" x14ac:dyDescent="0.15">
      <c r="AE13968" s="13"/>
    </row>
    <row r="13969" spans="31:31" ht="12.75" customHeight="1" x14ac:dyDescent="0.15">
      <c r="AE13969" s="13"/>
    </row>
    <row r="13970" spans="31:31" ht="12.75" customHeight="1" x14ac:dyDescent="0.15">
      <c r="AE13970" s="13"/>
    </row>
    <row r="13971" spans="31:31" ht="12.75" customHeight="1" x14ac:dyDescent="0.15">
      <c r="AE13971" s="13"/>
    </row>
    <row r="13972" spans="31:31" ht="12.75" customHeight="1" x14ac:dyDescent="0.15">
      <c r="AE13972" s="13"/>
    </row>
    <row r="13973" spans="31:31" ht="12.75" customHeight="1" x14ac:dyDescent="0.15">
      <c r="AE13973" s="13"/>
    </row>
    <row r="13974" spans="31:31" ht="12.75" customHeight="1" x14ac:dyDescent="0.15">
      <c r="AE13974" s="13"/>
    </row>
    <row r="13975" spans="31:31" ht="12.75" customHeight="1" x14ac:dyDescent="0.15">
      <c r="AE13975" s="13"/>
    </row>
    <row r="13976" spans="31:31" ht="12.75" customHeight="1" x14ac:dyDescent="0.15">
      <c r="AE13976" s="13"/>
    </row>
    <row r="13977" spans="31:31" ht="12.75" customHeight="1" x14ac:dyDescent="0.15">
      <c r="AE13977" s="13"/>
    </row>
    <row r="13978" spans="31:31" ht="12.75" customHeight="1" x14ac:dyDescent="0.15">
      <c r="AE13978" s="13"/>
    </row>
    <row r="13979" spans="31:31" ht="12.75" customHeight="1" x14ac:dyDescent="0.15">
      <c r="AE13979" s="13"/>
    </row>
    <row r="13980" spans="31:31" ht="12.75" customHeight="1" x14ac:dyDescent="0.15">
      <c r="AE13980" s="13"/>
    </row>
    <row r="13981" spans="31:31" ht="12.75" customHeight="1" x14ac:dyDescent="0.15">
      <c r="AE13981" s="13"/>
    </row>
    <row r="13982" spans="31:31" ht="12.75" customHeight="1" x14ac:dyDescent="0.15">
      <c r="AE13982" s="13"/>
    </row>
    <row r="13983" spans="31:31" ht="12.75" customHeight="1" x14ac:dyDescent="0.15">
      <c r="AE13983" s="13"/>
    </row>
    <row r="13984" spans="31:31" ht="12.75" customHeight="1" x14ac:dyDescent="0.15">
      <c r="AE13984" s="13"/>
    </row>
    <row r="13985" spans="31:31" ht="12.75" customHeight="1" x14ac:dyDescent="0.15">
      <c r="AE13985" s="13"/>
    </row>
    <row r="13986" spans="31:31" ht="12.75" customHeight="1" x14ac:dyDescent="0.15">
      <c r="AE13986" s="13"/>
    </row>
    <row r="13987" spans="31:31" ht="12.75" customHeight="1" x14ac:dyDescent="0.15">
      <c r="AE13987" s="13"/>
    </row>
    <row r="13988" spans="31:31" ht="12.75" customHeight="1" x14ac:dyDescent="0.15">
      <c r="AE13988" s="13"/>
    </row>
    <row r="13989" spans="31:31" ht="12.75" customHeight="1" x14ac:dyDescent="0.15">
      <c r="AE13989" s="13"/>
    </row>
    <row r="13990" spans="31:31" ht="12.75" customHeight="1" x14ac:dyDescent="0.15">
      <c r="AE13990" s="13"/>
    </row>
    <row r="13991" spans="31:31" ht="12.75" customHeight="1" x14ac:dyDescent="0.15">
      <c r="AE13991" s="13"/>
    </row>
    <row r="13992" spans="31:31" ht="12.75" customHeight="1" x14ac:dyDescent="0.15">
      <c r="AE13992" s="13"/>
    </row>
    <row r="13993" spans="31:31" ht="12.75" customHeight="1" x14ac:dyDescent="0.15">
      <c r="AE13993" s="13"/>
    </row>
    <row r="13994" spans="31:31" ht="12.75" customHeight="1" x14ac:dyDescent="0.15">
      <c r="AE13994" s="13"/>
    </row>
    <row r="13995" spans="31:31" ht="12.75" customHeight="1" x14ac:dyDescent="0.15">
      <c r="AE13995" s="13"/>
    </row>
    <row r="13996" spans="31:31" ht="12.75" customHeight="1" x14ac:dyDescent="0.15">
      <c r="AE13996" s="13"/>
    </row>
    <row r="13997" spans="31:31" ht="12.75" customHeight="1" x14ac:dyDescent="0.15">
      <c r="AE13997" s="13"/>
    </row>
    <row r="13998" spans="31:31" ht="12.75" customHeight="1" x14ac:dyDescent="0.15">
      <c r="AE13998" s="13"/>
    </row>
    <row r="13999" spans="31:31" ht="12.75" customHeight="1" x14ac:dyDescent="0.15">
      <c r="AE13999" s="13"/>
    </row>
    <row r="14000" spans="31:31" ht="12.75" customHeight="1" x14ac:dyDescent="0.15">
      <c r="AE14000" s="13"/>
    </row>
    <row r="14001" spans="31:31" ht="12.75" customHeight="1" x14ac:dyDescent="0.15">
      <c r="AE14001" s="13"/>
    </row>
    <row r="14002" spans="31:31" ht="12.75" customHeight="1" x14ac:dyDescent="0.15">
      <c r="AE14002" s="13"/>
    </row>
    <row r="14003" spans="31:31" ht="12.75" customHeight="1" x14ac:dyDescent="0.15">
      <c r="AE14003" s="13"/>
    </row>
    <row r="14004" spans="31:31" ht="12.75" customHeight="1" x14ac:dyDescent="0.15">
      <c r="AE14004" s="13"/>
    </row>
    <row r="14005" spans="31:31" ht="12.75" customHeight="1" x14ac:dyDescent="0.15">
      <c r="AE14005" s="13"/>
    </row>
    <row r="14006" spans="31:31" ht="12.75" customHeight="1" x14ac:dyDescent="0.15">
      <c r="AE14006" s="13"/>
    </row>
    <row r="14007" spans="31:31" ht="12.75" customHeight="1" x14ac:dyDescent="0.15">
      <c r="AE14007" s="13"/>
    </row>
    <row r="14008" spans="31:31" ht="12.75" customHeight="1" x14ac:dyDescent="0.15">
      <c r="AE14008" s="13"/>
    </row>
    <row r="14009" spans="31:31" ht="12.75" customHeight="1" x14ac:dyDescent="0.15">
      <c r="AE14009" s="13"/>
    </row>
    <row r="14010" spans="31:31" ht="12.75" customHeight="1" x14ac:dyDescent="0.15">
      <c r="AE14010" s="13"/>
    </row>
    <row r="14011" spans="31:31" ht="12.75" customHeight="1" x14ac:dyDescent="0.15">
      <c r="AE14011" s="13"/>
    </row>
    <row r="14012" spans="31:31" ht="12.75" customHeight="1" x14ac:dyDescent="0.15">
      <c r="AE14012" s="13"/>
    </row>
    <row r="14013" spans="31:31" ht="12.75" customHeight="1" x14ac:dyDescent="0.15">
      <c r="AE14013" s="13"/>
    </row>
    <row r="14014" spans="31:31" ht="12.75" customHeight="1" x14ac:dyDescent="0.15">
      <c r="AE14014" s="13"/>
    </row>
    <row r="14015" spans="31:31" ht="12.75" customHeight="1" x14ac:dyDescent="0.15">
      <c r="AE14015" s="13"/>
    </row>
    <row r="14016" spans="31:31" ht="12.75" customHeight="1" x14ac:dyDescent="0.15">
      <c r="AE14016" s="13"/>
    </row>
    <row r="14017" spans="31:31" ht="12.75" customHeight="1" x14ac:dyDescent="0.15">
      <c r="AE14017" s="13"/>
    </row>
    <row r="14018" spans="31:31" ht="12.75" customHeight="1" x14ac:dyDescent="0.15">
      <c r="AE14018" s="13"/>
    </row>
    <row r="14019" spans="31:31" ht="12.75" customHeight="1" x14ac:dyDescent="0.15">
      <c r="AE14019" s="13"/>
    </row>
    <row r="14020" spans="31:31" ht="12.75" customHeight="1" x14ac:dyDescent="0.15">
      <c r="AE14020" s="13"/>
    </row>
    <row r="14021" spans="31:31" ht="12.75" customHeight="1" x14ac:dyDescent="0.15">
      <c r="AE14021" s="13"/>
    </row>
    <row r="14022" spans="31:31" ht="12.75" customHeight="1" x14ac:dyDescent="0.15">
      <c r="AE14022" s="13"/>
    </row>
    <row r="14023" spans="31:31" ht="12.75" customHeight="1" x14ac:dyDescent="0.15">
      <c r="AE14023" s="13"/>
    </row>
    <row r="14024" spans="31:31" ht="12.75" customHeight="1" x14ac:dyDescent="0.15">
      <c r="AE14024" s="13"/>
    </row>
    <row r="14025" spans="31:31" ht="12.75" customHeight="1" x14ac:dyDescent="0.15">
      <c r="AE14025" s="13"/>
    </row>
    <row r="14026" spans="31:31" ht="12.75" customHeight="1" x14ac:dyDescent="0.15">
      <c r="AE14026" s="13"/>
    </row>
    <row r="14027" spans="31:31" ht="12.75" customHeight="1" x14ac:dyDescent="0.15">
      <c r="AE14027" s="13"/>
    </row>
    <row r="14028" spans="31:31" ht="12.75" customHeight="1" x14ac:dyDescent="0.15">
      <c r="AE14028" s="13"/>
    </row>
    <row r="14029" spans="31:31" ht="12.75" customHeight="1" x14ac:dyDescent="0.15">
      <c r="AE14029" s="13"/>
    </row>
    <row r="14030" spans="31:31" ht="12.75" customHeight="1" x14ac:dyDescent="0.15">
      <c r="AE14030" s="13"/>
    </row>
    <row r="14031" spans="31:31" ht="12.75" customHeight="1" x14ac:dyDescent="0.15">
      <c r="AE14031" s="13"/>
    </row>
    <row r="14032" spans="31:31" ht="12.75" customHeight="1" x14ac:dyDescent="0.15">
      <c r="AE14032" s="13"/>
    </row>
    <row r="14033" spans="31:31" ht="12.75" customHeight="1" x14ac:dyDescent="0.15">
      <c r="AE14033" s="13"/>
    </row>
    <row r="14034" spans="31:31" ht="12.75" customHeight="1" x14ac:dyDescent="0.15">
      <c r="AE14034" s="13"/>
    </row>
    <row r="14035" spans="31:31" ht="12.75" customHeight="1" x14ac:dyDescent="0.15">
      <c r="AE14035" s="13"/>
    </row>
    <row r="14036" spans="31:31" ht="12.75" customHeight="1" x14ac:dyDescent="0.15">
      <c r="AE14036" s="13"/>
    </row>
    <row r="14037" spans="31:31" ht="12.75" customHeight="1" x14ac:dyDescent="0.15">
      <c r="AE14037" s="13"/>
    </row>
    <row r="14038" spans="31:31" ht="12.75" customHeight="1" x14ac:dyDescent="0.15">
      <c r="AE14038" s="13"/>
    </row>
    <row r="14039" spans="31:31" ht="12.75" customHeight="1" x14ac:dyDescent="0.15">
      <c r="AE14039" s="13"/>
    </row>
    <row r="14040" spans="31:31" ht="12.75" customHeight="1" x14ac:dyDescent="0.15">
      <c r="AE14040" s="13"/>
    </row>
    <row r="14041" spans="31:31" ht="12.75" customHeight="1" x14ac:dyDescent="0.15">
      <c r="AE14041" s="13"/>
    </row>
    <row r="14042" spans="31:31" ht="12.75" customHeight="1" x14ac:dyDescent="0.15">
      <c r="AE14042" s="13"/>
    </row>
    <row r="14043" spans="31:31" ht="12.75" customHeight="1" x14ac:dyDescent="0.15">
      <c r="AE14043" s="13"/>
    </row>
    <row r="14044" spans="31:31" ht="12.75" customHeight="1" x14ac:dyDescent="0.15">
      <c r="AE14044" s="13"/>
    </row>
    <row r="14045" spans="31:31" ht="12.75" customHeight="1" x14ac:dyDescent="0.15">
      <c r="AE14045" s="13"/>
    </row>
    <row r="14046" spans="31:31" ht="12.75" customHeight="1" x14ac:dyDescent="0.15">
      <c r="AE14046" s="13"/>
    </row>
    <row r="14047" spans="31:31" ht="12.75" customHeight="1" x14ac:dyDescent="0.15">
      <c r="AE14047" s="13"/>
    </row>
    <row r="14048" spans="31:31" ht="12.75" customHeight="1" x14ac:dyDescent="0.15">
      <c r="AE14048" s="13"/>
    </row>
    <row r="14049" spans="31:31" ht="12.75" customHeight="1" x14ac:dyDescent="0.15">
      <c r="AE14049" s="13"/>
    </row>
    <row r="14050" spans="31:31" ht="12.75" customHeight="1" x14ac:dyDescent="0.15">
      <c r="AE14050" s="13"/>
    </row>
    <row r="14051" spans="31:31" ht="12.75" customHeight="1" x14ac:dyDescent="0.15">
      <c r="AE14051" s="13"/>
    </row>
    <row r="14052" spans="31:31" ht="12.75" customHeight="1" x14ac:dyDescent="0.15">
      <c r="AE14052" s="13"/>
    </row>
    <row r="14053" spans="31:31" ht="12.75" customHeight="1" x14ac:dyDescent="0.15">
      <c r="AE14053" s="13"/>
    </row>
    <row r="14054" spans="31:31" ht="12.75" customHeight="1" x14ac:dyDescent="0.15">
      <c r="AE14054" s="13"/>
    </row>
    <row r="14055" spans="31:31" ht="12.75" customHeight="1" x14ac:dyDescent="0.15">
      <c r="AE14055" s="13"/>
    </row>
    <row r="14056" spans="31:31" ht="12.75" customHeight="1" x14ac:dyDescent="0.15">
      <c r="AE14056" s="13"/>
    </row>
    <row r="14057" spans="31:31" ht="12.75" customHeight="1" x14ac:dyDescent="0.15">
      <c r="AE14057" s="13"/>
    </row>
    <row r="14058" spans="31:31" ht="12.75" customHeight="1" x14ac:dyDescent="0.15">
      <c r="AE14058" s="13"/>
    </row>
    <row r="14059" spans="31:31" ht="12.75" customHeight="1" x14ac:dyDescent="0.15">
      <c r="AE14059" s="13"/>
    </row>
    <row r="14060" spans="31:31" ht="12.75" customHeight="1" x14ac:dyDescent="0.15">
      <c r="AE14060" s="13"/>
    </row>
    <row r="14061" spans="31:31" ht="12.75" customHeight="1" x14ac:dyDescent="0.15">
      <c r="AE14061" s="13"/>
    </row>
    <row r="14062" spans="31:31" ht="12.75" customHeight="1" x14ac:dyDescent="0.15">
      <c r="AE14062" s="13"/>
    </row>
    <row r="14063" spans="31:31" ht="12.75" customHeight="1" x14ac:dyDescent="0.15">
      <c r="AE14063" s="13"/>
    </row>
    <row r="14064" spans="31:31" ht="12.75" customHeight="1" x14ac:dyDescent="0.15">
      <c r="AE14064" s="13"/>
    </row>
    <row r="14065" spans="31:31" ht="12.75" customHeight="1" x14ac:dyDescent="0.15">
      <c r="AE14065" s="13"/>
    </row>
    <row r="14066" spans="31:31" ht="12.75" customHeight="1" x14ac:dyDescent="0.15">
      <c r="AE14066" s="13"/>
    </row>
    <row r="14067" spans="31:31" ht="12.75" customHeight="1" x14ac:dyDescent="0.15">
      <c r="AE14067" s="13"/>
    </row>
    <row r="14068" spans="31:31" ht="12.75" customHeight="1" x14ac:dyDescent="0.15">
      <c r="AE14068" s="13"/>
    </row>
    <row r="14069" spans="31:31" ht="12.75" customHeight="1" x14ac:dyDescent="0.15">
      <c r="AE14069" s="13"/>
    </row>
    <row r="14070" spans="31:31" ht="12.75" customHeight="1" x14ac:dyDescent="0.15">
      <c r="AE14070" s="13"/>
    </row>
    <row r="14071" spans="31:31" ht="12.75" customHeight="1" x14ac:dyDescent="0.15">
      <c r="AE14071" s="13"/>
    </row>
    <row r="14072" spans="31:31" ht="12.75" customHeight="1" x14ac:dyDescent="0.15">
      <c r="AE14072" s="13"/>
    </row>
    <row r="14073" spans="31:31" ht="12.75" customHeight="1" x14ac:dyDescent="0.15">
      <c r="AE14073" s="13"/>
    </row>
    <row r="14074" spans="31:31" ht="12.75" customHeight="1" x14ac:dyDescent="0.15">
      <c r="AE14074" s="13"/>
    </row>
    <row r="14075" spans="31:31" ht="12.75" customHeight="1" x14ac:dyDescent="0.15">
      <c r="AE14075" s="13"/>
    </row>
    <row r="14076" spans="31:31" ht="12.75" customHeight="1" x14ac:dyDescent="0.15">
      <c r="AE14076" s="13"/>
    </row>
    <row r="14077" spans="31:31" ht="12.75" customHeight="1" x14ac:dyDescent="0.15">
      <c r="AE14077" s="13"/>
    </row>
    <row r="14078" spans="31:31" ht="12.75" customHeight="1" x14ac:dyDescent="0.15">
      <c r="AE14078" s="13"/>
    </row>
    <row r="14079" spans="31:31" ht="12.75" customHeight="1" x14ac:dyDescent="0.15">
      <c r="AE14079" s="13"/>
    </row>
    <row r="14080" spans="31:31" ht="12.75" customHeight="1" x14ac:dyDescent="0.15">
      <c r="AE14080" s="13"/>
    </row>
    <row r="14081" spans="31:31" ht="12.75" customHeight="1" x14ac:dyDescent="0.15">
      <c r="AE14081" s="13"/>
    </row>
    <row r="14082" spans="31:31" ht="12.75" customHeight="1" x14ac:dyDescent="0.15">
      <c r="AE14082" s="13"/>
    </row>
    <row r="14083" spans="31:31" ht="12.75" customHeight="1" x14ac:dyDescent="0.15">
      <c r="AE14083" s="13"/>
    </row>
    <row r="14084" spans="31:31" ht="12.75" customHeight="1" x14ac:dyDescent="0.15">
      <c r="AE14084" s="13"/>
    </row>
    <row r="14085" spans="31:31" ht="12.75" customHeight="1" x14ac:dyDescent="0.15">
      <c r="AE14085" s="13"/>
    </row>
    <row r="14086" spans="31:31" ht="12.75" customHeight="1" x14ac:dyDescent="0.15">
      <c r="AE14086" s="13"/>
    </row>
    <row r="14087" spans="31:31" ht="12.75" customHeight="1" x14ac:dyDescent="0.15">
      <c r="AE14087" s="13"/>
    </row>
    <row r="14088" spans="31:31" ht="12.75" customHeight="1" x14ac:dyDescent="0.15">
      <c r="AE14088" s="13"/>
    </row>
    <row r="14089" spans="31:31" ht="12.75" customHeight="1" x14ac:dyDescent="0.15">
      <c r="AE14089" s="13"/>
    </row>
    <row r="14090" spans="31:31" ht="12.75" customHeight="1" x14ac:dyDescent="0.15">
      <c r="AE14090" s="13"/>
    </row>
    <row r="14091" spans="31:31" ht="12.75" customHeight="1" x14ac:dyDescent="0.15">
      <c r="AE14091" s="13"/>
    </row>
    <row r="14092" spans="31:31" ht="12.75" customHeight="1" x14ac:dyDescent="0.15">
      <c r="AE14092" s="13"/>
    </row>
    <row r="14093" spans="31:31" ht="12.75" customHeight="1" x14ac:dyDescent="0.15">
      <c r="AE14093" s="13"/>
    </row>
    <row r="14094" spans="31:31" ht="12.75" customHeight="1" x14ac:dyDescent="0.15">
      <c r="AE14094" s="13"/>
    </row>
    <row r="14095" spans="31:31" ht="12.75" customHeight="1" x14ac:dyDescent="0.15">
      <c r="AE14095" s="13"/>
    </row>
    <row r="14096" spans="31:31" ht="12.75" customHeight="1" x14ac:dyDescent="0.15">
      <c r="AE14096" s="13"/>
    </row>
    <row r="14097" spans="31:31" ht="12.75" customHeight="1" x14ac:dyDescent="0.15">
      <c r="AE14097" s="13"/>
    </row>
    <row r="14098" spans="31:31" ht="12.75" customHeight="1" x14ac:dyDescent="0.15">
      <c r="AE14098" s="13"/>
    </row>
    <row r="14099" spans="31:31" ht="12.75" customHeight="1" x14ac:dyDescent="0.15">
      <c r="AE14099" s="13"/>
    </row>
    <row r="14100" spans="31:31" ht="12.75" customHeight="1" x14ac:dyDescent="0.15">
      <c r="AE14100" s="13"/>
    </row>
    <row r="14101" spans="31:31" ht="12.75" customHeight="1" x14ac:dyDescent="0.15">
      <c r="AE14101" s="13"/>
    </row>
    <row r="14102" spans="31:31" ht="12.75" customHeight="1" x14ac:dyDescent="0.15">
      <c r="AE14102" s="13"/>
    </row>
    <row r="14103" spans="31:31" ht="12.75" customHeight="1" x14ac:dyDescent="0.15">
      <c r="AE14103" s="13"/>
    </row>
    <row r="14104" spans="31:31" ht="12.75" customHeight="1" x14ac:dyDescent="0.15">
      <c r="AE14104" s="13"/>
    </row>
    <row r="14105" spans="31:31" ht="12.75" customHeight="1" x14ac:dyDescent="0.15">
      <c r="AE14105" s="13"/>
    </row>
    <row r="14106" spans="31:31" ht="12.75" customHeight="1" x14ac:dyDescent="0.15">
      <c r="AE14106" s="13"/>
    </row>
    <row r="14107" spans="31:31" ht="12.75" customHeight="1" x14ac:dyDescent="0.15">
      <c r="AE14107" s="13"/>
    </row>
    <row r="14108" spans="31:31" ht="12.75" customHeight="1" x14ac:dyDescent="0.15">
      <c r="AE14108" s="13"/>
    </row>
    <row r="14109" spans="31:31" ht="12.75" customHeight="1" x14ac:dyDescent="0.15">
      <c r="AE14109" s="13"/>
    </row>
    <row r="14110" spans="31:31" ht="12.75" customHeight="1" x14ac:dyDescent="0.15">
      <c r="AE14110" s="13"/>
    </row>
    <row r="14111" spans="31:31" ht="12.75" customHeight="1" x14ac:dyDescent="0.15">
      <c r="AE14111" s="13"/>
    </row>
    <row r="14112" spans="31:31" ht="12.75" customHeight="1" x14ac:dyDescent="0.15">
      <c r="AE14112" s="13"/>
    </row>
    <row r="14113" spans="31:31" ht="12.75" customHeight="1" x14ac:dyDescent="0.15">
      <c r="AE14113" s="13"/>
    </row>
    <row r="14114" spans="31:31" ht="12.75" customHeight="1" x14ac:dyDescent="0.15">
      <c r="AE14114" s="13"/>
    </row>
    <row r="14115" spans="31:31" ht="12.75" customHeight="1" x14ac:dyDescent="0.15">
      <c r="AE14115" s="13"/>
    </row>
    <row r="14116" spans="31:31" ht="12.75" customHeight="1" x14ac:dyDescent="0.15">
      <c r="AE14116" s="13"/>
    </row>
    <row r="14117" spans="31:31" ht="12.75" customHeight="1" x14ac:dyDescent="0.15">
      <c r="AE14117" s="13"/>
    </row>
    <row r="14118" spans="31:31" ht="12.75" customHeight="1" x14ac:dyDescent="0.15">
      <c r="AE14118" s="13"/>
    </row>
    <row r="14119" spans="31:31" ht="12.75" customHeight="1" x14ac:dyDescent="0.15">
      <c r="AE14119" s="13"/>
    </row>
    <row r="14120" spans="31:31" ht="12.75" customHeight="1" x14ac:dyDescent="0.15">
      <c r="AE14120" s="13"/>
    </row>
    <row r="14121" spans="31:31" ht="12.75" customHeight="1" x14ac:dyDescent="0.15">
      <c r="AE14121" s="13"/>
    </row>
    <row r="14122" spans="31:31" ht="12.75" customHeight="1" x14ac:dyDescent="0.15">
      <c r="AE14122" s="13"/>
    </row>
    <row r="14123" spans="31:31" ht="12.75" customHeight="1" x14ac:dyDescent="0.15">
      <c r="AE14123" s="13"/>
    </row>
    <row r="14124" spans="31:31" ht="12.75" customHeight="1" x14ac:dyDescent="0.15">
      <c r="AE14124" s="13"/>
    </row>
    <row r="14125" spans="31:31" ht="12.75" customHeight="1" x14ac:dyDescent="0.15">
      <c r="AE14125" s="13"/>
    </row>
    <row r="14126" spans="31:31" ht="12.75" customHeight="1" x14ac:dyDescent="0.15">
      <c r="AE14126" s="13"/>
    </row>
    <row r="14127" spans="31:31" ht="12.75" customHeight="1" x14ac:dyDescent="0.15">
      <c r="AE14127" s="13"/>
    </row>
    <row r="14128" spans="31:31" ht="12.75" customHeight="1" x14ac:dyDescent="0.15">
      <c r="AE14128" s="13"/>
    </row>
    <row r="14129" spans="31:31" ht="12.75" customHeight="1" x14ac:dyDescent="0.15">
      <c r="AE14129" s="13"/>
    </row>
    <row r="14130" spans="31:31" ht="12.75" customHeight="1" x14ac:dyDescent="0.15">
      <c r="AE14130" s="13"/>
    </row>
    <row r="14131" spans="31:31" ht="12.75" customHeight="1" x14ac:dyDescent="0.15">
      <c r="AE14131" s="13"/>
    </row>
    <row r="14132" spans="31:31" ht="12.75" customHeight="1" x14ac:dyDescent="0.15">
      <c r="AE14132" s="13"/>
    </row>
    <row r="14133" spans="31:31" ht="12.75" customHeight="1" x14ac:dyDescent="0.15">
      <c r="AE14133" s="13"/>
    </row>
    <row r="14134" spans="31:31" ht="12.75" customHeight="1" x14ac:dyDescent="0.15">
      <c r="AE14134" s="13"/>
    </row>
    <row r="14135" spans="31:31" ht="12.75" customHeight="1" x14ac:dyDescent="0.15">
      <c r="AE14135" s="13"/>
    </row>
    <row r="14136" spans="31:31" ht="12.75" customHeight="1" x14ac:dyDescent="0.15">
      <c r="AE14136" s="13"/>
    </row>
    <row r="14137" spans="31:31" ht="12.75" customHeight="1" x14ac:dyDescent="0.15">
      <c r="AE14137" s="13"/>
    </row>
    <row r="14138" spans="31:31" ht="12.75" customHeight="1" x14ac:dyDescent="0.15">
      <c r="AE14138" s="13"/>
    </row>
    <row r="14139" spans="31:31" ht="12.75" customHeight="1" x14ac:dyDescent="0.15">
      <c r="AE14139" s="13"/>
    </row>
    <row r="14140" spans="31:31" ht="12.75" customHeight="1" x14ac:dyDescent="0.15">
      <c r="AE14140" s="13"/>
    </row>
    <row r="14141" spans="31:31" ht="12.75" customHeight="1" x14ac:dyDescent="0.15">
      <c r="AE14141" s="13"/>
    </row>
    <row r="14142" spans="31:31" ht="12.75" customHeight="1" x14ac:dyDescent="0.15">
      <c r="AE14142" s="13"/>
    </row>
    <row r="14143" spans="31:31" ht="12.75" customHeight="1" x14ac:dyDescent="0.15">
      <c r="AE14143" s="13"/>
    </row>
    <row r="14144" spans="31:31" ht="12.75" customHeight="1" x14ac:dyDescent="0.15">
      <c r="AE14144" s="13"/>
    </row>
    <row r="14145" spans="31:31" ht="12.75" customHeight="1" x14ac:dyDescent="0.15">
      <c r="AE14145" s="13"/>
    </row>
    <row r="14146" spans="31:31" ht="12.75" customHeight="1" x14ac:dyDescent="0.15">
      <c r="AE14146" s="13"/>
    </row>
    <row r="14147" spans="31:31" ht="12.75" customHeight="1" x14ac:dyDescent="0.15">
      <c r="AE14147" s="13"/>
    </row>
    <row r="14148" spans="31:31" ht="12.75" customHeight="1" x14ac:dyDescent="0.15">
      <c r="AE14148" s="13"/>
    </row>
    <row r="14149" spans="31:31" ht="12.75" customHeight="1" x14ac:dyDescent="0.15">
      <c r="AE14149" s="13"/>
    </row>
    <row r="14150" spans="31:31" ht="12.75" customHeight="1" x14ac:dyDescent="0.15">
      <c r="AE14150" s="13"/>
    </row>
    <row r="14151" spans="31:31" ht="12.75" customHeight="1" x14ac:dyDescent="0.15">
      <c r="AE14151" s="13"/>
    </row>
    <row r="14152" spans="31:31" ht="12.75" customHeight="1" x14ac:dyDescent="0.15">
      <c r="AE14152" s="13"/>
    </row>
    <row r="14153" spans="31:31" ht="12.75" customHeight="1" x14ac:dyDescent="0.15">
      <c r="AE14153" s="13"/>
    </row>
    <row r="14154" spans="31:31" ht="12.75" customHeight="1" x14ac:dyDescent="0.15">
      <c r="AE14154" s="13"/>
    </row>
    <row r="14155" spans="31:31" ht="12.75" customHeight="1" x14ac:dyDescent="0.15">
      <c r="AE14155" s="13"/>
    </row>
    <row r="14156" spans="31:31" ht="12.75" customHeight="1" x14ac:dyDescent="0.15">
      <c r="AE14156" s="13"/>
    </row>
    <row r="14157" spans="31:31" ht="12.75" customHeight="1" x14ac:dyDescent="0.15">
      <c r="AE14157" s="13"/>
    </row>
    <row r="14158" spans="31:31" ht="12.75" customHeight="1" x14ac:dyDescent="0.15">
      <c r="AE14158" s="13"/>
    </row>
    <row r="14159" spans="31:31" ht="12.75" customHeight="1" x14ac:dyDescent="0.15">
      <c r="AE14159" s="13"/>
    </row>
    <row r="14160" spans="31:31" ht="12.75" customHeight="1" x14ac:dyDescent="0.15">
      <c r="AE14160" s="13"/>
    </row>
    <row r="14161" spans="31:31" ht="12.75" customHeight="1" x14ac:dyDescent="0.15">
      <c r="AE14161" s="13"/>
    </row>
    <row r="14162" spans="31:31" ht="12.75" customHeight="1" x14ac:dyDescent="0.15">
      <c r="AE14162" s="13"/>
    </row>
    <row r="14163" spans="31:31" ht="12.75" customHeight="1" x14ac:dyDescent="0.15">
      <c r="AE14163" s="13"/>
    </row>
    <row r="14164" spans="31:31" ht="12.75" customHeight="1" x14ac:dyDescent="0.15">
      <c r="AE14164" s="13"/>
    </row>
    <row r="14165" spans="31:31" ht="12.75" customHeight="1" x14ac:dyDescent="0.15">
      <c r="AE14165" s="13"/>
    </row>
    <row r="14166" spans="31:31" ht="12.75" customHeight="1" x14ac:dyDescent="0.15">
      <c r="AE14166" s="13"/>
    </row>
    <row r="14167" spans="31:31" ht="12.75" customHeight="1" x14ac:dyDescent="0.15">
      <c r="AE14167" s="13"/>
    </row>
    <row r="14168" spans="31:31" ht="12.75" customHeight="1" x14ac:dyDescent="0.15">
      <c r="AE14168" s="13"/>
    </row>
    <row r="14169" spans="31:31" ht="12.75" customHeight="1" x14ac:dyDescent="0.15">
      <c r="AE14169" s="13"/>
    </row>
    <row r="14170" spans="31:31" ht="12.75" customHeight="1" x14ac:dyDescent="0.15">
      <c r="AE14170" s="13"/>
    </row>
    <row r="14171" spans="31:31" ht="12.75" customHeight="1" x14ac:dyDescent="0.15">
      <c r="AE14171" s="13"/>
    </row>
    <row r="14172" spans="31:31" ht="12.75" customHeight="1" x14ac:dyDescent="0.15">
      <c r="AE14172" s="13"/>
    </row>
    <row r="14173" spans="31:31" ht="12.75" customHeight="1" x14ac:dyDescent="0.15">
      <c r="AE14173" s="13"/>
    </row>
    <row r="14174" spans="31:31" ht="12.75" customHeight="1" x14ac:dyDescent="0.15">
      <c r="AE14174" s="13"/>
    </row>
    <row r="14175" spans="31:31" ht="12.75" customHeight="1" x14ac:dyDescent="0.15">
      <c r="AE14175" s="13"/>
    </row>
    <row r="14176" spans="31:31" ht="12.75" customHeight="1" x14ac:dyDescent="0.15">
      <c r="AE14176" s="13"/>
    </row>
    <row r="14177" spans="31:31" ht="12.75" customHeight="1" x14ac:dyDescent="0.15">
      <c r="AE14177" s="13"/>
    </row>
    <row r="14178" spans="31:31" ht="12.75" customHeight="1" x14ac:dyDescent="0.15">
      <c r="AE14178" s="13"/>
    </row>
    <row r="14179" spans="31:31" ht="12.75" customHeight="1" x14ac:dyDescent="0.15">
      <c r="AE14179" s="13"/>
    </row>
    <row r="14180" spans="31:31" ht="12.75" customHeight="1" x14ac:dyDescent="0.15">
      <c r="AE14180" s="13"/>
    </row>
    <row r="14181" spans="31:31" ht="12.75" customHeight="1" x14ac:dyDescent="0.15">
      <c r="AE14181" s="13"/>
    </row>
    <row r="14182" spans="31:31" ht="12.75" customHeight="1" x14ac:dyDescent="0.15">
      <c r="AE14182" s="13"/>
    </row>
    <row r="14183" spans="31:31" ht="12.75" customHeight="1" x14ac:dyDescent="0.15">
      <c r="AE14183" s="13"/>
    </row>
    <row r="14184" spans="31:31" ht="12.75" customHeight="1" x14ac:dyDescent="0.15">
      <c r="AE14184" s="13"/>
    </row>
    <row r="14185" spans="31:31" ht="12.75" customHeight="1" x14ac:dyDescent="0.15">
      <c r="AE14185" s="13"/>
    </row>
    <row r="14186" spans="31:31" ht="12.75" customHeight="1" x14ac:dyDescent="0.15">
      <c r="AE14186" s="13"/>
    </row>
    <row r="14187" spans="31:31" ht="12.75" customHeight="1" x14ac:dyDescent="0.15">
      <c r="AE14187" s="13"/>
    </row>
    <row r="14188" spans="31:31" ht="12.75" customHeight="1" x14ac:dyDescent="0.15">
      <c r="AE14188" s="13"/>
    </row>
    <row r="14189" spans="31:31" ht="12.75" customHeight="1" x14ac:dyDescent="0.15">
      <c r="AE14189" s="13"/>
    </row>
    <row r="14190" spans="31:31" ht="12.75" customHeight="1" x14ac:dyDescent="0.15">
      <c r="AE14190" s="13"/>
    </row>
    <row r="14191" spans="31:31" ht="12.75" customHeight="1" x14ac:dyDescent="0.15">
      <c r="AE14191" s="13"/>
    </row>
    <row r="14192" spans="31:31" ht="12.75" customHeight="1" x14ac:dyDescent="0.15">
      <c r="AE14192" s="13"/>
    </row>
    <row r="14193" spans="31:31" ht="12.75" customHeight="1" x14ac:dyDescent="0.15">
      <c r="AE14193" s="13"/>
    </row>
    <row r="14194" spans="31:31" ht="12.75" customHeight="1" x14ac:dyDescent="0.15">
      <c r="AE14194" s="13"/>
    </row>
    <row r="14195" spans="31:31" ht="12.75" customHeight="1" x14ac:dyDescent="0.15">
      <c r="AE14195" s="13"/>
    </row>
    <row r="14196" spans="31:31" ht="12.75" customHeight="1" x14ac:dyDescent="0.15">
      <c r="AE14196" s="13"/>
    </row>
    <row r="14197" spans="31:31" ht="12.75" customHeight="1" x14ac:dyDescent="0.15">
      <c r="AE14197" s="13"/>
    </row>
    <row r="14198" spans="31:31" ht="12.75" customHeight="1" x14ac:dyDescent="0.15">
      <c r="AE14198" s="13"/>
    </row>
    <row r="14199" spans="31:31" ht="12.75" customHeight="1" x14ac:dyDescent="0.15">
      <c r="AE14199" s="13"/>
    </row>
    <row r="14200" spans="31:31" ht="12.75" customHeight="1" x14ac:dyDescent="0.15">
      <c r="AE14200" s="13"/>
    </row>
    <row r="14201" spans="31:31" ht="12.75" customHeight="1" x14ac:dyDescent="0.15">
      <c r="AE14201" s="13"/>
    </row>
    <row r="14202" spans="31:31" ht="12.75" customHeight="1" x14ac:dyDescent="0.15">
      <c r="AE14202" s="13"/>
    </row>
    <row r="14203" spans="31:31" ht="12.75" customHeight="1" x14ac:dyDescent="0.15">
      <c r="AE14203" s="13"/>
    </row>
    <row r="14204" spans="31:31" ht="12.75" customHeight="1" x14ac:dyDescent="0.15">
      <c r="AE14204" s="13"/>
    </row>
    <row r="14205" spans="31:31" ht="12.75" customHeight="1" x14ac:dyDescent="0.15">
      <c r="AE14205" s="13"/>
    </row>
    <row r="14206" spans="31:31" ht="12.75" customHeight="1" x14ac:dyDescent="0.15">
      <c r="AE14206" s="13"/>
    </row>
    <row r="14207" spans="31:31" ht="12.75" customHeight="1" x14ac:dyDescent="0.15">
      <c r="AE14207" s="13"/>
    </row>
    <row r="14208" spans="31:31" ht="12.75" customHeight="1" x14ac:dyDescent="0.15">
      <c r="AE14208" s="13"/>
    </row>
    <row r="14209" spans="31:31" ht="12.75" customHeight="1" x14ac:dyDescent="0.15">
      <c r="AE14209" s="13"/>
    </row>
    <row r="14210" spans="31:31" ht="12.75" customHeight="1" x14ac:dyDescent="0.15">
      <c r="AE14210" s="13"/>
    </row>
    <row r="14211" spans="31:31" ht="12.75" customHeight="1" x14ac:dyDescent="0.15">
      <c r="AE14211" s="13"/>
    </row>
    <row r="14212" spans="31:31" ht="12.75" customHeight="1" x14ac:dyDescent="0.15">
      <c r="AE14212" s="13"/>
    </row>
    <row r="14213" spans="31:31" ht="12.75" customHeight="1" x14ac:dyDescent="0.15">
      <c r="AE14213" s="13"/>
    </row>
    <row r="14214" spans="31:31" ht="12.75" customHeight="1" x14ac:dyDescent="0.15">
      <c r="AE14214" s="13"/>
    </row>
    <row r="14215" spans="31:31" ht="12.75" customHeight="1" x14ac:dyDescent="0.15">
      <c r="AE14215" s="13"/>
    </row>
    <row r="14216" spans="31:31" ht="12.75" customHeight="1" x14ac:dyDescent="0.15">
      <c r="AE14216" s="13"/>
    </row>
    <row r="14217" spans="31:31" ht="12.75" customHeight="1" x14ac:dyDescent="0.15">
      <c r="AE14217" s="13"/>
    </row>
    <row r="14218" spans="31:31" ht="12.75" customHeight="1" x14ac:dyDescent="0.15">
      <c r="AE14218" s="13"/>
    </row>
    <row r="14219" spans="31:31" ht="12.75" customHeight="1" x14ac:dyDescent="0.15">
      <c r="AE14219" s="13"/>
    </row>
    <row r="14220" spans="31:31" ht="12.75" customHeight="1" x14ac:dyDescent="0.15">
      <c r="AE14220" s="13"/>
    </row>
    <row r="14221" spans="31:31" ht="12.75" customHeight="1" x14ac:dyDescent="0.15">
      <c r="AE14221" s="13"/>
    </row>
    <row r="14222" spans="31:31" ht="12.75" customHeight="1" x14ac:dyDescent="0.15">
      <c r="AE14222" s="13"/>
    </row>
    <row r="14223" spans="31:31" ht="12.75" customHeight="1" x14ac:dyDescent="0.15">
      <c r="AE14223" s="13"/>
    </row>
    <row r="14224" spans="31:31" ht="12.75" customHeight="1" x14ac:dyDescent="0.15">
      <c r="AE14224" s="13"/>
    </row>
    <row r="14225" spans="31:31" ht="12.75" customHeight="1" x14ac:dyDescent="0.15">
      <c r="AE14225" s="13"/>
    </row>
    <row r="14226" spans="31:31" ht="12.75" customHeight="1" x14ac:dyDescent="0.15">
      <c r="AE14226" s="13"/>
    </row>
    <row r="14227" spans="31:31" ht="12.75" customHeight="1" x14ac:dyDescent="0.15">
      <c r="AE14227" s="13"/>
    </row>
    <row r="14228" spans="31:31" ht="12.75" customHeight="1" x14ac:dyDescent="0.15">
      <c r="AE14228" s="13"/>
    </row>
    <row r="14229" spans="31:31" ht="12.75" customHeight="1" x14ac:dyDescent="0.15">
      <c r="AE14229" s="13"/>
    </row>
    <row r="14230" spans="31:31" ht="12.75" customHeight="1" x14ac:dyDescent="0.15">
      <c r="AE14230" s="13"/>
    </row>
    <row r="14231" spans="31:31" ht="12.75" customHeight="1" x14ac:dyDescent="0.15">
      <c r="AE14231" s="13"/>
    </row>
    <row r="14232" spans="31:31" ht="12.75" customHeight="1" x14ac:dyDescent="0.15">
      <c r="AE14232" s="13"/>
    </row>
    <row r="14233" spans="31:31" ht="12.75" customHeight="1" x14ac:dyDescent="0.15">
      <c r="AE14233" s="13"/>
    </row>
    <row r="14234" spans="31:31" ht="12.75" customHeight="1" x14ac:dyDescent="0.15">
      <c r="AE14234" s="13"/>
    </row>
    <row r="14235" spans="31:31" ht="12.75" customHeight="1" x14ac:dyDescent="0.15">
      <c r="AE14235" s="13"/>
    </row>
    <row r="14236" spans="31:31" ht="12.75" customHeight="1" x14ac:dyDescent="0.15">
      <c r="AE14236" s="13"/>
    </row>
    <row r="14237" spans="31:31" ht="12.75" customHeight="1" x14ac:dyDescent="0.15">
      <c r="AE14237" s="13"/>
    </row>
    <row r="14238" spans="31:31" ht="12.75" customHeight="1" x14ac:dyDescent="0.15">
      <c r="AE14238" s="13"/>
    </row>
    <row r="14239" spans="31:31" ht="12.75" customHeight="1" x14ac:dyDescent="0.15">
      <c r="AE14239" s="13"/>
    </row>
    <row r="14240" spans="31:31" ht="12.75" customHeight="1" x14ac:dyDescent="0.15">
      <c r="AE14240" s="13"/>
    </row>
    <row r="14241" spans="31:31" ht="12.75" customHeight="1" x14ac:dyDescent="0.15">
      <c r="AE14241" s="13"/>
    </row>
    <row r="14242" spans="31:31" ht="12.75" customHeight="1" x14ac:dyDescent="0.15">
      <c r="AE14242" s="13"/>
    </row>
    <row r="14243" spans="31:31" ht="12.75" customHeight="1" x14ac:dyDescent="0.15">
      <c r="AE14243" s="13"/>
    </row>
    <row r="14244" spans="31:31" ht="12.75" customHeight="1" x14ac:dyDescent="0.15">
      <c r="AE14244" s="13"/>
    </row>
    <row r="14245" spans="31:31" ht="12.75" customHeight="1" x14ac:dyDescent="0.15">
      <c r="AE14245" s="13"/>
    </row>
    <row r="14246" spans="31:31" ht="12.75" customHeight="1" x14ac:dyDescent="0.15">
      <c r="AE14246" s="13"/>
    </row>
    <row r="14247" spans="31:31" ht="12.75" customHeight="1" x14ac:dyDescent="0.15">
      <c r="AE14247" s="13"/>
    </row>
    <row r="14248" spans="31:31" ht="12.75" customHeight="1" x14ac:dyDescent="0.15">
      <c r="AE14248" s="13"/>
    </row>
    <row r="14249" spans="31:31" ht="12.75" customHeight="1" x14ac:dyDescent="0.15">
      <c r="AE14249" s="13"/>
    </row>
    <row r="14250" spans="31:31" ht="12.75" customHeight="1" x14ac:dyDescent="0.15">
      <c r="AE14250" s="13"/>
    </row>
    <row r="14251" spans="31:31" ht="12.75" customHeight="1" x14ac:dyDescent="0.15">
      <c r="AE14251" s="13"/>
    </row>
    <row r="14252" spans="31:31" ht="12.75" customHeight="1" x14ac:dyDescent="0.15">
      <c r="AE14252" s="13"/>
    </row>
    <row r="14253" spans="31:31" ht="12.75" customHeight="1" x14ac:dyDescent="0.15">
      <c r="AE14253" s="13"/>
    </row>
    <row r="14254" spans="31:31" ht="12.75" customHeight="1" x14ac:dyDescent="0.15">
      <c r="AE14254" s="13"/>
    </row>
    <row r="14255" spans="31:31" ht="12.75" customHeight="1" x14ac:dyDescent="0.15">
      <c r="AE14255" s="13"/>
    </row>
    <row r="14256" spans="31:31" ht="12.75" customHeight="1" x14ac:dyDescent="0.15">
      <c r="AE14256" s="13"/>
    </row>
    <row r="14257" spans="31:31" ht="12.75" customHeight="1" x14ac:dyDescent="0.15">
      <c r="AE14257" s="13"/>
    </row>
    <row r="14258" spans="31:31" ht="12.75" customHeight="1" x14ac:dyDescent="0.15">
      <c r="AE14258" s="13"/>
    </row>
    <row r="14259" spans="31:31" ht="12.75" customHeight="1" x14ac:dyDescent="0.15">
      <c r="AE14259" s="13"/>
    </row>
    <row r="14260" spans="31:31" ht="12.75" customHeight="1" x14ac:dyDescent="0.15">
      <c r="AE14260" s="13"/>
    </row>
    <row r="14261" spans="31:31" ht="12.75" customHeight="1" x14ac:dyDescent="0.15">
      <c r="AE14261" s="13"/>
    </row>
    <row r="14262" spans="31:31" ht="12.75" customHeight="1" x14ac:dyDescent="0.15">
      <c r="AE14262" s="13"/>
    </row>
    <row r="14263" spans="31:31" ht="12.75" customHeight="1" x14ac:dyDescent="0.15">
      <c r="AE14263" s="13"/>
    </row>
    <row r="14264" spans="31:31" ht="12.75" customHeight="1" x14ac:dyDescent="0.15">
      <c r="AE14264" s="13"/>
    </row>
    <row r="14265" spans="31:31" ht="12.75" customHeight="1" x14ac:dyDescent="0.15">
      <c r="AE14265" s="13"/>
    </row>
    <row r="14266" spans="31:31" ht="12.75" customHeight="1" x14ac:dyDescent="0.15">
      <c r="AE14266" s="13"/>
    </row>
    <row r="14267" spans="31:31" ht="12.75" customHeight="1" x14ac:dyDescent="0.15">
      <c r="AE14267" s="13"/>
    </row>
    <row r="14268" spans="31:31" ht="12.75" customHeight="1" x14ac:dyDescent="0.15">
      <c r="AE14268" s="13"/>
    </row>
    <row r="14269" spans="31:31" ht="12.75" customHeight="1" x14ac:dyDescent="0.15">
      <c r="AE14269" s="13"/>
    </row>
    <row r="14270" spans="31:31" ht="12.75" customHeight="1" x14ac:dyDescent="0.15">
      <c r="AE14270" s="13"/>
    </row>
    <row r="14271" spans="31:31" ht="12.75" customHeight="1" x14ac:dyDescent="0.15">
      <c r="AE14271" s="13"/>
    </row>
    <row r="14272" spans="31:31" ht="12.75" customHeight="1" x14ac:dyDescent="0.15">
      <c r="AE14272" s="13"/>
    </row>
    <row r="14273" spans="31:31" ht="12.75" customHeight="1" x14ac:dyDescent="0.15">
      <c r="AE14273" s="13"/>
    </row>
    <row r="14274" spans="31:31" ht="12.75" customHeight="1" x14ac:dyDescent="0.15">
      <c r="AE14274" s="13"/>
    </row>
    <row r="14275" spans="31:31" ht="12.75" customHeight="1" x14ac:dyDescent="0.15">
      <c r="AE14275" s="13"/>
    </row>
    <row r="14276" spans="31:31" ht="12.75" customHeight="1" x14ac:dyDescent="0.15">
      <c r="AE14276" s="13"/>
    </row>
    <row r="14277" spans="31:31" ht="12.75" customHeight="1" x14ac:dyDescent="0.15">
      <c r="AE14277" s="13"/>
    </row>
    <row r="14278" spans="31:31" ht="12.75" customHeight="1" x14ac:dyDescent="0.15">
      <c r="AE14278" s="13"/>
    </row>
    <row r="14279" spans="31:31" ht="12.75" customHeight="1" x14ac:dyDescent="0.15">
      <c r="AE14279" s="13"/>
    </row>
    <row r="14280" spans="31:31" ht="12.75" customHeight="1" x14ac:dyDescent="0.15">
      <c r="AE14280" s="13"/>
    </row>
    <row r="14281" spans="31:31" ht="12.75" customHeight="1" x14ac:dyDescent="0.15">
      <c r="AE14281" s="13"/>
    </row>
    <row r="14282" spans="31:31" ht="12.75" customHeight="1" x14ac:dyDescent="0.15">
      <c r="AE14282" s="13"/>
    </row>
    <row r="14283" spans="31:31" ht="12.75" customHeight="1" x14ac:dyDescent="0.15">
      <c r="AE14283" s="13"/>
    </row>
    <row r="14284" spans="31:31" ht="12.75" customHeight="1" x14ac:dyDescent="0.15">
      <c r="AE14284" s="13"/>
    </row>
    <row r="14285" spans="31:31" ht="12.75" customHeight="1" x14ac:dyDescent="0.15">
      <c r="AE14285" s="13"/>
    </row>
    <row r="14286" spans="31:31" ht="12.75" customHeight="1" x14ac:dyDescent="0.15">
      <c r="AE14286" s="13"/>
    </row>
    <row r="14287" spans="31:31" ht="12.75" customHeight="1" x14ac:dyDescent="0.15">
      <c r="AE14287" s="13"/>
    </row>
    <row r="14288" spans="31:31" ht="12.75" customHeight="1" x14ac:dyDescent="0.15">
      <c r="AE14288" s="13"/>
    </row>
    <row r="14289" spans="31:31" ht="12.75" customHeight="1" x14ac:dyDescent="0.15">
      <c r="AE14289" s="13"/>
    </row>
    <row r="14290" spans="31:31" ht="12.75" customHeight="1" x14ac:dyDescent="0.15">
      <c r="AE14290" s="13"/>
    </row>
    <row r="14291" spans="31:31" ht="12.75" customHeight="1" x14ac:dyDescent="0.15">
      <c r="AE14291" s="13"/>
    </row>
    <row r="14292" spans="31:31" ht="12.75" customHeight="1" x14ac:dyDescent="0.15">
      <c r="AE14292" s="13"/>
    </row>
    <row r="14293" spans="31:31" ht="12.75" customHeight="1" x14ac:dyDescent="0.15">
      <c r="AE14293" s="13"/>
    </row>
    <row r="14294" spans="31:31" ht="12.75" customHeight="1" x14ac:dyDescent="0.15">
      <c r="AE14294" s="13"/>
    </row>
    <row r="14295" spans="31:31" ht="12.75" customHeight="1" x14ac:dyDescent="0.15">
      <c r="AE14295" s="13"/>
    </row>
    <row r="14296" spans="31:31" ht="12.75" customHeight="1" x14ac:dyDescent="0.15">
      <c r="AE14296" s="13"/>
    </row>
    <row r="14297" spans="31:31" ht="12.75" customHeight="1" x14ac:dyDescent="0.15">
      <c r="AE14297" s="13"/>
    </row>
    <row r="14298" spans="31:31" ht="12.75" customHeight="1" x14ac:dyDescent="0.15">
      <c r="AE14298" s="13"/>
    </row>
    <row r="14299" spans="31:31" ht="12.75" customHeight="1" x14ac:dyDescent="0.15">
      <c r="AE14299" s="13"/>
    </row>
    <row r="14300" spans="31:31" ht="12.75" customHeight="1" x14ac:dyDescent="0.15">
      <c r="AE14300" s="13"/>
    </row>
    <row r="14301" spans="31:31" ht="12.75" customHeight="1" x14ac:dyDescent="0.15">
      <c r="AE14301" s="13"/>
    </row>
    <row r="14302" spans="31:31" ht="12.75" customHeight="1" x14ac:dyDescent="0.15">
      <c r="AE14302" s="13"/>
    </row>
    <row r="14303" spans="31:31" ht="12.75" customHeight="1" x14ac:dyDescent="0.15">
      <c r="AE14303" s="13"/>
    </row>
    <row r="14304" spans="31:31" ht="12.75" customHeight="1" x14ac:dyDescent="0.15">
      <c r="AE14304" s="13"/>
    </row>
    <row r="14305" spans="31:31" ht="12.75" customHeight="1" x14ac:dyDescent="0.15">
      <c r="AE14305" s="13"/>
    </row>
    <row r="14306" spans="31:31" ht="12.75" customHeight="1" x14ac:dyDescent="0.15">
      <c r="AE14306" s="13"/>
    </row>
    <row r="14307" spans="31:31" ht="12.75" customHeight="1" x14ac:dyDescent="0.15">
      <c r="AE14307" s="13"/>
    </row>
    <row r="14308" spans="31:31" ht="12.75" customHeight="1" x14ac:dyDescent="0.15">
      <c r="AE14308" s="13"/>
    </row>
    <row r="14309" spans="31:31" ht="12.75" customHeight="1" x14ac:dyDescent="0.15">
      <c r="AE14309" s="13"/>
    </row>
    <row r="14310" spans="31:31" ht="12.75" customHeight="1" x14ac:dyDescent="0.15">
      <c r="AE14310" s="13"/>
    </row>
    <row r="14311" spans="31:31" ht="12.75" customHeight="1" x14ac:dyDescent="0.15">
      <c r="AE14311" s="13"/>
    </row>
    <row r="14312" spans="31:31" ht="12.75" customHeight="1" x14ac:dyDescent="0.15">
      <c r="AE14312" s="13"/>
    </row>
    <row r="14313" spans="31:31" ht="12.75" customHeight="1" x14ac:dyDescent="0.15">
      <c r="AE14313" s="13"/>
    </row>
    <row r="14314" spans="31:31" ht="12.75" customHeight="1" x14ac:dyDescent="0.15">
      <c r="AE14314" s="13"/>
    </row>
    <row r="14315" spans="31:31" ht="12.75" customHeight="1" x14ac:dyDescent="0.15">
      <c r="AE14315" s="13"/>
    </row>
    <row r="14316" spans="31:31" ht="12.75" customHeight="1" x14ac:dyDescent="0.15">
      <c r="AE14316" s="13"/>
    </row>
    <row r="14317" spans="31:31" ht="12.75" customHeight="1" x14ac:dyDescent="0.15">
      <c r="AE14317" s="13"/>
    </row>
    <row r="14318" spans="31:31" ht="12.75" customHeight="1" x14ac:dyDescent="0.15">
      <c r="AE14318" s="13"/>
    </row>
    <row r="14319" spans="31:31" ht="12.75" customHeight="1" x14ac:dyDescent="0.15">
      <c r="AE14319" s="13"/>
    </row>
    <row r="14320" spans="31:31" ht="12.75" customHeight="1" x14ac:dyDescent="0.15">
      <c r="AE14320" s="13"/>
    </row>
    <row r="14321" spans="31:31" ht="12.75" customHeight="1" x14ac:dyDescent="0.15">
      <c r="AE14321" s="13"/>
    </row>
    <row r="14322" spans="31:31" ht="12.75" customHeight="1" x14ac:dyDescent="0.15">
      <c r="AE14322" s="13"/>
    </row>
    <row r="14323" spans="31:31" ht="12.75" customHeight="1" x14ac:dyDescent="0.15">
      <c r="AE14323" s="13"/>
    </row>
    <row r="14324" spans="31:31" ht="12.75" customHeight="1" x14ac:dyDescent="0.15">
      <c r="AE14324" s="13"/>
    </row>
    <row r="14325" spans="31:31" ht="12.75" customHeight="1" x14ac:dyDescent="0.15">
      <c r="AE14325" s="13"/>
    </row>
    <row r="14326" spans="31:31" ht="12.75" customHeight="1" x14ac:dyDescent="0.15">
      <c r="AE14326" s="13"/>
    </row>
    <row r="14327" spans="31:31" ht="12.75" customHeight="1" x14ac:dyDescent="0.15">
      <c r="AE14327" s="13"/>
    </row>
    <row r="14328" spans="31:31" ht="12.75" customHeight="1" x14ac:dyDescent="0.15">
      <c r="AE14328" s="13"/>
    </row>
    <row r="14329" spans="31:31" ht="12.75" customHeight="1" x14ac:dyDescent="0.15">
      <c r="AE14329" s="13"/>
    </row>
    <row r="14330" spans="31:31" ht="12.75" customHeight="1" x14ac:dyDescent="0.15">
      <c r="AE14330" s="13"/>
    </row>
    <row r="14331" spans="31:31" ht="12.75" customHeight="1" x14ac:dyDescent="0.15">
      <c r="AE14331" s="13"/>
    </row>
    <row r="14332" spans="31:31" ht="12.75" customHeight="1" x14ac:dyDescent="0.15">
      <c r="AE14332" s="13"/>
    </row>
    <row r="14333" spans="31:31" ht="12.75" customHeight="1" x14ac:dyDescent="0.15">
      <c r="AE14333" s="13"/>
    </row>
    <row r="14334" spans="31:31" ht="12.75" customHeight="1" x14ac:dyDescent="0.15">
      <c r="AE14334" s="13"/>
    </row>
    <row r="14335" spans="31:31" ht="12.75" customHeight="1" x14ac:dyDescent="0.15">
      <c r="AE14335" s="13"/>
    </row>
    <row r="14336" spans="31:31" ht="12.75" customHeight="1" x14ac:dyDescent="0.15">
      <c r="AE14336" s="13"/>
    </row>
    <row r="14337" spans="31:31" ht="12.75" customHeight="1" x14ac:dyDescent="0.15">
      <c r="AE14337" s="13"/>
    </row>
    <row r="14338" spans="31:31" ht="12.75" customHeight="1" x14ac:dyDescent="0.15">
      <c r="AE14338" s="13"/>
    </row>
    <row r="14339" spans="31:31" ht="12.75" customHeight="1" x14ac:dyDescent="0.15">
      <c r="AE14339" s="13"/>
    </row>
    <row r="14340" spans="31:31" ht="12.75" customHeight="1" x14ac:dyDescent="0.15">
      <c r="AE14340" s="13"/>
    </row>
    <row r="14341" spans="31:31" ht="12.75" customHeight="1" x14ac:dyDescent="0.15">
      <c r="AE14341" s="13"/>
    </row>
    <row r="14342" spans="31:31" ht="12.75" customHeight="1" x14ac:dyDescent="0.15">
      <c r="AE14342" s="13"/>
    </row>
    <row r="14343" spans="31:31" ht="12.75" customHeight="1" x14ac:dyDescent="0.15">
      <c r="AE14343" s="13"/>
    </row>
    <row r="14344" spans="31:31" ht="12.75" customHeight="1" x14ac:dyDescent="0.15">
      <c r="AE14344" s="13"/>
    </row>
    <row r="14345" spans="31:31" ht="12.75" customHeight="1" x14ac:dyDescent="0.15">
      <c r="AE14345" s="13"/>
    </row>
    <row r="14346" spans="31:31" ht="12.75" customHeight="1" x14ac:dyDescent="0.15">
      <c r="AE14346" s="13"/>
    </row>
    <row r="14347" spans="31:31" ht="12.75" customHeight="1" x14ac:dyDescent="0.15">
      <c r="AE14347" s="13"/>
    </row>
    <row r="14348" spans="31:31" ht="12.75" customHeight="1" x14ac:dyDescent="0.15">
      <c r="AE14348" s="13"/>
    </row>
    <row r="14349" spans="31:31" ht="12.75" customHeight="1" x14ac:dyDescent="0.15">
      <c r="AE14349" s="13"/>
    </row>
    <row r="14350" spans="31:31" ht="12.75" customHeight="1" x14ac:dyDescent="0.15">
      <c r="AE14350" s="13"/>
    </row>
    <row r="14351" spans="31:31" ht="12.75" customHeight="1" x14ac:dyDescent="0.15">
      <c r="AE14351" s="13"/>
    </row>
    <row r="14352" spans="31:31" ht="12.75" customHeight="1" x14ac:dyDescent="0.15">
      <c r="AE14352" s="13"/>
    </row>
    <row r="14353" spans="31:31" ht="12.75" customHeight="1" x14ac:dyDescent="0.15">
      <c r="AE14353" s="13"/>
    </row>
    <row r="14354" spans="31:31" ht="12.75" customHeight="1" x14ac:dyDescent="0.15">
      <c r="AE14354" s="13"/>
    </row>
    <row r="14355" spans="31:31" ht="12.75" customHeight="1" x14ac:dyDescent="0.15">
      <c r="AE14355" s="13"/>
    </row>
    <row r="14356" spans="31:31" ht="12.75" customHeight="1" x14ac:dyDescent="0.15">
      <c r="AE14356" s="13"/>
    </row>
    <row r="14357" spans="31:31" ht="12.75" customHeight="1" x14ac:dyDescent="0.15">
      <c r="AE14357" s="13"/>
    </row>
    <row r="14358" spans="31:31" ht="12.75" customHeight="1" x14ac:dyDescent="0.15">
      <c r="AE14358" s="13"/>
    </row>
    <row r="14359" spans="31:31" ht="12.75" customHeight="1" x14ac:dyDescent="0.15">
      <c r="AE14359" s="13"/>
    </row>
    <row r="14360" spans="31:31" ht="12.75" customHeight="1" x14ac:dyDescent="0.15">
      <c r="AE14360" s="13"/>
    </row>
    <row r="14361" spans="31:31" ht="12.75" customHeight="1" x14ac:dyDescent="0.15">
      <c r="AE14361" s="13"/>
    </row>
    <row r="14362" spans="31:31" ht="12.75" customHeight="1" x14ac:dyDescent="0.15">
      <c r="AE14362" s="13"/>
    </row>
    <row r="14363" spans="31:31" ht="12.75" customHeight="1" x14ac:dyDescent="0.15">
      <c r="AE14363" s="13"/>
    </row>
    <row r="14364" spans="31:31" ht="12.75" customHeight="1" x14ac:dyDescent="0.15">
      <c r="AE14364" s="13"/>
    </row>
    <row r="14365" spans="31:31" ht="12.75" customHeight="1" x14ac:dyDescent="0.15">
      <c r="AE14365" s="13"/>
    </row>
    <row r="14366" spans="31:31" ht="12.75" customHeight="1" x14ac:dyDescent="0.15">
      <c r="AE14366" s="13"/>
    </row>
    <row r="14367" spans="31:31" ht="12.75" customHeight="1" x14ac:dyDescent="0.15">
      <c r="AE14367" s="13"/>
    </row>
    <row r="14368" spans="31:31" ht="12.75" customHeight="1" x14ac:dyDescent="0.15">
      <c r="AE14368" s="13"/>
    </row>
    <row r="14369" spans="31:31" ht="12.75" customHeight="1" x14ac:dyDescent="0.15">
      <c r="AE14369" s="13"/>
    </row>
    <row r="14370" spans="31:31" ht="12.75" customHeight="1" x14ac:dyDescent="0.15">
      <c r="AE14370" s="13"/>
    </row>
    <row r="14371" spans="31:31" ht="12.75" customHeight="1" x14ac:dyDescent="0.15">
      <c r="AE14371" s="13"/>
    </row>
    <row r="14372" spans="31:31" ht="12.75" customHeight="1" x14ac:dyDescent="0.15">
      <c r="AE14372" s="13"/>
    </row>
    <row r="14373" spans="31:31" ht="12.75" customHeight="1" x14ac:dyDescent="0.15">
      <c r="AE14373" s="13"/>
    </row>
    <row r="14374" spans="31:31" ht="12.75" customHeight="1" x14ac:dyDescent="0.15">
      <c r="AE14374" s="13"/>
    </row>
    <row r="14375" spans="31:31" ht="12.75" customHeight="1" x14ac:dyDescent="0.15">
      <c r="AE14375" s="13"/>
    </row>
    <row r="14376" spans="31:31" ht="12.75" customHeight="1" x14ac:dyDescent="0.15">
      <c r="AE14376" s="13"/>
    </row>
    <row r="14377" spans="31:31" ht="12.75" customHeight="1" x14ac:dyDescent="0.15">
      <c r="AE14377" s="13"/>
    </row>
    <row r="14378" spans="31:31" ht="12.75" customHeight="1" x14ac:dyDescent="0.15">
      <c r="AE14378" s="13"/>
    </row>
    <row r="14379" spans="31:31" ht="12.75" customHeight="1" x14ac:dyDescent="0.15">
      <c r="AE14379" s="13"/>
    </row>
    <row r="14380" spans="31:31" ht="12.75" customHeight="1" x14ac:dyDescent="0.15">
      <c r="AE14380" s="13"/>
    </row>
    <row r="14381" spans="31:31" ht="12.75" customHeight="1" x14ac:dyDescent="0.15">
      <c r="AE14381" s="13"/>
    </row>
    <row r="14382" spans="31:31" ht="12.75" customHeight="1" x14ac:dyDescent="0.15">
      <c r="AE14382" s="13"/>
    </row>
    <row r="14383" spans="31:31" ht="12.75" customHeight="1" x14ac:dyDescent="0.15">
      <c r="AE14383" s="13"/>
    </row>
    <row r="14384" spans="31:31" ht="12.75" customHeight="1" x14ac:dyDescent="0.15">
      <c r="AE14384" s="13"/>
    </row>
    <row r="14385" spans="31:31" ht="12.75" customHeight="1" x14ac:dyDescent="0.15">
      <c r="AE14385" s="13"/>
    </row>
    <row r="14386" spans="31:31" ht="12.75" customHeight="1" x14ac:dyDescent="0.15">
      <c r="AE14386" s="13"/>
    </row>
    <row r="14387" spans="31:31" ht="12.75" customHeight="1" x14ac:dyDescent="0.15">
      <c r="AE14387" s="13"/>
    </row>
    <row r="14388" spans="31:31" ht="12.75" customHeight="1" x14ac:dyDescent="0.15">
      <c r="AE14388" s="13"/>
    </row>
    <row r="14389" spans="31:31" ht="12.75" customHeight="1" x14ac:dyDescent="0.15">
      <c r="AE14389" s="13"/>
    </row>
    <row r="14390" spans="31:31" ht="12.75" customHeight="1" x14ac:dyDescent="0.15">
      <c r="AE14390" s="13"/>
    </row>
    <row r="14391" spans="31:31" ht="12.75" customHeight="1" x14ac:dyDescent="0.15">
      <c r="AE14391" s="13"/>
    </row>
    <row r="14392" spans="31:31" ht="12.75" customHeight="1" x14ac:dyDescent="0.15">
      <c r="AE14392" s="13"/>
    </row>
    <row r="14393" spans="31:31" ht="12.75" customHeight="1" x14ac:dyDescent="0.15">
      <c r="AE14393" s="13"/>
    </row>
    <row r="14394" spans="31:31" ht="12.75" customHeight="1" x14ac:dyDescent="0.15">
      <c r="AE14394" s="13"/>
    </row>
    <row r="14395" spans="31:31" ht="12.75" customHeight="1" x14ac:dyDescent="0.15">
      <c r="AE14395" s="13"/>
    </row>
    <row r="14396" spans="31:31" ht="12.75" customHeight="1" x14ac:dyDescent="0.15">
      <c r="AE14396" s="13"/>
    </row>
    <row r="14397" spans="31:31" ht="12.75" customHeight="1" x14ac:dyDescent="0.15">
      <c r="AE14397" s="13"/>
    </row>
    <row r="14398" spans="31:31" ht="12.75" customHeight="1" x14ac:dyDescent="0.15">
      <c r="AE14398" s="13"/>
    </row>
    <row r="14399" spans="31:31" ht="12.75" customHeight="1" x14ac:dyDescent="0.15">
      <c r="AE14399" s="13"/>
    </row>
    <row r="14400" spans="31:31" ht="12.75" customHeight="1" x14ac:dyDescent="0.15">
      <c r="AE14400" s="13"/>
    </row>
    <row r="14401" spans="31:31" ht="12.75" customHeight="1" x14ac:dyDescent="0.15">
      <c r="AE14401" s="13"/>
    </row>
    <row r="14402" spans="31:31" ht="12.75" customHeight="1" x14ac:dyDescent="0.15">
      <c r="AE14402" s="13"/>
    </row>
    <row r="14403" spans="31:31" ht="12.75" customHeight="1" x14ac:dyDescent="0.15">
      <c r="AE14403" s="13"/>
    </row>
    <row r="14404" spans="31:31" ht="12.75" customHeight="1" x14ac:dyDescent="0.15">
      <c r="AE14404" s="13"/>
    </row>
    <row r="14405" spans="31:31" ht="12.75" customHeight="1" x14ac:dyDescent="0.15">
      <c r="AE14405" s="13"/>
    </row>
    <row r="14406" spans="31:31" ht="12.75" customHeight="1" x14ac:dyDescent="0.15">
      <c r="AE14406" s="13"/>
    </row>
    <row r="14407" spans="31:31" ht="12.75" customHeight="1" x14ac:dyDescent="0.15">
      <c r="AE14407" s="13"/>
    </row>
    <row r="14408" spans="31:31" ht="12.75" customHeight="1" x14ac:dyDescent="0.15">
      <c r="AE14408" s="13"/>
    </row>
    <row r="14409" spans="31:31" ht="12.75" customHeight="1" x14ac:dyDescent="0.15">
      <c r="AE14409" s="13"/>
    </row>
    <row r="14410" spans="31:31" ht="12.75" customHeight="1" x14ac:dyDescent="0.15">
      <c r="AE14410" s="13"/>
    </row>
    <row r="14411" spans="31:31" ht="12.75" customHeight="1" x14ac:dyDescent="0.15">
      <c r="AE14411" s="13"/>
    </row>
    <row r="14412" spans="31:31" ht="12.75" customHeight="1" x14ac:dyDescent="0.15">
      <c r="AE14412" s="13"/>
    </row>
    <row r="14413" spans="31:31" ht="12.75" customHeight="1" x14ac:dyDescent="0.15">
      <c r="AE14413" s="13"/>
    </row>
    <row r="14414" spans="31:31" ht="12.75" customHeight="1" x14ac:dyDescent="0.15">
      <c r="AE14414" s="13"/>
    </row>
    <row r="14415" spans="31:31" ht="12.75" customHeight="1" x14ac:dyDescent="0.15">
      <c r="AE14415" s="13"/>
    </row>
    <row r="14416" spans="31:31" ht="12.75" customHeight="1" x14ac:dyDescent="0.15">
      <c r="AE14416" s="13"/>
    </row>
    <row r="14417" spans="31:31" ht="12.75" customHeight="1" x14ac:dyDescent="0.15">
      <c r="AE14417" s="13"/>
    </row>
    <row r="14418" spans="31:31" ht="12.75" customHeight="1" x14ac:dyDescent="0.15">
      <c r="AE14418" s="13"/>
    </row>
    <row r="14419" spans="31:31" ht="12.75" customHeight="1" x14ac:dyDescent="0.15">
      <c r="AE14419" s="13"/>
    </row>
    <row r="14420" spans="31:31" ht="12.75" customHeight="1" x14ac:dyDescent="0.15">
      <c r="AE14420" s="13"/>
    </row>
    <row r="14421" spans="31:31" ht="12.75" customHeight="1" x14ac:dyDescent="0.15">
      <c r="AE14421" s="13"/>
    </row>
    <row r="14422" spans="31:31" ht="12.75" customHeight="1" x14ac:dyDescent="0.15">
      <c r="AE14422" s="13"/>
    </row>
    <row r="14423" spans="31:31" ht="12.75" customHeight="1" x14ac:dyDescent="0.15">
      <c r="AE14423" s="13"/>
    </row>
    <row r="14424" spans="31:31" ht="12.75" customHeight="1" x14ac:dyDescent="0.15">
      <c r="AE14424" s="13"/>
    </row>
    <row r="14425" spans="31:31" ht="12.75" customHeight="1" x14ac:dyDescent="0.15">
      <c r="AE14425" s="13"/>
    </row>
    <row r="14426" spans="31:31" ht="12.75" customHeight="1" x14ac:dyDescent="0.15">
      <c r="AE14426" s="13"/>
    </row>
    <row r="14427" spans="31:31" ht="12.75" customHeight="1" x14ac:dyDescent="0.15">
      <c r="AE14427" s="13"/>
    </row>
    <row r="14428" spans="31:31" ht="12.75" customHeight="1" x14ac:dyDescent="0.15">
      <c r="AE14428" s="13"/>
    </row>
    <row r="14429" spans="31:31" ht="12.75" customHeight="1" x14ac:dyDescent="0.15">
      <c r="AE14429" s="13"/>
    </row>
    <row r="14430" spans="31:31" ht="12.75" customHeight="1" x14ac:dyDescent="0.15">
      <c r="AE14430" s="13"/>
    </row>
    <row r="14431" spans="31:31" ht="12.75" customHeight="1" x14ac:dyDescent="0.15">
      <c r="AE14431" s="13"/>
    </row>
    <row r="14432" spans="31:31" ht="12.75" customHeight="1" x14ac:dyDescent="0.15">
      <c r="AE14432" s="13"/>
    </row>
    <row r="14433" spans="31:31" ht="12.75" customHeight="1" x14ac:dyDescent="0.15">
      <c r="AE14433" s="13"/>
    </row>
    <row r="14434" spans="31:31" ht="12.75" customHeight="1" x14ac:dyDescent="0.15">
      <c r="AE14434" s="13"/>
    </row>
    <row r="14435" spans="31:31" ht="12.75" customHeight="1" x14ac:dyDescent="0.15">
      <c r="AE14435" s="13"/>
    </row>
    <row r="14436" spans="31:31" ht="12.75" customHeight="1" x14ac:dyDescent="0.15">
      <c r="AE14436" s="13"/>
    </row>
    <row r="14437" spans="31:31" ht="12.75" customHeight="1" x14ac:dyDescent="0.15">
      <c r="AE14437" s="13"/>
    </row>
    <row r="14438" spans="31:31" ht="12.75" customHeight="1" x14ac:dyDescent="0.15">
      <c r="AE14438" s="13"/>
    </row>
    <row r="14439" spans="31:31" ht="12.75" customHeight="1" x14ac:dyDescent="0.15">
      <c r="AE14439" s="13"/>
    </row>
    <row r="14440" spans="31:31" ht="12.75" customHeight="1" x14ac:dyDescent="0.15">
      <c r="AE14440" s="13"/>
    </row>
    <row r="14441" spans="31:31" ht="12.75" customHeight="1" x14ac:dyDescent="0.15">
      <c r="AE14441" s="13"/>
    </row>
    <row r="14442" spans="31:31" ht="12.75" customHeight="1" x14ac:dyDescent="0.15">
      <c r="AE14442" s="13"/>
    </row>
    <row r="14443" spans="31:31" ht="12.75" customHeight="1" x14ac:dyDescent="0.15">
      <c r="AE14443" s="13"/>
    </row>
    <row r="14444" spans="31:31" ht="12.75" customHeight="1" x14ac:dyDescent="0.15">
      <c r="AE14444" s="13"/>
    </row>
    <row r="14445" spans="31:31" ht="12.75" customHeight="1" x14ac:dyDescent="0.15">
      <c r="AE14445" s="13"/>
    </row>
    <row r="14446" spans="31:31" ht="12.75" customHeight="1" x14ac:dyDescent="0.15">
      <c r="AE14446" s="13"/>
    </row>
    <row r="14447" spans="31:31" ht="12.75" customHeight="1" x14ac:dyDescent="0.15">
      <c r="AE14447" s="13"/>
    </row>
    <row r="14448" spans="31:31" ht="12.75" customHeight="1" x14ac:dyDescent="0.15">
      <c r="AE14448" s="13"/>
    </row>
    <row r="14449" spans="31:31" ht="12.75" customHeight="1" x14ac:dyDescent="0.15">
      <c r="AE14449" s="13"/>
    </row>
    <row r="14450" spans="31:31" ht="12.75" customHeight="1" x14ac:dyDescent="0.15">
      <c r="AE14450" s="13"/>
    </row>
    <row r="14451" spans="31:31" ht="12.75" customHeight="1" x14ac:dyDescent="0.15">
      <c r="AE14451" s="13"/>
    </row>
    <row r="14452" spans="31:31" ht="12.75" customHeight="1" x14ac:dyDescent="0.15">
      <c r="AE14452" s="13"/>
    </row>
    <row r="14453" spans="31:31" ht="12.75" customHeight="1" x14ac:dyDescent="0.15">
      <c r="AE14453" s="13"/>
    </row>
    <row r="14454" spans="31:31" ht="12.75" customHeight="1" x14ac:dyDescent="0.15">
      <c r="AE14454" s="13"/>
    </row>
    <row r="14455" spans="31:31" ht="12.75" customHeight="1" x14ac:dyDescent="0.15">
      <c r="AE14455" s="13"/>
    </row>
    <row r="14456" spans="31:31" ht="12.75" customHeight="1" x14ac:dyDescent="0.15">
      <c r="AE14456" s="13"/>
    </row>
    <row r="14457" spans="31:31" ht="12.75" customHeight="1" x14ac:dyDescent="0.15">
      <c r="AE14457" s="13"/>
    </row>
    <row r="14458" spans="31:31" ht="12.75" customHeight="1" x14ac:dyDescent="0.15">
      <c r="AE14458" s="13"/>
    </row>
    <row r="14459" spans="31:31" ht="12.75" customHeight="1" x14ac:dyDescent="0.15">
      <c r="AE14459" s="13"/>
    </row>
    <row r="14460" spans="31:31" ht="12.75" customHeight="1" x14ac:dyDescent="0.15">
      <c r="AE14460" s="13"/>
    </row>
    <row r="14461" spans="31:31" ht="12.75" customHeight="1" x14ac:dyDescent="0.15">
      <c r="AE14461" s="13"/>
    </row>
    <row r="14462" spans="31:31" ht="12.75" customHeight="1" x14ac:dyDescent="0.15">
      <c r="AE14462" s="13"/>
    </row>
    <row r="14463" spans="31:31" ht="12.75" customHeight="1" x14ac:dyDescent="0.15">
      <c r="AE14463" s="13"/>
    </row>
    <row r="14464" spans="31:31" ht="12.75" customHeight="1" x14ac:dyDescent="0.15">
      <c r="AE14464" s="13"/>
    </row>
    <row r="14465" spans="31:31" ht="12.75" customHeight="1" x14ac:dyDescent="0.15">
      <c r="AE14465" s="13"/>
    </row>
    <row r="14466" spans="31:31" ht="12.75" customHeight="1" x14ac:dyDescent="0.15">
      <c r="AE14466" s="13"/>
    </row>
    <row r="14467" spans="31:31" ht="12.75" customHeight="1" x14ac:dyDescent="0.15">
      <c r="AE14467" s="13"/>
    </row>
    <row r="14468" spans="31:31" ht="12.75" customHeight="1" x14ac:dyDescent="0.15">
      <c r="AE14468" s="13"/>
    </row>
    <row r="14469" spans="31:31" ht="12.75" customHeight="1" x14ac:dyDescent="0.15">
      <c r="AE14469" s="13"/>
    </row>
    <row r="14470" spans="31:31" ht="12.75" customHeight="1" x14ac:dyDescent="0.15">
      <c r="AE14470" s="13"/>
    </row>
    <row r="14471" spans="31:31" ht="12.75" customHeight="1" x14ac:dyDescent="0.15">
      <c r="AE14471" s="13"/>
    </row>
    <row r="14472" spans="31:31" ht="12.75" customHeight="1" x14ac:dyDescent="0.15">
      <c r="AE14472" s="13"/>
    </row>
    <row r="14473" spans="31:31" ht="12.75" customHeight="1" x14ac:dyDescent="0.15">
      <c r="AE14473" s="13"/>
    </row>
    <row r="14474" spans="31:31" ht="12.75" customHeight="1" x14ac:dyDescent="0.15">
      <c r="AE14474" s="13"/>
    </row>
    <row r="14475" spans="31:31" ht="12.75" customHeight="1" x14ac:dyDescent="0.15">
      <c r="AE14475" s="13"/>
    </row>
    <row r="14476" spans="31:31" ht="12.75" customHeight="1" x14ac:dyDescent="0.15">
      <c r="AE14476" s="13"/>
    </row>
    <row r="14477" spans="31:31" ht="12.75" customHeight="1" x14ac:dyDescent="0.15">
      <c r="AE14477" s="13"/>
    </row>
    <row r="14478" spans="31:31" ht="12.75" customHeight="1" x14ac:dyDescent="0.15">
      <c r="AE14478" s="13"/>
    </row>
    <row r="14479" spans="31:31" ht="12.75" customHeight="1" x14ac:dyDescent="0.15">
      <c r="AE14479" s="13"/>
    </row>
    <row r="14480" spans="31:31" ht="12.75" customHeight="1" x14ac:dyDescent="0.15">
      <c r="AE14480" s="13"/>
    </row>
    <row r="14481" spans="31:31" ht="12.75" customHeight="1" x14ac:dyDescent="0.15">
      <c r="AE14481" s="13"/>
    </row>
    <row r="14482" spans="31:31" ht="12.75" customHeight="1" x14ac:dyDescent="0.15">
      <c r="AE14482" s="13"/>
    </row>
    <row r="14483" spans="31:31" ht="12.75" customHeight="1" x14ac:dyDescent="0.15">
      <c r="AE14483" s="13"/>
    </row>
    <row r="14484" spans="31:31" ht="12.75" customHeight="1" x14ac:dyDescent="0.15">
      <c r="AE14484" s="13"/>
    </row>
    <row r="14485" spans="31:31" ht="12.75" customHeight="1" x14ac:dyDescent="0.15">
      <c r="AE14485" s="13"/>
    </row>
    <row r="14486" spans="31:31" ht="12.75" customHeight="1" x14ac:dyDescent="0.15">
      <c r="AE14486" s="13"/>
    </row>
    <row r="14487" spans="31:31" ht="12.75" customHeight="1" x14ac:dyDescent="0.15">
      <c r="AE14487" s="13"/>
    </row>
    <row r="14488" spans="31:31" ht="12.75" customHeight="1" x14ac:dyDescent="0.15">
      <c r="AE14488" s="13"/>
    </row>
    <row r="14489" spans="31:31" ht="12.75" customHeight="1" x14ac:dyDescent="0.15">
      <c r="AE14489" s="13"/>
    </row>
    <row r="14490" spans="31:31" ht="12.75" customHeight="1" x14ac:dyDescent="0.15">
      <c r="AE14490" s="13"/>
    </row>
    <row r="14491" spans="31:31" ht="12.75" customHeight="1" x14ac:dyDescent="0.15">
      <c r="AE14491" s="13"/>
    </row>
    <row r="14492" spans="31:31" ht="12.75" customHeight="1" x14ac:dyDescent="0.15">
      <c r="AE14492" s="13"/>
    </row>
    <row r="14493" spans="31:31" ht="12.75" customHeight="1" x14ac:dyDescent="0.15">
      <c r="AE14493" s="13"/>
    </row>
    <row r="14494" spans="31:31" ht="12.75" customHeight="1" x14ac:dyDescent="0.15">
      <c r="AE14494" s="13"/>
    </row>
    <row r="14495" spans="31:31" ht="12.75" customHeight="1" x14ac:dyDescent="0.15">
      <c r="AE14495" s="13"/>
    </row>
    <row r="14496" spans="31:31" ht="12.75" customHeight="1" x14ac:dyDescent="0.15">
      <c r="AE14496" s="13"/>
    </row>
    <row r="14497" spans="31:31" ht="12.75" customHeight="1" x14ac:dyDescent="0.15">
      <c r="AE14497" s="13"/>
    </row>
    <row r="14498" spans="31:31" ht="12.75" customHeight="1" x14ac:dyDescent="0.15">
      <c r="AE14498" s="13"/>
    </row>
    <row r="14499" spans="31:31" ht="12.75" customHeight="1" x14ac:dyDescent="0.15">
      <c r="AE14499" s="13"/>
    </row>
    <row r="14500" spans="31:31" ht="12.75" customHeight="1" x14ac:dyDescent="0.15">
      <c r="AE14500" s="13"/>
    </row>
    <row r="14501" spans="31:31" ht="12.75" customHeight="1" x14ac:dyDescent="0.15">
      <c r="AE14501" s="13"/>
    </row>
    <row r="14502" spans="31:31" ht="12.75" customHeight="1" x14ac:dyDescent="0.15">
      <c r="AE14502" s="13"/>
    </row>
    <row r="14503" spans="31:31" ht="12.75" customHeight="1" x14ac:dyDescent="0.15">
      <c r="AE14503" s="13"/>
    </row>
    <row r="14504" spans="31:31" ht="12.75" customHeight="1" x14ac:dyDescent="0.15">
      <c r="AE14504" s="13"/>
    </row>
    <row r="14505" spans="31:31" ht="12.75" customHeight="1" x14ac:dyDescent="0.15">
      <c r="AE14505" s="13"/>
    </row>
    <row r="14506" spans="31:31" ht="12.75" customHeight="1" x14ac:dyDescent="0.15">
      <c r="AE14506" s="13"/>
    </row>
    <row r="14507" spans="31:31" ht="12.75" customHeight="1" x14ac:dyDescent="0.15">
      <c r="AE14507" s="13"/>
    </row>
    <row r="14508" spans="31:31" ht="12.75" customHeight="1" x14ac:dyDescent="0.15">
      <c r="AE14508" s="13"/>
    </row>
    <row r="14509" spans="31:31" ht="12.75" customHeight="1" x14ac:dyDescent="0.15">
      <c r="AE14509" s="13"/>
    </row>
    <row r="14510" spans="31:31" ht="12.75" customHeight="1" x14ac:dyDescent="0.15">
      <c r="AE14510" s="13"/>
    </row>
    <row r="14511" spans="31:31" ht="12.75" customHeight="1" x14ac:dyDescent="0.15">
      <c r="AE14511" s="13"/>
    </row>
    <row r="14512" spans="31:31" ht="12.75" customHeight="1" x14ac:dyDescent="0.15">
      <c r="AE14512" s="13"/>
    </row>
    <row r="14513" spans="31:31" ht="12.75" customHeight="1" x14ac:dyDescent="0.15">
      <c r="AE14513" s="13"/>
    </row>
    <row r="14514" spans="31:31" ht="12.75" customHeight="1" x14ac:dyDescent="0.15">
      <c r="AE14514" s="13"/>
    </row>
    <row r="14515" spans="31:31" ht="12.75" customHeight="1" x14ac:dyDescent="0.15">
      <c r="AE14515" s="13"/>
    </row>
    <row r="14516" spans="31:31" ht="12.75" customHeight="1" x14ac:dyDescent="0.15">
      <c r="AE14516" s="13"/>
    </row>
    <row r="14517" spans="31:31" ht="12.75" customHeight="1" x14ac:dyDescent="0.15">
      <c r="AE14517" s="13"/>
    </row>
    <row r="14518" spans="31:31" ht="12.75" customHeight="1" x14ac:dyDescent="0.15">
      <c r="AE14518" s="13"/>
    </row>
    <row r="14519" spans="31:31" ht="12.75" customHeight="1" x14ac:dyDescent="0.15">
      <c r="AE14519" s="13"/>
    </row>
    <row r="14520" spans="31:31" ht="12.75" customHeight="1" x14ac:dyDescent="0.15">
      <c r="AE14520" s="13"/>
    </row>
    <row r="14521" spans="31:31" ht="12.75" customHeight="1" x14ac:dyDescent="0.15">
      <c r="AE14521" s="13"/>
    </row>
    <row r="14522" spans="31:31" ht="12.75" customHeight="1" x14ac:dyDescent="0.15">
      <c r="AE14522" s="13"/>
    </row>
    <row r="14523" spans="31:31" ht="12.75" customHeight="1" x14ac:dyDescent="0.15">
      <c r="AE14523" s="13"/>
    </row>
    <row r="14524" spans="31:31" ht="12.75" customHeight="1" x14ac:dyDescent="0.15">
      <c r="AE14524" s="13"/>
    </row>
    <row r="14525" spans="31:31" ht="12.75" customHeight="1" x14ac:dyDescent="0.15">
      <c r="AE14525" s="13"/>
    </row>
    <row r="14526" spans="31:31" ht="12.75" customHeight="1" x14ac:dyDescent="0.15">
      <c r="AE14526" s="13"/>
    </row>
    <row r="14527" spans="31:31" ht="12.75" customHeight="1" x14ac:dyDescent="0.15">
      <c r="AE14527" s="13"/>
    </row>
    <row r="14528" spans="31:31" ht="12.75" customHeight="1" x14ac:dyDescent="0.15">
      <c r="AE14528" s="13"/>
    </row>
    <row r="14529" spans="31:31" ht="12.75" customHeight="1" x14ac:dyDescent="0.15">
      <c r="AE14529" s="13"/>
    </row>
    <row r="14530" spans="31:31" ht="12.75" customHeight="1" x14ac:dyDescent="0.15">
      <c r="AE14530" s="13"/>
    </row>
    <row r="14531" spans="31:31" ht="12.75" customHeight="1" x14ac:dyDescent="0.15">
      <c r="AE14531" s="13"/>
    </row>
    <row r="14532" spans="31:31" ht="12.75" customHeight="1" x14ac:dyDescent="0.15">
      <c r="AE14532" s="13"/>
    </row>
    <row r="14533" spans="31:31" ht="12.75" customHeight="1" x14ac:dyDescent="0.15">
      <c r="AE14533" s="13"/>
    </row>
    <row r="14534" spans="31:31" ht="12.75" customHeight="1" x14ac:dyDescent="0.15">
      <c r="AE14534" s="13"/>
    </row>
    <row r="14535" spans="31:31" ht="12.75" customHeight="1" x14ac:dyDescent="0.15">
      <c r="AE14535" s="13"/>
    </row>
    <row r="14536" spans="31:31" ht="12.75" customHeight="1" x14ac:dyDescent="0.15">
      <c r="AE14536" s="13"/>
    </row>
    <row r="14537" spans="31:31" ht="12.75" customHeight="1" x14ac:dyDescent="0.15">
      <c r="AE14537" s="13"/>
    </row>
    <row r="14538" spans="31:31" ht="12.75" customHeight="1" x14ac:dyDescent="0.15">
      <c r="AE14538" s="13"/>
    </row>
    <row r="14539" spans="31:31" ht="12.75" customHeight="1" x14ac:dyDescent="0.15">
      <c r="AE14539" s="13"/>
    </row>
    <row r="14540" spans="31:31" ht="12.75" customHeight="1" x14ac:dyDescent="0.15">
      <c r="AE14540" s="13"/>
    </row>
    <row r="14541" spans="31:31" ht="12.75" customHeight="1" x14ac:dyDescent="0.15">
      <c r="AE14541" s="13"/>
    </row>
    <row r="14542" spans="31:31" ht="12.75" customHeight="1" x14ac:dyDescent="0.15">
      <c r="AE14542" s="13"/>
    </row>
    <row r="14543" spans="31:31" ht="12.75" customHeight="1" x14ac:dyDescent="0.15">
      <c r="AE14543" s="13"/>
    </row>
    <row r="14544" spans="31:31" ht="12.75" customHeight="1" x14ac:dyDescent="0.15">
      <c r="AE14544" s="13"/>
    </row>
    <row r="14545" spans="31:31" ht="12.75" customHeight="1" x14ac:dyDescent="0.15">
      <c r="AE14545" s="13"/>
    </row>
    <row r="14546" spans="31:31" ht="12.75" customHeight="1" x14ac:dyDescent="0.15">
      <c r="AE14546" s="13"/>
    </row>
    <row r="14547" spans="31:31" ht="12.75" customHeight="1" x14ac:dyDescent="0.15">
      <c r="AE14547" s="13"/>
    </row>
    <row r="14548" spans="31:31" ht="12.75" customHeight="1" x14ac:dyDescent="0.15">
      <c r="AE14548" s="13"/>
    </row>
    <row r="14549" spans="31:31" ht="12.75" customHeight="1" x14ac:dyDescent="0.15">
      <c r="AE14549" s="13"/>
    </row>
    <row r="14550" spans="31:31" ht="12.75" customHeight="1" x14ac:dyDescent="0.15">
      <c r="AE14550" s="13"/>
    </row>
    <row r="14551" spans="31:31" ht="12.75" customHeight="1" x14ac:dyDescent="0.15">
      <c r="AE14551" s="13"/>
    </row>
    <row r="14552" spans="31:31" ht="12.75" customHeight="1" x14ac:dyDescent="0.15">
      <c r="AE14552" s="13"/>
    </row>
    <row r="14553" spans="31:31" ht="12.75" customHeight="1" x14ac:dyDescent="0.15">
      <c r="AE14553" s="13"/>
    </row>
    <row r="14554" spans="31:31" ht="12.75" customHeight="1" x14ac:dyDescent="0.15">
      <c r="AE14554" s="13"/>
    </row>
    <row r="14555" spans="31:31" ht="12.75" customHeight="1" x14ac:dyDescent="0.15">
      <c r="AE14555" s="13"/>
    </row>
    <row r="14556" spans="31:31" ht="12.75" customHeight="1" x14ac:dyDescent="0.15">
      <c r="AE14556" s="13"/>
    </row>
    <row r="14557" spans="31:31" ht="12.75" customHeight="1" x14ac:dyDescent="0.15">
      <c r="AE14557" s="13"/>
    </row>
    <row r="14558" spans="31:31" ht="12.75" customHeight="1" x14ac:dyDescent="0.15">
      <c r="AE14558" s="13"/>
    </row>
    <row r="14559" spans="31:31" ht="12.75" customHeight="1" x14ac:dyDescent="0.15">
      <c r="AE14559" s="13"/>
    </row>
    <row r="14560" spans="31:31" ht="12.75" customHeight="1" x14ac:dyDescent="0.15">
      <c r="AE14560" s="13"/>
    </row>
    <row r="14561" spans="31:31" ht="12.75" customHeight="1" x14ac:dyDescent="0.15">
      <c r="AE14561" s="13"/>
    </row>
    <row r="14562" spans="31:31" ht="12.75" customHeight="1" x14ac:dyDescent="0.15">
      <c r="AE14562" s="13"/>
    </row>
    <row r="14563" spans="31:31" ht="12.75" customHeight="1" x14ac:dyDescent="0.15">
      <c r="AE14563" s="13"/>
    </row>
    <row r="14564" spans="31:31" ht="12.75" customHeight="1" x14ac:dyDescent="0.15">
      <c r="AE14564" s="13"/>
    </row>
    <row r="14565" spans="31:31" ht="12.75" customHeight="1" x14ac:dyDescent="0.15">
      <c r="AE14565" s="13"/>
    </row>
    <row r="14566" spans="31:31" ht="12.75" customHeight="1" x14ac:dyDescent="0.15">
      <c r="AE14566" s="13"/>
    </row>
    <row r="14567" spans="31:31" ht="12.75" customHeight="1" x14ac:dyDescent="0.15">
      <c r="AE14567" s="13"/>
    </row>
    <row r="14568" spans="31:31" ht="12.75" customHeight="1" x14ac:dyDescent="0.15">
      <c r="AE14568" s="13"/>
    </row>
    <row r="14569" spans="31:31" ht="12.75" customHeight="1" x14ac:dyDescent="0.15">
      <c r="AE14569" s="13"/>
    </row>
    <row r="14570" spans="31:31" ht="12.75" customHeight="1" x14ac:dyDescent="0.15">
      <c r="AE14570" s="13"/>
    </row>
    <row r="14571" spans="31:31" ht="12.75" customHeight="1" x14ac:dyDescent="0.15">
      <c r="AE14571" s="13"/>
    </row>
    <row r="14572" spans="31:31" ht="12.75" customHeight="1" x14ac:dyDescent="0.15">
      <c r="AE14572" s="13"/>
    </row>
    <row r="14573" spans="31:31" ht="12.75" customHeight="1" x14ac:dyDescent="0.15">
      <c r="AE14573" s="13"/>
    </row>
    <row r="14574" spans="31:31" ht="12.75" customHeight="1" x14ac:dyDescent="0.15">
      <c r="AE14574" s="13"/>
    </row>
    <row r="14575" spans="31:31" ht="12.75" customHeight="1" x14ac:dyDescent="0.15">
      <c r="AE14575" s="13"/>
    </row>
    <row r="14576" spans="31:31" ht="12.75" customHeight="1" x14ac:dyDescent="0.15">
      <c r="AE14576" s="13"/>
    </row>
    <row r="14577" spans="31:31" ht="12.75" customHeight="1" x14ac:dyDescent="0.15">
      <c r="AE14577" s="13"/>
    </row>
    <row r="14578" spans="31:31" ht="12.75" customHeight="1" x14ac:dyDescent="0.15">
      <c r="AE14578" s="13"/>
    </row>
    <row r="14579" spans="31:31" ht="12.75" customHeight="1" x14ac:dyDescent="0.15">
      <c r="AE14579" s="13"/>
    </row>
    <row r="14580" spans="31:31" ht="12.75" customHeight="1" x14ac:dyDescent="0.15">
      <c r="AE14580" s="13"/>
    </row>
    <row r="14581" spans="31:31" ht="12.75" customHeight="1" x14ac:dyDescent="0.15">
      <c r="AE14581" s="13"/>
    </row>
    <row r="14582" spans="31:31" ht="12.75" customHeight="1" x14ac:dyDescent="0.15">
      <c r="AE14582" s="13"/>
    </row>
    <row r="14583" spans="31:31" ht="12.75" customHeight="1" x14ac:dyDescent="0.15">
      <c r="AE14583" s="13"/>
    </row>
    <row r="14584" spans="31:31" ht="12.75" customHeight="1" x14ac:dyDescent="0.15">
      <c r="AE14584" s="13"/>
    </row>
    <row r="14585" spans="31:31" ht="12.75" customHeight="1" x14ac:dyDescent="0.15">
      <c r="AE14585" s="13"/>
    </row>
    <row r="14586" spans="31:31" ht="12.75" customHeight="1" x14ac:dyDescent="0.15">
      <c r="AE14586" s="13"/>
    </row>
    <row r="14587" spans="31:31" ht="12.75" customHeight="1" x14ac:dyDescent="0.15">
      <c r="AE14587" s="13"/>
    </row>
    <row r="14588" spans="31:31" ht="12.75" customHeight="1" x14ac:dyDescent="0.15">
      <c r="AE14588" s="13"/>
    </row>
    <row r="14589" spans="31:31" ht="12.75" customHeight="1" x14ac:dyDescent="0.15">
      <c r="AE14589" s="13"/>
    </row>
    <row r="14590" spans="31:31" ht="12.75" customHeight="1" x14ac:dyDescent="0.15">
      <c r="AE14590" s="13"/>
    </row>
    <row r="14591" spans="31:31" ht="12.75" customHeight="1" x14ac:dyDescent="0.15">
      <c r="AE14591" s="13"/>
    </row>
    <row r="14592" spans="31:31" ht="12.75" customHeight="1" x14ac:dyDescent="0.15">
      <c r="AE14592" s="13"/>
    </row>
    <row r="14593" spans="31:31" ht="12.75" customHeight="1" x14ac:dyDescent="0.15">
      <c r="AE14593" s="13"/>
    </row>
    <row r="14594" spans="31:31" ht="12.75" customHeight="1" x14ac:dyDescent="0.15">
      <c r="AE14594" s="13"/>
    </row>
    <row r="14595" spans="31:31" ht="12.75" customHeight="1" x14ac:dyDescent="0.15">
      <c r="AE14595" s="13"/>
    </row>
    <row r="14596" spans="31:31" ht="12.75" customHeight="1" x14ac:dyDescent="0.15">
      <c r="AE14596" s="13"/>
    </row>
    <row r="14597" spans="31:31" ht="12.75" customHeight="1" x14ac:dyDescent="0.15">
      <c r="AE14597" s="13"/>
    </row>
    <row r="14598" spans="31:31" ht="12.75" customHeight="1" x14ac:dyDescent="0.15">
      <c r="AE14598" s="13"/>
    </row>
    <row r="14599" spans="31:31" ht="12.75" customHeight="1" x14ac:dyDescent="0.15">
      <c r="AE14599" s="13"/>
    </row>
    <row r="14600" spans="31:31" ht="12.75" customHeight="1" x14ac:dyDescent="0.15">
      <c r="AE14600" s="13"/>
    </row>
    <row r="14601" spans="31:31" ht="12.75" customHeight="1" x14ac:dyDescent="0.15">
      <c r="AE14601" s="13"/>
    </row>
    <row r="14602" spans="31:31" ht="12.75" customHeight="1" x14ac:dyDescent="0.15">
      <c r="AE14602" s="13"/>
    </row>
    <row r="14603" spans="31:31" ht="12.75" customHeight="1" x14ac:dyDescent="0.15">
      <c r="AE14603" s="13"/>
    </row>
    <row r="14604" spans="31:31" ht="12.75" customHeight="1" x14ac:dyDescent="0.15">
      <c r="AE14604" s="13"/>
    </row>
    <row r="14605" spans="31:31" ht="12.75" customHeight="1" x14ac:dyDescent="0.15">
      <c r="AE14605" s="13"/>
    </row>
    <row r="14606" spans="31:31" ht="12.75" customHeight="1" x14ac:dyDescent="0.15">
      <c r="AE14606" s="13"/>
    </row>
    <row r="14607" spans="31:31" ht="12.75" customHeight="1" x14ac:dyDescent="0.15">
      <c r="AE14607" s="13"/>
    </row>
    <row r="14608" spans="31:31" ht="12.75" customHeight="1" x14ac:dyDescent="0.15">
      <c r="AE14608" s="13"/>
    </row>
    <row r="14609" spans="31:31" ht="12.75" customHeight="1" x14ac:dyDescent="0.15">
      <c r="AE14609" s="13"/>
    </row>
    <row r="14610" spans="31:31" ht="12.75" customHeight="1" x14ac:dyDescent="0.15">
      <c r="AE14610" s="13"/>
    </row>
    <row r="14611" spans="31:31" ht="12.75" customHeight="1" x14ac:dyDescent="0.15">
      <c r="AE14611" s="13"/>
    </row>
    <row r="14612" spans="31:31" ht="12.75" customHeight="1" x14ac:dyDescent="0.15">
      <c r="AE14612" s="13"/>
    </row>
    <row r="14613" spans="31:31" ht="12.75" customHeight="1" x14ac:dyDescent="0.15">
      <c r="AE14613" s="13"/>
    </row>
    <row r="14614" spans="31:31" ht="12.75" customHeight="1" x14ac:dyDescent="0.15">
      <c r="AE14614" s="13"/>
    </row>
    <row r="14615" spans="31:31" ht="12.75" customHeight="1" x14ac:dyDescent="0.15">
      <c r="AE14615" s="13"/>
    </row>
    <row r="14616" spans="31:31" ht="12.75" customHeight="1" x14ac:dyDescent="0.15">
      <c r="AE14616" s="13"/>
    </row>
    <row r="14617" spans="31:31" ht="12.75" customHeight="1" x14ac:dyDescent="0.15">
      <c r="AE14617" s="13"/>
    </row>
    <row r="14618" spans="31:31" ht="12.75" customHeight="1" x14ac:dyDescent="0.15">
      <c r="AE14618" s="13"/>
    </row>
    <row r="14619" spans="31:31" ht="12.75" customHeight="1" x14ac:dyDescent="0.15">
      <c r="AE14619" s="13"/>
    </row>
    <row r="14620" spans="31:31" ht="12.75" customHeight="1" x14ac:dyDescent="0.15">
      <c r="AE14620" s="13"/>
    </row>
    <row r="14621" spans="31:31" ht="12.75" customHeight="1" x14ac:dyDescent="0.15">
      <c r="AE14621" s="13"/>
    </row>
    <row r="14622" spans="31:31" ht="12.75" customHeight="1" x14ac:dyDescent="0.15">
      <c r="AE14622" s="13"/>
    </row>
    <row r="14623" spans="31:31" ht="12.75" customHeight="1" x14ac:dyDescent="0.15">
      <c r="AE14623" s="13"/>
    </row>
    <row r="14624" spans="31:31" ht="12.75" customHeight="1" x14ac:dyDescent="0.15">
      <c r="AE14624" s="13"/>
    </row>
    <row r="14625" spans="31:31" ht="12.75" customHeight="1" x14ac:dyDescent="0.15">
      <c r="AE14625" s="13"/>
    </row>
    <row r="14626" spans="31:31" ht="12.75" customHeight="1" x14ac:dyDescent="0.15">
      <c r="AE14626" s="13"/>
    </row>
    <row r="14627" spans="31:31" ht="12.75" customHeight="1" x14ac:dyDescent="0.15">
      <c r="AE14627" s="13"/>
    </row>
    <row r="14628" spans="31:31" ht="12.75" customHeight="1" x14ac:dyDescent="0.15">
      <c r="AE14628" s="13"/>
    </row>
    <row r="14629" spans="31:31" ht="12.75" customHeight="1" x14ac:dyDescent="0.15">
      <c r="AE14629" s="13"/>
    </row>
    <row r="14630" spans="31:31" ht="12.75" customHeight="1" x14ac:dyDescent="0.15">
      <c r="AE14630" s="13"/>
    </row>
    <row r="14631" spans="31:31" ht="12.75" customHeight="1" x14ac:dyDescent="0.15">
      <c r="AE14631" s="13"/>
    </row>
    <row r="14632" spans="31:31" ht="12.75" customHeight="1" x14ac:dyDescent="0.15">
      <c r="AE14632" s="13"/>
    </row>
    <row r="14633" spans="31:31" ht="12.75" customHeight="1" x14ac:dyDescent="0.15">
      <c r="AE14633" s="13"/>
    </row>
    <row r="14634" spans="31:31" ht="12.75" customHeight="1" x14ac:dyDescent="0.15">
      <c r="AE14634" s="13"/>
    </row>
    <row r="14635" spans="31:31" ht="12.75" customHeight="1" x14ac:dyDescent="0.15">
      <c r="AE14635" s="13"/>
    </row>
    <row r="14636" spans="31:31" ht="12.75" customHeight="1" x14ac:dyDescent="0.15">
      <c r="AE14636" s="13"/>
    </row>
    <row r="14637" spans="31:31" ht="12.75" customHeight="1" x14ac:dyDescent="0.15">
      <c r="AE14637" s="13"/>
    </row>
    <row r="14638" spans="31:31" ht="12.75" customHeight="1" x14ac:dyDescent="0.15">
      <c r="AE14638" s="13"/>
    </row>
    <row r="14639" spans="31:31" ht="12.75" customHeight="1" x14ac:dyDescent="0.15">
      <c r="AE14639" s="13"/>
    </row>
    <row r="14640" spans="31:31" ht="12.75" customHeight="1" x14ac:dyDescent="0.15">
      <c r="AE14640" s="13"/>
    </row>
    <row r="14641" spans="31:31" ht="12.75" customHeight="1" x14ac:dyDescent="0.15">
      <c r="AE14641" s="13"/>
    </row>
    <row r="14642" spans="31:31" ht="12.75" customHeight="1" x14ac:dyDescent="0.15">
      <c r="AE14642" s="13"/>
    </row>
    <row r="14643" spans="31:31" ht="12.75" customHeight="1" x14ac:dyDescent="0.15">
      <c r="AE14643" s="13"/>
    </row>
    <row r="14644" spans="31:31" ht="12.75" customHeight="1" x14ac:dyDescent="0.15">
      <c r="AE14644" s="13"/>
    </row>
    <row r="14645" spans="31:31" ht="12.75" customHeight="1" x14ac:dyDescent="0.15">
      <c r="AE14645" s="13"/>
    </row>
    <row r="14646" spans="31:31" ht="12.75" customHeight="1" x14ac:dyDescent="0.15">
      <c r="AE14646" s="13"/>
    </row>
    <row r="14647" spans="31:31" ht="12.75" customHeight="1" x14ac:dyDescent="0.15">
      <c r="AE14647" s="13"/>
    </row>
    <row r="14648" spans="31:31" ht="12.75" customHeight="1" x14ac:dyDescent="0.15">
      <c r="AE14648" s="13"/>
    </row>
    <row r="14649" spans="31:31" ht="12.75" customHeight="1" x14ac:dyDescent="0.15">
      <c r="AE14649" s="13"/>
    </row>
    <row r="14650" spans="31:31" ht="12.75" customHeight="1" x14ac:dyDescent="0.15">
      <c r="AE14650" s="13"/>
    </row>
    <row r="14651" spans="31:31" ht="12.75" customHeight="1" x14ac:dyDescent="0.15">
      <c r="AE14651" s="13"/>
    </row>
    <row r="14652" spans="31:31" ht="12.75" customHeight="1" x14ac:dyDescent="0.15">
      <c r="AE14652" s="13"/>
    </row>
    <row r="14653" spans="31:31" ht="12.75" customHeight="1" x14ac:dyDescent="0.15">
      <c r="AE14653" s="13"/>
    </row>
    <row r="14654" spans="31:31" ht="12.75" customHeight="1" x14ac:dyDescent="0.15">
      <c r="AE14654" s="13"/>
    </row>
    <row r="14655" spans="31:31" ht="12.75" customHeight="1" x14ac:dyDescent="0.15">
      <c r="AE14655" s="13"/>
    </row>
    <row r="14656" spans="31:31" ht="12.75" customHeight="1" x14ac:dyDescent="0.15">
      <c r="AE14656" s="13"/>
    </row>
    <row r="14657" spans="31:31" ht="12.75" customHeight="1" x14ac:dyDescent="0.15">
      <c r="AE14657" s="13"/>
    </row>
    <row r="14658" spans="31:31" ht="12.75" customHeight="1" x14ac:dyDescent="0.15">
      <c r="AE14658" s="13"/>
    </row>
    <row r="14659" spans="31:31" ht="12.75" customHeight="1" x14ac:dyDescent="0.15">
      <c r="AE14659" s="13"/>
    </row>
    <row r="14660" spans="31:31" ht="12.75" customHeight="1" x14ac:dyDescent="0.15">
      <c r="AE14660" s="13"/>
    </row>
    <row r="14661" spans="31:31" ht="12.75" customHeight="1" x14ac:dyDescent="0.15">
      <c r="AE14661" s="13"/>
    </row>
    <row r="14662" spans="31:31" ht="12.75" customHeight="1" x14ac:dyDescent="0.15">
      <c r="AE14662" s="13"/>
    </row>
    <row r="14663" spans="31:31" ht="12.75" customHeight="1" x14ac:dyDescent="0.15">
      <c r="AE14663" s="13"/>
    </row>
    <row r="14664" spans="31:31" ht="12.75" customHeight="1" x14ac:dyDescent="0.15">
      <c r="AE14664" s="13"/>
    </row>
    <row r="14665" spans="31:31" ht="12.75" customHeight="1" x14ac:dyDescent="0.15">
      <c r="AE14665" s="13"/>
    </row>
    <row r="14666" spans="31:31" ht="12.75" customHeight="1" x14ac:dyDescent="0.15">
      <c r="AE14666" s="13"/>
    </row>
    <row r="14667" spans="31:31" ht="12.75" customHeight="1" x14ac:dyDescent="0.15">
      <c r="AE14667" s="13"/>
    </row>
    <row r="14668" spans="31:31" ht="12.75" customHeight="1" x14ac:dyDescent="0.15">
      <c r="AE14668" s="13"/>
    </row>
    <row r="14669" spans="31:31" ht="12.75" customHeight="1" x14ac:dyDescent="0.15">
      <c r="AE14669" s="13"/>
    </row>
    <row r="14670" spans="31:31" ht="12.75" customHeight="1" x14ac:dyDescent="0.15">
      <c r="AE14670" s="13"/>
    </row>
    <row r="14671" spans="31:31" ht="12.75" customHeight="1" x14ac:dyDescent="0.15">
      <c r="AE14671" s="13"/>
    </row>
    <row r="14672" spans="31:31" ht="12.75" customHeight="1" x14ac:dyDescent="0.15">
      <c r="AE14672" s="13"/>
    </row>
    <row r="14673" spans="31:31" ht="12.75" customHeight="1" x14ac:dyDescent="0.15">
      <c r="AE14673" s="13"/>
    </row>
    <row r="14674" spans="31:31" ht="12.75" customHeight="1" x14ac:dyDescent="0.15">
      <c r="AE14674" s="13"/>
    </row>
    <row r="14675" spans="31:31" ht="12.75" customHeight="1" x14ac:dyDescent="0.15">
      <c r="AE14675" s="13"/>
    </row>
    <row r="14676" spans="31:31" ht="12.75" customHeight="1" x14ac:dyDescent="0.15">
      <c r="AE14676" s="13"/>
    </row>
    <row r="14677" spans="31:31" ht="12.75" customHeight="1" x14ac:dyDescent="0.15">
      <c r="AE14677" s="13"/>
    </row>
    <row r="14678" spans="31:31" ht="12.75" customHeight="1" x14ac:dyDescent="0.15">
      <c r="AE14678" s="13"/>
    </row>
    <row r="14679" spans="31:31" ht="12.75" customHeight="1" x14ac:dyDescent="0.15">
      <c r="AE14679" s="13"/>
    </row>
    <row r="14680" spans="31:31" ht="12.75" customHeight="1" x14ac:dyDescent="0.15">
      <c r="AE14680" s="13"/>
    </row>
    <row r="14681" spans="31:31" ht="12.75" customHeight="1" x14ac:dyDescent="0.15">
      <c r="AE14681" s="13"/>
    </row>
    <row r="14682" spans="31:31" ht="12.75" customHeight="1" x14ac:dyDescent="0.15">
      <c r="AE14682" s="13"/>
    </row>
    <row r="14683" spans="31:31" ht="12.75" customHeight="1" x14ac:dyDescent="0.15">
      <c r="AE14683" s="13"/>
    </row>
    <row r="14684" spans="31:31" ht="12.75" customHeight="1" x14ac:dyDescent="0.15">
      <c r="AE14684" s="13"/>
    </row>
    <row r="14685" spans="31:31" ht="12.75" customHeight="1" x14ac:dyDescent="0.15">
      <c r="AE14685" s="13"/>
    </row>
    <row r="14686" spans="31:31" ht="12.75" customHeight="1" x14ac:dyDescent="0.15">
      <c r="AE1468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5" width="8.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5" width="8.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2026-07-03T00:40:04Z</dcterms:modified>
</cp:coreProperties>
</file>
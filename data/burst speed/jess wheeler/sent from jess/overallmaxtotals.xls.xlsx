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<sst xmlns="http://schemas.openxmlformats.org/spreadsheetml/2006/main" count="355" uniqueCount="355">
  <si>
    <t xml:space="preserve">File Name </t>
  </si>
  <si>
    <t>line</t>
  </si>
  <si>
    <t>sex</t>
  </si>
  <si>
    <t>Hz</t>
  </si>
  <si>
    <t>line/sex</t>
  </si>
  <si>
    <t xml:space="preserve">date </t>
  </si>
  <si>
    <t xml:space="preserve">Angle </t>
  </si>
  <si>
    <t>distance (cm)</t>
  </si>
  <si>
    <t>wind(cm/sec)</t>
  </si>
  <si>
    <t>θ</t>
  </si>
  <si>
    <t>h</t>
  </si>
  <si>
    <t>v2</t>
  </si>
  <si>
    <t>v4</t>
  </si>
  <si>
    <t>vector(v5)</t>
  </si>
  <si>
    <t>aa1f07.08.06.09-1</t>
  </si>
  <si>
    <t>aa1f09.08.06.09-1</t>
  </si>
  <si>
    <t>aa1f10.08.12.09-1</t>
  </si>
  <si>
    <t>aa1f11.08.06.09-1</t>
  </si>
  <si>
    <t>aa1f13.08.06.09-1</t>
  </si>
  <si>
    <t>aa1f13.08.06.09-2</t>
  </si>
  <si>
    <t>aa1f13.08.12.09-1</t>
  </si>
  <si>
    <t>aa1f13.08.12.09-2</t>
  </si>
  <si>
    <t>aa1f13.08.12.09-3</t>
  </si>
  <si>
    <t>aa1f15.08.06.09-1</t>
  </si>
  <si>
    <t>aa1f15.08.06.09-2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</si>
  <si>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</si>
  <si>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</si>
  <si>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</si>
  <si>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</si>
  <si>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</si>
  <si>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</si>
  <si>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</si>
  <si>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</si>
  <si>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</si>
  <si>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</si>
  <si>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</si>
  <si>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</si>
  <si>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</si>
  <si>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aa1f19.08.12.09-2</t>
  </si>
  <si>
    <t>aa1f19.08.12.09-3</t>
  </si>
  <si>
    <t>aa1f21.08.06.09-1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</si>
  <si>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</si>
  <si>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</si>
  <si>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</si>
  <si>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</si>
  <si>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</si>
  <si>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</si>
  <si>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aa1f21.08.12.09-1</t>
  </si>
  <si>
    <t>aa1f21.08.12.09-10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</si>
  <si>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</si>
  <si>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</si>
  <si>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</si>
  <si>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</si>
  <si>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</si>
  <si>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</si>
  <si>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</si>
  <si>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</si>
  <si>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</si>
  <si>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</si>
  <si>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</si>
  <si>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</si>
  <si>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</si>
  <si>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</si>
  <si>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aa1m09.08.12.09-1</t>
  </si>
  <si>
    <t>aa1m10.08.12.09-2</t>
  </si>
  <si>
    <t>aa1m13.08.12.09-1</t>
  </si>
  <si>
    <t>aa1m15.08.12.09-3</t>
  </si>
  <si>
    <t>aa1m17.08.06.08-2</t>
  </si>
  <si>
    <t>aa1m17.08.06.09-1</t>
  </si>
  <si>
    <t>aa1m17.08.06.09-3</t>
  </si>
  <si>
    <t>aa1m17.08.06.09-4</t>
  </si>
  <si>
    <t>aa1m17.08.12.09-1</t>
  </si>
  <si>
    <t>aa1m17.08.12.09-2</t>
  </si>
  <si>
    <t>aa1m19.08.06.09-1</t>
  </si>
  <si>
    <t>aa1m19.08.06.09-2</t>
  </si>
  <si>
    <t>aa1m19.08.06.09-3</t>
  </si>
  <si>
    <t>aa1m19.08.06.09-4</t>
  </si>
  <si>
    <t>aa1m19.08.12.09-1</t>
  </si>
  <si>
    <t>aa1m19.08.12.09-3</t>
  </si>
  <si>
    <t>aa1m19.08.12.09-4</t>
  </si>
  <si>
    <t>aa1m19.08.12.09-5</t>
  </si>
  <si>
    <t>aa1m19.08.12.09-6</t>
  </si>
  <si>
    <t>aa1m19.08.12.09-7</t>
  </si>
  <si>
    <t>aa1m19.08.12.09-8</t>
  </si>
  <si>
    <t>aa1m21.08.06.09-1</t>
  </si>
  <si>
    <t>aa1m21.08.06.09-2</t>
  </si>
  <si>
    <t>aa1m21.08.12.09-1</t>
  </si>
  <si>
    <t>aa1m21.08.12.09-2</t>
  </si>
  <si>
    <t>aa1m21.08.12.09-3</t>
  </si>
  <si>
    <t>aa1m21.08.12.09-4</t>
  </si>
  <si>
    <t>aa1m23.08.0.609-2</t>
  </si>
  <si>
    <t>aa1m23.08.06.09-1</t>
  </si>
  <si>
    <t>aa1m23.08.06.09-3</t>
  </si>
  <si>
    <t>aa1m23.08.12.08-4</t>
  </si>
  <si>
    <t>aa1m23.08.12.09-1</t>
  </si>
  <si>
    <t>aa1m23.08.12.09-2</t>
  </si>
  <si>
    <t>aa1m23.08.12.09-3</t>
  </si>
  <si>
    <t>aa1m23.08.12.09-5</t>
  </si>
  <si>
    <t>aa1m23.08.12.09-6</t>
  </si>
  <si>
    <t>aa1m23.08.12.09-7</t>
  </si>
  <si>
    <t>aa1m23.08.12.09-8</t>
  </si>
  <si>
    <t>aa1m25.08.12.08-1</t>
  </si>
  <si>
    <t>aa2f11.08.06.09-1</t>
  </si>
  <si>
    <t>aa2f13.08.06.09-1</t>
  </si>
  <si>
    <t>aa2f15.08.12.09-1</t>
  </si>
  <si>
    <t>aa2f15.08.12.09-2</t>
  </si>
  <si>
    <t>aa2f15.08.12.09-3</t>
  </si>
  <si>
    <t>aa2f17.08.06.09-2</t>
  </si>
  <si>
    <t>aa2f17.08.06.09-3</t>
  </si>
  <si>
    <t>aa2f17.08.0609-1</t>
  </si>
  <si>
    <t>aa2f17.08.12.09-1</t>
  </si>
  <si>
    <t>aa2f17.08.12.09-2</t>
  </si>
  <si>
    <t>aa2f17.08.12.09-4</t>
  </si>
  <si>
    <t>aa2f19.08.06.09-1</t>
  </si>
  <si>
    <t>aa2f19.08.06.09-2</t>
  </si>
  <si>
    <t>aa2f19.08.06.09-3</t>
  </si>
  <si>
    <t>aa2f19.08.12.09-1</t>
  </si>
  <si>
    <t>aa2f19.08.12.09-2</t>
  </si>
  <si>
    <t>aa2f19.08.12.09-3</t>
  </si>
  <si>
    <t>aa2f19.08.12.09-4</t>
  </si>
  <si>
    <t>aa2f19.08.12.09-5</t>
  </si>
  <si>
    <t>aa2f21.08.06.09-1</t>
  </si>
  <si>
    <t>aa2f21.08.06.09-2</t>
  </si>
  <si>
    <t>aa2f21.08.12.09-1</t>
  </si>
  <si>
    <t>aa2f21.08.12.09-2</t>
  </si>
  <si>
    <t>aa2f23.08.06.09-1</t>
  </si>
  <si>
    <t>aa2f23.08.06.09-2</t>
  </si>
  <si>
    <t>aa2f23.08.12.09-1</t>
  </si>
  <si>
    <t>aa2f23.08.12.09-2</t>
  </si>
  <si>
    <t>aa2f23.08.12.09-3</t>
  </si>
  <si>
    <t>aa2f27.08.12.09-1</t>
  </si>
  <si>
    <t>aa2m05.08.12.09-1</t>
  </si>
  <si>
    <t>aa2m11.08.12.09-2</t>
  </si>
  <si>
    <t>aa2m13.08.12.09-3</t>
  </si>
  <si>
    <t>aa2m13.08.12.09-4</t>
  </si>
  <si>
    <t>aa2m15.08.12.09-1</t>
  </si>
  <si>
    <t>aa2m17.08.12.08-1</t>
  </si>
  <si>
    <t>aa2m17.08.12.09-2</t>
  </si>
  <si>
    <t>aa2m17.08.12.09-3</t>
  </si>
  <si>
    <t>aa2m17.08.12.09-4</t>
  </si>
  <si>
    <t>aa2m17.08.12.09-5</t>
  </si>
  <si>
    <t>aa2m21.08.12.09-1</t>
  </si>
  <si>
    <t>aa2m21.08.12.09-2</t>
  </si>
  <si>
    <t>aa2m21.08.12.09-4</t>
  </si>
  <si>
    <t>aa2m21.08.12.09-5</t>
  </si>
  <si>
    <t>cn1f03.08.12.09-1</t>
  </si>
  <si>
    <t>cn1f03.08.12.09-2</t>
  </si>
  <si>
    <t>cn1f03.08.12.09-3</t>
  </si>
  <si>
    <t>cn1f05.08.06.09-7</t>
  </si>
  <si>
    <t>cn1f05.08.12.09-1</t>
  </si>
  <si>
    <t>cn1f05.08.12.09-2</t>
  </si>
  <si>
    <t>cn1f05.08.12.09-3</t>
  </si>
  <si>
    <t>cn1f05.08.12.09-4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</si>
  <si>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</si>
  <si>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</si>
  <si>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</si>
  <si>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</si>
  <si>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</si>
  <si>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</si>
  <si>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cn1f07.08.12.09-1</t>
  </si>
  <si>
    <t>cn1f07.08.12.09-2</t>
  </si>
  <si>
    <t>cn1f09.08.06.09-1</t>
  </si>
  <si>
    <t>cn1f09.08.12.09-1</t>
  </si>
  <si>
    <t>cn1f11.08.12.09-1</t>
  </si>
  <si>
    <t>cn1f13.08.12.09-1</t>
  </si>
  <si>
    <t>cn1m03.08.12.09-1</t>
  </si>
  <si>
    <t>cn1m05.08.12.09-1</t>
  </si>
  <si>
    <t>cn1m05.08.12.09-2</t>
  </si>
  <si>
    <t>cn1m05.08.12.09-3</t>
  </si>
  <si>
    <t>cn1m05.08.12.09-4</t>
  </si>
  <si>
    <t>cn1m05.08.12.09-5</t>
  </si>
  <si>
    <t>cn1m07.08.12.09-1</t>
  </si>
  <si>
    <t>cn1m07.08.12.09-2</t>
  </si>
  <si>
    <t>cn1m07.08.12.09-3</t>
  </si>
  <si>
    <t>cn1m07.08.12.09-4</t>
  </si>
  <si>
    <t>cn1m09.08.12.09-1</t>
  </si>
  <si>
    <t>cn1m09.08.12.09-2</t>
  </si>
  <si>
    <t>cn1m09.08.12.09-3</t>
  </si>
  <si>
    <t>cn1m09.08.12.09-4</t>
  </si>
  <si>
    <t>cn1m09.08.12.09-5</t>
  </si>
  <si>
    <t>cn1m09.08.12.09-6</t>
  </si>
  <si>
    <t>cn1m11.08.06.09-1</t>
  </si>
  <si>
    <t>cn1m11.08.06.09-2</t>
  </si>
  <si>
    <t>cn1m11.08.06.09-3</t>
  </si>
  <si>
    <t>cn1m11.08.12.09-1</t>
  </si>
  <si>
    <t>cn1m11.08.12.09-2</t>
  </si>
  <si>
    <t>cn1m13.08.12.09-1</t>
  </si>
  <si>
    <t>cn2f07.08.06.09-1</t>
  </si>
  <si>
    <t>cn2f07.08.12.09-2</t>
  </si>
  <si>
    <t>cn2f07.08.12.09-3</t>
  </si>
  <si>
    <t>cn2f07.08.12.09-4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</si>
  <si>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</si>
  <si>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</si>
  <si>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</si>
  <si>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</si>
  <si>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</si>
  <si>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</si>
  <si>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cn2f11.08.06.09-1</t>
  </si>
  <si>
    <t>cn2f11.08.12.09-1</t>
  </si>
  <si>
    <t>cn2f11.08.12.09-2</t>
  </si>
  <si>
    <t>cn2f11.08.12.09-3</t>
  </si>
  <si>
    <t>cn2f13.08.06.09-1</t>
  </si>
  <si>
    <t>cn2f13.08.06.09-2</t>
  </si>
  <si>
    <t>cn2f13.08.06.09-3</t>
  </si>
  <si>
    <t>cn2f13.08.12.09-1</t>
  </si>
  <si>
    <t>cn2f13.08.12.09-2</t>
  </si>
  <si>
    <t>cn2f13.08.12.09-3</t>
  </si>
  <si>
    <t>cn2f15.08.06.09-1</t>
  </si>
  <si>
    <t>cn2f15.08.06.09-2</t>
  </si>
  <si>
    <t>cn2f15.08.1.209-2</t>
  </si>
  <si>
    <t>cn2f15.08.12.09-1</t>
  </si>
  <si>
    <t>cn2f15.08.12.09-3</t>
  </si>
  <si>
    <t>cn2f17.08.06.09-1</t>
  </si>
  <si>
    <t>cn2f17.08.12.09-2</t>
  </si>
  <si>
    <t>cn2f17.08.12.09-3</t>
  </si>
  <si>
    <t>cn2m03.08.06.09-1</t>
  </si>
  <si>
    <t>cn2m03.08.06.09-2</t>
  </si>
  <si>
    <t>cn2m03.08.12.09-1</t>
  </si>
  <si>
    <t>cn2m03.08.12.09-2</t>
  </si>
  <si>
    <t>cn2m03.08.12.09-3</t>
  </si>
  <si>
    <t>cn2m03.08.12.09-4</t>
  </si>
  <si>
    <t>cn2m05.08.06.09-1</t>
  </si>
  <si>
    <t>cn2m05.08.12.09-1</t>
  </si>
  <si>
    <t>cn2m05.08.12.09-2</t>
  </si>
  <si>
    <t>cn2m05.08.12.09-3</t>
  </si>
  <si>
    <t>cn2m05.08.12.09-4</t>
  </si>
  <si>
    <t>cn2m07.08.06.09-1</t>
  </si>
  <si>
    <t>cn2m07.08.06.09-2</t>
  </si>
  <si>
    <t>cn2m07.08.06.09-3</t>
  </si>
  <si>
    <t>cn2m07.08.06.09-4</t>
  </si>
  <si>
    <t>cn2m07.08.12.09-1</t>
  </si>
  <si>
    <t>cn2m07.08.12.09-2</t>
  </si>
  <si>
    <t>cn2m09.08.12.09-1</t>
  </si>
  <si>
    <t>cn2m09.08.12.09-3</t>
  </si>
  <si>
    <t>cn2m09.08.12.09-4</t>
  </si>
  <si>
    <t>cn2m11.08.12.09-1</t>
  </si>
  <si>
    <t>cn2m11.08.12.09-2</t>
  </si>
  <si>
    <t>cn2m11.08.12.09-3</t>
  </si>
  <si>
    <t>cn2m11.08.12.09-4</t>
  </si>
  <si>
    <t>cn2m11.08.12.09-5</t>
  </si>
  <si>
    <t>cn2m13.08.12.09-1</t>
  </si>
  <si>
    <t>cn2m15.08.12.09-1</t>
  </si>
  <si>
    <t>k45f03.08.06.09-1</t>
  </si>
  <si>
    <t>k45f03.08.06.09-2</t>
  </si>
  <si>
    <t>k45f05.08.06.09-1</t>
  </si>
  <si>
    <t>k45f05.08.06.09-2</t>
  </si>
  <si>
    <t>k45f05.08.06.09-3</t>
  </si>
  <si>
    <t>k45f05.08.12.09-1</t>
  </si>
  <si>
    <t>k45f09.08.06.09-1</t>
  </si>
  <si>
    <t>k45f11.08.06.09-1</t>
  </si>
  <si>
    <t>k45f11.08.12.09-2</t>
  </si>
  <si>
    <t>k45f11.08.12.09-3</t>
  </si>
  <si>
    <t>k45f11.08.12.09-4</t>
  </si>
  <si>
    <t>k45f13.08.06.09-1</t>
  </si>
  <si>
    <t>k45f13.08.06.09-2</t>
  </si>
  <si>
    <t>k45f13.08.12.09-1</t>
  </si>
  <si>
    <t>k45f13.08.12.09-2</t>
  </si>
  <si>
    <t>k45f13.08.12.09-3</t>
  </si>
  <si>
    <t>k45f13.08.12.09-4</t>
  </si>
  <si>
    <t>k45f13.08.12.09-5</t>
  </si>
  <si>
    <t>k45f15.08.06.09-1</t>
  </si>
  <si>
    <t>k45f15.08.12.09-1</t>
  </si>
  <si>
    <t>k45f17.08.12.09-2</t>
  </si>
  <si>
    <t>k45f17.08.12.09-3</t>
  </si>
  <si>
    <t>k45f17.08.12.09-4</t>
  </si>
  <si>
    <t>k45f19.08.06.09-1</t>
  </si>
  <si>
    <t>k45f21.08.12.09-1</t>
  </si>
  <si>
    <t>k45f21.08.12.09-2</t>
  </si>
  <si>
    <t>k45f25.08.06.09-1</t>
  </si>
  <si>
    <t>k45m03.08.06.09-1</t>
  </si>
  <si>
    <t>k45m03.08.06.09-2</t>
  </si>
  <si>
    <t>k45m03.08.06.09-3</t>
  </si>
  <si>
    <t>k45m03.08.06.09-4</t>
  </si>
  <si>
    <t>k45m05.08.06.09-1</t>
  </si>
  <si>
    <t>k45m05.08.06.09-2</t>
  </si>
  <si>
    <t>k45m07.08.06.09-1</t>
  </si>
  <si>
    <t>k45m07.08.06.09-2</t>
  </si>
  <si>
    <t>k45m07.08.06.09-3</t>
  </si>
  <si>
    <t>k45m07.08.06.09-4</t>
  </si>
  <si>
    <t>k45m09.08.12.09-1</t>
  </si>
  <si>
    <t>k45m11.08.06.09-1</t>
  </si>
  <si>
    <t>k45m11.08.06.09-2</t>
  </si>
  <si>
    <t>k45m11.08.06.09-3</t>
  </si>
  <si>
    <t>k45m11.08.06.09-4</t>
  </si>
  <si>
    <t>k45m11.08.12.09-1</t>
  </si>
  <si>
    <t>k45m11.08.12.09-2</t>
  </si>
  <si>
    <t>k45m11.08.12.09-3</t>
  </si>
  <si>
    <t>k45m11.08.12.09-4</t>
  </si>
  <si>
    <t>k45m13.08.06.09-1</t>
  </si>
  <si>
    <t>k45m13.08.06.09-2</t>
  </si>
  <si>
    <t>k45m13.08.12.09-1</t>
  </si>
  <si>
    <t>k45m13.08.12.09-2</t>
  </si>
  <si>
    <t>k45m15.08.12.08-3</t>
  </si>
  <si>
    <t>k45m15.08.12.09-1</t>
  </si>
  <si>
    <t>k45m15.08.12.09-2</t>
  </si>
  <si>
    <t>k45m17.08.12.09-1</t>
  </si>
  <si>
    <t>k45m17.08.12.09-2</t>
  </si>
  <si>
    <t>n60f03.08.12.09-2</t>
  </si>
  <si>
    <t>n60f05.08.12.09-1</t>
  </si>
  <si>
    <t>n60f07.08.12.09-1</t>
  </si>
  <si>
    <t>n60f09.08.06.09-1</t>
  </si>
  <si>
    <t>n60f11.08.06.09-1</t>
  </si>
  <si>
    <t>n60f11.08.12.09-2</t>
  </si>
  <si>
    <t>n60f13.08.06.09-1</t>
  </si>
  <si>
    <t>n60f13.08.06.09-2</t>
  </si>
  <si>
    <t>n60f13.08.06.09-3</t>
  </si>
  <si>
    <t>n60f13.08.06.09-4</t>
  </si>
  <si>
    <t>n60f13.08.12.09-1</t>
  </si>
  <si>
    <t>n60f15.08.06.09-1</t>
  </si>
  <si>
    <t>n60f15.08.06.09-2</t>
  </si>
  <si>
    <t>n60f15.08.06.09-3</t>
  </si>
  <si>
    <t>n60f15.08.06.09-4</t>
  </si>
  <si>
    <t>n60f15.08.12.09-1</t>
  </si>
  <si>
    <t>n60f15.08.12.09-2</t>
  </si>
  <si>
    <t>n60f15.08.12.09-3</t>
  </si>
  <si>
    <t>n60f15.08.12.09-4</t>
  </si>
  <si>
    <t>n60f15.08.12.09-5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</si>
  <si>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</si>
  <si>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</si>
  <si>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</si>
  <si>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</si>
  <si>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</si>
  <si>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</si>
  <si>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n60f17.08.12.09-1</t>
  </si>
  <si>
    <t>n60f19.08.06.09-1</t>
  </si>
  <si>
    <t>n60f19.08.12.09-1</t>
  </si>
  <si>
    <t>n60f19.08.12.09-2</t>
  </si>
  <si>
    <t>n60m03.08.06.09-1</t>
  </si>
  <si>
    <t>n60m03.08.06.09-2</t>
  </si>
  <si>
    <t>n60m07.08.06.09-1</t>
  </si>
  <si>
    <t>n60m07.08.12.09-1</t>
  </si>
  <si>
    <t>n60m09.08.06.09-1</t>
  </si>
  <si>
    <t>n60m09.08.12.09-1</t>
  </si>
  <si>
    <t>n60m09.08.12.09-2</t>
  </si>
  <si>
    <t>n60m09.08.12.09-3</t>
  </si>
  <si>
    <t>n60m11.08.06.09-1</t>
  </si>
  <si>
    <t>n60m11.08.06.09-2</t>
  </si>
  <si>
    <t>n60m11.08.06.09-3</t>
  </si>
  <si>
    <t>n60m11.08.06.09-4</t>
  </si>
  <si>
    <t>n60m11.08.12.09-1</t>
  </si>
  <si>
    <t>n60m13.08.06.09-1</t>
  </si>
  <si>
    <t>n60m13.08.12.09-1</t>
  </si>
  <si>
    <t>n60m15.08.06.09-1</t>
  </si>
  <si>
    <t>n60m15.08.12.09-1</t>
  </si>
  <si>
    <t>n60m15.08.12.09-2</t>
  </si>
  <si>
    <t>n60m17.08.06.09-1</t>
  </si>
  <si>
    <t>n60m17.08.06.09-2</t>
  </si>
  <si>
    <t>n60m17.08.06.09-3</t>
  </si>
  <si>
    <t>n60m17.08.06.09-4</t>
  </si>
  <si>
    <t>n60m17.08.06.09-5</t>
  </si>
  <si>
    <t>n60m17.08.12.08-2</t>
  </si>
  <si>
    <t>n60m17.08.12.09-1</t>
  </si>
  <si>
    <t>n60m17.08.12.09-2</t>
  </si>
  <si>
    <t>n60m19.08.12.09-1</t>
  </si>
  <si>
    <t>n60m19.08.12.09-2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</si>
</sst>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25"/>
    <col customWidth="1" min="2" max="2" width="2.88"/>
    <col customWidth="1" min="3" max="3" width="3.88"/>
    <col customWidth="1" min="4" max="4" width="2.88"/>
    <col customWidth="1" min="5" max="5" width="6.75"/>
    <col customWidth="1" min="6" max="6" width="8.63"/>
    <col customWidth="1" min="7" max="7" width="9.75"/>
    <col customWidth="1" min="8" max="8" width="7.63"/>
    <col customWidth="1" min="9" max="9" width="9.13"/>
    <col customWidth="1" min="10" max="13" width="7.63"/>
    <col customWidth="1" min="14" max="14" width="15.75"/>
    <col customWidth="1" min="15" max="15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tr">
        <f t="shared" ref="B2:B342" si="1">MID(A2,1,3)</f>
        <v>aa1</v>
      </c>
      <c r="C2" s="2" t="str">
        <f t="shared" ref="C2:C342" si="2">MID(A2,4,1)</f>
        <v>f</v>
      </c>
      <c r="D2" s="2" t="str">
        <f t="shared" ref="D2:D342" si="3">MID(A2,5,2)</f>
        <v>07</v>
      </c>
      <c r="E2" s="2" t="str">
        <f t="shared" ref="E2:E342" si="4">MID(A2,1,4)</f>
        <v>aa1f</v>
      </c>
      <c r="F2" s="2" t="str">
        <f t="shared" ref="F2:F342" si="5">MID(A2,8,8)</f>
        <v>08.06.09</v>
      </c>
      <c r="G2" s="1">
        <v>83.66</v>
      </c>
      <c r="H2" s="1">
        <v>1.94</v>
      </c>
      <c r="I2" s="2">
        <f t="shared" ref="I2:I342" si="6">D2*7.520413-27.34662</f>
        <v>25.296271</v>
      </c>
      <c r="J2" s="2">
        <f t="shared" ref="J2:J342" si="7">180-(ABS(G2))</f>
        <v>96.34</v>
      </c>
      <c r="K2" s="2">
        <f t="shared" ref="K2:K342" si="8">ABS(H2*(SIN(J2)))</f>
        <v>1.682194778</v>
      </c>
      <c r="L2" s="2">
        <f t="shared" ref="L2:L342" si="9">ABS(H2*(COS(J2)))</f>
        <v>0.966344002</v>
      </c>
      <c r="M2" s="2">
        <f t="shared" ref="M2:M342" si="10">I2+L2</f>
        <v>26.262615</v>
      </c>
      <c r="N2" s="2">
        <f t="shared" ref="N2:N342" si="11">SQRT((M2^2)+(K2^2))</f>
        <v>26.31643452</v>
      </c>
    </row>
    <row r="3">
      <c r="A3" s="1" t="s">
        <v>15</v>
      </c>
      <c r="B3" s="2" t="str">
        <f t="shared" si="1"/>
        <v>aa1</v>
      </c>
      <c r="C3" s="2" t="str">
        <f t="shared" si="2"/>
        <v>f</v>
      </c>
      <c r="D3" s="2" t="str">
        <f t="shared" si="3"/>
        <v>09</v>
      </c>
      <c r="E3" s="2" t="str">
        <f t="shared" si="4"/>
        <v>aa1f</v>
      </c>
      <c r="F3" s="2" t="str">
        <f t="shared" si="5"/>
        <v>08.06.09</v>
      </c>
      <c r="G3" s="1">
        <v>127.694</v>
      </c>
      <c r="H3" s="1">
        <v>1.986</v>
      </c>
      <c r="I3" s="2">
        <f t="shared" si="6"/>
        <v>40.337097</v>
      </c>
      <c r="J3" s="2">
        <f t="shared" si="7"/>
        <v>52.306</v>
      </c>
      <c r="K3" s="2">
        <f t="shared" si="8"/>
        <v>1.770905299</v>
      </c>
      <c r="L3" s="2">
        <f t="shared" si="9"/>
        <v>0.8989384972</v>
      </c>
      <c r="M3" s="2">
        <f t="shared" si="10"/>
        <v>41.2360355</v>
      </c>
      <c r="N3" s="2">
        <f t="shared" si="11"/>
        <v>41.27404425</v>
      </c>
    </row>
    <row r="4">
      <c r="A4" s="1" t="s">
        <v>16</v>
      </c>
      <c r="B4" s="2" t="str">
        <f t="shared" si="1"/>
        <v>aa1</v>
      </c>
      <c r="C4" s="2" t="str">
        <f t="shared" si="2"/>
        <v>f</v>
      </c>
      <c r="D4" s="2" t="str">
        <f t="shared" si="3"/>
        <v>10</v>
      </c>
      <c r="E4" s="2" t="str">
        <f t="shared" si="4"/>
        <v>aa1f</v>
      </c>
      <c r="F4" s="2" t="str">
        <f t="shared" si="5"/>
        <v>08.12.09</v>
      </c>
      <c r="G4" s="1">
        <v>173.797</v>
      </c>
      <c r="H4" s="1">
        <v>1.713</v>
      </c>
      <c r="I4" s="2">
        <f t="shared" si="6"/>
        <v>47.85751</v>
      </c>
      <c r="J4" s="2">
        <f t="shared" si="7"/>
        <v>6.203</v>
      </c>
      <c r="K4" s="2">
        <f t="shared" si="8"/>
        <v>0.1372102844</v>
      </c>
      <c r="L4" s="2">
        <f t="shared" si="9"/>
        <v>1.707495926</v>
      </c>
      <c r="M4" s="2">
        <f t="shared" si="10"/>
        <v>49.56500593</v>
      </c>
      <c r="N4" s="2">
        <f t="shared" si="11"/>
        <v>49.56519584</v>
      </c>
    </row>
    <row r="5">
      <c r="A5" s="1" t="s">
        <v>17</v>
      </c>
      <c r="B5" s="2" t="str">
        <f t="shared" si="1"/>
        <v>aa1</v>
      </c>
      <c r="C5" s="2" t="str">
        <f t="shared" si="2"/>
        <v>f</v>
      </c>
      <c r="D5" s="2" t="str">
        <f t="shared" si="3"/>
        <v>11</v>
      </c>
      <c r="E5" s="2" t="str">
        <f t="shared" si="4"/>
        <v>aa1f</v>
      </c>
      <c r="F5" s="2" t="str">
        <f t="shared" si="5"/>
        <v>08.06.09</v>
      </c>
      <c r="G5" s="1">
        <v>169.695</v>
      </c>
      <c r="H5" s="1">
        <v>1.562</v>
      </c>
      <c r="I5" s="2">
        <f t="shared" si="6"/>
        <v>55.377923</v>
      </c>
      <c r="J5" s="2">
        <f t="shared" si="7"/>
        <v>10.305</v>
      </c>
      <c r="K5" s="2">
        <f t="shared" si="8"/>
        <v>1.204115079</v>
      </c>
      <c r="L5" s="2">
        <f t="shared" si="9"/>
        <v>0.994962751</v>
      </c>
      <c r="M5" s="2">
        <f t="shared" si="10"/>
        <v>56.37288575</v>
      </c>
      <c r="N5" s="2">
        <f t="shared" si="11"/>
        <v>56.38574413</v>
      </c>
    </row>
    <row r="6">
      <c r="A6" s="1" t="s">
        <v>18</v>
      </c>
      <c r="B6" s="2" t="str">
        <f t="shared" si="1"/>
        <v>aa1</v>
      </c>
      <c r="C6" s="2" t="str">
        <f t="shared" si="2"/>
        <v>f</v>
      </c>
      <c r="D6" s="2" t="str">
        <f t="shared" si="3"/>
        <v>13</v>
      </c>
      <c r="E6" s="2" t="str">
        <f t="shared" si="4"/>
        <v>aa1f</v>
      </c>
      <c r="F6" s="2" t="str">
        <f t="shared" si="5"/>
        <v>08.06.09</v>
      </c>
      <c r="G6" s="1">
        <v>-172.405</v>
      </c>
      <c r="H6" s="1">
        <v>3.266</v>
      </c>
      <c r="I6" s="2">
        <f t="shared" si="6"/>
        <v>70.418749</v>
      </c>
      <c r="J6" s="2">
        <f t="shared" si="7"/>
        <v>7.595</v>
      </c>
      <c r="K6" s="2">
        <f t="shared" si="8"/>
        <v>3.157083077</v>
      </c>
      <c r="L6" s="2">
        <f t="shared" si="9"/>
        <v>0.8364104506</v>
      </c>
      <c r="M6" s="2">
        <f t="shared" si="10"/>
        <v>71.25515945</v>
      </c>
      <c r="N6" s="2">
        <f t="shared" si="11"/>
        <v>71.32506517</v>
      </c>
    </row>
    <row r="7">
      <c r="A7" s="1" t="s">
        <v>19</v>
      </c>
      <c r="B7" s="2" t="str">
        <f t="shared" si="1"/>
        <v>aa1</v>
      </c>
      <c r="C7" s="2" t="str">
        <f t="shared" si="2"/>
        <v>f</v>
      </c>
      <c r="D7" s="2" t="str">
        <f t="shared" si="3"/>
        <v>13</v>
      </c>
      <c r="E7" s="2" t="str">
        <f t="shared" si="4"/>
        <v>aa1f</v>
      </c>
      <c r="F7" s="2" t="str">
        <f t="shared" si="5"/>
        <v>08.06.09</v>
      </c>
      <c r="G7" s="1">
        <v>-174.806</v>
      </c>
      <c r="H7" s="1">
        <v>2.367</v>
      </c>
      <c r="I7" s="2">
        <f t="shared" si="6"/>
        <v>70.418749</v>
      </c>
      <c r="J7" s="2">
        <f t="shared" si="7"/>
        <v>5.194</v>
      </c>
      <c r="K7" s="2">
        <f t="shared" si="8"/>
        <v>2.097753364</v>
      </c>
      <c r="L7" s="2">
        <f t="shared" si="9"/>
        <v>1.096412252</v>
      </c>
      <c r="M7" s="2">
        <f t="shared" si="10"/>
        <v>71.51516125</v>
      </c>
      <c r="N7" s="2">
        <f t="shared" si="11"/>
        <v>71.54592132</v>
      </c>
    </row>
    <row r="8">
      <c r="A8" s="1" t="s">
        <v>20</v>
      </c>
      <c r="B8" s="2" t="str">
        <f t="shared" si="1"/>
        <v>aa1</v>
      </c>
      <c r="C8" s="2" t="str">
        <f t="shared" si="2"/>
        <v>f</v>
      </c>
      <c r="D8" s="2" t="str">
        <f t="shared" si="3"/>
        <v>13</v>
      </c>
      <c r="E8" s="2" t="str">
        <f t="shared" si="4"/>
        <v>aa1f</v>
      </c>
      <c r="F8" s="2" t="str">
        <f t="shared" si="5"/>
        <v>08.12.09</v>
      </c>
      <c r="G8" s="1">
        <v>119.31</v>
      </c>
      <c r="H8" s="1">
        <v>2.397</v>
      </c>
      <c r="I8" s="2">
        <f t="shared" si="6"/>
        <v>70.418749</v>
      </c>
      <c r="J8" s="2">
        <f t="shared" si="7"/>
        <v>60.69</v>
      </c>
      <c r="K8" s="2">
        <f t="shared" si="8"/>
        <v>2.016668613</v>
      </c>
      <c r="L8" s="2">
        <f t="shared" si="9"/>
        <v>1.295629848</v>
      </c>
      <c r="M8" s="2">
        <f t="shared" si="10"/>
        <v>71.71437885</v>
      </c>
      <c r="N8" s="2">
        <f t="shared" si="11"/>
        <v>71.74272845</v>
      </c>
    </row>
    <row r="9">
      <c r="A9" s="1" t="s">
        <v>21</v>
      </c>
      <c r="B9" s="2" t="str">
        <f t="shared" si="1"/>
        <v>aa1</v>
      </c>
      <c r="C9" s="2" t="str">
        <f t="shared" si="2"/>
        <v>f</v>
      </c>
      <c r="D9" s="2" t="str">
        <f t="shared" si="3"/>
        <v>13</v>
      </c>
      <c r="E9" s="2" t="str">
        <f t="shared" si="4"/>
        <v>aa1f</v>
      </c>
      <c r="F9" s="2" t="str">
        <f t="shared" si="5"/>
        <v>08.12.09</v>
      </c>
      <c r="G9" s="1">
        <v>-119.745</v>
      </c>
      <c r="H9" s="1">
        <v>0.589</v>
      </c>
      <c r="I9" s="2">
        <f t="shared" si="6"/>
        <v>70.418749</v>
      </c>
      <c r="J9" s="2">
        <f t="shared" si="7"/>
        <v>60.255</v>
      </c>
      <c r="K9" s="2">
        <f t="shared" si="8"/>
        <v>0.3152303566</v>
      </c>
      <c r="L9" s="2">
        <f t="shared" si="9"/>
        <v>0.4975447942</v>
      </c>
      <c r="M9" s="2">
        <f t="shared" si="10"/>
        <v>70.91629379</v>
      </c>
      <c r="N9" s="2">
        <f t="shared" si="11"/>
        <v>70.91699441</v>
      </c>
    </row>
    <row r="10">
      <c r="A10" s="1" t="s">
        <v>22</v>
      </c>
      <c r="B10" s="2" t="str">
        <f t="shared" si="1"/>
        <v>aa1</v>
      </c>
      <c r="C10" s="2" t="str">
        <f t="shared" si="2"/>
        <v>f</v>
      </c>
      <c r="D10" s="2" t="str">
        <f t="shared" si="3"/>
        <v>13</v>
      </c>
      <c r="E10" s="2" t="str">
        <f t="shared" si="4"/>
        <v>aa1f</v>
      </c>
      <c r="F10" s="2" t="str">
        <f t="shared" si="5"/>
        <v>08.12.09</v>
      </c>
      <c r="G10" s="1">
        <v>165.069</v>
      </c>
      <c r="H10" s="1">
        <v>0.584</v>
      </c>
      <c r="I10" s="2">
        <f t="shared" si="6"/>
        <v>70.418749</v>
      </c>
      <c r="J10" s="2">
        <f t="shared" si="7"/>
        <v>14.931</v>
      </c>
      <c r="K10" s="2">
        <f t="shared" si="8"/>
        <v>0.4094525183</v>
      </c>
      <c r="L10" s="2">
        <f t="shared" si="9"/>
        <v>0.4164188219</v>
      </c>
      <c r="M10" s="2">
        <f t="shared" si="10"/>
        <v>70.83516782</v>
      </c>
      <c r="N10" s="2">
        <f t="shared" si="11"/>
        <v>70.8363512</v>
      </c>
    </row>
    <row r="11">
      <c r="A11" s="1" t="s">
        <v>23</v>
      </c>
      <c r="B11" s="2" t="str">
        <f t="shared" si="1"/>
        <v>aa1</v>
      </c>
      <c r="C11" s="2" t="str">
        <f t="shared" si="2"/>
        <v>f</v>
      </c>
      <c r="D11" s="2" t="str">
        <f t="shared" si="3"/>
        <v>15</v>
      </c>
      <c r="E11" s="2" t="str">
        <f t="shared" si="4"/>
        <v>aa1f</v>
      </c>
      <c r="F11" s="2" t="str">
        <f t="shared" si="5"/>
        <v>08.06.09</v>
      </c>
      <c r="G11" s="1">
        <v>-138.991</v>
      </c>
      <c r="H11" s="1">
        <v>2.177</v>
      </c>
      <c r="I11" s="2">
        <f t="shared" si="6"/>
        <v>85.459575</v>
      </c>
      <c r="J11" s="2">
        <f t="shared" si="7"/>
        <v>41.009</v>
      </c>
      <c r="K11" s="2">
        <f t="shared" si="8"/>
        <v>0.3646522419</v>
      </c>
      <c r="L11" s="2">
        <f t="shared" si="9"/>
        <v>2.146242704</v>
      </c>
      <c r="M11" s="2">
        <f t="shared" si="10"/>
        <v>87.6058177</v>
      </c>
      <c r="N11" s="2">
        <f t="shared" si="11"/>
        <v>87.60657662</v>
      </c>
    </row>
    <row r="12">
      <c r="A12" s="1" t="s">
        <v>24</v>
      </c>
      <c r="B12" s="2" t="str">
        <f t="shared" si="1"/>
        <v>aa1</v>
      </c>
      <c r="C12" s="2" t="str">
        <f t="shared" si="2"/>
        <v>f</v>
      </c>
      <c r="D12" s="2" t="str">
        <f t="shared" si="3"/>
        <v>15</v>
      </c>
      <c r="E12" s="2" t="str">
        <f t="shared" si="4"/>
        <v>aa1f</v>
      </c>
      <c r="F12" s="2" t="str">
        <f t="shared" si="5"/>
        <v>08.06.09</v>
      </c>
      <c r="G12" s="1">
        <v>167.005</v>
      </c>
      <c r="H12" s="1">
        <v>1.906</v>
      </c>
      <c r="I12" s="2">
        <f t="shared" si="6"/>
        <v>85.459575</v>
      </c>
      <c r="J12" s="2">
        <f t="shared" si="7"/>
        <v>12.995</v>
      </c>
      <c r="K12" s="2">
        <f t="shared" si="8"/>
        <v>0.7921804299</v>
      </c>
      <c r="L12" s="2">
        <f t="shared" si="9"/>
        <v>1.733576121</v>
      </c>
      <c r="M12" s="2">
        <f t="shared" si="10"/>
        <v>87.19315112</v>
      </c>
      <c r="N12" s="2">
        <f t="shared" si="11"/>
        <v>87.19674967</v>
      </c>
    </row>
    <row r="13">
      <c r="A13" s="1" t="s">
        <v>25</v>
      </c>
      <c r="B13" s="2" t="str">
        <f t="shared" si="1"/>
        <v>aa1</v>
      </c>
      <c r="C13" s="2" t="str">
        <f t="shared" si="2"/>
        <v>f</v>
      </c>
      <c r="D13" s="2" t="str">
        <f t="shared" si="3"/>
        <v>17</v>
      </c>
      <c r="E13" s="2" t="str">
        <f t="shared" si="4"/>
        <v>aa1f</v>
      </c>
      <c r="F13" s="2" t="str">
        <f t="shared" si="5"/>
        <v>08.06.09</v>
      </c>
      <c r="G13" s="1">
        <v>180.0</v>
      </c>
      <c r="H13" s="1">
        <v>1.393</v>
      </c>
      <c r="I13" s="2">
        <f t="shared" si="6"/>
        <v>100.500401</v>
      </c>
      <c r="J13" s="2">
        <f t="shared" si="7"/>
        <v>0</v>
      </c>
      <c r="K13" s="2">
        <f t="shared" si="8"/>
        <v>0</v>
      </c>
      <c r="L13" s="2">
        <f t="shared" si="9"/>
        <v>1.393</v>
      </c>
      <c r="M13" s="2">
        <f t="shared" si="10"/>
        <v>101.893401</v>
      </c>
      <c r="N13" s="2">
        <f t="shared" si="11"/>
        <v>101.893401</v>
      </c>
    </row>
    <row r="14">
      <c r="A14" s="1" t="s">
        <v>26</v>
      </c>
      <c r="B14" s="2" t="str">
        <f t="shared" si="1"/>
        <v>aa1</v>
      </c>
      <c r="C14" s="2" t="str">
        <f t="shared" si="2"/>
        <v>f</v>
      </c>
      <c r="D14" s="2" t="str">
        <f t="shared" si="3"/>
        <v>17</v>
      </c>
      <c r="E14" s="2" t="str">
        <f t="shared" si="4"/>
        <v>aa1f</v>
      </c>
      <c r="F14" s="2" t="str">
        <f t="shared" si="5"/>
        <v>08.06.09</v>
      </c>
      <c r="G14" s="1">
        <v>-120.964</v>
      </c>
      <c r="H14" s="1">
        <v>3.332</v>
      </c>
      <c r="I14" s="2">
        <f t="shared" si="6"/>
        <v>100.500401</v>
      </c>
      <c r="J14" s="2">
        <f t="shared" si="7"/>
        <v>59.036</v>
      </c>
      <c r="K14" s="2">
        <f t="shared" si="8"/>
        <v>2.027763747</v>
      </c>
      <c r="L14" s="2">
        <f t="shared" si="9"/>
        <v>2.643936117</v>
      </c>
      <c r="M14" s="2">
        <f t="shared" si="10"/>
        <v>103.1443371</v>
      </c>
      <c r="N14" s="2">
        <f t="shared" si="11"/>
        <v>103.1642676</v>
      </c>
    </row>
    <row r="15">
      <c r="A15" s="1" t="s">
        <v>27</v>
      </c>
      <c r="B15" s="2" t="str">
        <f t="shared" si="1"/>
        <v>aa1</v>
      </c>
      <c r="C15" s="2" t="str">
        <f t="shared" si="2"/>
        <v>f</v>
      </c>
      <c r="D15" s="2" t="str">
        <f t="shared" si="3"/>
        <v>17</v>
      </c>
      <c r="E15" s="2" t="str">
        <f t="shared" si="4"/>
        <v>aa1f</v>
      </c>
      <c r="F15" s="2" t="str">
        <f t="shared" si="5"/>
        <v>08.06.09</v>
      </c>
      <c r="G15" s="1">
        <v>82.648</v>
      </c>
      <c r="H15" s="1">
        <v>2.228</v>
      </c>
      <c r="I15" s="2">
        <f t="shared" si="6"/>
        <v>100.500401</v>
      </c>
      <c r="J15" s="2">
        <f t="shared" si="7"/>
        <v>97.352</v>
      </c>
      <c r="K15" s="2">
        <f t="shared" si="8"/>
        <v>0.08324601689</v>
      </c>
      <c r="L15" s="2">
        <f t="shared" si="9"/>
        <v>2.226444273</v>
      </c>
      <c r="M15" s="2">
        <f t="shared" si="10"/>
        <v>102.7268453</v>
      </c>
      <c r="N15" s="2">
        <f t="shared" si="11"/>
        <v>102.726879</v>
      </c>
    </row>
    <row r="16">
      <c r="A16" s="1" t="s">
        <v>28</v>
      </c>
      <c r="B16" s="2" t="str">
        <f t="shared" si="1"/>
        <v>aa1</v>
      </c>
      <c r="C16" s="2" t="str">
        <f t="shared" si="2"/>
        <v>f</v>
      </c>
      <c r="D16" s="2" t="str">
        <f t="shared" si="3"/>
        <v>17</v>
      </c>
      <c r="E16" s="2" t="str">
        <f t="shared" si="4"/>
        <v>aa1f</v>
      </c>
      <c r="F16" s="2" t="str">
        <f t="shared" si="5"/>
        <v>08.06.09</v>
      </c>
      <c r="G16" s="1">
        <v>180.0</v>
      </c>
      <c r="H16" s="1">
        <v>0.643</v>
      </c>
      <c r="I16" s="2">
        <f t="shared" si="6"/>
        <v>100.500401</v>
      </c>
      <c r="J16" s="2">
        <f t="shared" si="7"/>
        <v>0</v>
      </c>
      <c r="K16" s="2">
        <f t="shared" si="8"/>
        <v>0</v>
      </c>
      <c r="L16" s="2">
        <f t="shared" si="9"/>
        <v>0.643</v>
      </c>
      <c r="M16" s="2">
        <f t="shared" si="10"/>
        <v>101.143401</v>
      </c>
      <c r="N16" s="2">
        <f t="shared" si="11"/>
        <v>101.143401</v>
      </c>
    </row>
    <row r="17">
      <c r="A17" s="1" t="s">
        <v>29</v>
      </c>
      <c r="B17" s="2" t="str">
        <f t="shared" si="1"/>
        <v>aa1</v>
      </c>
      <c r="C17" s="2" t="str">
        <f t="shared" si="2"/>
        <v>f</v>
      </c>
      <c r="D17" s="2" t="str">
        <f t="shared" si="3"/>
        <v>17</v>
      </c>
      <c r="E17" s="2" t="str">
        <f t="shared" si="4"/>
        <v>aa1f</v>
      </c>
      <c r="F17" s="2" t="str">
        <f t="shared" si="5"/>
        <v>08.06.09</v>
      </c>
      <c r="G17" s="1">
        <v>169.992</v>
      </c>
      <c r="H17" s="1">
        <v>1.233</v>
      </c>
      <c r="I17" s="2">
        <f t="shared" si="6"/>
        <v>100.500401</v>
      </c>
      <c r="J17" s="2">
        <f t="shared" si="7"/>
        <v>10.008</v>
      </c>
      <c r="K17" s="2">
        <f t="shared" si="8"/>
        <v>0.6790330782</v>
      </c>
      <c r="L17" s="2">
        <f t="shared" si="9"/>
        <v>1.029175922</v>
      </c>
      <c r="M17" s="2">
        <f t="shared" si="10"/>
        <v>101.5295769</v>
      </c>
      <c r="N17" s="2">
        <f t="shared" si="11"/>
        <v>101.5318476</v>
      </c>
    </row>
    <row r="18">
      <c r="A18" s="1" t="s">
        <v>30</v>
      </c>
      <c r="B18" s="2" t="str">
        <f t="shared" si="1"/>
        <v>aa1</v>
      </c>
      <c r="C18" s="2" t="str">
        <f t="shared" si="2"/>
        <v>f</v>
      </c>
      <c r="D18" s="2" t="str">
        <f t="shared" si="3"/>
        <v>17</v>
      </c>
      <c r="E18" s="2" t="str">
        <f t="shared" si="4"/>
        <v>aa1f</v>
      </c>
      <c r="F18" s="2" t="str">
        <f t="shared" si="5"/>
        <v>08.06.09</v>
      </c>
      <c r="G18" s="1">
        <v>133.877</v>
      </c>
      <c r="H18" s="1">
        <v>2.576</v>
      </c>
      <c r="I18" s="2">
        <f t="shared" si="6"/>
        <v>100.500401</v>
      </c>
      <c r="J18" s="2">
        <f t="shared" si="7"/>
        <v>46.123</v>
      </c>
      <c r="K18" s="2">
        <f t="shared" si="8"/>
        <v>2.168866844</v>
      </c>
      <c r="L18" s="2">
        <f t="shared" si="9"/>
        <v>1.389889424</v>
      </c>
      <c r="M18" s="2">
        <f t="shared" si="10"/>
        <v>101.8902904</v>
      </c>
      <c r="N18" s="2">
        <f t="shared" si="11"/>
        <v>101.9133714</v>
      </c>
    </row>
    <row r="19">
      <c r="A19" s="1" t="s">
        <v>31</v>
      </c>
      <c r="B19" s="2" t="str">
        <f t="shared" si="1"/>
        <v>aa1</v>
      </c>
      <c r="C19" s="2" t="str">
        <f t="shared" si="2"/>
        <v>f</v>
      </c>
      <c r="D19" s="2" t="str">
        <f t="shared" si="3"/>
        <v>19</v>
      </c>
      <c r="E19" s="2" t="str">
        <f t="shared" si="4"/>
        <v>aa1f</v>
      </c>
      <c r="F19" s="2" t="str">
        <f t="shared" si="5"/>
        <v>08.06.09</v>
      </c>
      <c r="G19" s="1">
        <v>110.095</v>
      </c>
      <c r="H19" s="1">
        <v>3.118</v>
      </c>
      <c r="I19" s="2">
        <f t="shared" si="6"/>
        <v>115.541227</v>
      </c>
      <c r="J19" s="2">
        <f t="shared" si="7"/>
        <v>69.905</v>
      </c>
      <c r="K19" s="2">
        <f t="shared" si="8"/>
        <v>2.214797276</v>
      </c>
      <c r="L19" s="2">
        <f t="shared" si="9"/>
        <v>2.194674697</v>
      </c>
      <c r="M19" s="2">
        <f t="shared" si="10"/>
        <v>117.7359017</v>
      </c>
      <c r="N19" s="2">
        <f t="shared" si="11"/>
        <v>117.7567318</v>
      </c>
    </row>
    <row r="20">
      <c r="A20" s="1" t="s">
        <v>32</v>
      </c>
      <c r="B20" s="2" t="str">
        <f t="shared" si="1"/>
        <v>aa1</v>
      </c>
      <c r="C20" s="2" t="str">
        <f t="shared" si="2"/>
        <v>f</v>
      </c>
      <c r="D20" s="2" t="str">
        <f t="shared" si="3"/>
        <v>19</v>
      </c>
      <c r="E20" s="2" t="str">
        <f t="shared" si="4"/>
        <v>aa1f</v>
      </c>
      <c r="F20" s="2" t="str">
        <f t="shared" si="5"/>
        <v>08.06.09</v>
      </c>
      <c r="G20" s="1">
        <v>167.196</v>
      </c>
      <c r="H20" s="1">
        <v>1.604</v>
      </c>
      <c r="I20" s="2">
        <f t="shared" si="6"/>
        <v>115.541227</v>
      </c>
      <c r="J20" s="2">
        <f t="shared" si="7"/>
        <v>12.804</v>
      </c>
      <c r="K20" s="2">
        <f t="shared" si="8"/>
        <v>0.3775804658</v>
      </c>
      <c r="L20" s="2">
        <f t="shared" si="9"/>
        <v>1.558925589</v>
      </c>
      <c r="M20" s="2">
        <f t="shared" si="10"/>
        <v>117.1001526</v>
      </c>
      <c r="N20" s="2">
        <f t="shared" si="11"/>
        <v>117.1007613</v>
      </c>
    </row>
    <row r="21">
      <c r="A21" s="1" t="s">
        <v>33</v>
      </c>
      <c r="B21" s="2" t="str">
        <f t="shared" si="1"/>
        <v>aa1</v>
      </c>
      <c r="C21" s="2" t="str">
        <f t="shared" si="2"/>
        <v>f</v>
      </c>
      <c r="D21" s="2" t="str">
        <f t="shared" si="3"/>
        <v>19</v>
      </c>
      <c r="E21" s="2" t="str">
        <f t="shared" si="4"/>
        <v>aa1f</v>
      </c>
      <c r="F21" s="2" t="str">
        <f t="shared" si="5"/>
        <v>08.06.09</v>
      </c>
      <c r="G21" s="1">
        <v>120.619</v>
      </c>
      <c r="H21" s="1">
        <v>4.067</v>
      </c>
      <c r="I21" s="2">
        <f t="shared" si="6"/>
        <v>115.541227</v>
      </c>
      <c r="J21" s="2">
        <f t="shared" si="7"/>
        <v>59.381</v>
      </c>
      <c r="K21" s="2">
        <f t="shared" si="8"/>
        <v>1.237808631</v>
      </c>
      <c r="L21" s="2">
        <f t="shared" si="9"/>
        <v>3.874057149</v>
      </c>
      <c r="M21" s="2">
        <f t="shared" si="10"/>
        <v>119.4152841</v>
      </c>
      <c r="N21" s="2">
        <f t="shared" si="11"/>
        <v>119.4216993</v>
      </c>
    </row>
    <row r="22">
      <c r="A22" s="1" t="s">
        <v>34</v>
      </c>
      <c r="B22" s="2" t="str">
        <f t="shared" si="1"/>
        <v>aa1</v>
      </c>
      <c r="C22" s="2" t="str">
        <f t="shared" si="2"/>
        <v>f</v>
      </c>
      <c r="D22" s="2" t="str">
        <f t="shared" si="3"/>
        <v>19</v>
      </c>
      <c r="E22" s="2" t="str">
        <f t="shared" si="4"/>
        <v>aa1f</v>
      </c>
      <c r="F22" s="2" t="str">
        <f t="shared" si="5"/>
        <v>08.06.09</v>
      </c>
      <c r="G22" s="1">
        <v>-161.565</v>
      </c>
      <c r="H22" s="1">
        <v>1.152</v>
      </c>
      <c r="I22" s="2">
        <f t="shared" si="6"/>
        <v>115.541227</v>
      </c>
      <c r="J22" s="2">
        <f t="shared" si="7"/>
        <v>18.435</v>
      </c>
      <c r="K22" s="2">
        <f t="shared" si="8"/>
        <v>0.4640066003</v>
      </c>
      <c r="L22" s="2">
        <f t="shared" si="9"/>
        <v>1.054420161</v>
      </c>
      <c r="M22" s="2">
        <f t="shared" si="10"/>
        <v>116.5956472</v>
      </c>
      <c r="N22" s="2">
        <f t="shared" si="11"/>
        <v>116.5965704</v>
      </c>
    </row>
    <row r="23">
      <c r="A23" s="1" t="s">
        <v>35</v>
      </c>
      <c r="B23" s="2" t="str">
        <f t="shared" si="1"/>
        <v>aa1</v>
      </c>
      <c r="C23" s="2" t="str">
        <f t="shared" si="2"/>
        <v>f</v>
      </c>
      <c r="D23" s="2" t="str">
        <f t="shared" si="3"/>
        <v>19</v>
      </c>
      <c r="E23" s="2" t="str">
        <f t="shared" si="4"/>
        <v>aa1f</v>
      </c>
      <c r="F23" s="2" t="str">
        <f t="shared" si="5"/>
        <v>08.06.09</v>
      </c>
      <c r="G23" s="1">
        <v>-95.711</v>
      </c>
      <c r="H23" s="1">
        <v>0.718</v>
      </c>
      <c r="I23" s="2">
        <f t="shared" si="6"/>
        <v>115.541227</v>
      </c>
      <c r="J23" s="2">
        <f t="shared" si="7"/>
        <v>84.289</v>
      </c>
      <c r="K23" s="2">
        <f t="shared" si="8"/>
        <v>0.3654490284</v>
      </c>
      <c r="L23" s="2">
        <f t="shared" si="9"/>
        <v>0.6180380309</v>
      </c>
      <c r="M23" s="2">
        <f t="shared" si="10"/>
        <v>116.159265</v>
      </c>
      <c r="N23" s="2">
        <f t="shared" si="11"/>
        <v>116.1598399</v>
      </c>
    </row>
    <row r="24">
      <c r="A24" s="1" t="s">
        <v>36</v>
      </c>
      <c r="B24" s="2" t="str">
        <f t="shared" si="1"/>
        <v>aa1</v>
      </c>
      <c r="C24" s="2" t="str">
        <f t="shared" si="2"/>
        <v>f</v>
      </c>
      <c r="D24" s="2" t="str">
        <f t="shared" si="3"/>
        <v>19</v>
      </c>
      <c r="E24" s="2" t="str">
        <f t="shared" si="4"/>
        <v>aa1f</v>
      </c>
      <c r="F24" s="2" t="str">
        <f t="shared" si="5"/>
        <v>08.06.09</v>
      </c>
      <c r="G24" s="1">
        <v>107.354</v>
      </c>
      <c r="H24" s="1">
        <v>4.789</v>
      </c>
      <c r="I24" s="2">
        <f t="shared" si="6"/>
        <v>115.541227</v>
      </c>
      <c r="J24" s="2">
        <f t="shared" si="7"/>
        <v>72.646</v>
      </c>
      <c r="K24" s="2">
        <f t="shared" si="8"/>
        <v>1.817926869</v>
      </c>
      <c r="L24" s="2">
        <f t="shared" si="9"/>
        <v>4.430537541</v>
      </c>
      <c r="M24" s="2">
        <f t="shared" si="10"/>
        <v>119.9717645</v>
      </c>
      <c r="N24" s="2">
        <f t="shared" si="11"/>
        <v>119.9855372</v>
      </c>
    </row>
    <row r="25">
      <c r="A25" s="1" t="s">
        <v>37</v>
      </c>
      <c r="B25" s="2" t="str">
        <f t="shared" si="1"/>
        <v>aa1</v>
      </c>
      <c r="C25" s="2" t="str">
        <f t="shared" si="2"/>
        <v>f</v>
      </c>
      <c r="D25" s="2" t="str">
        <f t="shared" si="3"/>
        <v>19</v>
      </c>
      <c r="E25" s="2" t="str">
        <f t="shared" si="4"/>
        <v>aa1f</v>
      </c>
      <c r="F25" s="2" t="str">
        <f t="shared" si="5"/>
        <v>08.06.09</v>
      </c>
      <c r="G25" s="1">
        <v>113.629</v>
      </c>
      <c r="H25" s="1">
        <v>1.215</v>
      </c>
      <c r="I25" s="2">
        <f t="shared" si="6"/>
        <v>115.541227</v>
      </c>
      <c r="J25" s="2">
        <f t="shared" si="7"/>
        <v>66.371</v>
      </c>
      <c r="K25" s="2">
        <f t="shared" si="8"/>
        <v>0.4704048889</v>
      </c>
      <c r="L25" s="2">
        <f t="shared" si="9"/>
        <v>1.120242938</v>
      </c>
      <c r="M25" s="2">
        <f t="shared" si="10"/>
        <v>116.6614699</v>
      </c>
      <c r="N25" s="2">
        <f t="shared" si="11"/>
        <v>116.6624183</v>
      </c>
    </row>
    <row r="26">
      <c r="A26" s="1" t="s">
        <v>38</v>
      </c>
      <c r="B26" s="2" t="str">
        <f t="shared" si="1"/>
        <v>aa1</v>
      </c>
      <c r="C26" s="2" t="str">
        <f t="shared" si="2"/>
        <v>f</v>
      </c>
      <c r="D26" s="2" t="str">
        <f t="shared" si="3"/>
        <v>19</v>
      </c>
      <c r="E26" s="2" t="str">
        <f t="shared" si="4"/>
        <v>aa1f</v>
      </c>
      <c r="F26" s="2" t="str">
        <f t="shared" si="5"/>
        <v>08.12.09</v>
      </c>
      <c r="G26" s="1">
        <v>-94.316</v>
      </c>
      <c r="H26" s="1">
        <v>1.942</v>
      </c>
      <c r="I26" s="2">
        <f t="shared" si="6"/>
        <v>115.541227</v>
      </c>
      <c r="J26" s="2">
        <f t="shared" si="7"/>
        <v>85.684</v>
      </c>
      <c r="K26" s="2">
        <f t="shared" si="8"/>
        <v>1.47299447</v>
      </c>
      <c r="L26" s="2">
        <f t="shared" si="9"/>
        <v>1.265563626</v>
      </c>
      <c r="M26" s="2">
        <f t="shared" si="10"/>
        <v>116.8067906</v>
      </c>
      <c r="N26" s="2">
        <f t="shared" si="11"/>
        <v>116.8160779</v>
      </c>
    </row>
    <row r="27">
      <c r="A27" s="1" t="s">
        <v>39</v>
      </c>
      <c r="B27" s="2" t="str">
        <f t="shared" si="1"/>
        <v>aa1</v>
      </c>
      <c r="C27" s="2" t="str">
        <f t="shared" si="2"/>
        <v>f</v>
      </c>
      <c r="D27" s="2" t="str">
        <f t="shared" si="3"/>
        <v>19</v>
      </c>
      <c r="E27" s="2" t="str">
        <f t="shared" si="4"/>
        <v>aa1f</v>
      </c>
      <c r="F27" s="2" t="str">
        <f t="shared" si="5"/>
        <v>08.12.09</v>
      </c>
      <c r="G27" s="1">
        <v>165.53</v>
      </c>
      <c r="H27" s="1">
        <v>2.358</v>
      </c>
      <c r="I27" s="2">
        <f t="shared" si="6"/>
        <v>115.541227</v>
      </c>
      <c r="J27" s="2">
        <f t="shared" si="7"/>
        <v>14.47</v>
      </c>
      <c r="K27" s="2">
        <f t="shared" si="8"/>
        <v>2.228594175</v>
      </c>
      <c r="L27" s="2">
        <f t="shared" si="9"/>
        <v>0.7704102827</v>
      </c>
      <c r="M27" s="2">
        <f t="shared" si="10"/>
        <v>116.3116373</v>
      </c>
      <c r="N27" s="2">
        <f t="shared" si="11"/>
        <v>116.3329859</v>
      </c>
    </row>
    <row r="28">
      <c r="A28" s="1" t="s">
        <v>40</v>
      </c>
      <c r="B28" s="2" t="str">
        <f t="shared" si="1"/>
        <v>aa1</v>
      </c>
      <c r="C28" s="2" t="str">
        <f t="shared" si="2"/>
        <v>f</v>
      </c>
      <c r="D28" s="2" t="str">
        <f t="shared" si="3"/>
        <v>21</v>
      </c>
      <c r="E28" s="2" t="str">
        <f t="shared" si="4"/>
        <v>aa1f</v>
      </c>
      <c r="F28" s="2" t="str">
        <f t="shared" si="5"/>
        <v>08.06.09</v>
      </c>
      <c r="G28" s="1">
        <v>-124.509</v>
      </c>
      <c r="H28" s="1">
        <v>1.395</v>
      </c>
      <c r="I28" s="2">
        <f t="shared" si="6"/>
        <v>130.582053</v>
      </c>
      <c r="J28" s="2">
        <f t="shared" si="7"/>
        <v>55.491</v>
      </c>
      <c r="K28" s="2">
        <f t="shared" si="8"/>
        <v>1.21534206</v>
      </c>
      <c r="L28" s="2">
        <f t="shared" si="9"/>
        <v>0.6848128778</v>
      </c>
      <c r="M28" s="2">
        <f t="shared" si="10"/>
        <v>131.2668659</v>
      </c>
      <c r="N28" s="2">
        <f t="shared" si="11"/>
        <v>131.2724919</v>
      </c>
    </row>
    <row r="29">
      <c r="A29" s="1" t="s">
        <v>41</v>
      </c>
      <c r="B29" s="2" t="str">
        <f t="shared" si="1"/>
        <v>aa1</v>
      </c>
      <c r="C29" s="2" t="str">
        <f t="shared" si="2"/>
        <v>f</v>
      </c>
      <c r="D29" s="2" t="str">
        <f t="shared" si="3"/>
        <v>21</v>
      </c>
      <c r="E29" s="2" t="str">
        <f t="shared" si="4"/>
        <v>aa1f</v>
      </c>
      <c r="F29" s="2" t="str">
        <f t="shared" si="5"/>
        <v>08.06.09</v>
      </c>
      <c r="G29" s="1">
        <v>-124.509</v>
      </c>
      <c r="H29" s="1">
        <v>1.395</v>
      </c>
      <c r="I29" s="2">
        <f t="shared" si="6"/>
        <v>130.582053</v>
      </c>
      <c r="J29" s="2">
        <f t="shared" si="7"/>
        <v>55.491</v>
      </c>
      <c r="K29" s="2">
        <f t="shared" si="8"/>
        <v>1.21534206</v>
      </c>
      <c r="L29" s="2">
        <f t="shared" si="9"/>
        <v>0.6848128778</v>
      </c>
      <c r="M29" s="2">
        <f t="shared" si="10"/>
        <v>131.2668659</v>
      </c>
      <c r="N29" s="2">
        <f t="shared" si="11"/>
        <v>131.2724919</v>
      </c>
    </row>
    <row r="30">
      <c r="A30" s="1" t="s">
        <v>42</v>
      </c>
      <c r="B30" s="2" t="str">
        <f t="shared" si="1"/>
        <v>aa1</v>
      </c>
      <c r="C30" s="2" t="str">
        <f t="shared" si="2"/>
        <v>f</v>
      </c>
      <c r="D30" s="2" t="str">
        <f t="shared" si="3"/>
        <v>21</v>
      </c>
      <c r="E30" s="2" t="str">
        <f t="shared" si="4"/>
        <v>aa1f</v>
      </c>
      <c r="F30" s="2" t="str">
        <f t="shared" si="5"/>
        <v>08.06.09</v>
      </c>
      <c r="G30" s="1">
        <v>180.0</v>
      </c>
      <c r="H30" s="1">
        <v>0.929</v>
      </c>
      <c r="I30" s="2">
        <f t="shared" si="6"/>
        <v>130.582053</v>
      </c>
      <c r="J30" s="2">
        <f t="shared" si="7"/>
        <v>0</v>
      </c>
      <c r="K30" s="2">
        <f t="shared" si="8"/>
        <v>0</v>
      </c>
      <c r="L30" s="2">
        <f t="shared" si="9"/>
        <v>0.929</v>
      </c>
      <c r="M30" s="2">
        <f t="shared" si="10"/>
        <v>131.511053</v>
      </c>
      <c r="N30" s="2">
        <f t="shared" si="11"/>
        <v>131.511053</v>
      </c>
    </row>
    <row r="31">
      <c r="A31" s="1" t="s">
        <v>43</v>
      </c>
      <c r="B31" s="2" t="str">
        <f t="shared" si="1"/>
        <v>aa1</v>
      </c>
      <c r="C31" s="2" t="str">
        <f t="shared" si="2"/>
        <v>f</v>
      </c>
      <c r="D31" s="2" t="str">
        <f t="shared" si="3"/>
        <v>21</v>
      </c>
      <c r="E31" s="2" t="str">
        <f t="shared" si="4"/>
        <v>aa1f</v>
      </c>
      <c r="F31" s="2" t="str">
        <f t="shared" si="5"/>
        <v>08.06.09</v>
      </c>
      <c r="G31" s="1">
        <v>73.61</v>
      </c>
      <c r="H31" s="1">
        <v>2.542</v>
      </c>
      <c r="I31" s="2">
        <f t="shared" si="6"/>
        <v>130.582053</v>
      </c>
      <c r="J31" s="2">
        <f t="shared" si="7"/>
        <v>106.39</v>
      </c>
      <c r="K31" s="2">
        <f t="shared" si="8"/>
        <v>1.046151082</v>
      </c>
      <c r="L31" s="2">
        <f t="shared" si="9"/>
        <v>2.316750292</v>
      </c>
      <c r="M31" s="2">
        <f t="shared" si="10"/>
        <v>132.8988033</v>
      </c>
      <c r="N31" s="2">
        <f t="shared" si="11"/>
        <v>132.9029208</v>
      </c>
    </row>
    <row r="32">
      <c r="A32" s="1" t="s">
        <v>44</v>
      </c>
      <c r="B32" s="2" t="str">
        <f t="shared" si="1"/>
        <v>aa1</v>
      </c>
      <c r="C32" s="2" t="str">
        <f t="shared" si="2"/>
        <v>f</v>
      </c>
      <c r="D32" s="2" t="str">
        <f t="shared" si="3"/>
        <v>21</v>
      </c>
      <c r="E32" s="2" t="str">
        <f t="shared" si="4"/>
        <v>aa1f</v>
      </c>
      <c r="F32" s="2" t="str">
        <f t="shared" si="5"/>
        <v>08.06.09</v>
      </c>
      <c r="G32" s="1">
        <v>73.61</v>
      </c>
      <c r="H32" s="1">
        <v>2.542</v>
      </c>
      <c r="I32" s="2">
        <f t="shared" si="6"/>
        <v>130.582053</v>
      </c>
      <c r="J32" s="2">
        <f t="shared" si="7"/>
        <v>106.39</v>
      </c>
      <c r="K32" s="2">
        <f t="shared" si="8"/>
        <v>1.046151082</v>
      </c>
      <c r="L32" s="2">
        <f t="shared" si="9"/>
        <v>2.316750292</v>
      </c>
      <c r="M32" s="2">
        <f t="shared" si="10"/>
        <v>132.8988033</v>
      </c>
      <c r="N32" s="2">
        <f t="shared" si="11"/>
        <v>132.9029208</v>
      </c>
    </row>
    <row r="33">
      <c r="A33" s="1" t="s">
        <v>45</v>
      </c>
      <c r="B33" s="2" t="str">
        <f t="shared" si="1"/>
        <v>aa1</v>
      </c>
      <c r="C33" s="2" t="str">
        <f t="shared" si="2"/>
        <v>f</v>
      </c>
      <c r="D33" s="2" t="str">
        <f t="shared" si="3"/>
        <v>21</v>
      </c>
      <c r="E33" s="2" t="str">
        <f t="shared" si="4"/>
        <v>aa1f</v>
      </c>
      <c r="F33" s="2" t="str">
        <f t="shared" si="5"/>
        <v>08.06.09</v>
      </c>
      <c r="G33" s="1">
        <v>126.87</v>
      </c>
      <c r="H33" s="1">
        <v>0.71</v>
      </c>
      <c r="I33" s="2">
        <f t="shared" si="6"/>
        <v>130.582053</v>
      </c>
      <c r="J33" s="2">
        <f t="shared" si="7"/>
        <v>53.13</v>
      </c>
      <c r="K33" s="2">
        <f t="shared" si="8"/>
        <v>0.1942158779</v>
      </c>
      <c r="L33" s="2">
        <f t="shared" si="9"/>
        <v>0.6829203415</v>
      </c>
      <c r="M33" s="2">
        <f t="shared" si="10"/>
        <v>131.2649733</v>
      </c>
      <c r="N33" s="2">
        <f t="shared" si="11"/>
        <v>131.265117</v>
      </c>
    </row>
    <row r="34">
      <c r="A34" s="1" t="s">
        <v>46</v>
      </c>
      <c r="B34" s="2" t="str">
        <f t="shared" si="1"/>
        <v>aa1</v>
      </c>
      <c r="C34" s="2" t="str">
        <f t="shared" si="2"/>
        <v>f</v>
      </c>
      <c r="D34" s="2" t="str">
        <f t="shared" si="3"/>
        <v>21</v>
      </c>
      <c r="E34" s="2" t="str">
        <f t="shared" si="4"/>
        <v>aa1f</v>
      </c>
      <c r="F34" s="2" t="str">
        <f t="shared" si="5"/>
        <v>08.06.09</v>
      </c>
      <c r="G34" s="1">
        <v>-161.565</v>
      </c>
      <c r="H34" s="1">
        <v>0.723</v>
      </c>
      <c r="I34" s="2">
        <f t="shared" si="6"/>
        <v>130.582053</v>
      </c>
      <c r="J34" s="2">
        <f t="shared" si="7"/>
        <v>18.435</v>
      </c>
      <c r="K34" s="2">
        <f t="shared" si="8"/>
        <v>0.2912124757</v>
      </c>
      <c r="L34" s="2">
        <f t="shared" si="9"/>
        <v>0.6617584862</v>
      </c>
      <c r="M34" s="2">
        <f t="shared" si="10"/>
        <v>131.2438115</v>
      </c>
      <c r="N34" s="2">
        <f t="shared" si="11"/>
        <v>131.2441346</v>
      </c>
    </row>
    <row r="35">
      <c r="A35" s="1" t="s">
        <v>47</v>
      </c>
      <c r="B35" s="2" t="str">
        <f t="shared" si="1"/>
        <v>aa1</v>
      </c>
      <c r="C35" s="2" t="str">
        <f t="shared" si="2"/>
        <v>f</v>
      </c>
      <c r="D35" s="2" t="str">
        <f t="shared" si="3"/>
        <v>21</v>
      </c>
      <c r="E35" s="2" t="str">
        <f t="shared" si="4"/>
        <v>aa1f</v>
      </c>
      <c r="F35" s="2" t="str">
        <f t="shared" si="5"/>
        <v>08.12.09</v>
      </c>
      <c r="G35" s="1">
        <v>-126.158</v>
      </c>
      <c r="H35" s="1">
        <v>1.21</v>
      </c>
      <c r="I35" s="2">
        <f t="shared" si="6"/>
        <v>130.582053</v>
      </c>
      <c r="J35" s="2">
        <f t="shared" si="7"/>
        <v>53.842</v>
      </c>
      <c r="K35" s="2">
        <f t="shared" si="8"/>
        <v>0.5098241639</v>
      </c>
      <c r="L35" s="2">
        <f t="shared" si="9"/>
        <v>1.097351048</v>
      </c>
      <c r="M35" s="2">
        <f t="shared" si="10"/>
        <v>131.679404</v>
      </c>
      <c r="N35" s="2">
        <f t="shared" si="11"/>
        <v>131.680391</v>
      </c>
    </row>
    <row r="36">
      <c r="A36" s="1" t="s">
        <v>48</v>
      </c>
      <c r="B36" s="2" t="str">
        <f t="shared" si="1"/>
        <v>aa1</v>
      </c>
      <c r="C36" s="2" t="str">
        <f t="shared" si="2"/>
        <v>f</v>
      </c>
      <c r="D36" s="2" t="str">
        <f t="shared" si="3"/>
        <v>21</v>
      </c>
      <c r="E36" s="2" t="str">
        <f t="shared" si="4"/>
        <v>aa1f</v>
      </c>
      <c r="F36" s="2" t="str">
        <f t="shared" si="5"/>
        <v>08.12.09</v>
      </c>
      <c r="G36" s="1">
        <v>-156.038</v>
      </c>
      <c r="H36" s="1">
        <v>0.712</v>
      </c>
      <c r="I36" s="2">
        <f t="shared" si="6"/>
        <v>130.582053</v>
      </c>
      <c r="J36" s="2">
        <f t="shared" si="7"/>
        <v>23.962</v>
      </c>
      <c r="K36" s="2">
        <f t="shared" si="8"/>
        <v>0.6557801499</v>
      </c>
      <c r="L36" s="2">
        <f t="shared" si="9"/>
        <v>0.2773019924</v>
      </c>
      <c r="M36" s="2">
        <f t="shared" si="10"/>
        <v>130.859355</v>
      </c>
      <c r="N36" s="2">
        <f t="shared" si="11"/>
        <v>130.8609981</v>
      </c>
    </row>
    <row r="37">
      <c r="A37" s="1" t="s">
        <v>49</v>
      </c>
      <c r="B37" s="2" t="str">
        <f t="shared" si="1"/>
        <v>aa1</v>
      </c>
      <c r="C37" s="2" t="str">
        <f t="shared" si="2"/>
        <v>f</v>
      </c>
      <c r="D37" s="2" t="str">
        <f t="shared" si="3"/>
        <v>21</v>
      </c>
      <c r="E37" s="2" t="str">
        <f t="shared" si="4"/>
        <v>aa1f</v>
      </c>
      <c r="F37" s="2" t="str">
        <f t="shared" si="5"/>
        <v>08.12.09</v>
      </c>
      <c r="G37" s="1">
        <v>-98.82</v>
      </c>
      <c r="H37" s="1">
        <v>2.143</v>
      </c>
      <c r="I37" s="2">
        <f t="shared" si="6"/>
        <v>130.582053</v>
      </c>
      <c r="J37" s="2">
        <f t="shared" si="7"/>
        <v>81.18</v>
      </c>
      <c r="K37" s="2">
        <f t="shared" si="8"/>
        <v>1.030057745</v>
      </c>
      <c r="L37" s="2">
        <f t="shared" si="9"/>
        <v>1.879209951</v>
      </c>
      <c r="M37" s="2">
        <f t="shared" si="10"/>
        <v>132.461263</v>
      </c>
      <c r="N37" s="2">
        <f t="shared" si="11"/>
        <v>132.4652679</v>
      </c>
    </row>
    <row r="38">
      <c r="A38" s="1" t="s">
        <v>50</v>
      </c>
      <c r="B38" s="2" t="str">
        <f t="shared" si="1"/>
        <v>aa1</v>
      </c>
      <c r="C38" s="2" t="str">
        <f t="shared" si="2"/>
        <v>f</v>
      </c>
      <c r="D38" s="2" t="str">
        <f t="shared" si="3"/>
        <v>21</v>
      </c>
      <c r="E38" s="2" t="str">
        <f t="shared" si="4"/>
        <v>aa1f</v>
      </c>
      <c r="F38" s="2" t="str">
        <f t="shared" si="5"/>
        <v>08.12.09</v>
      </c>
      <c r="G38" s="1">
        <v>-141.911</v>
      </c>
      <c r="H38" s="1">
        <v>1.717</v>
      </c>
      <c r="I38" s="2">
        <f t="shared" si="6"/>
        <v>130.582053</v>
      </c>
      <c r="J38" s="2">
        <f t="shared" si="7"/>
        <v>38.089</v>
      </c>
      <c r="K38" s="2">
        <f t="shared" si="8"/>
        <v>0.6526058902</v>
      </c>
      <c r="L38" s="2">
        <f t="shared" si="9"/>
        <v>1.588141855</v>
      </c>
      <c r="M38" s="2">
        <f t="shared" si="10"/>
        <v>132.1701949</v>
      </c>
      <c r="N38" s="2">
        <f t="shared" si="11"/>
        <v>132.171806</v>
      </c>
    </row>
    <row r="39">
      <c r="A39" s="1" t="s">
        <v>51</v>
      </c>
      <c r="B39" s="2" t="str">
        <f t="shared" si="1"/>
        <v>aa1</v>
      </c>
      <c r="C39" s="2" t="str">
        <f t="shared" si="2"/>
        <v>f</v>
      </c>
      <c r="D39" s="2" t="str">
        <f t="shared" si="3"/>
        <v>21</v>
      </c>
      <c r="E39" s="2" t="str">
        <f t="shared" si="4"/>
        <v>aa1f</v>
      </c>
      <c r="F39" s="2" t="str">
        <f t="shared" si="5"/>
        <v>08.12.09</v>
      </c>
      <c r="G39" s="1">
        <v>161.565</v>
      </c>
      <c r="H39" s="1">
        <v>0.546</v>
      </c>
      <c r="I39" s="2">
        <f t="shared" si="6"/>
        <v>130.582053</v>
      </c>
      <c r="J39" s="2">
        <f t="shared" si="7"/>
        <v>18.435</v>
      </c>
      <c r="K39" s="2">
        <f t="shared" si="8"/>
        <v>0.2199197949</v>
      </c>
      <c r="L39" s="2">
        <f t="shared" si="9"/>
        <v>0.4997512219</v>
      </c>
      <c r="M39" s="2">
        <f t="shared" si="10"/>
        <v>131.0818042</v>
      </c>
      <c r="N39" s="2">
        <f t="shared" si="11"/>
        <v>131.0819887</v>
      </c>
    </row>
    <row r="40">
      <c r="A40" s="1" t="s">
        <v>52</v>
      </c>
      <c r="B40" s="2" t="str">
        <f t="shared" si="1"/>
        <v>aa1</v>
      </c>
      <c r="C40" s="2" t="str">
        <f t="shared" si="2"/>
        <v>f</v>
      </c>
      <c r="D40" s="2" t="str">
        <f t="shared" si="3"/>
        <v>21</v>
      </c>
      <c r="E40" s="2" t="str">
        <f t="shared" si="4"/>
        <v>aa1f</v>
      </c>
      <c r="F40" s="2" t="str">
        <f t="shared" si="5"/>
        <v>08.12.09</v>
      </c>
      <c r="G40" s="1">
        <v>-156.038</v>
      </c>
      <c r="H40" s="1">
        <v>0.362</v>
      </c>
      <c r="I40" s="2">
        <f t="shared" si="6"/>
        <v>130.582053</v>
      </c>
      <c r="J40" s="2">
        <f t="shared" si="7"/>
        <v>23.962</v>
      </c>
      <c r="K40" s="2">
        <f t="shared" si="8"/>
        <v>0.3334163122</v>
      </c>
      <c r="L40" s="2">
        <f t="shared" si="9"/>
        <v>0.1409878107</v>
      </c>
      <c r="M40" s="2">
        <f t="shared" si="10"/>
        <v>130.7230408</v>
      </c>
      <c r="N40" s="2">
        <f t="shared" si="11"/>
        <v>130.723466</v>
      </c>
    </row>
    <row r="41">
      <c r="A41" s="1" t="s">
        <v>53</v>
      </c>
      <c r="B41" s="2" t="str">
        <f t="shared" si="1"/>
        <v>aa1</v>
      </c>
      <c r="C41" s="2" t="str">
        <f t="shared" si="2"/>
        <v>f</v>
      </c>
      <c r="D41" s="2" t="str">
        <f t="shared" si="3"/>
        <v>21</v>
      </c>
      <c r="E41" s="2" t="str">
        <f t="shared" si="4"/>
        <v>aa1f</v>
      </c>
      <c r="F41" s="2" t="str">
        <f t="shared" si="5"/>
        <v>08.12.09</v>
      </c>
      <c r="G41" s="1">
        <v>180.0</v>
      </c>
      <c r="H41" s="1">
        <v>0.515</v>
      </c>
      <c r="I41" s="2">
        <f t="shared" si="6"/>
        <v>130.582053</v>
      </c>
      <c r="J41" s="2">
        <f t="shared" si="7"/>
        <v>0</v>
      </c>
      <c r="K41" s="2">
        <f t="shared" si="8"/>
        <v>0</v>
      </c>
      <c r="L41" s="2">
        <f t="shared" si="9"/>
        <v>0.515</v>
      </c>
      <c r="M41" s="2">
        <f t="shared" si="10"/>
        <v>131.097053</v>
      </c>
      <c r="N41" s="2">
        <f t="shared" si="11"/>
        <v>131.097053</v>
      </c>
    </row>
    <row r="42">
      <c r="A42" s="1" t="s">
        <v>54</v>
      </c>
      <c r="B42" s="2" t="str">
        <f t="shared" si="1"/>
        <v>aa1</v>
      </c>
      <c r="C42" s="2" t="str">
        <f t="shared" si="2"/>
        <v>f</v>
      </c>
      <c r="D42" s="2" t="str">
        <f t="shared" si="3"/>
        <v>21</v>
      </c>
      <c r="E42" s="2" t="str">
        <f t="shared" si="4"/>
        <v>aa1f</v>
      </c>
      <c r="F42" s="2" t="str">
        <f t="shared" si="5"/>
        <v>08.12.09</v>
      </c>
      <c r="G42" s="1">
        <v>180.0</v>
      </c>
      <c r="H42" s="1">
        <v>0.451</v>
      </c>
      <c r="I42" s="2">
        <f t="shared" si="6"/>
        <v>130.582053</v>
      </c>
      <c r="J42" s="2">
        <f t="shared" si="7"/>
        <v>0</v>
      </c>
      <c r="K42" s="2">
        <f t="shared" si="8"/>
        <v>0</v>
      </c>
      <c r="L42" s="2">
        <f t="shared" si="9"/>
        <v>0.451</v>
      </c>
      <c r="M42" s="2">
        <f t="shared" si="10"/>
        <v>131.033053</v>
      </c>
      <c r="N42" s="2">
        <f t="shared" si="11"/>
        <v>131.033053</v>
      </c>
    </row>
    <row r="43">
      <c r="A43" s="1" t="s">
        <v>55</v>
      </c>
      <c r="B43" s="2" t="str">
        <f t="shared" si="1"/>
        <v>aa1</v>
      </c>
      <c r="C43" s="2" t="str">
        <f t="shared" si="2"/>
        <v>f</v>
      </c>
      <c r="D43" s="2" t="str">
        <f t="shared" si="3"/>
        <v>21</v>
      </c>
      <c r="E43" s="2" t="str">
        <f t="shared" si="4"/>
        <v>aa1f</v>
      </c>
      <c r="F43" s="2" t="str">
        <f t="shared" si="5"/>
        <v>08.12.09</v>
      </c>
      <c r="G43" s="1">
        <v>-150.945</v>
      </c>
      <c r="H43" s="1">
        <v>0.762</v>
      </c>
      <c r="I43" s="2">
        <f t="shared" si="6"/>
        <v>130.582053</v>
      </c>
      <c r="J43" s="2">
        <f t="shared" si="7"/>
        <v>29.055</v>
      </c>
      <c r="K43" s="2">
        <f t="shared" si="8"/>
        <v>0.5362596452</v>
      </c>
      <c r="L43" s="2">
        <f t="shared" si="9"/>
        <v>0.5413590241</v>
      </c>
      <c r="M43" s="2">
        <f t="shared" si="10"/>
        <v>131.123412</v>
      </c>
      <c r="N43" s="2">
        <f t="shared" si="11"/>
        <v>131.1245086</v>
      </c>
    </row>
    <row r="44">
      <c r="A44" s="1" t="s">
        <v>56</v>
      </c>
      <c r="B44" s="2" t="str">
        <f t="shared" si="1"/>
        <v>aa1</v>
      </c>
      <c r="C44" s="2" t="str">
        <f t="shared" si="2"/>
        <v>f</v>
      </c>
      <c r="D44" s="2" t="str">
        <f t="shared" si="3"/>
        <v>21</v>
      </c>
      <c r="E44" s="2" t="str">
        <f t="shared" si="4"/>
        <v>aa1f</v>
      </c>
      <c r="F44" s="2" t="str">
        <f t="shared" si="5"/>
        <v>08.12.09</v>
      </c>
      <c r="G44" s="1">
        <v>180.0</v>
      </c>
      <c r="H44" s="1">
        <v>0.459</v>
      </c>
      <c r="I44" s="2">
        <f t="shared" si="6"/>
        <v>130.582053</v>
      </c>
      <c r="J44" s="2">
        <f t="shared" si="7"/>
        <v>0</v>
      </c>
      <c r="K44" s="2">
        <f t="shared" si="8"/>
        <v>0</v>
      </c>
      <c r="L44" s="2">
        <f t="shared" si="9"/>
        <v>0.459</v>
      </c>
      <c r="M44" s="2">
        <f t="shared" si="10"/>
        <v>131.041053</v>
      </c>
      <c r="N44" s="2">
        <f t="shared" si="11"/>
        <v>131.041053</v>
      </c>
    </row>
    <row r="45">
      <c r="A45" s="1" t="s">
        <v>57</v>
      </c>
      <c r="B45" s="2" t="str">
        <f t="shared" si="1"/>
        <v>aa1</v>
      </c>
      <c r="C45" s="2" t="str">
        <f t="shared" si="2"/>
        <v>f</v>
      </c>
      <c r="D45" s="2" t="str">
        <f t="shared" si="3"/>
        <v>23</v>
      </c>
      <c r="E45" s="2" t="str">
        <f t="shared" si="4"/>
        <v>aa1f</v>
      </c>
      <c r="F45" s="2" t="str">
        <f t="shared" si="5"/>
        <v>08.12.09</v>
      </c>
      <c r="G45" s="1">
        <v>130.236</v>
      </c>
      <c r="H45" s="1">
        <v>0.618</v>
      </c>
      <c r="I45" s="2">
        <f t="shared" si="6"/>
        <v>145.622879</v>
      </c>
      <c r="J45" s="2">
        <f t="shared" si="7"/>
        <v>49.764</v>
      </c>
      <c r="K45" s="2">
        <f t="shared" si="8"/>
        <v>0.2970886619</v>
      </c>
      <c r="L45" s="2">
        <f t="shared" si="9"/>
        <v>0.5419061976</v>
      </c>
      <c r="M45" s="2">
        <f t="shared" si="10"/>
        <v>146.1647852</v>
      </c>
      <c r="N45" s="2">
        <f t="shared" si="11"/>
        <v>146.1650871</v>
      </c>
    </row>
    <row r="46">
      <c r="A46" s="1" t="s">
        <v>58</v>
      </c>
      <c r="B46" s="2" t="str">
        <f t="shared" si="1"/>
        <v>aa1</v>
      </c>
      <c r="C46" s="2" t="str">
        <f t="shared" si="2"/>
        <v>f</v>
      </c>
      <c r="D46" s="2" t="str">
        <f t="shared" si="3"/>
        <v>23</v>
      </c>
      <c r="E46" s="2" t="str">
        <f t="shared" si="4"/>
        <v>aa1f</v>
      </c>
      <c r="F46" s="2" t="str">
        <f t="shared" si="5"/>
        <v>08.12.09</v>
      </c>
      <c r="G46" s="1">
        <v>-174.472</v>
      </c>
      <c r="H46" s="1">
        <v>1.152</v>
      </c>
      <c r="I46" s="2">
        <f t="shared" si="6"/>
        <v>145.622879</v>
      </c>
      <c r="J46" s="2">
        <f t="shared" si="7"/>
        <v>5.528</v>
      </c>
      <c r="K46" s="2">
        <f t="shared" si="8"/>
        <v>0.7896079997</v>
      </c>
      <c r="L46" s="2">
        <f t="shared" si="9"/>
        <v>0.8388225121</v>
      </c>
      <c r="M46" s="2">
        <f t="shared" si="10"/>
        <v>146.4617015</v>
      </c>
      <c r="N46" s="2">
        <f t="shared" si="11"/>
        <v>146.46383</v>
      </c>
    </row>
    <row r="47">
      <c r="A47" s="1" t="s">
        <v>59</v>
      </c>
      <c r="B47" s="2" t="str">
        <f t="shared" si="1"/>
        <v>aa1</v>
      </c>
      <c r="C47" s="2" t="str">
        <f t="shared" si="2"/>
        <v>f</v>
      </c>
      <c r="D47" s="2" t="str">
        <f t="shared" si="3"/>
        <v>23</v>
      </c>
      <c r="E47" s="2" t="str">
        <f t="shared" si="4"/>
        <v>aa1f</v>
      </c>
      <c r="F47" s="2" t="str">
        <f t="shared" si="5"/>
        <v>08.12.09</v>
      </c>
      <c r="G47" s="1">
        <v>-157.891</v>
      </c>
      <c r="H47" s="1">
        <v>1.271</v>
      </c>
      <c r="I47" s="2">
        <f t="shared" si="6"/>
        <v>145.622879</v>
      </c>
      <c r="J47" s="2">
        <f t="shared" si="7"/>
        <v>22.109</v>
      </c>
      <c r="K47" s="2">
        <f t="shared" si="8"/>
        <v>0.1494426658</v>
      </c>
      <c r="L47" s="2">
        <f t="shared" si="9"/>
        <v>1.262183778</v>
      </c>
      <c r="M47" s="2">
        <f t="shared" si="10"/>
        <v>146.8850628</v>
      </c>
      <c r="N47" s="2">
        <f t="shared" si="11"/>
        <v>146.8851388</v>
      </c>
    </row>
    <row r="48">
      <c r="A48" s="1" t="s">
        <v>60</v>
      </c>
      <c r="B48" s="2" t="str">
        <f t="shared" si="1"/>
        <v>aa1</v>
      </c>
      <c r="C48" s="2" t="str">
        <f t="shared" si="2"/>
        <v>f</v>
      </c>
      <c r="D48" s="2" t="str">
        <f t="shared" si="3"/>
        <v>23</v>
      </c>
      <c r="E48" s="2" t="str">
        <f t="shared" si="4"/>
        <v>aa1f</v>
      </c>
      <c r="F48" s="2" t="str">
        <f t="shared" si="5"/>
        <v>08.12.09</v>
      </c>
      <c r="G48" s="1">
        <v>-133.363</v>
      </c>
      <c r="H48" s="1">
        <v>0.901</v>
      </c>
      <c r="I48" s="2">
        <f t="shared" si="6"/>
        <v>145.622879</v>
      </c>
      <c r="J48" s="2">
        <f t="shared" si="7"/>
        <v>46.637</v>
      </c>
      <c r="K48" s="2">
        <f t="shared" si="8"/>
        <v>0.4215593287</v>
      </c>
      <c r="L48" s="2">
        <f t="shared" si="9"/>
        <v>0.7962968871</v>
      </c>
      <c r="M48" s="2">
        <f t="shared" si="10"/>
        <v>146.4191759</v>
      </c>
      <c r="N48" s="2">
        <f t="shared" si="11"/>
        <v>146.4197827</v>
      </c>
    </row>
    <row r="49">
      <c r="A49" s="1" t="s">
        <v>61</v>
      </c>
      <c r="B49" s="2" t="str">
        <f t="shared" si="1"/>
        <v>aa1</v>
      </c>
      <c r="C49" s="2" t="str">
        <f t="shared" si="2"/>
        <v>f</v>
      </c>
      <c r="D49" s="2" t="str">
        <f t="shared" si="3"/>
        <v>23</v>
      </c>
      <c r="E49" s="2" t="str">
        <f t="shared" si="4"/>
        <v>aa1f</v>
      </c>
      <c r="F49" s="2" t="str">
        <f t="shared" si="5"/>
        <v>08.12.09</v>
      </c>
      <c r="G49" s="1">
        <v>-173.66</v>
      </c>
      <c r="H49" s="1">
        <v>0.308</v>
      </c>
      <c r="I49" s="2">
        <f t="shared" si="6"/>
        <v>145.622879</v>
      </c>
      <c r="J49" s="2">
        <f t="shared" si="7"/>
        <v>6.34</v>
      </c>
      <c r="K49" s="2">
        <f t="shared" si="8"/>
        <v>0.01748951275</v>
      </c>
      <c r="L49" s="2">
        <f t="shared" si="9"/>
        <v>0.3075030357</v>
      </c>
      <c r="M49" s="2">
        <f t="shared" si="10"/>
        <v>145.930382</v>
      </c>
      <c r="N49" s="2">
        <f t="shared" si="11"/>
        <v>145.9303831</v>
      </c>
    </row>
    <row r="50">
      <c r="A50" s="1" t="s">
        <v>62</v>
      </c>
      <c r="B50" s="2" t="str">
        <f t="shared" si="1"/>
        <v>aa1</v>
      </c>
      <c r="C50" s="2" t="str">
        <f t="shared" si="2"/>
        <v>f</v>
      </c>
      <c r="D50" s="2" t="str">
        <f t="shared" si="3"/>
        <v>23</v>
      </c>
      <c r="E50" s="2" t="str">
        <f t="shared" si="4"/>
        <v>aa1f</v>
      </c>
      <c r="F50" s="2" t="str">
        <f t="shared" si="5"/>
        <v>08.12.09</v>
      </c>
      <c r="G50" s="1">
        <v>-140.013</v>
      </c>
      <c r="H50" s="1">
        <v>1.491</v>
      </c>
      <c r="I50" s="2">
        <f t="shared" si="6"/>
        <v>145.622879</v>
      </c>
      <c r="J50" s="2">
        <f t="shared" si="7"/>
        <v>39.987</v>
      </c>
      <c r="K50" s="2">
        <f t="shared" si="8"/>
        <v>1.123796743</v>
      </c>
      <c r="L50" s="2">
        <f t="shared" si="9"/>
        <v>0.9798785023</v>
      </c>
      <c r="M50" s="2">
        <f t="shared" si="10"/>
        <v>146.6027575</v>
      </c>
      <c r="N50" s="2">
        <f t="shared" si="11"/>
        <v>146.6070647</v>
      </c>
    </row>
    <row r="51">
      <c r="A51" s="1" t="s">
        <v>63</v>
      </c>
      <c r="B51" s="2" t="str">
        <f t="shared" si="1"/>
        <v>aa1</v>
      </c>
      <c r="C51" s="2" t="str">
        <f t="shared" si="2"/>
        <v>m</v>
      </c>
      <c r="D51" s="2" t="str">
        <f t="shared" si="3"/>
        <v>09</v>
      </c>
      <c r="E51" s="2" t="str">
        <f t="shared" si="4"/>
        <v>aa1m</v>
      </c>
      <c r="F51" s="2" t="str">
        <f t="shared" si="5"/>
        <v>08.12.09</v>
      </c>
      <c r="G51" s="1">
        <v>180.0</v>
      </c>
      <c r="H51" s="1">
        <v>1.004</v>
      </c>
      <c r="I51" s="2">
        <f t="shared" si="6"/>
        <v>40.337097</v>
      </c>
      <c r="J51" s="2">
        <f t="shared" si="7"/>
        <v>0</v>
      </c>
      <c r="K51" s="2">
        <f t="shared" si="8"/>
        <v>0</v>
      </c>
      <c r="L51" s="2">
        <f t="shared" si="9"/>
        <v>1.004</v>
      </c>
      <c r="M51" s="2">
        <f t="shared" si="10"/>
        <v>41.341097</v>
      </c>
      <c r="N51" s="2">
        <f t="shared" si="11"/>
        <v>41.341097</v>
      </c>
    </row>
    <row r="52">
      <c r="A52" s="1" t="s">
        <v>64</v>
      </c>
      <c r="B52" s="2" t="str">
        <f t="shared" si="1"/>
        <v>aa1</v>
      </c>
      <c r="C52" s="2" t="str">
        <f t="shared" si="2"/>
        <v>m</v>
      </c>
      <c r="D52" s="2" t="str">
        <f t="shared" si="3"/>
        <v>10</v>
      </c>
      <c r="E52" s="2" t="str">
        <f t="shared" si="4"/>
        <v>aa1m</v>
      </c>
      <c r="F52" s="2" t="str">
        <f t="shared" si="5"/>
        <v>08.12.09</v>
      </c>
      <c r="G52" s="1">
        <v>116.565</v>
      </c>
      <c r="H52" s="1">
        <v>0.652</v>
      </c>
      <c r="I52" s="2">
        <f t="shared" si="6"/>
        <v>47.85751</v>
      </c>
      <c r="J52" s="2">
        <f t="shared" si="7"/>
        <v>63.435</v>
      </c>
      <c r="K52" s="2">
        <f t="shared" si="8"/>
        <v>0.3698384882</v>
      </c>
      <c r="L52" s="2">
        <f t="shared" si="9"/>
        <v>0.5369576265</v>
      </c>
      <c r="M52" s="2">
        <f t="shared" si="10"/>
        <v>48.39446763</v>
      </c>
      <c r="N52" s="2">
        <f t="shared" si="11"/>
        <v>48.39588079</v>
      </c>
    </row>
    <row r="53">
      <c r="A53" s="1" t="s">
        <v>65</v>
      </c>
      <c r="B53" s="2" t="str">
        <f t="shared" si="1"/>
        <v>aa1</v>
      </c>
      <c r="C53" s="2" t="str">
        <f t="shared" si="2"/>
        <v>m</v>
      </c>
      <c r="D53" s="2" t="str">
        <f t="shared" si="3"/>
        <v>13</v>
      </c>
      <c r="E53" s="2" t="str">
        <f t="shared" si="4"/>
        <v>aa1m</v>
      </c>
      <c r="F53" s="2" t="str">
        <f t="shared" si="5"/>
        <v>08.12.09</v>
      </c>
      <c r="G53" s="1">
        <v>96.34</v>
      </c>
      <c r="H53" s="1">
        <v>0.32</v>
      </c>
      <c r="I53" s="2">
        <f t="shared" si="6"/>
        <v>70.418749</v>
      </c>
      <c r="J53" s="2">
        <f t="shared" si="7"/>
        <v>83.66</v>
      </c>
      <c r="K53" s="2">
        <f t="shared" si="8"/>
        <v>0.293759249</v>
      </c>
      <c r="L53" s="2">
        <f t="shared" si="9"/>
        <v>0.1269074609</v>
      </c>
      <c r="M53" s="2">
        <f t="shared" si="10"/>
        <v>70.54565646</v>
      </c>
      <c r="N53" s="2">
        <f t="shared" si="11"/>
        <v>70.54626808</v>
      </c>
    </row>
    <row r="54">
      <c r="A54" s="1" t="s">
        <v>66</v>
      </c>
      <c r="B54" s="2" t="str">
        <f t="shared" si="1"/>
        <v>aa1</v>
      </c>
      <c r="C54" s="2" t="str">
        <f t="shared" si="2"/>
        <v>m</v>
      </c>
      <c r="D54" s="2" t="str">
        <f t="shared" si="3"/>
        <v>15</v>
      </c>
      <c r="E54" s="2" t="str">
        <f t="shared" si="4"/>
        <v>aa1m</v>
      </c>
      <c r="F54" s="2" t="str">
        <f t="shared" si="5"/>
        <v>08.12.09</v>
      </c>
      <c r="G54" s="1">
        <v>123.69</v>
      </c>
      <c r="H54" s="1">
        <v>0.265</v>
      </c>
      <c r="I54" s="2">
        <f t="shared" si="6"/>
        <v>85.459575</v>
      </c>
      <c r="J54" s="2">
        <f t="shared" si="7"/>
        <v>56.31</v>
      </c>
      <c r="K54" s="2">
        <f t="shared" si="8"/>
        <v>0.06264821674</v>
      </c>
      <c r="L54" s="2">
        <f t="shared" si="9"/>
        <v>0.257488254</v>
      </c>
      <c r="M54" s="2">
        <f t="shared" si="10"/>
        <v>85.71706325</v>
      </c>
      <c r="N54" s="2">
        <f t="shared" si="11"/>
        <v>85.71708615</v>
      </c>
    </row>
    <row r="55">
      <c r="A55" s="1" t="s">
        <v>67</v>
      </c>
      <c r="B55" s="2" t="str">
        <f t="shared" si="1"/>
        <v>aa1</v>
      </c>
      <c r="C55" s="2" t="str">
        <f t="shared" si="2"/>
        <v>m</v>
      </c>
      <c r="D55" s="2" t="str">
        <f t="shared" si="3"/>
        <v>17</v>
      </c>
      <c r="E55" s="2" t="str">
        <f t="shared" si="4"/>
        <v>aa1m</v>
      </c>
      <c r="F55" s="2" t="str">
        <f t="shared" si="5"/>
        <v>08.06.08</v>
      </c>
      <c r="G55" s="1">
        <v>150.945</v>
      </c>
      <c r="H55" s="1">
        <v>1.175</v>
      </c>
      <c r="I55" s="2">
        <f t="shared" si="6"/>
        <v>100.500401</v>
      </c>
      <c r="J55" s="2">
        <f t="shared" si="7"/>
        <v>29.055</v>
      </c>
      <c r="K55" s="2">
        <f t="shared" si="8"/>
        <v>0.8269095579</v>
      </c>
      <c r="L55" s="2">
        <f t="shared" si="9"/>
        <v>0.8347727733</v>
      </c>
      <c r="M55" s="2">
        <f t="shared" si="10"/>
        <v>101.3351738</v>
      </c>
      <c r="N55" s="2">
        <f t="shared" si="11"/>
        <v>101.3385476</v>
      </c>
    </row>
    <row r="56">
      <c r="A56" s="1" t="s">
        <v>68</v>
      </c>
      <c r="B56" s="2" t="str">
        <f t="shared" si="1"/>
        <v>aa1</v>
      </c>
      <c r="C56" s="2" t="str">
        <f t="shared" si="2"/>
        <v>m</v>
      </c>
      <c r="D56" s="2" t="str">
        <f t="shared" si="3"/>
        <v>17</v>
      </c>
      <c r="E56" s="2" t="str">
        <f t="shared" si="4"/>
        <v>aa1m</v>
      </c>
      <c r="F56" s="2" t="str">
        <f t="shared" si="5"/>
        <v>08.06.09</v>
      </c>
      <c r="G56" s="1">
        <v>180.0</v>
      </c>
      <c r="H56" s="1">
        <v>0.604</v>
      </c>
      <c r="I56" s="2">
        <f t="shared" si="6"/>
        <v>100.500401</v>
      </c>
      <c r="J56" s="2">
        <f t="shared" si="7"/>
        <v>0</v>
      </c>
      <c r="K56" s="2">
        <f t="shared" si="8"/>
        <v>0</v>
      </c>
      <c r="L56" s="2">
        <f t="shared" si="9"/>
        <v>0.604</v>
      </c>
      <c r="M56" s="2">
        <f t="shared" si="10"/>
        <v>101.104401</v>
      </c>
      <c r="N56" s="2">
        <f t="shared" si="11"/>
        <v>101.104401</v>
      </c>
    </row>
    <row r="57">
      <c r="A57" s="1" t="s">
        <v>69</v>
      </c>
      <c r="B57" s="2" t="str">
        <f t="shared" si="1"/>
        <v>aa1</v>
      </c>
      <c r="C57" s="2" t="str">
        <f t="shared" si="2"/>
        <v>m</v>
      </c>
      <c r="D57" s="2" t="str">
        <f t="shared" si="3"/>
        <v>17</v>
      </c>
      <c r="E57" s="2" t="str">
        <f t="shared" si="4"/>
        <v>aa1m</v>
      </c>
      <c r="F57" s="2" t="str">
        <f t="shared" si="5"/>
        <v>08.06.09</v>
      </c>
      <c r="G57" s="1">
        <v>95.711</v>
      </c>
      <c r="H57" s="1">
        <v>0.758</v>
      </c>
      <c r="I57" s="2">
        <f t="shared" si="6"/>
        <v>100.500401</v>
      </c>
      <c r="J57" s="2">
        <f t="shared" si="7"/>
        <v>84.289</v>
      </c>
      <c r="K57" s="2">
        <f t="shared" si="8"/>
        <v>0.3858083057</v>
      </c>
      <c r="L57" s="2">
        <f t="shared" si="9"/>
        <v>0.652469119</v>
      </c>
      <c r="M57" s="2">
        <f t="shared" si="10"/>
        <v>101.1528701</v>
      </c>
      <c r="N57" s="2">
        <f t="shared" si="11"/>
        <v>101.1536059</v>
      </c>
    </row>
    <row r="58">
      <c r="A58" s="1" t="s">
        <v>70</v>
      </c>
      <c r="B58" s="2" t="str">
        <f t="shared" si="1"/>
        <v>aa1</v>
      </c>
      <c r="C58" s="2" t="str">
        <f t="shared" si="2"/>
        <v>m</v>
      </c>
      <c r="D58" s="2" t="str">
        <f t="shared" si="3"/>
        <v>17</v>
      </c>
      <c r="E58" s="2" t="str">
        <f t="shared" si="4"/>
        <v>aa1m</v>
      </c>
      <c r="F58" s="2" t="str">
        <f t="shared" si="5"/>
        <v>08.06.09</v>
      </c>
      <c r="G58" s="1">
        <v>-158.199</v>
      </c>
      <c r="H58" s="1">
        <v>1.219</v>
      </c>
      <c r="I58" s="2">
        <f t="shared" si="6"/>
        <v>100.500401</v>
      </c>
      <c r="J58" s="2">
        <f t="shared" si="7"/>
        <v>21.801</v>
      </c>
      <c r="K58" s="2">
        <f t="shared" si="8"/>
        <v>0.2303968442</v>
      </c>
      <c r="L58" s="2">
        <f t="shared" si="9"/>
        <v>1.197028945</v>
      </c>
      <c r="M58" s="2">
        <f t="shared" si="10"/>
        <v>101.6974299</v>
      </c>
      <c r="N58" s="2">
        <f t="shared" si="11"/>
        <v>101.6976909</v>
      </c>
    </row>
    <row r="59">
      <c r="A59" s="1" t="s">
        <v>71</v>
      </c>
      <c r="B59" s="2" t="str">
        <f t="shared" si="1"/>
        <v>aa1</v>
      </c>
      <c r="C59" s="2" t="str">
        <f t="shared" si="2"/>
        <v>m</v>
      </c>
      <c r="D59" s="2" t="str">
        <f t="shared" si="3"/>
        <v>17</v>
      </c>
      <c r="E59" s="2" t="str">
        <f t="shared" si="4"/>
        <v>aa1m</v>
      </c>
      <c r="F59" s="2" t="str">
        <f t="shared" si="5"/>
        <v>08.12.09</v>
      </c>
      <c r="G59" s="1">
        <v>120.069</v>
      </c>
      <c r="H59" s="1">
        <v>0.794</v>
      </c>
      <c r="I59" s="2">
        <f t="shared" si="6"/>
        <v>100.500401</v>
      </c>
      <c r="J59" s="2">
        <f t="shared" si="7"/>
        <v>59.931</v>
      </c>
      <c r="K59" s="2">
        <f t="shared" si="8"/>
        <v>0.1893062305</v>
      </c>
      <c r="L59" s="2">
        <f t="shared" si="9"/>
        <v>0.7711025555</v>
      </c>
      <c r="M59" s="2">
        <f t="shared" si="10"/>
        <v>101.2715036</v>
      </c>
      <c r="N59" s="2">
        <f t="shared" si="11"/>
        <v>101.2716805</v>
      </c>
    </row>
    <row r="60">
      <c r="A60" s="1" t="s">
        <v>72</v>
      </c>
      <c r="B60" s="2" t="str">
        <f t="shared" si="1"/>
        <v>aa1</v>
      </c>
      <c r="C60" s="2" t="str">
        <f t="shared" si="2"/>
        <v>m</v>
      </c>
      <c r="D60" s="2" t="str">
        <f t="shared" si="3"/>
        <v>17</v>
      </c>
      <c r="E60" s="2" t="str">
        <f t="shared" si="4"/>
        <v>aa1m</v>
      </c>
      <c r="F60" s="2" t="str">
        <f t="shared" si="5"/>
        <v>08.12.09</v>
      </c>
      <c r="G60" s="1">
        <v>-138.013</v>
      </c>
      <c r="H60" s="1">
        <v>0.486</v>
      </c>
      <c r="I60" s="2">
        <f t="shared" si="6"/>
        <v>100.500401</v>
      </c>
      <c r="J60" s="2">
        <f t="shared" si="7"/>
        <v>41.987</v>
      </c>
      <c r="K60" s="2">
        <f t="shared" si="8"/>
        <v>0.442864798</v>
      </c>
      <c r="L60" s="2">
        <f t="shared" si="9"/>
        <v>0.2001668572</v>
      </c>
      <c r="M60" s="2">
        <f t="shared" si="10"/>
        <v>100.7005679</v>
      </c>
      <c r="N60" s="2">
        <f t="shared" si="11"/>
        <v>100.7015417</v>
      </c>
    </row>
    <row r="61">
      <c r="A61" s="1" t="s">
        <v>73</v>
      </c>
      <c r="B61" s="2" t="str">
        <f t="shared" si="1"/>
        <v>aa1</v>
      </c>
      <c r="C61" s="2" t="str">
        <f t="shared" si="2"/>
        <v>m</v>
      </c>
      <c r="D61" s="2" t="str">
        <f t="shared" si="3"/>
        <v>19</v>
      </c>
      <c r="E61" s="2" t="str">
        <f t="shared" si="4"/>
        <v>aa1m</v>
      </c>
      <c r="F61" s="2" t="str">
        <f t="shared" si="5"/>
        <v>08.06.09</v>
      </c>
      <c r="G61" s="1">
        <v>-142.431</v>
      </c>
      <c r="H61" s="1">
        <v>2.476</v>
      </c>
      <c r="I61" s="2">
        <f t="shared" si="6"/>
        <v>115.541227</v>
      </c>
      <c r="J61" s="2">
        <f t="shared" si="7"/>
        <v>37.569</v>
      </c>
      <c r="K61" s="2">
        <f t="shared" si="8"/>
        <v>0.3212487219</v>
      </c>
      <c r="L61" s="2">
        <f t="shared" si="9"/>
        <v>2.455071335</v>
      </c>
      <c r="M61" s="2">
        <f t="shared" si="10"/>
        <v>117.9962983</v>
      </c>
      <c r="N61" s="2">
        <f t="shared" si="11"/>
        <v>117.9967356</v>
      </c>
    </row>
    <row r="62">
      <c r="A62" s="1" t="s">
        <v>74</v>
      </c>
      <c r="B62" s="2" t="str">
        <f t="shared" si="1"/>
        <v>aa1</v>
      </c>
      <c r="C62" s="2" t="str">
        <f t="shared" si="2"/>
        <v>m</v>
      </c>
      <c r="D62" s="2" t="str">
        <f t="shared" si="3"/>
        <v>19</v>
      </c>
      <c r="E62" s="2" t="str">
        <f t="shared" si="4"/>
        <v>aa1m</v>
      </c>
      <c r="F62" s="2" t="str">
        <f t="shared" si="5"/>
        <v>08.06.09</v>
      </c>
      <c r="G62" s="1">
        <v>-176.186</v>
      </c>
      <c r="H62" s="1">
        <v>0.586</v>
      </c>
      <c r="I62" s="2">
        <f t="shared" si="6"/>
        <v>115.541227</v>
      </c>
      <c r="J62" s="2">
        <f t="shared" si="7"/>
        <v>3.814</v>
      </c>
      <c r="K62" s="2">
        <f t="shared" si="8"/>
        <v>0.365002474</v>
      </c>
      <c r="L62" s="2">
        <f t="shared" si="9"/>
        <v>0.4584421381</v>
      </c>
      <c r="M62" s="2">
        <f t="shared" si="10"/>
        <v>115.9996691</v>
      </c>
      <c r="N62" s="2">
        <f t="shared" si="11"/>
        <v>116.0002434</v>
      </c>
    </row>
    <row r="63">
      <c r="A63" s="1" t="s">
        <v>75</v>
      </c>
      <c r="B63" s="2" t="str">
        <f t="shared" si="1"/>
        <v>aa1</v>
      </c>
      <c r="C63" s="2" t="str">
        <f t="shared" si="2"/>
        <v>m</v>
      </c>
      <c r="D63" s="2" t="str">
        <f t="shared" si="3"/>
        <v>19</v>
      </c>
      <c r="E63" s="2" t="str">
        <f t="shared" si="4"/>
        <v>aa1m</v>
      </c>
      <c r="F63" s="2" t="str">
        <f t="shared" si="5"/>
        <v>08.06.09</v>
      </c>
      <c r="G63" s="1">
        <v>-138.991</v>
      </c>
      <c r="H63" s="1">
        <v>2.3</v>
      </c>
      <c r="I63" s="2">
        <f t="shared" si="6"/>
        <v>115.541227</v>
      </c>
      <c r="J63" s="2">
        <f t="shared" si="7"/>
        <v>41.009</v>
      </c>
      <c r="K63" s="2">
        <f t="shared" si="8"/>
        <v>0.3852550098</v>
      </c>
      <c r="L63" s="2">
        <f t="shared" si="9"/>
        <v>2.267504923</v>
      </c>
      <c r="M63" s="2">
        <f t="shared" si="10"/>
        <v>117.8087319</v>
      </c>
      <c r="N63" s="2">
        <f t="shared" si="11"/>
        <v>117.8093618</v>
      </c>
    </row>
    <row r="64">
      <c r="A64" s="1" t="s">
        <v>76</v>
      </c>
      <c r="B64" s="2" t="str">
        <f t="shared" si="1"/>
        <v>aa1</v>
      </c>
      <c r="C64" s="2" t="str">
        <f t="shared" si="2"/>
        <v>m</v>
      </c>
      <c r="D64" s="2" t="str">
        <f t="shared" si="3"/>
        <v>19</v>
      </c>
      <c r="E64" s="2" t="str">
        <f t="shared" si="4"/>
        <v>aa1m</v>
      </c>
      <c r="F64" s="2" t="str">
        <f t="shared" si="5"/>
        <v>08.06.09</v>
      </c>
      <c r="G64" s="1">
        <v>161.565</v>
      </c>
      <c r="H64" s="1">
        <v>1.05</v>
      </c>
      <c r="I64" s="2">
        <f t="shared" si="6"/>
        <v>115.541227</v>
      </c>
      <c r="J64" s="2">
        <f t="shared" si="7"/>
        <v>18.435</v>
      </c>
      <c r="K64" s="2">
        <f t="shared" si="8"/>
        <v>0.4229226826</v>
      </c>
      <c r="L64" s="2">
        <f t="shared" si="9"/>
        <v>0.9610600421</v>
      </c>
      <c r="M64" s="2">
        <f t="shared" si="10"/>
        <v>116.502287</v>
      </c>
      <c r="N64" s="2">
        <f t="shared" si="11"/>
        <v>116.5030547</v>
      </c>
    </row>
    <row r="65">
      <c r="A65" s="1" t="s">
        <v>77</v>
      </c>
      <c r="B65" s="2" t="str">
        <f t="shared" si="1"/>
        <v>aa1</v>
      </c>
      <c r="C65" s="2" t="str">
        <f t="shared" si="2"/>
        <v>m</v>
      </c>
      <c r="D65" s="2" t="str">
        <f t="shared" si="3"/>
        <v>19</v>
      </c>
      <c r="E65" s="2" t="str">
        <f t="shared" si="4"/>
        <v>aa1m</v>
      </c>
      <c r="F65" s="2" t="str">
        <f t="shared" si="5"/>
        <v>08.12.09</v>
      </c>
      <c r="G65" s="1">
        <v>-176.532</v>
      </c>
      <c r="H65" s="1">
        <v>1.203</v>
      </c>
      <c r="I65" s="2">
        <f t="shared" si="6"/>
        <v>115.541227</v>
      </c>
      <c r="J65" s="2">
        <f t="shared" si="7"/>
        <v>3.468</v>
      </c>
      <c r="K65" s="2">
        <f t="shared" si="8"/>
        <v>0.3857324969</v>
      </c>
      <c r="L65" s="2">
        <f t="shared" si="9"/>
        <v>1.139482093</v>
      </c>
      <c r="M65" s="2">
        <f t="shared" si="10"/>
        <v>116.6807091</v>
      </c>
      <c r="N65" s="2">
        <f t="shared" si="11"/>
        <v>116.6813467</v>
      </c>
    </row>
    <row r="66">
      <c r="A66" s="1" t="s">
        <v>78</v>
      </c>
      <c r="B66" s="2" t="str">
        <f t="shared" si="1"/>
        <v>aa1</v>
      </c>
      <c r="C66" s="2" t="str">
        <f t="shared" si="2"/>
        <v>m</v>
      </c>
      <c r="D66" s="2" t="str">
        <f t="shared" si="3"/>
        <v>19</v>
      </c>
      <c r="E66" s="2" t="str">
        <f t="shared" si="4"/>
        <v>aa1m</v>
      </c>
      <c r="F66" s="2" t="str">
        <f t="shared" si="5"/>
        <v>08.12.09</v>
      </c>
      <c r="G66" s="1">
        <v>171.254</v>
      </c>
      <c r="H66" s="1">
        <v>0.939</v>
      </c>
      <c r="I66" s="2">
        <f t="shared" si="6"/>
        <v>115.541227</v>
      </c>
      <c r="J66" s="2">
        <f t="shared" si="7"/>
        <v>8.746</v>
      </c>
      <c r="K66" s="2">
        <f t="shared" si="8"/>
        <v>0.5895439482</v>
      </c>
      <c r="L66" s="2">
        <f t="shared" si="9"/>
        <v>0.7308617743</v>
      </c>
      <c r="M66" s="2">
        <f t="shared" si="10"/>
        <v>116.2720888</v>
      </c>
      <c r="N66" s="2">
        <f t="shared" si="11"/>
        <v>116.2735834</v>
      </c>
    </row>
    <row r="67">
      <c r="A67" s="1" t="s">
        <v>79</v>
      </c>
      <c r="B67" s="2" t="str">
        <f t="shared" si="1"/>
        <v>aa1</v>
      </c>
      <c r="C67" s="2" t="str">
        <f t="shared" si="2"/>
        <v>m</v>
      </c>
      <c r="D67" s="2" t="str">
        <f t="shared" si="3"/>
        <v>19</v>
      </c>
      <c r="E67" s="2" t="str">
        <f t="shared" si="4"/>
        <v>aa1m</v>
      </c>
      <c r="F67" s="2" t="str">
        <f t="shared" si="5"/>
        <v>08.12.09</v>
      </c>
      <c r="G67" s="1">
        <v>180.0</v>
      </c>
      <c r="H67" s="1">
        <v>0.523</v>
      </c>
      <c r="I67" s="2">
        <f t="shared" si="6"/>
        <v>115.541227</v>
      </c>
      <c r="J67" s="2">
        <f t="shared" si="7"/>
        <v>0</v>
      </c>
      <c r="K67" s="2">
        <f t="shared" si="8"/>
        <v>0</v>
      </c>
      <c r="L67" s="2">
        <f t="shared" si="9"/>
        <v>0.523</v>
      </c>
      <c r="M67" s="2">
        <f t="shared" si="10"/>
        <v>116.064227</v>
      </c>
      <c r="N67" s="2">
        <f t="shared" si="11"/>
        <v>116.064227</v>
      </c>
    </row>
    <row r="68">
      <c r="A68" s="1" t="s">
        <v>80</v>
      </c>
      <c r="B68" s="2" t="str">
        <f t="shared" si="1"/>
        <v>aa1</v>
      </c>
      <c r="C68" s="2" t="str">
        <f t="shared" si="2"/>
        <v>m</v>
      </c>
      <c r="D68" s="2" t="str">
        <f t="shared" si="3"/>
        <v>19</v>
      </c>
      <c r="E68" s="2" t="str">
        <f t="shared" si="4"/>
        <v>aa1m</v>
      </c>
      <c r="F68" s="2" t="str">
        <f t="shared" si="5"/>
        <v>08.12.09</v>
      </c>
      <c r="G68" s="1">
        <v>173.48</v>
      </c>
      <c r="H68" s="1">
        <v>1.295</v>
      </c>
      <c r="I68" s="2">
        <f t="shared" si="6"/>
        <v>115.541227</v>
      </c>
      <c r="J68" s="2">
        <f t="shared" si="7"/>
        <v>6.52</v>
      </c>
      <c r="K68" s="2">
        <f t="shared" si="8"/>
        <v>0.3038166037</v>
      </c>
      <c r="L68" s="2">
        <f t="shared" si="9"/>
        <v>1.258856811</v>
      </c>
      <c r="M68" s="2">
        <f t="shared" si="10"/>
        <v>116.8000838</v>
      </c>
      <c r="N68" s="2">
        <f t="shared" si="11"/>
        <v>116.8004789</v>
      </c>
    </row>
    <row r="69">
      <c r="A69" s="1" t="s">
        <v>81</v>
      </c>
      <c r="B69" s="2" t="str">
        <f t="shared" si="1"/>
        <v>aa1</v>
      </c>
      <c r="C69" s="2" t="str">
        <f t="shared" si="2"/>
        <v>m</v>
      </c>
      <c r="D69" s="2" t="str">
        <f t="shared" si="3"/>
        <v>19</v>
      </c>
      <c r="E69" s="2" t="str">
        <f t="shared" si="4"/>
        <v>aa1m</v>
      </c>
      <c r="F69" s="2" t="str">
        <f t="shared" si="5"/>
        <v>08.12.09</v>
      </c>
      <c r="G69" s="1">
        <v>129.472</v>
      </c>
      <c r="H69" s="1">
        <v>0.815</v>
      </c>
      <c r="I69" s="2">
        <f t="shared" si="6"/>
        <v>115.541227</v>
      </c>
      <c r="J69" s="2">
        <f t="shared" si="7"/>
        <v>50.528</v>
      </c>
      <c r="K69" s="2">
        <f t="shared" si="8"/>
        <v>0.21150282</v>
      </c>
      <c r="L69" s="2">
        <f t="shared" si="9"/>
        <v>0.7870778596</v>
      </c>
      <c r="M69" s="2">
        <f t="shared" si="10"/>
        <v>116.3283049</v>
      </c>
      <c r="N69" s="2">
        <f t="shared" si="11"/>
        <v>116.3284971</v>
      </c>
    </row>
    <row r="70">
      <c r="A70" s="1" t="s">
        <v>82</v>
      </c>
      <c r="B70" s="2" t="str">
        <f t="shared" si="1"/>
        <v>aa1</v>
      </c>
      <c r="C70" s="2" t="str">
        <f t="shared" si="2"/>
        <v>m</v>
      </c>
      <c r="D70" s="2" t="str">
        <f t="shared" si="3"/>
        <v>19</v>
      </c>
      <c r="E70" s="2" t="str">
        <f t="shared" si="4"/>
        <v>aa1m</v>
      </c>
      <c r="F70" s="2" t="str">
        <f t="shared" si="5"/>
        <v>08.12.09</v>
      </c>
      <c r="G70" s="1">
        <v>161.565</v>
      </c>
      <c r="H70" s="1">
        <v>0.585</v>
      </c>
      <c r="I70" s="2">
        <f t="shared" si="6"/>
        <v>115.541227</v>
      </c>
      <c r="J70" s="2">
        <f t="shared" si="7"/>
        <v>18.435</v>
      </c>
      <c r="K70" s="2">
        <f t="shared" si="8"/>
        <v>0.2356283517</v>
      </c>
      <c r="L70" s="2">
        <f t="shared" si="9"/>
        <v>0.5354477378</v>
      </c>
      <c r="M70" s="2">
        <f t="shared" si="10"/>
        <v>116.0766747</v>
      </c>
      <c r="N70" s="2">
        <f t="shared" si="11"/>
        <v>116.0769139</v>
      </c>
    </row>
    <row r="71">
      <c r="A71" s="1" t="s">
        <v>83</v>
      </c>
      <c r="B71" s="2" t="str">
        <f t="shared" si="1"/>
        <v>aa1</v>
      </c>
      <c r="C71" s="2" t="str">
        <f t="shared" si="2"/>
        <v>m</v>
      </c>
      <c r="D71" s="2" t="str">
        <f t="shared" si="3"/>
        <v>19</v>
      </c>
      <c r="E71" s="2" t="str">
        <f t="shared" si="4"/>
        <v>aa1m</v>
      </c>
      <c r="F71" s="2" t="str">
        <f t="shared" si="5"/>
        <v>08.12.09</v>
      </c>
      <c r="G71" s="1">
        <v>128.66</v>
      </c>
      <c r="H71" s="1">
        <v>0.926</v>
      </c>
      <c r="I71" s="2">
        <f t="shared" si="6"/>
        <v>115.541227</v>
      </c>
      <c r="J71" s="2">
        <f t="shared" si="7"/>
        <v>51.34</v>
      </c>
      <c r="K71" s="2">
        <f t="shared" si="8"/>
        <v>0.8142878485</v>
      </c>
      <c r="L71" s="2">
        <f t="shared" si="9"/>
        <v>0.4409209678</v>
      </c>
      <c r="M71" s="2">
        <f t="shared" si="10"/>
        <v>115.982148</v>
      </c>
      <c r="N71" s="2">
        <f t="shared" si="11"/>
        <v>115.9850064</v>
      </c>
    </row>
    <row r="72">
      <c r="A72" s="1" t="s">
        <v>84</v>
      </c>
      <c r="B72" s="2" t="str">
        <f t="shared" si="1"/>
        <v>aa1</v>
      </c>
      <c r="C72" s="2" t="str">
        <f t="shared" si="2"/>
        <v>m</v>
      </c>
      <c r="D72" s="2" t="str">
        <f t="shared" si="3"/>
        <v>21</v>
      </c>
      <c r="E72" s="2" t="str">
        <f t="shared" si="4"/>
        <v>aa1m</v>
      </c>
      <c r="F72" s="2" t="str">
        <f t="shared" si="5"/>
        <v>08.06.09</v>
      </c>
      <c r="G72" s="1">
        <v>145.62</v>
      </c>
      <c r="H72" s="1">
        <v>3.289</v>
      </c>
      <c r="I72" s="2">
        <f t="shared" si="6"/>
        <v>130.582053</v>
      </c>
      <c r="J72" s="2">
        <f t="shared" si="7"/>
        <v>34.38</v>
      </c>
      <c r="K72" s="2">
        <f t="shared" si="8"/>
        <v>0.5807989031</v>
      </c>
      <c r="L72" s="2">
        <f t="shared" si="9"/>
        <v>3.237312718</v>
      </c>
      <c r="M72" s="2">
        <f t="shared" si="10"/>
        <v>133.8193657</v>
      </c>
      <c r="N72" s="2">
        <f t="shared" si="11"/>
        <v>133.8206261</v>
      </c>
    </row>
    <row r="73">
      <c r="A73" s="1" t="s">
        <v>85</v>
      </c>
      <c r="B73" s="2" t="str">
        <f t="shared" si="1"/>
        <v>aa1</v>
      </c>
      <c r="C73" s="2" t="str">
        <f t="shared" si="2"/>
        <v>m</v>
      </c>
      <c r="D73" s="2" t="str">
        <f t="shared" si="3"/>
        <v>21</v>
      </c>
      <c r="E73" s="2" t="str">
        <f t="shared" si="4"/>
        <v>aa1m</v>
      </c>
      <c r="F73" s="2" t="str">
        <f t="shared" si="5"/>
        <v>08.06.09</v>
      </c>
      <c r="G73" s="1">
        <v>-176.186</v>
      </c>
      <c r="H73" s="1">
        <v>1.054</v>
      </c>
      <c r="I73" s="2">
        <f t="shared" si="6"/>
        <v>130.582053</v>
      </c>
      <c r="J73" s="2">
        <f t="shared" si="7"/>
        <v>3.814</v>
      </c>
      <c r="K73" s="2">
        <f t="shared" si="8"/>
        <v>0.6565061564</v>
      </c>
      <c r="L73" s="2">
        <f t="shared" si="9"/>
        <v>0.8245699889</v>
      </c>
      <c r="M73" s="2">
        <f t="shared" si="10"/>
        <v>131.406623</v>
      </c>
      <c r="N73" s="2">
        <f t="shared" si="11"/>
        <v>131.4082629</v>
      </c>
    </row>
    <row r="74">
      <c r="A74" s="1" t="s">
        <v>86</v>
      </c>
      <c r="B74" s="2" t="str">
        <f t="shared" si="1"/>
        <v>aa1</v>
      </c>
      <c r="C74" s="2" t="str">
        <f t="shared" si="2"/>
        <v>m</v>
      </c>
      <c r="D74" s="2" t="str">
        <f t="shared" si="3"/>
        <v>21</v>
      </c>
      <c r="E74" s="2" t="str">
        <f t="shared" si="4"/>
        <v>aa1m</v>
      </c>
      <c r="F74" s="2" t="str">
        <f t="shared" si="5"/>
        <v>08.12.09</v>
      </c>
      <c r="G74" s="1">
        <v>-138.814</v>
      </c>
      <c r="H74" s="1">
        <v>0.792</v>
      </c>
      <c r="I74" s="2">
        <f t="shared" si="6"/>
        <v>130.582053</v>
      </c>
      <c r="J74" s="2">
        <f t="shared" si="7"/>
        <v>41.186</v>
      </c>
      <c r="K74" s="2">
        <f t="shared" si="8"/>
        <v>0.2680720047</v>
      </c>
      <c r="L74" s="2">
        <f t="shared" si="9"/>
        <v>0.7452525748</v>
      </c>
      <c r="M74" s="2">
        <f t="shared" si="10"/>
        <v>131.3273056</v>
      </c>
      <c r="N74" s="2">
        <f t="shared" si="11"/>
        <v>131.3275792</v>
      </c>
    </row>
    <row r="75">
      <c r="A75" s="1" t="s">
        <v>87</v>
      </c>
      <c r="B75" s="2" t="str">
        <f t="shared" si="1"/>
        <v>aa1</v>
      </c>
      <c r="C75" s="2" t="str">
        <f t="shared" si="2"/>
        <v>m</v>
      </c>
      <c r="D75" s="2" t="str">
        <f t="shared" si="3"/>
        <v>21</v>
      </c>
      <c r="E75" s="2" t="str">
        <f t="shared" si="4"/>
        <v>aa1m</v>
      </c>
      <c r="F75" s="2" t="str">
        <f t="shared" si="5"/>
        <v>08.12.09</v>
      </c>
      <c r="G75" s="1">
        <v>-167.661</v>
      </c>
      <c r="H75" s="1">
        <v>1.197</v>
      </c>
      <c r="I75" s="2">
        <f t="shared" si="6"/>
        <v>130.582053</v>
      </c>
      <c r="J75" s="2">
        <f t="shared" si="7"/>
        <v>12.339</v>
      </c>
      <c r="K75" s="2">
        <f t="shared" si="8"/>
        <v>0.269823663</v>
      </c>
      <c r="L75" s="2">
        <f t="shared" si="9"/>
        <v>1.166192176</v>
      </c>
      <c r="M75" s="2">
        <f t="shared" si="10"/>
        <v>131.7482452</v>
      </c>
      <c r="N75" s="2">
        <f t="shared" si="11"/>
        <v>131.7485215</v>
      </c>
    </row>
    <row r="76">
      <c r="A76" s="1" t="s">
        <v>88</v>
      </c>
      <c r="B76" s="2" t="str">
        <f t="shared" si="1"/>
        <v>aa1</v>
      </c>
      <c r="C76" s="2" t="str">
        <f t="shared" si="2"/>
        <v>m</v>
      </c>
      <c r="D76" s="2" t="str">
        <f t="shared" si="3"/>
        <v>21</v>
      </c>
      <c r="E76" s="2" t="str">
        <f t="shared" si="4"/>
        <v>aa1m</v>
      </c>
      <c r="F76" s="2" t="str">
        <f t="shared" si="5"/>
        <v>08.12.09</v>
      </c>
      <c r="G76" s="1">
        <v>164.745</v>
      </c>
      <c r="H76" s="1">
        <v>0.823</v>
      </c>
      <c r="I76" s="2">
        <f t="shared" si="6"/>
        <v>130.582053</v>
      </c>
      <c r="J76" s="2">
        <f t="shared" si="7"/>
        <v>15.255</v>
      </c>
      <c r="K76" s="2">
        <f t="shared" si="8"/>
        <v>0.3601710426</v>
      </c>
      <c r="L76" s="2">
        <f t="shared" si="9"/>
        <v>0.7400039325</v>
      </c>
      <c r="M76" s="2">
        <f t="shared" si="10"/>
        <v>131.3220569</v>
      </c>
      <c r="N76" s="2">
        <f t="shared" si="11"/>
        <v>131.3225508</v>
      </c>
    </row>
    <row r="77">
      <c r="A77" s="1" t="s">
        <v>89</v>
      </c>
      <c r="B77" s="2" t="str">
        <f t="shared" si="1"/>
        <v>aa1</v>
      </c>
      <c r="C77" s="2" t="str">
        <f t="shared" si="2"/>
        <v>m</v>
      </c>
      <c r="D77" s="2" t="str">
        <f t="shared" si="3"/>
        <v>21</v>
      </c>
      <c r="E77" s="2" t="str">
        <f t="shared" si="4"/>
        <v>aa1m</v>
      </c>
      <c r="F77" s="2" t="str">
        <f t="shared" si="5"/>
        <v>08.12.09</v>
      </c>
      <c r="G77" s="1">
        <v>-132.274</v>
      </c>
      <c r="H77" s="1">
        <v>1.656</v>
      </c>
      <c r="I77" s="2">
        <f t="shared" si="6"/>
        <v>130.582053</v>
      </c>
      <c r="J77" s="2">
        <f t="shared" si="7"/>
        <v>47.726</v>
      </c>
      <c r="K77" s="2">
        <f t="shared" si="8"/>
        <v>0.9379299747</v>
      </c>
      <c r="L77" s="2">
        <f t="shared" si="9"/>
        <v>1.364779602</v>
      </c>
      <c r="M77" s="2">
        <f t="shared" si="10"/>
        <v>131.9468326</v>
      </c>
      <c r="N77" s="2">
        <f t="shared" si="11"/>
        <v>131.9501661</v>
      </c>
    </row>
    <row r="78">
      <c r="A78" s="1" t="s">
        <v>90</v>
      </c>
      <c r="B78" s="2" t="str">
        <f t="shared" si="1"/>
        <v>aa1</v>
      </c>
      <c r="C78" s="2" t="str">
        <f t="shared" si="2"/>
        <v>m</v>
      </c>
      <c r="D78" s="2" t="str">
        <f t="shared" si="3"/>
        <v>23</v>
      </c>
      <c r="E78" s="2" t="str">
        <f t="shared" si="4"/>
        <v>aa1m</v>
      </c>
      <c r="F78" s="2" t="str">
        <f t="shared" si="5"/>
        <v>08.0.609</v>
      </c>
      <c r="G78" s="1">
        <v>-161.565</v>
      </c>
      <c r="H78" s="1">
        <v>1.131</v>
      </c>
      <c r="I78" s="2">
        <f t="shared" si="6"/>
        <v>145.622879</v>
      </c>
      <c r="J78" s="2">
        <f t="shared" si="7"/>
        <v>18.435</v>
      </c>
      <c r="K78" s="2">
        <f t="shared" si="8"/>
        <v>0.4555481466</v>
      </c>
      <c r="L78" s="2">
        <f t="shared" si="9"/>
        <v>1.03519896</v>
      </c>
      <c r="M78" s="2">
        <f t="shared" si="10"/>
        <v>146.658078</v>
      </c>
      <c r="N78" s="2">
        <f t="shared" si="11"/>
        <v>146.6587855</v>
      </c>
    </row>
    <row r="79">
      <c r="A79" s="1" t="s">
        <v>91</v>
      </c>
      <c r="B79" s="2" t="str">
        <f t="shared" si="1"/>
        <v>aa1</v>
      </c>
      <c r="C79" s="2" t="str">
        <f t="shared" si="2"/>
        <v>m</v>
      </c>
      <c r="D79" s="2" t="str">
        <f t="shared" si="3"/>
        <v>23</v>
      </c>
      <c r="E79" s="2" t="str">
        <f t="shared" si="4"/>
        <v>aa1m</v>
      </c>
      <c r="F79" s="2" t="str">
        <f t="shared" si="5"/>
        <v>08.06.09</v>
      </c>
      <c r="G79" s="1">
        <v>176.424</v>
      </c>
      <c r="H79" s="1">
        <v>1.149</v>
      </c>
      <c r="I79" s="2">
        <f t="shared" si="6"/>
        <v>145.622879</v>
      </c>
      <c r="J79" s="2">
        <f t="shared" si="7"/>
        <v>3.576</v>
      </c>
      <c r="K79" s="2">
        <f t="shared" si="8"/>
        <v>0.4835829249</v>
      </c>
      <c r="L79" s="2">
        <f t="shared" si="9"/>
        <v>1.042280459</v>
      </c>
      <c r="M79" s="2">
        <f t="shared" si="10"/>
        <v>146.6651595</v>
      </c>
      <c r="N79" s="2">
        <f t="shared" si="11"/>
        <v>146.6659567</v>
      </c>
    </row>
    <row r="80">
      <c r="A80" s="1" t="s">
        <v>92</v>
      </c>
      <c r="B80" s="2" t="str">
        <f t="shared" si="1"/>
        <v>aa1</v>
      </c>
      <c r="C80" s="2" t="str">
        <f t="shared" si="2"/>
        <v>m</v>
      </c>
      <c r="D80" s="2" t="str">
        <f t="shared" si="3"/>
        <v>23</v>
      </c>
      <c r="E80" s="2" t="str">
        <f t="shared" si="4"/>
        <v>aa1m</v>
      </c>
      <c r="F80" s="2" t="str">
        <f t="shared" si="5"/>
        <v>08.06.09</v>
      </c>
      <c r="G80" s="1">
        <v>-167.471</v>
      </c>
      <c r="H80" s="1">
        <v>0.673</v>
      </c>
      <c r="I80" s="2">
        <f t="shared" si="6"/>
        <v>145.622879</v>
      </c>
      <c r="J80" s="2">
        <f t="shared" si="7"/>
        <v>12.529</v>
      </c>
      <c r="K80" s="2">
        <f t="shared" si="8"/>
        <v>0.02514456985</v>
      </c>
      <c r="L80" s="2">
        <f t="shared" si="9"/>
        <v>0.6725301113</v>
      </c>
      <c r="M80" s="2">
        <f t="shared" si="10"/>
        <v>146.2954091</v>
      </c>
      <c r="N80" s="2">
        <f t="shared" si="11"/>
        <v>146.2954113</v>
      </c>
    </row>
    <row r="81">
      <c r="A81" s="1" t="s">
        <v>93</v>
      </c>
      <c r="B81" s="2" t="str">
        <f t="shared" si="1"/>
        <v>aa1</v>
      </c>
      <c r="C81" s="2" t="str">
        <f t="shared" si="2"/>
        <v>m</v>
      </c>
      <c r="D81" s="2" t="str">
        <f t="shared" si="3"/>
        <v>23</v>
      </c>
      <c r="E81" s="2" t="str">
        <f t="shared" si="4"/>
        <v>aa1m</v>
      </c>
      <c r="F81" s="2" t="str">
        <f t="shared" si="5"/>
        <v>08.12.08</v>
      </c>
      <c r="G81" s="1">
        <v>-126.87</v>
      </c>
      <c r="H81" s="1">
        <v>0.366</v>
      </c>
      <c r="I81" s="2">
        <f t="shared" si="6"/>
        <v>145.622879</v>
      </c>
      <c r="J81" s="2">
        <f t="shared" si="7"/>
        <v>53.13</v>
      </c>
      <c r="K81" s="2">
        <f t="shared" si="8"/>
        <v>0.1001169173</v>
      </c>
      <c r="L81" s="2">
        <f t="shared" si="9"/>
        <v>0.3520406267</v>
      </c>
      <c r="M81" s="2">
        <f t="shared" si="10"/>
        <v>145.9749196</v>
      </c>
      <c r="N81" s="2">
        <f t="shared" si="11"/>
        <v>145.974954</v>
      </c>
    </row>
    <row r="82">
      <c r="A82" s="1" t="s">
        <v>94</v>
      </c>
      <c r="B82" s="2" t="str">
        <f t="shared" si="1"/>
        <v>aa1</v>
      </c>
      <c r="C82" s="2" t="str">
        <f t="shared" si="2"/>
        <v>m</v>
      </c>
      <c r="D82" s="2" t="str">
        <f t="shared" si="3"/>
        <v>23</v>
      </c>
      <c r="E82" s="2" t="str">
        <f t="shared" si="4"/>
        <v>aa1m</v>
      </c>
      <c r="F82" s="2" t="str">
        <f t="shared" si="5"/>
        <v>08.12.09</v>
      </c>
      <c r="G82" s="1">
        <v>-139.764</v>
      </c>
      <c r="H82" s="1">
        <v>0.617</v>
      </c>
      <c r="I82" s="2">
        <f t="shared" si="6"/>
        <v>145.622879</v>
      </c>
      <c r="J82" s="2">
        <f t="shared" si="7"/>
        <v>40.236</v>
      </c>
      <c r="K82" s="2">
        <f t="shared" si="8"/>
        <v>0.3507762226</v>
      </c>
      <c r="L82" s="2">
        <f t="shared" si="9"/>
        <v>0.5075874719</v>
      </c>
      <c r="M82" s="2">
        <f t="shared" si="10"/>
        <v>146.1304665</v>
      </c>
      <c r="N82" s="2">
        <f t="shared" si="11"/>
        <v>146.1308875</v>
      </c>
    </row>
    <row r="83">
      <c r="A83" s="1" t="s">
        <v>95</v>
      </c>
      <c r="B83" s="2" t="str">
        <f t="shared" si="1"/>
        <v>aa1</v>
      </c>
      <c r="C83" s="2" t="str">
        <f t="shared" si="2"/>
        <v>m</v>
      </c>
      <c r="D83" s="2" t="str">
        <f t="shared" si="3"/>
        <v>23</v>
      </c>
      <c r="E83" s="2" t="str">
        <f t="shared" si="4"/>
        <v>aa1m</v>
      </c>
      <c r="F83" s="2" t="str">
        <f t="shared" si="5"/>
        <v>08.12.09</v>
      </c>
      <c r="G83" s="1">
        <v>-155.556</v>
      </c>
      <c r="H83" s="1">
        <v>0.44</v>
      </c>
      <c r="I83" s="2">
        <f t="shared" si="6"/>
        <v>145.622879</v>
      </c>
      <c r="J83" s="2">
        <f t="shared" si="7"/>
        <v>24.444</v>
      </c>
      <c r="K83" s="2">
        <f t="shared" si="8"/>
        <v>0.2796489766</v>
      </c>
      <c r="L83" s="2">
        <f t="shared" si="9"/>
        <v>0.3397005297</v>
      </c>
      <c r="M83" s="2">
        <f t="shared" si="10"/>
        <v>145.9625795</v>
      </c>
      <c r="N83" s="2">
        <f t="shared" si="11"/>
        <v>145.9628474</v>
      </c>
    </row>
    <row r="84">
      <c r="A84" s="1" t="s">
        <v>96</v>
      </c>
      <c r="B84" s="2" t="str">
        <f t="shared" si="1"/>
        <v>aa1</v>
      </c>
      <c r="C84" s="2" t="str">
        <f t="shared" si="2"/>
        <v>m</v>
      </c>
      <c r="D84" s="2" t="str">
        <f t="shared" si="3"/>
        <v>23</v>
      </c>
      <c r="E84" s="2" t="str">
        <f t="shared" si="4"/>
        <v>aa1m</v>
      </c>
      <c r="F84" s="2" t="str">
        <f t="shared" si="5"/>
        <v>08.12.09</v>
      </c>
      <c r="G84" s="1">
        <v>-164.745</v>
      </c>
      <c r="H84" s="1">
        <v>0.842</v>
      </c>
      <c r="I84" s="2">
        <f t="shared" si="6"/>
        <v>145.622879</v>
      </c>
      <c r="J84" s="2">
        <f t="shared" si="7"/>
        <v>15.255</v>
      </c>
      <c r="K84" s="2">
        <f t="shared" si="8"/>
        <v>0.3684860485</v>
      </c>
      <c r="L84" s="2">
        <f t="shared" si="9"/>
        <v>0.7570878629</v>
      </c>
      <c r="M84" s="2">
        <f t="shared" si="10"/>
        <v>146.3799669</v>
      </c>
      <c r="N84" s="2">
        <f t="shared" si="11"/>
        <v>146.3804307</v>
      </c>
    </row>
    <row r="85">
      <c r="A85" s="1" t="s">
        <v>97</v>
      </c>
      <c r="B85" s="2" t="str">
        <f t="shared" si="1"/>
        <v>aa1</v>
      </c>
      <c r="C85" s="2" t="str">
        <f t="shared" si="2"/>
        <v>m</v>
      </c>
      <c r="D85" s="2" t="str">
        <f t="shared" si="3"/>
        <v>23</v>
      </c>
      <c r="E85" s="2" t="str">
        <f t="shared" si="4"/>
        <v>aa1m</v>
      </c>
      <c r="F85" s="2" t="str">
        <f t="shared" si="5"/>
        <v>08.12.09</v>
      </c>
      <c r="G85" s="1">
        <v>142.125</v>
      </c>
      <c r="H85" s="1">
        <v>0.425</v>
      </c>
      <c r="I85" s="2">
        <f t="shared" si="6"/>
        <v>145.622879</v>
      </c>
      <c r="J85" s="2">
        <f t="shared" si="7"/>
        <v>37.875</v>
      </c>
      <c r="K85" s="2">
        <f t="shared" si="8"/>
        <v>0.07436763071</v>
      </c>
      <c r="L85" s="2">
        <f t="shared" si="9"/>
        <v>0.418442894</v>
      </c>
      <c r="M85" s="2">
        <f t="shared" si="10"/>
        <v>146.0413219</v>
      </c>
      <c r="N85" s="2">
        <f t="shared" si="11"/>
        <v>146.0413408</v>
      </c>
    </row>
    <row r="86">
      <c r="A86" s="1" t="s">
        <v>98</v>
      </c>
      <c r="B86" s="2" t="str">
        <f t="shared" si="1"/>
        <v>aa1</v>
      </c>
      <c r="C86" s="2" t="str">
        <f t="shared" si="2"/>
        <v>m</v>
      </c>
      <c r="D86" s="2" t="str">
        <f t="shared" si="3"/>
        <v>23</v>
      </c>
      <c r="E86" s="2" t="str">
        <f t="shared" si="4"/>
        <v>aa1m</v>
      </c>
      <c r="F86" s="2" t="str">
        <f t="shared" si="5"/>
        <v>08.12.09</v>
      </c>
      <c r="G86" s="1">
        <v>108.435</v>
      </c>
      <c r="H86" s="1">
        <v>0.476</v>
      </c>
      <c r="I86" s="2">
        <f t="shared" si="6"/>
        <v>145.622879</v>
      </c>
      <c r="J86" s="2">
        <f t="shared" si="7"/>
        <v>71.565</v>
      </c>
      <c r="K86" s="2">
        <f t="shared" si="8"/>
        <v>0.3035900689</v>
      </c>
      <c r="L86" s="2">
        <f t="shared" si="9"/>
        <v>0.3666184257</v>
      </c>
      <c r="M86" s="2">
        <f t="shared" si="10"/>
        <v>145.9894974</v>
      </c>
      <c r="N86" s="2">
        <f t="shared" si="11"/>
        <v>145.9898131</v>
      </c>
    </row>
    <row r="87">
      <c r="A87" s="1" t="s">
        <v>99</v>
      </c>
      <c r="B87" s="2" t="str">
        <f t="shared" si="1"/>
        <v>aa1</v>
      </c>
      <c r="C87" s="2" t="str">
        <f t="shared" si="2"/>
        <v>m</v>
      </c>
      <c r="D87" s="2" t="str">
        <f t="shared" si="3"/>
        <v>23</v>
      </c>
      <c r="E87" s="2" t="str">
        <f t="shared" si="4"/>
        <v>aa1m</v>
      </c>
      <c r="F87" s="2" t="str">
        <f t="shared" si="5"/>
        <v>08.12.09</v>
      </c>
      <c r="G87" s="1">
        <v>180.0</v>
      </c>
      <c r="H87" s="1">
        <v>0.386</v>
      </c>
      <c r="I87" s="2">
        <f t="shared" si="6"/>
        <v>145.622879</v>
      </c>
      <c r="J87" s="2">
        <f t="shared" si="7"/>
        <v>0</v>
      </c>
      <c r="K87" s="2">
        <f t="shared" si="8"/>
        <v>0</v>
      </c>
      <c r="L87" s="2">
        <f t="shared" si="9"/>
        <v>0.386</v>
      </c>
      <c r="M87" s="2">
        <f t="shared" si="10"/>
        <v>146.008879</v>
      </c>
      <c r="N87" s="2">
        <f t="shared" si="11"/>
        <v>146.008879</v>
      </c>
    </row>
    <row r="88">
      <c r="A88" s="1" t="s">
        <v>100</v>
      </c>
      <c r="B88" s="2" t="str">
        <f t="shared" si="1"/>
        <v>aa1</v>
      </c>
      <c r="C88" s="2" t="str">
        <f t="shared" si="2"/>
        <v>m</v>
      </c>
      <c r="D88" s="2" t="str">
        <f t="shared" si="3"/>
        <v>23</v>
      </c>
      <c r="E88" s="2" t="str">
        <f t="shared" si="4"/>
        <v>aa1m</v>
      </c>
      <c r="F88" s="2" t="str">
        <f t="shared" si="5"/>
        <v>08.12.09</v>
      </c>
      <c r="G88" s="1">
        <v>-167.905</v>
      </c>
      <c r="H88" s="1">
        <v>0.504</v>
      </c>
      <c r="I88" s="2">
        <f t="shared" si="6"/>
        <v>145.622879</v>
      </c>
      <c r="J88" s="2">
        <f t="shared" si="7"/>
        <v>12.095</v>
      </c>
      <c r="K88" s="2">
        <f t="shared" si="8"/>
        <v>0.2288703594</v>
      </c>
      <c r="L88" s="2">
        <f t="shared" si="9"/>
        <v>0.4490371461</v>
      </c>
      <c r="M88" s="2">
        <f t="shared" si="10"/>
        <v>146.0719161</v>
      </c>
      <c r="N88" s="2">
        <f t="shared" si="11"/>
        <v>146.0720954</v>
      </c>
    </row>
    <row r="89">
      <c r="A89" s="1" t="s">
        <v>101</v>
      </c>
      <c r="B89" s="2" t="str">
        <f t="shared" si="1"/>
        <v>aa1</v>
      </c>
      <c r="C89" s="2" t="str">
        <f t="shared" si="2"/>
        <v>m</v>
      </c>
      <c r="D89" s="2" t="str">
        <f t="shared" si="3"/>
        <v>25</v>
      </c>
      <c r="E89" s="2" t="str">
        <f t="shared" si="4"/>
        <v>aa1m</v>
      </c>
      <c r="F89" s="2" t="str">
        <f t="shared" si="5"/>
        <v>08.12.08</v>
      </c>
      <c r="G89" s="1">
        <v>-123.69</v>
      </c>
      <c r="H89" s="1">
        <v>0.387</v>
      </c>
      <c r="I89" s="2">
        <f t="shared" si="6"/>
        <v>160.663705</v>
      </c>
      <c r="J89" s="2">
        <f t="shared" si="7"/>
        <v>56.31</v>
      </c>
      <c r="K89" s="2">
        <f t="shared" si="8"/>
        <v>0.09149003727</v>
      </c>
      <c r="L89" s="2">
        <f t="shared" si="9"/>
        <v>0.3760300162</v>
      </c>
      <c r="M89" s="2">
        <f t="shared" si="10"/>
        <v>161.039735</v>
      </c>
      <c r="N89" s="2">
        <f t="shared" si="11"/>
        <v>161.039761</v>
      </c>
    </row>
    <row r="90">
      <c r="A90" s="1" t="s">
        <v>102</v>
      </c>
      <c r="B90" s="2" t="str">
        <f t="shared" si="1"/>
        <v>aa2</v>
      </c>
      <c r="C90" s="2" t="str">
        <f t="shared" si="2"/>
        <v>f</v>
      </c>
      <c r="D90" s="2" t="str">
        <f t="shared" si="3"/>
        <v>11</v>
      </c>
      <c r="E90" s="2" t="str">
        <f t="shared" si="4"/>
        <v>aa2f</v>
      </c>
      <c r="F90" s="2" t="str">
        <f t="shared" si="5"/>
        <v>08.06.09</v>
      </c>
      <c r="G90" s="1">
        <v>113.629</v>
      </c>
      <c r="H90" s="1">
        <v>0.645</v>
      </c>
      <c r="I90" s="2">
        <f t="shared" si="6"/>
        <v>55.377923</v>
      </c>
      <c r="J90" s="2">
        <f t="shared" si="7"/>
        <v>66.371</v>
      </c>
      <c r="K90" s="2">
        <f t="shared" si="8"/>
        <v>0.2497211139</v>
      </c>
      <c r="L90" s="2">
        <f t="shared" si="9"/>
        <v>0.5946968684</v>
      </c>
      <c r="M90" s="2">
        <f t="shared" si="10"/>
        <v>55.97261987</v>
      </c>
      <c r="N90" s="2">
        <f t="shared" si="11"/>
        <v>55.97317693</v>
      </c>
    </row>
    <row r="91">
      <c r="A91" s="1" t="s">
        <v>103</v>
      </c>
      <c r="B91" s="2" t="str">
        <f t="shared" si="1"/>
        <v>aa2</v>
      </c>
      <c r="C91" s="2" t="str">
        <f t="shared" si="2"/>
        <v>f</v>
      </c>
      <c r="D91" s="2" t="str">
        <f t="shared" si="3"/>
        <v>13</v>
      </c>
      <c r="E91" s="2" t="str">
        <f t="shared" si="4"/>
        <v>aa2f</v>
      </c>
      <c r="F91" s="2" t="str">
        <f t="shared" si="5"/>
        <v>08.06.09</v>
      </c>
      <c r="G91" s="1">
        <v>-165.426</v>
      </c>
      <c r="H91" s="1">
        <v>1.911</v>
      </c>
      <c r="I91" s="2">
        <f t="shared" si="6"/>
        <v>70.418749</v>
      </c>
      <c r="J91" s="2">
        <f t="shared" si="7"/>
        <v>14.574</v>
      </c>
      <c r="K91" s="2">
        <f t="shared" si="8"/>
        <v>1.73154955</v>
      </c>
      <c r="L91" s="2">
        <f t="shared" si="9"/>
        <v>0.8084906658</v>
      </c>
      <c r="M91" s="2">
        <f t="shared" si="10"/>
        <v>71.22723967</v>
      </c>
      <c r="N91" s="2">
        <f t="shared" si="11"/>
        <v>71.24828373</v>
      </c>
    </row>
    <row r="92">
      <c r="A92" s="1" t="s">
        <v>104</v>
      </c>
      <c r="B92" s="2" t="str">
        <f t="shared" si="1"/>
        <v>aa2</v>
      </c>
      <c r="C92" s="2" t="str">
        <f t="shared" si="2"/>
        <v>f</v>
      </c>
      <c r="D92" s="2" t="str">
        <f t="shared" si="3"/>
        <v>15</v>
      </c>
      <c r="E92" s="2" t="str">
        <f t="shared" si="4"/>
        <v>aa2f</v>
      </c>
      <c r="F92" s="2" t="str">
        <f t="shared" si="5"/>
        <v>08.12.09</v>
      </c>
      <c r="G92" s="1">
        <v>-157.249</v>
      </c>
      <c r="H92" s="1">
        <v>1.236</v>
      </c>
      <c r="I92" s="2">
        <f t="shared" si="6"/>
        <v>85.459575</v>
      </c>
      <c r="J92" s="2">
        <f t="shared" si="7"/>
        <v>22.751</v>
      </c>
      <c r="K92" s="2">
        <f t="shared" si="8"/>
        <v>0.8513737887</v>
      </c>
      <c r="L92" s="2">
        <f t="shared" si="9"/>
        <v>0.8960238121</v>
      </c>
      <c r="M92" s="2">
        <f t="shared" si="10"/>
        <v>86.35559881</v>
      </c>
      <c r="N92" s="2">
        <f t="shared" si="11"/>
        <v>86.35979553</v>
      </c>
    </row>
    <row r="93">
      <c r="A93" s="1" t="s">
        <v>105</v>
      </c>
      <c r="B93" s="2" t="str">
        <f t="shared" si="1"/>
        <v>aa2</v>
      </c>
      <c r="C93" s="2" t="str">
        <f t="shared" si="2"/>
        <v>f</v>
      </c>
      <c r="D93" s="2" t="str">
        <f t="shared" si="3"/>
        <v>15</v>
      </c>
      <c r="E93" s="2" t="str">
        <f t="shared" si="4"/>
        <v>aa2f</v>
      </c>
      <c r="F93" s="2" t="str">
        <f t="shared" si="5"/>
        <v>08.12.09</v>
      </c>
      <c r="G93" s="1">
        <v>158.552</v>
      </c>
      <c r="H93" s="1">
        <v>1.105</v>
      </c>
      <c r="I93" s="2">
        <f t="shared" si="6"/>
        <v>85.459575</v>
      </c>
      <c r="J93" s="2">
        <f t="shared" si="7"/>
        <v>21.448</v>
      </c>
      <c r="K93" s="2">
        <f t="shared" si="8"/>
        <v>0.5711015689</v>
      </c>
      <c r="L93" s="2">
        <f t="shared" si="9"/>
        <v>0.9459746287</v>
      </c>
      <c r="M93" s="2">
        <f t="shared" si="10"/>
        <v>86.40554963</v>
      </c>
      <c r="N93" s="2">
        <f t="shared" si="11"/>
        <v>86.40743697</v>
      </c>
    </row>
    <row r="94">
      <c r="A94" s="1" t="s">
        <v>106</v>
      </c>
      <c r="B94" s="2" t="str">
        <f t="shared" si="1"/>
        <v>aa2</v>
      </c>
      <c r="C94" s="2" t="str">
        <f t="shared" si="2"/>
        <v>f</v>
      </c>
      <c r="D94" s="2" t="str">
        <f t="shared" si="3"/>
        <v>15</v>
      </c>
      <c r="E94" s="2" t="str">
        <f t="shared" si="4"/>
        <v>aa2f</v>
      </c>
      <c r="F94" s="2" t="str">
        <f t="shared" si="5"/>
        <v>08.12.09</v>
      </c>
      <c r="G94" s="1">
        <v>95.528</v>
      </c>
      <c r="H94" s="1">
        <v>1.133</v>
      </c>
      <c r="I94" s="2">
        <f t="shared" si="6"/>
        <v>85.459575</v>
      </c>
      <c r="J94" s="2">
        <f t="shared" si="7"/>
        <v>84.472</v>
      </c>
      <c r="K94" s="2">
        <f t="shared" si="8"/>
        <v>0.3895690829</v>
      </c>
      <c r="L94" s="2">
        <f t="shared" si="9"/>
        <v>1.063919607</v>
      </c>
      <c r="M94" s="2">
        <f t="shared" si="10"/>
        <v>86.52349461</v>
      </c>
      <c r="N94" s="2">
        <f t="shared" si="11"/>
        <v>86.52437161</v>
      </c>
    </row>
    <row r="95">
      <c r="A95" s="1" t="s">
        <v>107</v>
      </c>
      <c r="B95" s="2" t="str">
        <f t="shared" si="1"/>
        <v>aa2</v>
      </c>
      <c r="C95" s="2" t="str">
        <f t="shared" si="2"/>
        <v>f</v>
      </c>
      <c r="D95" s="2" t="str">
        <f t="shared" si="3"/>
        <v>17</v>
      </c>
      <c r="E95" s="2" t="str">
        <f t="shared" si="4"/>
        <v>aa2f</v>
      </c>
      <c r="F95" s="2" t="str">
        <f t="shared" si="5"/>
        <v>08.06.09</v>
      </c>
      <c r="G95" s="1">
        <v>-160.974</v>
      </c>
      <c r="H95" s="1">
        <v>1.134</v>
      </c>
      <c r="I95" s="2">
        <f t="shared" si="6"/>
        <v>100.500401</v>
      </c>
      <c r="J95" s="2">
        <f t="shared" si="7"/>
        <v>19.026</v>
      </c>
      <c r="K95" s="2">
        <f t="shared" si="8"/>
        <v>0.199050995</v>
      </c>
      <c r="L95" s="2">
        <f t="shared" si="9"/>
        <v>1.116393614</v>
      </c>
      <c r="M95" s="2">
        <f t="shared" si="10"/>
        <v>101.6167946</v>
      </c>
      <c r="N95" s="2">
        <f t="shared" si="11"/>
        <v>101.6169896</v>
      </c>
    </row>
    <row r="96">
      <c r="A96" s="1" t="s">
        <v>108</v>
      </c>
      <c r="B96" s="2" t="str">
        <f t="shared" si="1"/>
        <v>aa2</v>
      </c>
      <c r="C96" s="2" t="str">
        <f t="shared" si="2"/>
        <v>f</v>
      </c>
      <c r="D96" s="2" t="str">
        <f t="shared" si="3"/>
        <v>17</v>
      </c>
      <c r="E96" s="2" t="str">
        <f t="shared" si="4"/>
        <v>aa2f</v>
      </c>
      <c r="F96" s="2" t="str">
        <f t="shared" si="5"/>
        <v>08.06.09</v>
      </c>
      <c r="G96" s="1">
        <v>-129.56</v>
      </c>
      <c r="H96" s="1">
        <v>1.117</v>
      </c>
      <c r="I96" s="2">
        <f t="shared" si="6"/>
        <v>100.500401</v>
      </c>
      <c r="J96" s="2">
        <f t="shared" si="7"/>
        <v>50.44</v>
      </c>
      <c r="K96" s="2">
        <f t="shared" si="8"/>
        <v>0.1939480931</v>
      </c>
      <c r="L96" s="2">
        <f t="shared" si="9"/>
        <v>1.100033244</v>
      </c>
      <c r="M96" s="2">
        <f t="shared" si="10"/>
        <v>101.6004342</v>
      </c>
      <c r="N96" s="2">
        <f t="shared" si="11"/>
        <v>101.6006194</v>
      </c>
    </row>
    <row r="97">
      <c r="A97" s="1" t="s">
        <v>109</v>
      </c>
      <c r="B97" s="2" t="str">
        <f t="shared" si="1"/>
        <v>aa2</v>
      </c>
      <c r="C97" s="2" t="str">
        <f t="shared" si="2"/>
        <v>f</v>
      </c>
      <c r="D97" s="2" t="str">
        <f t="shared" si="3"/>
        <v>17</v>
      </c>
      <c r="E97" s="2" t="str">
        <f t="shared" si="4"/>
        <v>aa2f</v>
      </c>
      <c r="F97" s="2" t="str">
        <f t="shared" si="5"/>
        <v>08.0609-</v>
      </c>
      <c r="G97" s="1">
        <v>180.0</v>
      </c>
      <c r="H97" s="1">
        <v>0.579</v>
      </c>
      <c r="I97" s="2">
        <f t="shared" si="6"/>
        <v>100.500401</v>
      </c>
      <c r="J97" s="2">
        <f t="shared" si="7"/>
        <v>0</v>
      </c>
      <c r="K97" s="2">
        <f t="shared" si="8"/>
        <v>0</v>
      </c>
      <c r="L97" s="2">
        <f t="shared" si="9"/>
        <v>0.579</v>
      </c>
      <c r="M97" s="2">
        <f t="shared" si="10"/>
        <v>101.079401</v>
      </c>
      <c r="N97" s="2">
        <f t="shared" si="11"/>
        <v>101.079401</v>
      </c>
    </row>
    <row r="98">
      <c r="A98" s="1" t="s">
        <v>110</v>
      </c>
      <c r="B98" s="2" t="str">
        <f t="shared" si="1"/>
        <v>aa2</v>
      </c>
      <c r="C98" s="2" t="str">
        <f t="shared" si="2"/>
        <v>f</v>
      </c>
      <c r="D98" s="2" t="str">
        <f t="shared" si="3"/>
        <v>17</v>
      </c>
      <c r="E98" s="2" t="str">
        <f t="shared" si="4"/>
        <v>aa2f</v>
      </c>
      <c r="F98" s="2" t="str">
        <f t="shared" si="5"/>
        <v>08.12.09</v>
      </c>
      <c r="G98" s="1">
        <v>-160.017</v>
      </c>
      <c r="H98" s="1">
        <v>2.135</v>
      </c>
      <c r="I98" s="2">
        <f t="shared" si="6"/>
        <v>100.500401</v>
      </c>
      <c r="J98" s="2">
        <f t="shared" si="7"/>
        <v>19.983</v>
      </c>
      <c r="K98" s="2">
        <f t="shared" si="8"/>
        <v>1.934045842</v>
      </c>
      <c r="L98" s="2">
        <f t="shared" si="9"/>
        <v>0.9042630605</v>
      </c>
      <c r="M98" s="2">
        <f t="shared" si="10"/>
        <v>101.4046641</v>
      </c>
      <c r="N98" s="2">
        <f t="shared" si="11"/>
        <v>101.423106</v>
      </c>
    </row>
    <row r="99">
      <c r="A99" s="1" t="s">
        <v>111</v>
      </c>
      <c r="B99" s="2" t="str">
        <f t="shared" si="1"/>
        <v>aa2</v>
      </c>
      <c r="C99" s="2" t="str">
        <f t="shared" si="2"/>
        <v>f</v>
      </c>
      <c r="D99" s="2" t="str">
        <f t="shared" si="3"/>
        <v>17</v>
      </c>
      <c r="E99" s="2" t="str">
        <f t="shared" si="4"/>
        <v>aa2f</v>
      </c>
      <c r="F99" s="2" t="str">
        <f t="shared" si="5"/>
        <v>08.12.09</v>
      </c>
      <c r="G99" s="1">
        <v>-172.405</v>
      </c>
      <c r="H99" s="1">
        <v>0.557</v>
      </c>
      <c r="I99" s="2">
        <f t="shared" si="6"/>
        <v>100.500401</v>
      </c>
      <c r="J99" s="2">
        <f t="shared" si="7"/>
        <v>7.595</v>
      </c>
      <c r="K99" s="2">
        <f t="shared" si="8"/>
        <v>0.5384247624</v>
      </c>
      <c r="L99" s="2">
        <f t="shared" si="9"/>
        <v>0.142645628</v>
      </c>
      <c r="M99" s="2">
        <f t="shared" si="10"/>
        <v>100.6430466</v>
      </c>
      <c r="N99" s="2">
        <f t="shared" si="11"/>
        <v>100.6444869</v>
      </c>
    </row>
    <row r="100">
      <c r="A100" s="1" t="s">
        <v>112</v>
      </c>
      <c r="B100" s="2" t="str">
        <f t="shared" si="1"/>
        <v>aa2</v>
      </c>
      <c r="C100" s="2" t="str">
        <f t="shared" si="2"/>
        <v>f</v>
      </c>
      <c r="D100" s="2" t="str">
        <f t="shared" si="3"/>
        <v>17</v>
      </c>
      <c r="E100" s="2" t="str">
        <f t="shared" si="4"/>
        <v>aa2f</v>
      </c>
      <c r="F100" s="2" t="str">
        <f t="shared" si="5"/>
        <v>08.12.09</v>
      </c>
      <c r="G100" s="1">
        <v>-161.565</v>
      </c>
      <c r="H100" s="1">
        <v>0.561</v>
      </c>
      <c r="I100" s="2">
        <f t="shared" si="6"/>
        <v>100.500401</v>
      </c>
      <c r="J100" s="2">
        <f t="shared" si="7"/>
        <v>18.435</v>
      </c>
      <c r="K100" s="2">
        <f t="shared" si="8"/>
        <v>0.2259615475</v>
      </c>
      <c r="L100" s="2">
        <f t="shared" si="9"/>
        <v>0.5134806511</v>
      </c>
      <c r="M100" s="2">
        <f t="shared" si="10"/>
        <v>101.0138817</v>
      </c>
      <c r="N100" s="2">
        <f t="shared" si="11"/>
        <v>101.0141344</v>
      </c>
    </row>
    <row r="101">
      <c r="A101" s="1" t="s">
        <v>113</v>
      </c>
      <c r="B101" s="2" t="str">
        <f t="shared" si="1"/>
        <v>aa2</v>
      </c>
      <c r="C101" s="2" t="str">
        <f t="shared" si="2"/>
        <v>f</v>
      </c>
      <c r="D101" s="2" t="str">
        <f t="shared" si="3"/>
        <v>19</v>
      </c>
      <c r="E101" s="2" t="str">
        <f t="shared" si="4"/>
        <v>aa2f</v>
      </c>
      <c r="F101" s="2" t="str">
        <f t="shared" si="5"/>
        <v>08.06.09</v>
      </c>
      <c r="G101" s="1">
        <v>163.61</v>
      </c>
      <c r="H101" s="1">
        <v>1.322</v>
      </c>
      <c r="I101" s="2">
        <f t="shared" si="6"/>
        <v>115.541227</v>
      </c>
      <c r="J101" s="2">
        <f t="shared" si="7"/>
        <v>16.39</v>
      </c>
      <c r="K101" s="2">
        <f t="shared" si="8"/>
        <v>0.8333563132</v>
      </c>
      <c r="L101" s="2">
        <f t="shared" si="9"/>
        <v>1.02625594</v>
      </c>
      <c r="M101" s="2">
        <f t="shared" si="10"/>
        <v>116.5674829</v>
      </c>
      <c r="N101" s="2">
        <f t="shared" si="11"/>
        <v>116.5704618</v>
      </c>
    </row>
    <row r="102">
      <c r="A102" s="1" t="s">
        <v>114</v>
      </c>
      <c r="B102" s="2" t="str">
        <f t="shared" si="1"/>
        <v>aa2</v>
      </c>
      <c r="C102" s="2" t="str">
        <f t="shared" si="2"/>
        <v>f</v>
      </c>
      <c r="D102" s="2" t="str">
        <f t="shared" si="3"/>
        <v>19</v>
      </c>
      <c r="E102" s="2" t="str">
        <f t="shared" si="4"/>
        <v>aa2f</v>
      </c>
      <c r="F102" s="2" t="str">
        <f t="shared" si="5"/>
        <v>08.06.09</v>
      </c>
      <c r="G102" s="1">
        <v>113.962</v>
      </c>
      <c r="H102" s="1">
        <v>0.744</v>
      </c>
      <c r="I102" s="2">
        <f t="shared" si="6"/>
        <v>115.541227</v>
      </c>
      <c r="J102" s="2">
        <f t="shared" si="7"/>
        <v>66.038</v>
      </c>
      <c r="K102" s="2">
        <f t="shared" si="8"/>
        <v>0.04799502952</v>
      </c>
      <c r="L102" s="2">
        <f t="shared" si="9"/>
        <v>0.7424503196</v>
      </c>
      <c r="M102" s="2">
        <f t="shared" si="10"/>
        <v>116.2836773</v>
      </c>
      <c r="N102" s="2">
        <f t="shared" si="11"/>
        <v>116.2836872</v>
      </c>
    </row>
    <row r="103">
      <c r="A103" s="1" t="s">
        <v>115</v>
      </c>
      <c r="B103" s="2" t="str">
        <f t="shared" si="1"/>
        <v>aa2</v>
      </c>
      <c r="C103" s="2" t="str">
        <f t="shared" si="2"/>
        <v>f</v>
      </c>
      <c r="D103" s="2" t="str">
        <f t="shared" si="3"/>
        <v>19</v>
      </c>
      <c r="E103" s="2" t="str">
        <f t="shared" si="4"/>
        <v>aa2f</v>
      </c>
      <c r="F103" s="2" t="str">
        <f t="shared" si="5"/>
        <v>08.06.09</v>
      </c>
      <c r="G103" s="1">
        <v>118.072</v>
      </c>
      <c r="H103" s="1">
        <v>0.645</v>
      </c>
      <c r="I103" s="2">
        <f t="shared" si="6"/>
        <v>115.541227</v>
      </c>
      <c r="J103" s="2">
        <f t="shared" si="7"/>
        <v>61.928</v>
      </c>
      <c r="K103" s="2">
        <f t="shared" si="8"/>
        <v>0.506786947</v>
      </c>
      <c r="L103" s="2">
        <f t="shared" si="9"/>
        <v>0.3989887096</v>
      </c>
      <c r="M103" s="2">
        <f t="shared" si="10"/>
        <v>115.9402157</v>
      </c>
      <c r="N103" s="2">
        <f t="shared" si="11"/>
        <v>115.9413233</v>
      </c>
    </row>
    <row r="104">
      <c r="A104" s="1" t="s">
        <v>116</v>
      </c>
      <c r="B104" s="2" t="str">
        <f t="shared" si="1"/>
        <v>aa2</v>
      </c>
      <c r="C104" s="2" t="str">
        <f t="shared" si="2"/>
        <v>f</v>
      </c>
      <c r="D104" s="2" t="str">
        <f t="shared" si="3"/>
        <v>19</v>
      </c>
      <c r="E104" s="2" t="str">
        <f t="shared" si="4"/>
        <v>aa2f</v>
      </c>
      <c r="F104" s="2" t="str">
        <f t="shared" si="5"/>
        <v>08.12.09</v>
      </c>
      <c r="G104" s="1">
        <v>164.055</v>
      </c>
      <c r="H104" s="1">
        <v>0.8</v>
      </c>
      <c r="I104" s="2">
        <f t="shared" si="6"/>
        <v>115.541227</v>
      </c>
      <c r="J104" s="2">
        <f t="shared" si="7"/>
        <v>15.945</v>
      </c>
      <c r="K104" s="2">
        <f t="shared" si="8"/>
        <v>0.1878586019</v>
      </c>
      <c r="L104" s="2">
        <f t="shared" si="9"/>
        <v>0.7776304686</v>
      </c>
      <c r="M104" s="2">
        <f t="shared" si="10"/>
        <v>116.3188575</v>
      </c>
      <c r="N104" s="2">
        <f t="shared" si="11"/>
        <v>116.3190092</v>
      </c>
    </row>
    <row r="105">
      <c r="A105" s="1" t="s">
        <v>117</v>
      </c>
      <c r="B105" s="2" t="str">
        <f t="shared" si="1"/>
        <v>aa2</v>
      </c>
      <c r="C105" s="2" t="str">
        <f t="shared" si="2"/>
        <v>f</v>
      </c>
      <c r="D105" s="2" t="str">
        <f t="shared" si="3"/>
        <v>19</v>
      </c>
      <c r="E105" s="2" t="str">
        <f t="shared" si="4"/>
        <v>aa2f</v>
      </c>
      <c r="F105" s="2" t="str">
        <f t="shared" si="5"/>
        <v>08.12.09</v>
      </c>
      <c r="G105" s="1">
        <v>-125.91</v>
      </c>
      <c r="H105" s="1">
        <v>1.295</v>
      </c>
      <c r="I105" s="2">
        <f t="shared" si="6"/>
        <v>115.541227</v>
      </c>
      <c r="J105" s="2">
        <f t="shared" si="7"/>
        <v>54.09</v>
      </c>
      <c r="K105" s="2">
        <f t="shared" si="8"/>
        <v>0.8172287153</v>
      </c>
      <c r="L105" s="2">
        <f t="shared" si="9"/>
        <v>1.004570668</v>
      </c>
      <c r="M105" s="2">
        <f t="shared" si="10"/>
        <v>116.5457977</v>
      </c>
      <c r="N105" s="2">
        <f t="shared" si="11"/>
        <v>116.5486629</v>
      </c>
    </row>
    <row r="106">
      <c r="A106" s="1" t="s">
        <v>118</v>
      </c>
      <c r="B106" s="2" t="str">
        <f t="shared" si="1"/>
        <v>aa2</v>
      </c>
      <c r="C106" s="2" t="str">
        <f t="shared" si="2"/>
        <v>f</v>
      </c>
      <c r="D106" s="2" t="str">
        <f t="shared" si="3"/>
        <v>19</v>
      </c>
      <c r="E106" s="2" t="str">
        <f t="shared" si="4"/>
        <v>aa2f</v>
      </c>
      <c r="F106" s="2" t="str">
        <f t="shared" si="5"/>
        <v>08.12.09</v>
      </c>
      <c r="G106" s="1">
        <v>-111.038</v>
      </c>
      <c r="H106" s="1">
        <v>0.541</v>
      </c>
      <c r="I106" s="2">
        <f t="shared" si="6"/>
        <v>115.541227</v>
      </c>
      <c r="J106" s="2">
        <f t="shared" si="7"/>
        <v>68.962</v>
      </c>
      <c r="K106" s="2">
        <f t="shared" si="8"/>
        <v>0.08247095933</v>
      </c>
      <c r="L106" s="2">
        <f t="shared" si="9"/>
        <v>0.5346770435</v>
      </c>
      <c r="M106" s="2">
        <f t="shared" si="10"/>
        <v>116.075904</v>
      </c>
      <c r="N106" s="2">
        <f t="shared" si="11"/>
        <v>116.0759333</v>
      </c>
    </row>
    <row r="107">
      <c r="A107" s="1" t="s">
        <v>119</v>
      </c>
      <c r="B107" s="2" t="str">
        <f t="shared" si="1"/>
        <v>aa2</v>
      </c>
      <c r="C107" s="2" t="str">
        <f t="shared" si="2"/>
        <v>f</v>
      </c>
      <c r="D107" s="2" t="str">
        <f t="shared" si="3"/>
        <v>19</v>
      </c>
      <c r="E107" s="2" t="str">
        <f t="shared" si="4"/>
        <v>aa2f</v>
      </c>
      <c r="F107" s="2" t="str">
        <f t="shared" si="5"/>
        <v>08.12.09</v>
      </c>
      <c r="G107" s="1">
        <v>-171.027</v>
      </c>
      <c r="H107" s="1">
        <v>0.692</v>
      </c>
      <c r="I107" s="2">
        <f t="shared" si="6"/>
        <v>115.541227</v>
      </c>
      <c r="J107" s="2">
        <f t="shared" si="7"/>
        <v>8.973</v>
      </c>
      <c r="K107" s="2">
        <f t="shared" si="8"/>
        <v>0.3021035373</v>
      </c>
      <c r="L107" s="2">
        <f t="shared" si="9"/>
        <v>0.6225732509</v>
      </c>
      <c r="M107" s="2">
        <f t="shared" si="10"/>
        <v>116.1638003</v>
      </c>
      <c r="N107" s="2">
        <f t="shared" si="11"/>
        <v>116.1641931</v>
      </c>
    </row>
    <row r="108">
      <c r="A108" s="1" t="s">
        <v>120</v>
      </c>
      <c r="B108" s="2" t="str">
        <f t="shared" si="1"/>
        <v>aa2</v>
      </c>
      <c r="C108" s="2" t="str">
        <f t="shared" si="2"/>
        <v>f</v>
      </c>
      <c r="D108" s="2" t="str">
        <f t="shared" si="3"/>
        <v>19</v>
      </c>
      <c r="E108" s="2" t="str">
        <f t="shared" si="4"/>
        <v>aa2f</v>
      </c>
      <c r="F108" s="2" t="str">
        <f t="shared" si="5"/>
        <v>08.12.09</v>
      </c>
      <c r="G108" s="1">
        <v>158.199</v>
      </c>
      <c r="H108" s="1">
        <v>0.578</v>
      </c>
      <c r="I108" s="2">
        <f t="shared" si="6"/>
        <v>115.541227</v>
      </c>
      <c r="J108" s="2">
        <f t="shared" si="7"/>
        <v>21.801</v>
      </c>
      <c r="K108" s="2">
        <f t="shared" si="8"/>
        <v>0.1092447711</v>
      </c>
      <c r="L108" s="2">
        <f t="shared" si="9"/>
        <v>0.5675822231</v>
      </c>
      <c r="M108" s="2">
        <f t="shared" si="10"/>
        <v>116.1088092</v>
      </c>
      <c r="N108" s="2">
        <f t="shared" si="11"/>
        <v>116.1088606</v>
      </c>
    </row>
    <row r="109">
      <c r="A109" s="1" t="s">
        <v>121</v>
      </c>
      <c r="B109" s="2" t="str">
        <f t="shared" si="1"/>
        <v>aa2</v>
      </c>
      <c r="C109" s="2" t="str">
        <f t="shared" si="2"/>
        <v>f</v>
      </c>
      <c r="D109" s="2" t="str">
        <f t="shared" si="3"/>
        <v>21</v>
      </c>
      <c r="E109" s="2" t="str">
        <f t="shared" si="4"/>
        <v>aa2f</v>
      </c>
      <c r="F109" s="2" t="str">
        <f t="shared" si="5"/>
        <v>08.06.09</v>
      </c>
      <c r="G109" s="1">
        <v>136.332</v>
      </c>
      <c r="H109" s="1">
        <v>1.117</v>
      </c>
      <c r="I109" s="2">
        <f t="shared" si="6"/>
        <v>130.582053</v>
      </c>
      <c r="J109" s="2">
        <f t="shared" si="7"/>
        <v>43.668</v>
      </c>
      <c r="K109" s="2">
        <f t="shared" si="8"/>
        <v>0.3453184587</v>
      </c>
      <c r="L109" s="2">
        <f t="shared" si="9"/>
        <v>1.062282525</v>
      </c>
      <c r="M109" s="2">
        <f t="shared" si="10"/>
        <v>131.6443355</v>
      </c>
      <c r="N109" s="2">
        <f t="shared" si="11"/>
        <v>131.6447884</v>
      </c>
    </row>
    <row r="110">
      <c r="A110" s="1" t="s">
        <v>122</v>
      </c>
      <c r="B110" s="2" t="str">
        <f t="shared" si="1"/>
        <v>aa2</v>
      </c>
      <c r="C110" s="2" t="str">
        <f t="shared" si="2"/>
        <v>f</v>
      </c>
      <c r="D110" s="2" t="str">
        <f t="shared" si="3"/>
        <v>21</v>
      </c>
      <c r="E110" s="2" t="str">
        <f t="shared" si="4"/>
        <v>aa2f</v>
      </c>
      <c r="F110" s="2" t="str">
        <f t="shared" si="5"/>
        <v>08.06.09</v>
      </c>
      <c r="G110" s="1">
        <v>151.928</v>
      </c>
      <c r="H110" s="1">
        <v>0.649</v>
      </c>
      <c r="I110" s="2">
        <f t="shared" si="6"/>
        <v>130.582053</v>
      </c>
      <c r="J110" s="2">
        <f t="shared" si="7"/>
        <v>28.072</v>
      </c>
      <c r="K110" s="2">
        <f t="shared" si="8"/>
        <v>0.1304205399</v>
      </c>
      <c r="L110" s="2">
        <f t="shared" si="9"/>
        <v>0.6357605546</v>
      </c>
      <c r="M110" s="2">
        <f t="shared" si="10"/>
        <v>131.2178136</v>
      </c>
      <c r="N110" s="2">
        <f t="shared" si="11"/>
        <v>131.2178784</v>
      </c>
    </row>
    <row r="111">
      <c r="A111" s="1" t="s">
        <v>123</v>
      </c>
      <c r="B111" s="2" t="str">
        <f t="shared" si="1"/>
        <v>aa2</v>
      </c>
      <c r="C111" s="2" t="str">
        <f t="shared" si="2"/>
        <v>f</v>
      </c>
      <c r="D111" s="2" t="str">
        <f t="shared" si="3"/>
        <v>21</v>
      </c>
      <c r="E111" s="2" t="str">
        <f t="shared" si="4"/>
        <v>aa2f</v>
      </c>
      <c r="F111" s="2" t="str">
        <f t="shared" si="5"/>
        <v>08.12.09</v>
      </c>
      <c r="G111" s="1">
        <v>-171.347</v>
      </c>
      <c r="H111" s="1">
        <v>1.704</v>
      </c>
      <c r="I111" s="2">
        <f t="shared" si="6"/>
        <v>130.582053</v>
      </c>
      <c r="J111" s="2">
        <f t="shared" si="7"/>
        <v>8.653</v>
      </c>
      <c r="K111" s="2">
        <f t="shared" si="8"/>
        <v>1.188387585</v>
      </c>
      <c r="L111" s="2">
        <f t="shared" si="9"/>
        <v>1.221208806</v>
      </c>
      <c r="M111" s="2">
        <f t="shared" si="10"/>
        <v>131.8032618</v>
      </c>
      <c r="N111" s="2">
        <f t="shared" si="11"/>
        <v>131.8086192</v>
      </c>
    </row>
    <row r="112">
      <c r="A112" s="1" t="s">
        <v>124</v>
      </c>
      <c r="B112" s="2" t="str">
        <f t="shared" si="1"/>
        <v>aa2</v>
      </c>
      <c r="C112" s="2" t="str">
        <f t="shared" si="2"/>
        <v>f</v>
      </c>
      <c r="D112" s="2" t="str">
        <f t="shared" si="3"/>
        <v>21</v>
      </c>
      <c r="E112" s="2" t="str">
        <f t="shared" si="4"/>
        <v>aa2f</v>
      </c>
      <c r="F112" s="2" t="str">
        <f t="shared" si="5"/>
        <v>08.12.09</v>
      </c>
      <c r="G112" s="1">
        <v>167.905</v>
      </c>
      <c r="H112" s="1">
        <v>0.535</v>
      </c>
      <c r="I112" s="2">
        <f t="shared" si="6"/>
        <v>130.582053</v>
      </c>
      <c r="J112" s="2">
        <f t="shared" si="7"/>
        <v>12.095</v>
      </c>
      <c r="K112" s="2">
        <f t="shared" si="8"/>
        <v>0.2429477029</v>
      </c>
      <c r="L112" s="2">
        <f t="shared" si="9"/>
        <v>0.4766564944</v>
      </c>
      <c r="M112" s="2">
        <f t="shared" si="10"/>
        <v>131.0587095</v>
      </c>
      <c r="N112" s="2">
        <f t="shared" si="11"/>
        <v>131.0589347</v>
      </c>
    </row>
    <row r="113">
      <c r="A113" s="1" t="s">
        <v>125</v>
      </c>
      <c r="B113" s="2" t="str">
        <f t="shared" si="1"/>
        <v>aa2</v>
      </c>
      <c r="C113" s="2" t="str">
        <f t="shared" si="2"/>
        <v>f</v>
      </c>
      <c r="D113" s="2" t="str">
        <f t="shared" si="3"/>
        <v>23</v>
      </c>
      <c r="E113" s="2" t="str">
        <f t="shared" si="4"/>
        <v>aa2f</v>
      </c>
      <c r="F113" s="2" t="str">
        <f t="shared" si="5"/>
        <v>08.06.09</v>
      </c>
      <c r="G113" s="1">
        <v>180.0</v>
      </c>
      <c r="H113" s="1">
        <v>0.185</v>
      </c>
      <c r="I113" s="2">
        <f t="shared" si="6"/>
        <v>145.622879</v>
      </c>
      <c r="J113" s="2">
        <f t="shared" si="7"/>
        <v>0</v>
      </c>
      <c r="K113" s="2">
        <f t="shared" si="8"/>
        <v>0</v>
      </c>
      <c r="L113" s="2">
        <f t="shared" si="9"/>
        <v>0.185</v>
      </c>
      <c r="M113" s="2">
        <f t="shared" si="10"/>
        <v>145.807879</v>
      </c>
      <c r="N113" s="2">
        <f t="shared" si="11"/>
        <v>145.807879</v>
      </c>
    </row>
    <row r="114">
      <c r="A114" s="1" t="s">
        <v>126</v>
      </c>
      <c r="B114" s="2" t="str">
        <f t="shared" si="1"/>
        <v>aa2</v>
      </c>
      <c r="C114" s="2" t="str">
        <f t="shared" si="2"/>
        <v>f</v>
      </c>
      <c r="D114" s="2" t="str">
        <f t="shared" si="3"/>
        <v>23</v>
      </c>
      <c r="E114" s="2" t="str">
        <f t="shared" si="4"/>
        <v>aa2f</v>
      </c>
      <c r="F114" s="2" t="str">
        <f t="shared" si="5"/>
        <v>08.06.09</v>
      </c>
      <c r="G114" s="1">
        <v>-129.806</v>
      </c>
      <c r="H114" s="1">
        <v>0.583</v>
      </c>
      <c r="I114" s="2">
        <f t="shared" si="6"/>
        <v>145.622879</v>
      </c>
      <c r="J114" s="2">
        <f t="shared" si="7"/>
        <v>50.194</v>
      </c>
      <c r="K114" s="2">
        <f t="shared" si="8"/>
        <v>0.04163879096</v>
      </c>
      <c r="L114" s="2">
        <f t="shared" si="9"/>
        <v>0.5815111444</v>
      </c>
      <c r="M114" s="2">
        <f t="shared" si="10"/>
        <v>146.2043901</v>
      </c>
      <c r="N114" s="2">
        <f t="shared" si="11"/>
        <v>146.2043961</v>
      </c>
    </row>
    <row r="115">
      <c r="A115" s="1" t="s">
        <v>127</v>
      </c>
      <c r="B115" s="2" t="str">
        <f t="shared" si="1"/>
        <v>aa2</v>
      </c>
      <c r="C115" s="2" t="str">
        <f t="shared" si="2"/>
        <v>f</v>
      </c>
      <c r="D115" s="2" t="str">
        <f t="shared" si="3"/>
        <v>23</v>
      </c>
      <c r="E115" s="2" t="str">
        <f t="shared" si="4"/>
        <v>aa2f</v>
      </c>
      <c r="F115" s="2" t="str">
        <f t="shared" si="5"/>
        <v>08.12.09</v>
      </c>
      <c r="G115" s="1">
        <v>158.199</v>
      </c>
      <c r="H115" s="1">
        <v>0.387</v>
      </c>
      <c r="I115" s="2">
        <f t="shared" si="6"/>
        <v>145.622879</v>
      </c>
      <c r="J115" s="2">
        <f t="shared" si="7"/>
        <v>21.801</v>
      </c>
      <c r="K115" s="2">
        <f t="shared" si="8"/>
        <v>0.07314485539</v>
      </c>
      <c r="L115" s="2">
        <f t="shared" si="9"/>
        <v>0.3800247757</v>
      </c>
      <c r="M115" s="2">
        <f t="shared" si="10"/>
        <v>146.0029038</v>
      </c>
      <c r="N115" s="2">
        <f t="shared" si="11"/>
        <v>146.0029221</v>
      </c>
    </row>
    <row r="116">
      <c r="A116" s="1" t="s">
        <v>128</v>
      </c>
      <c r="B116" s="2" t="str">
        <f t="shared" si="1"/>
        <v>aa2</v>
      </c>
      <c r="C116" s="2" t="str">
        <f t="shared" si="2"/>
        <v>f</v>
      </c>
      <c r="D116" s="2" t="str">
        <f t="shared" si="3"/>
        <v>23</v>
      </c>
      <c r="E116" s="2" t="str">
        <f t="shared" si="4"/>
        <v>aa2f</v>
      </c>
      <c r="F116" s="2" t="str">
        <f t="shared" si="5"/>
        <v>08.12.09</v>
      </c>
      <c r="G116" s="1">
        <v>180.0</v>
      </c>
      <c r="H116" s="1">
        <v>0.478</v>
      </c>
      <c r="I116" s="2">
        <f t="shared" si="6"/>
        <v>145.622879</v>
      </c>
      <c r="J116" s="2">
        <f t="shared" si="7"/>
        <v>0</v>
      </c>
      <c r="K116" s="2">
        <f t="shared" si="8"/>
        <v>0</v>
      </c>
      <c r="L116" s="2">
        <f t="shared" si="9"/>
        <v>0.478</v>
      </c>
      <c r="M116" s="2">
        <f t="shared" si="10"/>
        <v>146.100879</v>
      </c>
      <c r="N116" s="2">
        <f t="shared" si="11"/>
        <v>146.100879</v>
      </c>
    </row>
    <row r="117">
      <c r="A117" s="1" t="s">
        <v>129</v>
      </c>
      <c r="B117" s="2" t="str">
        <f t="shared" si="1"/>
        <v>aa2</v>
      </c>
      <c r="C117" s="2" t="str">
        <f t="shared" si="2"/>
        <v>f</v>
      </c>
      <c r="D117" s="2" t="str">
        <f t="shared" si="3"/>
        <v>23</v>
      </c>
      <c r="E117" s="2" t="str">
        <f t="shared" si="4"/>
        <v>aa2f</v>
      </c>
      <c r="F117" s="2" t="str">
        <f t="shared" si="5"/>
        <v>08.12.09</v>
      </c>
      <c r="G117" s="1">
        <v>-154.359</v>
      </c>
      <c r="H117" s="1">
        <v>2.037</v>
      </c>
      <c r="I117" s="2">
        <f t="shared" si="6"/>
        <v>145.622879</v>
      </c>
      <c r="J117" s="2">
        <f t="shared" si="7"/>
        <v>25.641</v>
      </c>
      <c r="K117" s="2">
        <f t="shared" si="8"/>
        <v>0.9913200234</v>
      </c>
      <c r="L117" s="2">
        <f t="shared" si="9"/>
        <v>1.779509374</v>
      </c>
      <c r="M117" s="2">
        <f t="shared" si="10"/>
        <v>147.4023884</v>
      </c>
      <c r="N117" s="2">
        <f t="shared" si="11"/>
        <v>147.4057218</v>
      </c>
    </row>
    <row r="118">
      <c r="A118" s="1" t="s">
        <v>130</v>
      </c>
      <c r="B118" s="2" t="str">
        <f t="shared" si="1"/>
        <v>aa2</v>
      </c>
      <c r="C118" s="2" t="str">
        <f t="shared" si="2"/>
        <v>f</v>
      </c>
      <c r="D118" s="2" t="str">
        <f t="shared" si="3"/>
        <v>27</v>
      </c>
      <c r="E118" s="2" t="str">
        <f t="shared" si="4"/>
        <v>aa2f</v>
      </c>
      <c r="F118" s="2" t="str">
        <f t="shared" si="5"/>
        <v>08.12.09</v>
      </c>
      <c r="G118" s="1">
        <v>164.055</v>
      </c>
      <c r="H118" s="1">
        <v>0.238</v>
      </c>
      <c r="I118" s="2">
        <f t="shared" si="6"/>
        <v>175.704531</v>
      </c>
      <c r="J118" s="2">
        <f t="shared" si="7"/>
        <v>15.945</v>
      </c>
      <c r="K118" s="2">
        <f t="shared" si="8"/>
        <v>0.05588793405</v>
      </c>
      <c r="L118" s="2">
        <f t="shared" si="9"/>
        <v>0.2313450644</v>
      </c>
      <c r="M118" s="2">
        <f t="shared" si="10"/>
        <v>175.9358761</v>
      </c>
      <c r="N118" s="2">
        <f t="shared" si="11"/>
        <v>175.9358849</v>
      </c>
    </row>
    <row r="119">
      <c r="A119" s="1" t="s">
        <v>131</v>
      </c>
      <c r="B119" s="2" t="str">
        <f t="shared" si="1"/>
        <v>aa2</v>
      </c>
      <c r="C119" s="2" t="str">
        <f t="shared" si="2"/>
        <v>m</v>
      </c>
      <c r="D119" s="2" t="str">
        <f t="shared" si="3"/>
        <v>05</v>
      </c>
      <c r="E119" s="2" t="str">
        <f t="shared" si="4"/>
        <v>aa2m</v>
      </c>
      <c r="F119" s="2" t="str">
        <f t="shared" si="5"/>
        <v>08.12.09</v>
      </c>
      <c r="G119" s="1">
        <v>152.021</v>
      </c>
      <c r="H119" s="1">
        <v>1.32</v>
      </c>
      <c r="I119" s="2">
        <f t="shared" si="6"/>
        <v>10.255445</v>
      </c>
      <c r="J119" s="2">
        <f t="shared" si="7"/>
        <v>27.979</v>
      </c>
      <c r="K119" s="2">
        <f t="shared" si="8"/>
        <v>0.3841982671</v>
      </c>
      <c r="L119" s="2">
        <f t="shared" si="9"/>
        <v>1.262850621</v>
      </c>
      <c r="M119" s="2">
        <f t="shared" si="10"/>
        <v>11.51829562</v>
      </c>
      <c r="N119" s="2">
        <f t="shared" si="11"/>
        <v>11.5247014</v>
      </c>
    </row>
    <row r="120">
      <c r="A120" s="1" t="s">
        <v>132</v>
      </c>
      <c r="B120" s="2" t="str">
        <f t="shared" si="1"/>
        <v>aa2</v>
      </c>
      <c r="C120" s="2" t="str">
        <f t="shared" si="2"/>
        <v>m</v>
      </c>
      <c r="D120" s="2" t="str">
        <f t="shared" si="3"/>
        <v>11</v>
      </c>
      <c r="E120" s="2" t="str">
        <f t="shared" si="4"/>
        <v>aa2m</v>
      </c>
      <c r="F120" s="2" t="str">
        <f t="shared" si="5"/>
        <v>08.12.09</v>
      </c>
      <c r="G120" s="1">
        <v>-124.418</v>
      </c>
      <c r="H120" s="1">
        <v>2.394</v>
      </c>
      <c r="I120" s="2">
        <f t="shared" si="6"/>
        <v>55.377923</v>
      </c>
      <c r="J120" s="2">
        <f t="shared" si="7"/>
        <v>55.582</v>
      </c>
      <c r="K120" s="2">
        <f t="shared" si="8"/>
        <v>1.970255838</v>
      </c>
      <c r="L120" s="2">
        <f t="shared" si="9"/>
        <v>1.359899972</v>
      </c>
      <c r="M120" s="2">
        <f t="shared" si="10"/>
        <v>56.73782297</v>
      </c>
      <c r="N120" s="2">
        <f t="shared" si="11"/>
        <v>56.77202184</v>
      </c>
    </row>
    <row r="121">
      <c r="A121" s="1" t="s">
        <v>133</v>
      </c>
      <c r="B121" s="2" t="str">
        <f t="shared" si="1"/>
        <v>aa2</v>
      </c>
      <c r="C121" s="2" t="str">
        <f t="shared" si="2"/>
        <v>m</v>
      </c>
      <c r="D121" s="2" t="str">
        <f t="shared" si="3"/>
        <v>13</v>
      </c>
      <c r="E121" s="2" t="str">
        <f t="shared" si="4"/>
        <v>aa2m</v>
      </c>
      <c r="F121" s="2" t="str">
        <f t="shared" si="5"/>
        <v>08.12.09</v>
      </c>
      <c r="G121" s="1">
        <v>173.884</v>
      </c>
      <c r="H121" s="1">
        <v>1.058</v>
      </c>
      <c r="I121" s="2">
        <f t="shared" si="6"/>
        <v>70.418749</v>
      </c>
      <c r="J121" s="2">
        <f t="shared" si="7"/>
        <v>6.116</v>
      </c>
      <c r="K121" s="2">
        <f t="shared" si="8"/>
        <v>0.1760592029</v>
      </c>
      <c r="L121" s="2">
        <f t="shared" si="9"/>
        <v>1.043248368</v>
      </c>
      <c r="M121" s="2">
        <f t="shared" si="10"/>
        <v>71.46199737</v>
      </c>
      <c r="N121" s="2">
        <f t="shared" si="11"/>
        <v>71.46221424</v>
      </c>
    </row>
    <row r="122">
      <c r="A122" s="1" t="s">
        <v>134</v>
      </c>
      <c r="B122" s="2" t="str">
        <f t="shared" si="1"/>
        <v>aa2</v>
      </c>
      <c r="C122" s="2" t="str">
        <f t="shared" si="2"/>
        <v>m</v>
      </c>
      <c r="D122" s="2" t="str">
        <f t="shared" si="3"/>
        <v>13</v>
      </c>
      <c r="E122" s="2" t="str">
        <f t="shared" si="4"/>
        <v>aa2m</v>
      </c>
      <c r="F122" s="2" t="str">
        <f t="shared" si="5"/>
        <v>08.12.09</v>
      </c>
      <c r="G122" s="1">
        <v>130.601</v>
      </c>
      <c r="H122" s="1">
        <v>1.016</v>
      </c>
      <c r="I122" s="2">
        <f t="shared" si="6"/>
        <v>70.418749</v>
      </c>
      <c r="J122" s="2">
        <f t="shared" si="7"/>
        <v>49.399</v>
      </c>
      <c r="K122" s="2">
        <f t="shared" si="8"/>
        <v>0.7742489045</v>
      </c>
      <c r="L122" s="2">
        <f t="shared" si="9"/>
        <v>0.6578712898</v>
      </c>
      <c r="M122" s="2">
        <f t="shared" si="10"/>
        <v>71.07662029</v>
      </c>
      <c r="N122" s="2">
        <f t="shared" si="11"/>
        <v>71.08083717</v>
      </c>
    </row>
    <row r="123">
      <c r="A123" s="1" t="s">
        <v>135</v>
      </c>
      <c r="B123" s="2" t="str">
        <f t="shared" si="1"/>
        <v>aa2</v>
      </c>
      <c r="C123" s="2" t="str">
        <f t="shared" si="2"/>
        <v>m</v>
      </c>
      <c r="D123" s="2" t="str">
        <f t="shared" si="3"/>
        <v>15</v>
      </c>
      <c r="E123" s="2" t="str">
        <f t="shared" si="4"/>
        <v>aa2m</v>
      </c>
      <c r="F123" s="2" t="str">
        <f t="shared" si="5"/>
        <v>08.12.09</v>
      </c>
      <c r="G123" s="1">
        <v>180.0</v>
      </c>
      <c r="H123" s="1">
        <v>0.49</v>
      </c>
      <c r="I123" s="2">
        <f t="shared" si="6"/>
        <v>85.459575</v>
      </c>
      <c r="J123" s="2">
        <f t="shared" si="7"/>
        <v>0</v>
      </c>
      <c r="K123" s="2">
        <f t="shared" si="8"/>
        <v>0</v>
      </c>
      <c r="L123" s="2">
        <f t="shared" si="9"/>
        <v>0.49</v>
      </c>
      <c r="M123" s="2">
        <f t="shared" si="10"/>
        <v>85.949575</v>
      </c>
      <c r="N123" s="2">
        <f t="shared" si="11"/>
        <v>85.949575</v>
      </c>
    </row>
    <row r="124">
      <c r="A124" s="1" t="s">
        <v>136</v>
      </c>
      <c r="B124" s="2" t="str">
        <f t="shared" si="1"/>
        <v>aa2</v>
      </c>
      <c r="C124" s="2" t="str">
        <f t="shared" si="2"/>
        <v>m</v>
      </c>
      <c r="D124" s="2" t="str">
        <f t="shared" si="3"/>
        <v>17</v>
      </c>
      <c r="E124" s="2" t="str">
        <f t="shared" si="4"/>
        <v>aa2m</v>
      </c>
      <c r="F124" s="2" t="str">
        <f t="shared" si="5"/>
        <v>08.12.08</v>
      </c>
      <c r="G124" s="1">
        <v>155.695</v>
      </c>
      <c r="H124" s="1">
        <v>1.229</v>
      </c>
      <c r="I124" s="2">
        <f t="shared" si="6"/>
        <v>100.500401</v>
      </c>
      <c r="J124" s="2">
        <f t="shared" si="7"/>
        <v>24.305</v>
      </c>
      <c r="K124" s="2">
        <f t="shared" si="8"/>
        <v>0.9050418678</v>
      </c>
      <c r="L124" s="2">
        <f t="shared" si="9"/>
        <v>0.8314687111</v>
      </c>
      <c r="M124" s="2">
        <f t="shared" si="10"/>
        <v>101.3318697</v>
      </c>
      <c r="N124" s="2">
        <f t="shared" si="11"/>
        <v>101.3359113</v>
      </c>
    </row>
    <row r="125">
      <c r="A125" s="1" t="s">
        <v>137</v>
      </c>
      <c r="B125" s="2" t="str">
        <f t="shared" si="1"/>
        <v>aa2</v>
      </c>
      <c r="C125" s="2" t="str">
        <f t="shared" si="2"/>
        <v>m</v>
      </c>
      <c r="D125" s="2" t="str">
        <f t="shared" si="3"/>
        <v>17</v>
      </c>
      <c r="E125" s="2" t="str">
        <f t="shared" si="4"/>
        <v>aa2m</v>
      </c>
      <c r="F125" s="2" t="str">
        <f t="shared" si="5"/>
        <v>08.12.09</v>
      </c>
      <c r="G125" s="1">
        <v>180.0</v>
      </c>
      <c r="H125" s="1">
        <v>0.533</v>
      </c>
      <c r="I125" s="2">
        <f t="shared" si="6"/>
        <v>100.500401</v>
      </c>
      <c r="J125" s="2">
        <f t="shared" si="7"/>
        <v>0</v>
      </c>
      <c r="K125" s="2">
        <f t="shared" si="8"/>
        <v>0</v>
      </c>
      <c r="L125" s="2">
        <f t="shared" si="9"/>
        <v>0.533</v>
      </c>
      <c r="M125" s="2">
        <f t="shared" si="10"/>
        <v>101.033401</v>
      </c>
      <c r="N125" s="2">
        <f t="shared" si="11"/>
        <v>101.033401</v>
      </c>
    </row>
    <row r="126">
      <c r="A126" s="1" t="s">
        <v>138</v>
      </c>
      <c r="B126" s="2" t="str">
        <f t="shared" si="1"/>
        <v>aa2</v>
      </c>
      <c r="C126" s="2" t="str">
        <f t="shared" si="2"/>
        <v>m</v>
      </c>
      <c r="D126" s="2" t="str">
        <f t="shared" si="3"/>
        <v>17</v>
      </c>
      <c r="E126" s="2" t="str">
        <f t="shared" si="4"/>
        <v>aa2m</v>
      </c>
      <c r="F126" s="2" t="str">
        <f t="shared" si="5"/>
        <v>08.12.09</v>
      </c>
      <c r="G126" s="1">
        <v>164.745</v>
      </c>
      <c r="H126" s="1">
        <v>0.844</v>
      </c>
      <c r="I126" s="2">
        <f t="shared" si="6"/>
        <v>100.500401</v>
      </c>
      <c r="J126" s="2">
        <f t="shared" si="7"/>
        <v>15.255</v>
      </c>
      <c r="K126" s="2">
        <f t="shared" si="8"/>
        <v>0.3693613122</v>
      </c>
      <c r="L126" s="2">
        <f t="shared" si="9"/>
        <v>0.7588861713</v>
      </c>
      <c r="M126" s="2">
        <f t="shared" si="10"/>
        <v>101.2592872</v>
      </c>
      <c r="N126" s="2">
        <f t="shared" si="11"/>
        <v>101.2599608</v>
      </c>
    </row>
    <row r="127">
      <c r="A127" s="1" t="s">
        <v>139</v>
      </c>
      <c r="B127" s="2" t="str">
        <f t="shared" si="1"/>
        <v>aa2</v>
      </c>
      <c r="C127" s="2" t="str">
        <f t="shared" si="2"/>
        <v>m</v>
      </c>
      <c r="D127" s="2" t="str">
        <f t="shared" si="3"/>
        <v>17</v>
      </c>
      <c r="E127" s="2" t="str">
        <f t="shared" si="4"/>
        <v>aa2m</v>
      </c>
      <c r="F127" s="2" t="str">
        <f t="shared" si="5"/>
        <v>08.12.09</v>
      </c>
      <c r="G127" s="1">
        <v>110.556</v>
      </c>
      <c r="H127" s="1">
        <v>1.244</v>
      </c>
      <c r="I127" s="2">
        <f t="shared" si="6"/>
        <v>100.500401</v>
      </c>
      <c r="J127" s="2">
        <f t="shared" si="7"/>
        <v>69.444</v>
      </c>
      <c r="K127" s="2">
        <f t="shared" si="8"/>
        <v>0.4018872662</v>
      </c>
      <c r="L127" s="2">
        <f t="shared" si="9"/>
        <v>1.177294621</v>
      </c>
      <c r="M127" s="2">
        <f t="shared" si="10"/>
        <v>101.6776956</v>
      </c>
      <c r="N127" s="2">
        <f t="shared" si="11"/>
        <v>101.6784899</v>
      </c>
    </row>
    <row r="128">
      <c r="A128" s="1" t="s">
        <v>140</v>
      </c>
      <c r="B128" s="2" t="str">
        <f t="shared" si="1"/>
        <v>aa2</v>
      </c>
      <c r="C128" s="2" t="str">
        <f t="shared" si="2"/>
        <v>m</v>
      </c>
      <c r="D128" s="2" t="str">
        <f t="shared" si="3"/>
        <v>17</v>
      </c>
      <c r="E128" s="2" t="str">
        <f t="shared" si="4"/>
        <v>aa2m</v>
      </c>
      <c r="F128" s="2" t="str">
        <f t="shared" si="5"/>
        <v>08.12.09</v>
      </c>
      <c r="G128" s="1">
        <v>-176.634</v>
      </c>
      <c r="H128" s="1">
        <v>0.644</v>
      </c>
      <c r="I128" s="2">
        <f t="shared" si="6"/>
        <v>100.500401</v>
      </c>
      <c r="J128" s="2">
        <f t="shared" si="7"/>
        <v>3.366</v>
      </c>
      <c r="K128" s="2">
        <f t="shared" si="8"/>
        <v>0.1433084234</v>
      </c>
      <c r="L128" s="2">
        <f t="shared" si="9"/>
        <v>0.6278524475</v>
      </c>
      <c r="M128" s="2">
        <f t="shared" si="10"/>
        <v>101.1282534</v>
      </c>
      <c r="N128" s="2">
        <f t="shared" si="11"/>
        <v>101.128355</v>
      </c>
    </row>
    <row r="129">
      <c r="A129" s="1" t="s">
        <v>141</v>
      </c>
      <c r="B129" s="2" t="str">
        <f t="shared" si="1"/>
        <v>aa2</v>
      </c>
      <c r="C129" s="2" t="str">
        <f t="shared" si="2"/>
        <v>m</v>
      </c>
      <c r="D129" s="2" t="str">
        <f t="shared" si="3"/>
        <v>21</v>
      </c>
      <c r="E129" s="2" t="str">
        <f t="shared" si="4"/>
        <v>aa2m</v>
      </c>
      <c r="F129" s="2" t="str">
        <f t="shared" si="5"/>
        <v>08.12.09</v>
      </c>
      <c r="G129" s="1">
        <v>-176.424</v>
      </c>
      <c r="H129" s="1">
        <v>0.58</v>
      </c>
      <c r="I129" s="2">
        <f t="shared" si="6"/>
        <v>130.582053</v>
      </c>
      <c r="J129" s="2">
        <f t="shared" si="7"/>
        <v>3.576</v>
      </c>
      <c r="K129" s="2">
        <f t="shared" si="8"/>
        <v>0.2441062632</v>
      </c>
      <c r="L129" s="2">
        <f t="shared" si="9"/>
        <v>0.5261293874</v>
      </c>
      <c r="M129" s="2">
        <f t="shared" si="10"/>
        <v>131.1081824</v>
      </c>
      <c r="N129" s="2">
        <f t="shared" si="11"/>
        <v>131.1084096</v>
      </c>
    </row>
    <row r="130">
      <c r="A130" s="1" t="s">
        <v>142</v>
      </c>
      <c r="B130" s="2" t="str">
        <f t="shared" si="1"/>
        <v>aa2</v>
      </c>
      <c r="C130" s="2" t="str">
        <f t="shared" si="2"/>
        <v>m</v>
      </c>
      <c r="D130" s="2" t="str">
        <f t="shared" si="3"/>
        <v>21</v>
      </c>
      <c r="E130" s="2" t="str">
        <f t="shared" si="4"/>
        <v>aa2m</v>
      </c>
      <c r="F130" s="2" t="str">
        <f t="shared" si="5"/>
        <v>08.12.09</v>
      </c>
      <c r="G130" s="1">
        <v>163.686</v>
      </c>
      <c r="H130" s="1">
        <v>1.578</v>
      </c>
      <c r="I130" s="2">
        <f t="shared" si="6"/>
        <v>130.582053</v>
      </c>
      <c r="J130" s="2">
        <f t="shared" si="7"/>
        <v>16.314</v>
      </c>
      <c r="K130" s="2">
        <f t="shared" si="8"/>
        <v>0.8988516569</v>
      </c>
      <c r="L130" s="2">
        <f t="shared" si="9"/>
        <v>1.296977139</v>
      </c>
      <c r="M130" s="2">
        <f t="shared" si="10"/>
        <v>131.8790301</v>
      </c>
      <c r="N130" s="2">
        <f t="shared" si="11"/>
        <v>131.8820933</v>
      </c>
    </row>
    <row r="131">
      <c r="A131" s="1" t="s">
        <v>143</v>
      </c>
      <c r="B131" s="2" t="str">
        <f t="shared" si="1"/>
        <v>aa2</v>
      </c>
      <c r="C131" s="2" t="str">
        <f t="shared" si="2"/>
        <v>m</v>
      </c>
      <c r="D131" s="2" t="str">
        <f t="shared" si="3"/>
        <v>21</v>
      </c>
      <c r="E131" s="2" t="str">
        <f t="shared" si="4"/>
        <v>aa2m</v>
      </c>
      <c r="F131" s="2" t="str">
        <f t="shared" si="5"/>
        <v>08.12.09</v>
      </c>
      <c r="G131" s="1">
        <v>146.31</v>
      </c>
      <c r="H131" s="1">
        <v>0.527</v>
      </c>
      <c r="I131" s="2">
        <f t="shared" si="6"/>
        <v>130.582053</v>
      </c>
      <c r="J131" s="2">
        <f t="shared" si="7"/>
        <v>33.69</v>
      </c>
      <c r="K131" s="2">
        <f t="shared" si="8"/>
        <v>0.4019570732</v>
      </c>
      <c r="L131" s="2">
        <f t="shared" si="9"/>
        <v>0.3408218175</v>
      </c>
      <c r="M131" s="2">
        <f t="shared" si="10"/>
        <v>130.9228748</v>
      </c>
      <c r="N131" s="2">
        <f t="shared" si="11"/>
        <v>130.9234919</v>
      </c>
    </row>
    <row r="132">
      <c r="A132" s="1" t="s">
        <v>144</v>
      </c>
      <c r="B132" s="2" t="str">
        <f t="shared" si="1"/>
        <v>aa2</v>
      </c>
      <c r="C132" s="2" t="str">
        <f t="shared" si="2"/>
        <v>m</v>
      </c>
      <c r="D132" s="2" t="str">
        <f t="shared" si="3"/>
        <v>21</v>
      </c>
      <c r="E132" s="2" t="str">
        <f t="shared" si="4"/>
        <v>aa2m</v>
      </c>
      <c r="F132" s="2" t="str">
        <f t="shared" si="5"/>
        <v>08.12.09</v>
      </c>
      <c r="G132" s="1">
        <v>-164.055</v>
      </c>
      <c r="H132" s="1">
        <v>0.535</v>
      </c>
      <c r="I132" s="2">
        <f t="shared" si="6"/>
        <v>130.582053</v>
      </c>
      <c r="J132" s="2">
        <f t="shared" si="7"/>
        <v>15.945</v>
      </c>
      <c r="K132" s="2">
        <f t="shared" si="8"/>
        <v>0.12563044</v>
      </c>
      <c r="L132" s="2">
        <f t="shared" si="9"/>
        <v>0.5200403759</v>
      </c>
      <c r="M132" s="2">
        <f t="shared" si="10"/>
        <v>131.1020934</v>
      </c>
      <c r="N132" s="2">
        <f t="shared" si="11"/>
        <v>131.1021536</v>
      </c>
    </row>
    <row r="133">
      <c r="A133" s="1" t="s">
        <v>145</v>
      </c>
      <c r="B133" s="2" t="str">
        <f t="shared" si="1"/>
        <v>cn1</v>
      </c>
      <c r="C133" s="2" t="str">
        <f t="shared" si="2"/>
        <v>f</v>
      </c>
      <c r="D133" s="2" t="str">
        <f t="shared" si="3"/>
        <v>03</v>
      </c>
      <c r="E133" s="2" t="str">
        <f t="shared" si="4"/>
        <v>cn1f</v>
      </c>
      <c r="F133" s="2" t="str">
        <f t="shared" si="5"/>
        <v>08.12.09</v>
      </c>
      <c r="G133" s="1">
        <v>180.0</v>
      </c>
      <c r="H133" s="1">
        <v>0.294</v>
      </c>
      <c r="I133" s="2">
        <f t="shared" si="6"/>
        <v>-4.785381</v>
      </c>
      <c r="J133" s="2">
        <f t="shared" si="7"/>
        <v>0</v>
      </c>
      <c r="K133" s="2">
        <f t="shared" si="8"/>
        <v>0</v>
      </c>
      <c r="L133" s="2">
        <f t="shared" si="9"/>
        <v>0.294</v>
      </c>
      <c r="M133" s="2">
        <f t="shared" si="10"/>
        <v>-4.491381</v>
      </c>
      <c r="N133" s="2">
        <f t="shared" si="11"/>
        <v>4.491381</v>
      </c>
    </row>
    <row r="134">
      <c r="A134" s="1" t="s">
        <v>146</v>
      </c>
      <c r="B134" s="2" t="str">
        <f t="shared" si="1"/>
        <v>cn1</v>
      </c>
      <c r="C134" s="2" t="str">
        <f t="shared" si="2"/>
        <v>f</v>
      </c>
      <c r="D134" s="2" t="str">
        <f t="shared" si="3"/>
        <v>03</v>
      </c>
      <c r="E134" s="2" t="str">
        <f t="shared" si="4"/>
        <v>cn1f</v>
      </c>
      <c r="F134" s="2" t="str">
        <f t="shared" si="5"/>
        <v>08.12.09</v>
      </c>
      <c r="G134" s="1">
        <v>-163.301</v>
      </c>
      <c r="H134" s="1">
        <v>0.357</v>
      </c>
      <c r="I134" s="2">
        <f t="shared" si="6"/>
        <v>-4.785381</v>
      </c>
      <c r="J134" s="2">
        <f t="shared" si="7"/>
        <v>16.699</v>
      </c>
      <c r="K134" s="2">
        <f t="shared" si="8"/>
        <v>0.2986641914</v>
      </c>
      <c r="L134" s="2">
        <f t="shared" si="9"/>
        <v>0.1955727506</v>
      </c>
      <c r="M134" s="2">
        <f t="shared" si="10"/>
        <v>-4.589808249</v>
      </c>
      <c r="N134" s="2">
        <f t="shared" si="11"/>
        <v>4.599515199</v>
      </c>
    </row>
    <row r="135">
      <c r="A135" s="1" t="s">
        <v>147</v>
      </c>
      <c r="B135" s="2" t="str">
        <f t="shared" si="1"/>
        <v>cn1</v>
      </c>
      <c r="C135" s="2" t="str">
        <f t="shared" si="2"/>
        <v>f</v>
      </c>
      <c r="D135" s="2" t="str">
        <f t="shared" si="3"/>
        <v>03</v>
      </c>
      <c r="E135" s="2" t="str">
        <f t="shared" si="4"/>
        <v>cn1f</v>
      </c>
      <c r="F135" s="2" t="str">
        <f t="shared" si="5"/>
        <v>08.12.09</v>
      </c>
      <c r="G135" s="1">
        <v>-175.601</v>
      </c>
      <c r="H135" s="1">
        <v>0.491</v>
      </c>
      <c r="I135" s="2">
        <f t="shared" si="6"/>
        <v>-4.785381</v>
      </c>
      <c r="J135" s="2">
        <f t="shared" si="7"/>
        <v>4.399</v>
      </c>
      <c r="K135" s="2">
        <f t="shared" si="8"/>
        <v>0.4670854842</v>
      </c>
      <c r="L135" s="2">
        <f t="shared" si="9"/>
        <v>0.1513676002</v>
      </c>
      <c r="M135" s="2">
        <f t="shared" si="10"/>
        <v>-4.6340134</v>
      </c>
      <c r="N135" s="2">
        <f t="shared" si="11"/>
        <v>4.657493858</v>
      </c>
    </row>
    <row r="136">
      <c r="A136" s="1" t="s">
        <v>148</v>
      </c>
      <c r="B136" s="2" t="str">
        <f t="shared" si="1"/>
        <v>cn1</v>
      </c>
      <c r="C136" s="2" t="str">
        <f t="shared" si="2"/>
        <v>f</v>
      </c>
      <c r="D136" s="2" t="str">
        <f t="shared" si="3"/>
        <v>05</v>
      </c>
      <c r="E136" s="2" t="str">
        <f t="shared" si="4"/>
        <v>cn1f</v>
      </c>
      <c r="F136" s="2" t="str">
        <f t="shared" si="5"/>
        <v>08.06.09</v>
      </c>
      <c r="G136" s="1">
        <v>-158.199</v>
      </c>
      <c r="H136" s="1">
        <v>0.587</v>
      </c>
      <c r="I136" s="2">
        <f t="shared" si="6"/>
        <v>10.255445</v>
      </c>
      <c r="J136" s="2">
        <f t="shared" si="7"/>
        <v>21.801</v>
      </c>
      <c r="K136" s="2">
        <f t="shared" si="8"/>
        <v>0.1109458143</v>
      </c>
      <c r="L136" s="2">
        <f t="shared" si="9"/>
        <v>0.5764200086</v>
      </c>
      <c r="M136" s="2">
        <f t="shared" si="10"/>
        <v>10.83186501</v>
      </c>
      <c r="N136" s="2">
        <f t="shared" si="11"/>
        <v>10.83243318</v>
      </c>
    </row>
    <row r="137">
      <c r="A137" s="1" t="s">
        <v>149</v>
      </c>
      <c r="B137" s="2" t="str">
        <f t="shared" si="1"/>
        <v>cn1</v>
      </c>
      <c r="C137" s="2" t="str">
        <f t="shared" si="2"/>
        <v>f</v>
      </c>
      <c r="D137" s="2" t="str">
        <f t="shared" si="3"/>
        <v>05</v>
      </c>
      <c r="E137" s="2" t="str">
        <f t="shared" si="4"/>
        <v>cn1f</v>
      </c>
      <c r="F137" s="2" t="str">
        <f t="shared" si="5"/>
        <v>08.12.09</v>
      </c>
      <c r="G137" s="1">
        <v>-172.875</v>
      </c>
      <c r="H137" s="1">
        <v>0.89</v>
      </c>
      <c r="I137" s="2">
        <f t="shared" si="6"/>
        <v>10.255445</v>
      </c>
      <c r="J137" s="2">
        <f t="shared" si="7"/>
        <v>7.125</v>
      </c>
      <c r="K137" s="2">
        <f t="shared" si="8"/>
        <v>0.6638092886</v>
      </c>
      <c r="L137" s="2">
        <f t="shared" si="9"/>
        <v>0.5928382819</v>
      </c>
      <c r="M137" s="2">
        <f t="shared" si="10"/>
        <v>10.84828328</v>
      </c>
      <c r="N137" s="2">
        <f t="shared" si="11"/>
        <v>10.86857364</v>
      </c>
    </row>
    <row r="138">
      <c r="A138" s="1" t="s">
        <v>150</v>
      </c>
      <c r="B138" s="2" t="str">
        <f t="shared" si="1"/>
        <v>cn1</v>
      </c>
      <c r="C138" s="2" t="str">
        <f t="shared" si="2"/>
        <v>f</v>
      </c>
      <c r="D138" s="2" t="str">
        <f t="shared" si="3"/>
        <v>05</v>
      </c>
      <c r="E138" s="2" t="str">
        <f t="shared" si="4"/>
        <v>cn1f</v>
      </c>
      <c r="F138" s="2" t="str">
        <f t="shared" si="5"/>
        <v>08.12.09</v>
      </c>
      <c r="G138" s="1">
        <v>-147.804</v>
      </c>
      <c r="H138" s="1">
        <v>1.183</v>
      </c>
      <c r="I138" s="2">
        <f t="shared" si="6"/>
        <v>10.255445</v>
      </c>
      <c r="J138" s="2">
        <f t="shared" si="7"/>
        <v>32.196</v>
      </c>
      <c r="K138" s="2">
        <f t="shared" si="8"/>
        <v>0.8320413348</v>
      </c>
      <c r="L138" s="2">
        <f t="shared" si="9"/>
        <v>0.8409495926</v>
      </c>
      <c r="M138" s="2">
        <f t="shared" si="10"/>
        <v>11.09639459</v>
      </c>
      <c r="N138" s="2">
        <f t="shared" si="11"/>
        <v>11.12754536</v>
      </c>
    </row>
    <row r="139">
      <c r="A139" s="1" t="s">
        <v>151</v>
      </c>
      <c r="B139" s="2" t="str">
        <f t="shared" si="1"/>
        <v>cn1</v>
      </c>
      <c r="C139" s="2" t="str">
        <f t="shared" si="2"/>
        <v>f</v>
      </c>
      <c r="D139" s="2" t="str">
        <f t="shared" si="3"/>
        <v>05</v>
      </c>
      <c r="E139" s="2" t="str">
        <f t="shared" si="4"/>
        <v>cn1f</v>
      </c>
      <c r="F139" s="2" t="str">
        <f t="shared" si="5"/>
        <v>08.12.09</v>
      </c>
      <c r="G139" s="1">
        <v>-173.66</v>
      </c>
      <c r="H139" s="1">
        <v>0.658</v>
      </c>
      <c r="I139" s="2">
        <f t="shared" si="6"/>
        <v>10.255445</v>
      </c>
      <c r="J139" s="2">
        <f t="shared" si="7"/>
        <v>6.34</v>
      </c>
      <c r="K139" s="2">
        <f t="shared" si="8"/>
        <v>0.03736395906</v>
      </c>
      <c r="L139" s="2">
        <f t="shared" si="9"/>
        <v>0.6569383035</v>
      </c>
      <c r="M139" s="2">
        <f t="shared" si="10"/>
        <v>10.9123833</v>
      </c>
      <c r="N139" s="2">
        <f t="shared" si="11"/>
        <v>10.91244727</v>
      </c>
    </row>
    <row r="140">
      <c r="A140" s="1" t="s">
        <v>152</v>
      </c>
      <c r="B140" s="2" t="str">
        <f t="shared" si="1"/>
        <v>cn1</v>
      </c>
      <c r="C140" s="2" t="str">
        <f t="shared" si="2"/>
        <v>f</v>
      </c>
      <c r="D140" s="2" t="str">
        <f t="shared" si="3"/>
        <v>05</v>
      </c>
      <c r="E140" s="2" t="str">
        <f t="shared" si="4"/>
        <v>cn1f</v>
      </c>
      <c r="F140" s="2" t="str">
        <f t="shared" si="5"/>
        <v>08.12.09</v>
      </c>
      <c r="G140" s="1">
        <v>-172.875</v>
      </c>
      <c r="H140" s="1">
        <v>0.591</v>
      </c>
      <c r="I140" s="2">
        <f t="shared" si="6"/>
        <v>10.255445</v>
      </c>
      <c r="J140" s="2">
        <f t="shared" si="7"/>
        <v>7.125</v>
      </c>
      <c r="K140" s="2">
        <f t="shared" si="8"/>
        <v>0.4407992017</v>
      </c>
      <c r="L140" s="2">
        <f t="shared" si="9"/>
        <v>0.3936712636</v>
      </c>
      <c r="M140" s="2">
        <f t="shared" si="10"/>
        <v>10.64911626</v>
      </c>
      <c r="N140" s="2">
        <f t="shared" si="11"/>
        <v>10.65823537</v>
      </c>
    </row>
    <row r="141">
      <c r="A141" s="1" t="s">
        <v>153</v>
      </c>
      <c r="B141" s="2" t="str">
        <f t="shared" si="1"/>
        <v>cn1</v>
      </c>
      <c r="C141" s="2" t="str">
        <f t="shared" si="2"/>
        <v>f</v>
      </c>
      <c r="D141" s="2" t="str">
        <f t="shared" si="3"/>
        <v>07</v>
      </c>
      <c r="E141" s="2" t="str">
        <f t="shared" si="4"/>
        <v>cn1f</v>
      </c>
      <c r="F141" s="2" t="str">
        <f t="shared" si="5"/>
        <v>08.06.09</v>
      </c>
      <c r="G141" s="1">
        <v>167.471</v>
      </c>
      <c r="H141" s="1">
        <v>0.34</v>
      </c>
      <c r="I141" s="2">
        <f t="shared" si="6"/>
        <v>25.296271</v>
      </c>
      <c r="J141" s="2">
        <f t="shared" si="7"/>
        <v>12.529</v>
      </c>
      <c r="K141" s="2">
        <f t="shared" si="8"/>
        <v>0.01270305163</v>
      </c>
      <c r="L141" s="2">
        <f t="shared" si="9"/>
        <v>0.339762612</v>
      </c>
      <c r="M141" s="2">
        <f t="shared" si="10"/>
        <v>25.63603361</v>
      </c>
      <c r="N141" s="2">
        <f t="shared" si="11"/>
        <v>25.63603676</v>
      </c>
    </row>
    <row r="142">
      <c r="A142" s="1" t="s">
        <v>154</v>
      </c>
      <c r="B142" s="2" t="str">
        <f t="shared" si="1"/>
        <v>cn1</v>
      </c>
      <c r="C142" s="2" t="str">
        <f t="shared" si="2"/>
        <v>f</v>
      </c>
      <c r="D142" s="2" t="str">
        <f t="shared" si="3"/>
        <v>07</v>
      </c>
      <c r="E142" s="2" t="str">
        <f t="shared" si="4"/>
        <v>cn1f</v>
      </c>
      <c r="F142" s="2" t="str">
        <f t="shared" si="5"/>
        <v>08.06.09</v>
      </c>
      <c r="G142" s="1">
        <v>-170.538</v>
      </c>
      <c r="H142" s="1">
        <v>0.663</v>
      </c>
      <c r="I142" s="2">
        <f t="shared" si="6"/>
        <v>25.296271</v>
      </c>
      <c r="J142" s="2">
        <f t="shared" si="7"/>
        <v>9.462</v>
      </c>
      <c r="K142" s="2">
        <f t="shared" si="8"/>
        <v>0.02467251388</v>
      </c>
      <c r="L142" s="2">
        <f t="shared" si="9"/>
        <v>0.6625407663</v>
      </c>
      <c r="M142" s="2">
        <f t="shared" si="10"/>
        <v>25.95881177</v>
      </c>
      <c r="N142" s="2">
        <f t="shared" si="11"/>
        <v>25.95882349</v>
      </c>
    </row>
    <row r="143">
      <c r="A143" s="1" t="s">
        <v>155</v>
      </c>
      <c r="B143" s="2" t="str">
        <f t="shared" si="1"/>
        <v>cn1</v>
      </c>
      <c r="C143" s="2" t="str">
        <f t="shared" si="2"/>
        <v>f</v>
      </c>
      <c r="D143" s="2" t="str">
        <f t="shared" si="3"/>
        <v>07</v>
      </c>
      <c r="E143" s="2" t="str">
        <f t="shared" si="4"/>
        <v>cn1f</v>
      </c>
      <c r="F143" s="2" t="str">
        <f t="shared" si="5"/>
        <v>08.06.09</v>
      </c>
      <c r="G143" s="1">
        <v>-171.254</v>
      </c>
      <c r="H143" s="1">
        <v>0.458</v>
      </c>
      <c r="I143" s="2">
        <f t="shared" si="6"/>
        <v>25.296271</v>
      </c>
      <c r="J143" s="2">
        <f t="shared" si="7"/>
        <v>8.746</v>
      </c>
      <c r="K143" s="2">
        <f t="shared" si="8"/>
        <v>0.2875517873</v>
      </c>
      <c r="L143" s="2">
        <f t="shared" si="9"/>
        <v>0.3564799708</v>
      </c>
      <c r="M143" s="2">
        <f t="shared" si="10"/>
        <v>25.65275097</v>
      </c>
      <c r="N143" s="2">
        <f t="shared" si="11"/>
        <v>25.65436256</v>
      </c>
    </row>
    <row r="144">
      <c r="A144" s="1" t="s">
        <v>156</v>
      </c>
      <c r="B144" s="2" t="str">
        <f t="shared" si="1"/>
        <v>cn1</v>
      </c>
      <c r="C144" s="2" t="str">
        <f t="shared" si="2"/>
        <v>f</v>
      </c>
      <c r="D144" s="2" t="str">
        <f t="shared" si="3"/>
        <v>07</v>
      </c>
      <c r="E144" s="2" t="str">
        <f t="shared" si="4"/>
        <v>cn1f</v>
      </c>
      <c r="F144" s="2" t="str">
        <f t="shared" si="5"/>
        <v>08.06.09</v>
      </c>
      <c r="G144" s="1">
        <v>-110.225</v>
      </c>
      <c r="H144" s="1">
        <v>0.736</v>
      </c>
      <c r="I144" s="2">
        <f t="shared" si="6"/>
        <v>25.296271</v>
      </c>
      <c r="J144" s="2">
        <f t="shared" si="7"/>
        <v>69.775</v>
      </c>
      <c r="K144" s="2">
        <f t="shared" si="8"/>
        <v>0.4512316879</v>
      </c>
      <c r="L144" s="2">
        <f t="shared" si="9"/>
        <v>0.5814516006</v>
      </c>
      <c r="M144" s="2">
        <f t="shared" si="10"/>
        <v>25.8777226</v>
      </c>
      <c r="N144" s="2">
        <f t="shared" si="11"/>
        <v>25.88165638</v>
      </c>
    </row>
    <row r="145">
      <c r="A145" s="1" t="s">
        <v>157</v>
      </c>
      <c r="B145" s="2" t="str">
        <f t="shared" si="1"/>
        <v>cn1</v>
      </c>
      <c r="C145" s="2" t="str">
        <f t="shared" si="2"/>
        <v>f</v>
      </c>
      <c r="D145" s="2" t="str">
        <f t="shared" si="3"/>
        <v>07</v>
      </c>
      <c r="E145" s="2" t="str">
        <f t="shared" si="4"/>
        <v>cn1f</v>
      </c>
      <c r="F145" s="2" t="str">
        <f t="shared" si="5"/>
        <v>08.06.09</v>
      </c>
      <c r="G145" s="1">
        <v>90.0</v>
      </c>
      <c r="H145" s="1">
        <v>0.636</v>
      </c>
      <c r="I145" s="2">
        <f t="shared" si="6"/>
        <v>25.296271</v>
      </c>
      <c r="J145" s="2">
        <f t="shared" si="7"/>
        <v>90</v>
      </c>
      <c r="K145" s="2">
        <f t="shared" si="8"/>
        <v>0.568581878</v>
      </c>
      <c r="L145" s="2">
        <f t="shared" si="9"/>
        <v>0.2849748199</v>
      </c>
      <c r="M145" s="2">
        <f t="shared" si="10"/>
        <v>25.58124582</v>
      </c>
      <c r="N145" s="2">
        <f t="shared" si="11"/>
        <v>25.58756384</v>
      </c>
    </row>
    <row r="146">
      <c r="A146" s="1" t="s">
        <v>158</v>
      </c>
      <c r="B146" s="2" t="str">
        <f t="shared" si="1"/>
        <v>cn1</v>
      </c>
      <c r="C146" s="2" t="str">
        <f t="shared" si="2"/>
        <v>f</v>
      </c>
      <c r="D146" s="2" t="str">
        <f t="shared" si="3"/>
        <v>07</v>
      </c>
      <c r="E146" s="2" t="str">
        <f t="shared" si="4"/>
        <v>cn1f</v>
      </c>
      <c r="F146" s="2" t="str">
        <f t="shared" si="5"/>
        <v>08.06.09</v>
      </c>
      <c r="G146" s="1">
        <v>-144.782</v>
      </c>
      <c r="H146" s="1">
        <v>0.75</v>
      </c>
      <c r="I146" s="2">
        <f t="shared" si="6"/>
        <v>25.296271</v>
      </c>
      <c r="J146" s="2">
        <f t="shared" si="7"/>
        <v>35.218</v>
      </c>
      <c r="K146" s="2">
        <f t="shared" si="8"/>
        <v>0.4601224632</v>
      </c>
      <c r="L146" s="2">
        <f t="shared" si="9"/>
        <v>0.5922730104</v>
      </c>
      <c r="M146" s="2">
        <f t="shared" si="10"/>
        <v>25.88854401</v>
      </c>
      <c r="N146" s="2">
        <f t="shared" si="11"/>
        <v>25.89263261</v>
      </c>
    </row>
    <row r="147">
      <c r="A147" s="1" t="s">
        <v>159</v>
      </c>
      <c r="B147" s="2" t="str">
        <f t="shared" si="1"/>
        <v>cn1</v>
      </c>
      <c r="C147" s="2" t="str">
        <f t="shared" si="2"/>
        <v>f</v>
      </c>
      <c r="D147" s="2" t="str">
        <f t="shared" si="3"/>
        <v>07</v>
      </c>
      <c r="E147" s="2" t="str">
        <f t="shared" si="4"/>
        <v>cn1f</v>
      </c>
      <c r="F147" s="2" t="str">
        <f t="shared" si="5"/>
        <v>08.12.09</v>
      </c>
      <c r="G147" s="1">
        <v>-166.866</v>
      </c>
      <c r="H147" s="1">
        <v>1.123</v>
      </c>
      <c r="I147" s="2">
        <f t="shared" si="6"/>
        <v>25.296271</v>
      </c>
      <c r="J147" s="2">
        <f t="shared" si="7"/>
        <v>13.134</v>
      </c>
      <c r="K147" s="2">
        <f t="shared" si="8"/>
        <v>0.6037637813</v>
      </c>
      <c r="L147" s="2">
        <f t="shared" si="9"/>
        <v>0.9468887455</v>
      </c>
      <c r="M147" s="2">
        <f t="shared" si="10"/>
        <v>26.24315975</v>
      </c>
      <c r="N147" s="2">
        <f t="shared" si="11"/>
        <v>26.25010408</v>
      </c>
    </row>
    <row r="148">
      <c r="A148" s="1" t="s">
        <v>160</v>
      </c>
      <c r="B148" s="2" t="str">
        <f t="shared" si="1"/>
        <v>cn1</v>
      </c>
      <c r="C148" s="2" t="str">
        <f t="shared" si="2"/>
        <v>f</v>
      </c>
      <c r="D148" s="2" t="str">
        <f t="shared" si="3"/>
        <v>07</v>
      </c>
      <c r="E148" s="2" t="str">
        <f t="shared" si="4"/>
        <v>cn1f</v>
      </c>
      <c r="F148" s="2" t="str">
        <f t="shared" si="5"/>
        <v>08.12.09</v>
      </c>
      <c r="G148" s="1">
        <v>180.0</v>
      </c>
      <c r="H148" s="1">
        <v>0.597</v>
      </c>
      <c r="I148" s="2">
        <f t="shared" si="6"/>
        <v>25.296271</v>
      </c>
      <c r="J148" s="2">
        <f t="shared" si="7"/>
        <v>0</v>
      </c>
      <c r="K148" s="2">
        <f t="shared" si="8"/>
        <v>0</v>
      </c>
      <c r="L148" s="2">
        <f t="shared" si="9"/>
        <v>0.597</v>
      </c>
      <c r="M148" s="2">
        <f t="shared" si="10"/>
        <v>25.893271</v>
      </c>
      <c r="N148" s="2">
        <f t="shared" si="11"/>
        <v>25.893271</v>
      </c>
    </row>
    <row r="149">
      <c r="A149" s="1" t="s">
        <v>161</v>
      </c>
      <c r="B149" s="2" t="str">
        <f t="shared" si="1"/>
        <v>cn1</v>
      </c>
      <c r="C149" s="2" t="str">
        <f t="shared" si="2"/>
        <v>f</v>
      </c>
      <c r="D149" s="2" t="str">
        <f t="shared" si="3"/>
        <v>09</v>
      </c>
      <c r="E149" s="2" t="str">
        <f t="shared" si="4"/>
        <v>cn1f</v>
      </c>
      <c r="F149" s="2" t="str">
        <f t="shared" si="5"/>
        <v>08.06.09</v>
      </c>
      <c r="G149" s="1">
        <v>-158.199</v>
      </c>
      <c r="H149" s="1">
        <v>0.571</v>
      </c>
      <c r="I149" s="2">
        <f t="shared" si="6"/>
        <v>40.337097</v>
      </c>
      <c r="J149" s="2">
        <f t="shared" si="7"/>
        <v>21.801</v>
      </c>
      <c r="K149" s="2">
        <f t="shared" si="8"/>
        <v>0.1079217375</v>
      </c>
      <c r="L149" s="2">
        <f t="shared" si="9"/>
        <v>0.56070839</v>
      </c>
      <c r="M149" s="2">
        <f t="shared" si="10"/>
        <v>40.89780539</v>
      </c>
      <c r="N149" s="2">
        <f t="shared" si="11"/>
        <v>40.89794778</v>
      </c>
    </row>
    <row r="150">
      <c r="A150" s="1" t="s">
        <v>162</v>
      </c>
      <c r="B150" s="2" t="str">
        <f t="shared" si="1"/>
        <v>cn1</v>
      </c>
      <c r="C150" s="2" t="str">
        <f t="shared" si="2"/>
        <v>f</v>
      </c>
      <c r="D150" s="2" t="str">
        <f t="shared" si="3"/>
        <v>09</v>
      </c>
      <c r="E150" s="2" t="str">
        <f t="shared" si="4"/>
        <v>cn1f</v>
      </c>
      <c r="F150" s="2" t="str">
        <f t="shared" si="5"/>
        <v>08.12.09</v>
      </c>
      <c r="G150" s="1">
        <v>149.036</v>
      </c>
      <c r="H150" s="1">
        <v>0.851</v>
      </c>
      <c r="I150" s="2">
        <f t="shared" si="6"/>
        <v>40.337097</v>
      </c>
      <c r="J150" s="2">
        <f t="shared" si="7"/>
        <v>30.964</v>
      </c>
      <c r="K150" s="2">
        <f t="shared" si="8"/>
        <v>0.3716312486</v>
      </c>
      <c r="L150" s="2">
        <f t="shared" si="9"/>
        <v>0.7655659443</v>
      </c>
      <c r="M150" s="2">
        <f t="shared" si="10"/>
        <v>41.10266294</v>
      </c>
      <c r="N150" s="2">
        <f t="shared" si="11"/>
        <v>41.10434297</v>
      </c>
    </row>
    <row r="151">
      <c r="A151" s="1" t="s">
        <v>163</v>
      </c>
      <c r="B151" s="2" t="str">
        <f t="shared" si="1"/>
        <v>cn1</v>
      </c>
      <c r="C151" s="2" t="str">
        <f t="shared" si="2"/>
        <v>f</v>
      </c>
      <c r="D151" s="2" t="str">
        <f t="shared" si="3"/>
        <v>11</v>
      </c>
      <c r="E151" s="2" t="str">
        <f t="shared" si="4"/>
        <v>cn1f</v>
      </c>
      <c r="F151" s="2" t="str">
        <f t="shared" si="5"/>
        <v>08.12.09</v>
      </c>
      <c r="G151" s="1">
        <v>165.069</v>
      </c>
      <c r="H151" s="1">
        <v>0.558</v>
      </c>
      <c r="I151" s="2">
        <f t="shared" si="6"/>
        <v>55.377923</v>
      </c>
      <c r="J151" s="2">
        <f t="shared" si="7"/>
        <v>14.931</v>
      </c>
      <c r="K151" s="2">
        <f t="shared" si="8"/>
        <v>0.3912234678</v>
      </c>
      <c r="L151" s="2">
        <f t="shared" si="9"/>
        <v>0.3978796278</v>
      </c>
      <c r="M151" s="2">
        <f t="shared" si="10"/>
        <v>55.77580263</v>
      </c>
      <c r="N151" s="2">
        <f t="shared" si="11"/>
        <v>55.77717467</v>
      </c>
    </row>
    <row r="152">
      <c r="A152" s="1" t="s">
        <v>164</v>
      </c>
      <c r="B152" s="2" t="str">
        <f t="shared" si="1"/>
        <v>cn1</v>
      </c>
      <c r="C152" s="2" t="str">
        <f t="shared" si="2"/>
        <v>f</v>
      </c>
      <c r="D152" s="2" t="str">
        <f t="shared" si="3"/>
        <v>13</v>
      </c>
      <c r="E152" s="2" t="str">
        <f t="shared" si="4"/>
        <v>cn1f</v>
      </c>
      <c r="F152" s="2" t="str">
        <f t="shared" si="5"/>
        <v>08.12.09</v>
      </c>
      <c r="G152" s="1">
        <v>141.843</v>
      </c>
      <c r="H152" s="1">
        <v>0.637</v>
      </c>
      <c r="I152" s="2">
        <f t="shared" si="6"/>
        <v>70.418749</v>
      </c>
      <c r="J152" s="2">
        <f t="shared" si="7"/>
        <v>38.157</v>
      </c>
      <c r="K152" s="2">
        <f t="shared" si="8"/>
        <v>0.2815889051</v>
      </c>
      <c r="L152" s="2">
        <f t="shared" si="9"/>
        <v>0.5713813862</v>
      </c>
      <c r="M152" s="2">
        <f t="shared" si="10"/>
        <v>70.99013039</v>
      </c>
      <c r="N152" s="2">
        <f t="shared" si="11"/>
        <v>70.99068886</v>
      </c>
    </row>
    <row r="153">
      <c r="A153" s="1" t="s">
        <v>165</v>
      </c>
      <c r="B153" s="2" t="str">
        <f t="shared" si="1"/>
        <v>cn1</v>
      </c>
      <c r="C153" s="2" t="str">
        <f t="shared" si="2"/>
        <v>m</v>
      </c>
      <c r="D153" s="2" t="str">
        <f t="shared" si="3"/>
        <v>03</v>
      </c>
      <c r="E153" s="2" t="str">
        <f t="shared" si="4"/>
        <v>cn1m</v>
      </c>
      <c r="F153" s="2" t="str">
        <f t="shared" si="5"/>
        <v>08.12.09</v>
      </c>
      <c r="G153" s="1">
        <v>-175.601</v>
      </c>
      <c r="H153" s="1">
        <v>0.48</v>
      </c>
      <c r="I153" s="2">
        <f t="shared" si="6"/>
        <v>-4.785381</v>
      </c>
      <c r="J153" s="2">
        <f t="shared" si="7"/>
        <v>4.399</v>
      </c>
      <c r="K153" s="2">
        <f t="shared" si="8"/>
        <v>0.4566212473</v>
      </c>
      <c r="L153" s="2">
        <f t="shared" si="9"/>
        <v>0.1479764727</v>
      </c>
      <c r="M153" s="2">
        <f t="shared" si="10"/>
        <v>-4.637404527</v>
      </c>
      <c r="N153" s="2">
        <f t="shared" si="11"/>
        <v>4.659830867</v>
      </c>
    </row>
    <row r="154">
      <c r="A154" s="1" t="s">
        <v>166</v>
      </c>
      <c r="B154" s="2" t="str">
        <f t="shared" si="1"/>
        <v>cn1</v>
      </c>
      <c r="C154" s="2" t="str">
        <f t="shared" si="2"/>
        <v>m</v>
      </c>
      <c r="D154" s="2" t="str">
        <f t="shared" si="3"/>
        <v>05</v>
      </c>
      <c r="E154" s="2" t="str">
        <f t="shared" si="4"/>
        <v>cn1m</v>
      </c>
      <c r="F154" s="2" t="str">
        <f t="shared" si="5"/>
        <v>08.12.09</v>
      </c>
      <c r="G154" s="1">
        <v>-174.428</v>
      </c>
      <c r="H154" s="1">
        <v>1.525</v>
      </c>
      <c r="I154" s="2">
        <f t="shared" si="6"/>
        <v>10.255445</v>
      </c>
      <c r="J154" s="2">
        <f t="shared" si="7"/>
        <v>5.572</v>
      </c>
      <c r="K154" s="2">
        <f t="shared" si="8"/>
        <v>0.9954166122</v>
      </c>
      <c r="L154" s="2">
        <f t="shared" si="9"/>
        <v>1.155322798</v>
      </c>
      <c r="M154" s="2">
        <f t="shared" si="10"/>
        <v>11.4107678</v>
      </c>
      <c r="N154" s="2">
        <f t="shared" si="11"/>
        <v>11.45410302</v>
      </c>
    </row>
    <row r="155">
      <c r="A155" s="1" t="s">
        <v>167</v>
      </c>
      <c r="B155" s="2" t="str">
        <f t="shared" si="1"/>
        <v>cn1</v>
      </c>
      <c r="C155" s="2" t="str">
        <f t="shared" si="2"/>
        <v>m</v>
      </c>
      <c r="D155" s="2" t="str">
        <f t="shared" si="3"/>
        <v>05</v>
      </c>
      <c r="E155" s="2" t="str">
        <f t="shared" si="4"/>
        <v>cn1m</v>
      </c>
      <c r="F155" s="2" t="str">
        <f t="shared" si="5"/>
        <v>08.12.09</v>
      </c>
      <c r="G155" s="1">
        <v>-173.884</v>
      </c>
      <c r="H155" s="1">
        <v>1.024</v>
      </c>
      <c r="I155" s="2">
        <f t="shared" si="6"/>
        <v>10.255445</v>
      </c>
      <c r="J155" s="2">
        <f t="shared" si="7"/>
        <v>6.116</v>
      </c>
      <c r="K155" s="2">
        <f t="shared" si="8"/>
        <v>0.1704013457</v>
      </c>
      <c r="L155" s="2">
        <f t="shared" si="9"/>
        <v>1.009722428</v>
      </c>
      <c r="M155" s="2">
        <f t="shared" si="10"/>
        <v>11.26516743</v>
      </c>
      <c r="N155" s="2">
        <f t="shared" si="11"/>
        <v>11.26645613</v>
      </c>
    </row>
    <row r="156">
      <c r="A156" s="1" t="s">
        <v>168</v>
      </c>
      <c r="B156" s="2" t="str">
        <f t="shared" si="1"/>
        <v>cn1</v>
      </c>
      <c r="C156" s="2" t="str">
        <f t="shared" si="2"/>
        <v>m</v>
      </c>
      <c r="D156" s="2" t="str">
        <f t="shared" si="3"/>
        <v>05</v>
      </c>
      <c r="E156" s="2" t="str">
        <f t="shared" si="4"/>
        <v>cn1m</v>
      </c>
      <c r="F156" s="2" t="str">
        <f t="shared" si="5"/>
        <v>08.12.09</v>
      </c>
      <c r="G156" s="1">
        <v>-129.472</v>
      </c>
      <c r="H156" s="1">
        <v>0.819</v>
      </c>
      <c r="I156" s="2">
        <f t="shared" si="6"/>
        <v>10.255445</v>
      </c>
      <c r="J156" s="2">
        <f t="shared" si="7"/>
        <v>50.528</v>
      </c>
      <c r="K156" s="2">
        <f t="shared" si="8"/>
        <v>0.2125408706</v>
      </c>
      <c r="L156" s="2">
        <f t="shared" si="9"/>
        <v>0.7909408185</v>
      </c>
      <c r="M156" s="2">
        <f t="shared" si="10"/>
        <v>11.04638582</v>
      </c>
      <c r="N156" s="2">
        <f t="shared" si="11"/>
        <v>11.04843035</v>
      </c>
    </row>
    <row r="157">
      <c r="A157" s="1" t="s">
        <v>169</v>
      </c>
      <c r="B157" s="2" t="str">
        <f t="shared" si="1"/>
        <v>cn1</v>
      </c>
      <c r="C157" s="2" t="str">
        <f t="shared" si="2"/>
        <v>m</v>
      </c>
      <c r="D157" s="2" t="str">
        <f t="shared" si="3"/>
        <v>05</v>
      </c>
      <c r="E157" s="2" t="str">
        <f t="shared" si="4"/>
        <v>cn1m</v>
      </c>
      <c r="F157" s="2" t="str">
        <f t="shared" si="5"/>
        <v>08.12.09</v>
      </c>
      <c r="G157" s="1">
        <v>149.036</v>
      </c>
      <c r="H157" s="1">
        <v>0.451</v>
      </c>
      <c r="I157" s="2">
        <f t="shared" si="6"/>
        <v>10.255445</v>
      </c>
      <c r="J157" s="2">
        <f t="shared" si="7"/>
        <v>30.964</v>
      </c>
      <c r="K157" s="2">
        <f t="shared" si="8"/>
        <v>0.1969514607</v>
      </c>
      <c r="L157" s="2">
        <f t="shared" si="9"/>
        <v>0.4057229623</v>
      </c>
      <c r="M157" s="2">
        <f t="shared" si="10"/>
        <v>10.66116796</v>
      </c>
      <c r="N157" s="2">
        <f t="shared" si="11"/>
        <v>10.66298702</v>
      </c>
    </row>
    <row r="158">
      <c r="A158" s="1" t="s">
        <v>170</v>
      </c>
      <c r="B158" s="2" t="str">
        <f t="shared" si="1"/>
        <v>cn1</v>
      </c>
      <c r="C158" s="2" t="str">
        <f t="shared" si="2"/>
        <v>m</v>
      </c>
      <c r="D158" s="2" t="str">
        <f t="shared" si="3"/>
        <v>05</v>
      </c>
      <c r="E158" s="2" t="str">
        <f t="shared" si="4"/>
        <v>cn1m</v>
      </c>
      <c r="F158" s="2" t="str">
        <f t="shared" si="5"/>
        <v>08.12.09</v>
      </c>
      <c r="G158" s="1">
        <v>-176.987</v>
      </c>
      <c r="H158" s="1">
        <v>0.7</v>
      </c>
      <c r="I158" s="2">
        <f t="shared" si="6"/>
        <v>10.255445</v>
      </c>
      <c r="J158" s="2">
        <f t="shared" si="7"/>
        <v>3.013</v>
      </c>
      <c r="K158" s="2">
        <f t="shared" si="8"/>
        <v>0.08976698054</v>
      </c>
      <c r="L158" s="2">
        <f t="shared" si="9"/>
        <v>0.6942203463</v>
      </c>
      <c r="M158" s="2">
        <f t="shared" si="10"/>
        <v>10.94966535</v>
      </c>
      <c r="N158" s="2">
        <f t="shared" si="11"/>
        <v>10.9500333</v>
      </c>
    </row>
    <row r="159">
      <c r="A159" s="1" t="s">
        <v>171</v>
      </c>
      <c r="B159" s="2" t="str">
        <f t="shared" si="1"/>
        <v>cn1</v>
      </c>
      <c r="C159" s="2" t="str">
        <f t="shared" si="2"/>
        <v>m</v>
      </c>
      <c r="D159" s="2" t="str">
        <f t="shared" si="3"/>
        <v>07</v>
      </c>
      <c r="E159" s="2" t="str">
        <f t="shared" si="4"/>
        <v>cn1m</v>
      </c>
      <c r="F159" s="2" t="str">
        <f t="shared" si="5"/>
        <v>08.12.09</v>
      </c>
      <c r="G159" s="1">
        <v>180.0</v>
      </c>
      <c r="H159" s="1">
        <v>0.465</v>
      </c>
      <c r="I159" s="2">
        <f t="shared" si="6"/>
        <v>25.296271</v>
      </c>
      <c r="J159" s="2">
        <f t="shared" si="7"/>
        <v>0</v>
      </c>
      <c r="K159" s="2">
        <f t="shared" si="8"/>
        <v>0</v>
      </c>
      <c r="L159" s="2">
        <f t="shared" si="9"/>
        <v>0.465</v>
      </c>
      <c r="M159" s="2">
        <f t="shared" si="10"/>
        <v>25.761271</v>
      </c>
      <c r="N159" s="2">
        <f t="shared" si="11"/>
        <v>25.761271</v>
      </c>
    </row>
    <row r="160">
      <c r="A160" s="1" t="s">
        <v>172</v>
      </c>
      <c r="B160" s="2" t="str">
        <f t="shared" si="1"/>
        <v>cn1</v>
      </c>
      <c r="C160" s="2" t="str">
        <f t="shared" si="2"/>
        <v>m</v>
      </c>
      <c r="D160" s="2" t="str">
        <f t="shared" si="3"/>
        <v>07</v>
      </c>
      <c r="E160" s="2" t="str">
        <f t="shared" si="4"/>
        <v>cn1m</v>
      </c>
      <c r="F160" s="2" t="str">
        <f t="shared" si="5"/>
        <v>08.12.09</v>
      </c>
      <c r="G160" s="1">
        <v>-161.565</v>
      </c>
      <c r="H160" s="1">
        <v>0.572</v>
      </c>
      <c r="I160" s="2">
        <f t="shared" si="6"/>
        <v>25.296271</v>
      </c>
      <c r="J160" s="2">
        <f t="shared" si="7"/>
        <v>18.435</v>
      </c>
      <c r="K160" s="2">
        <f t="shared" si="8"/>
        <v>0.2303921661</v>
      </c>
      <c r="L160" s="2">
        <f t="shared" si="9"/>
        <v>0.5235488991</v>
      </c>
      <c r="M160" s="2">
        <f t="shared" si="10"/>
        <v>25.8198199</v>
      </c>
      <c r="N160" s="2">
        <f t="shared" si="11"/>
        <v>25.82084778</v>
      </c>
    </row>
    <row r="161">
      <c r="A161" s="1" t="s">
        <v>173</v>
      </c>
      <c r="B161" s="2" t="str">
        <f t="shared" si="1"/>
        <v>cn1</v>
      </c>
      <c r="C161" s="2" t="str">
        <f t="shared" si="2"/>
        <v>m</v>
      </c>
      <c r="D161" s="2" t="str">
        <f t="shared" si="3"/>
        <v>07</v>
      </c>
      <c r="E161" s="2" t="str">
        <f t="shared" si="4"/>
        <v>cn1m</v>
      </c>
      <c r="F161" s="2" t="str">
        <f t="shared" si="5"/>
        <v>08.12.09</v>
      </c>
      <c r="G161" s="1">
        <v>-168.111</v>
      </c>
      <c r="H161" s="1">
        <v>0.713</v>
      </c>
      <c r="I161" s="2">
        <f t="shared" si="6"/>
        <v>25.296271</v>
      </c>
      <c r="J161" s="2">
        <f t="shared" si="7"/>
        <v>11.889</v>
      </c>
      <c r="K161" s="2">
        <f t="shared" si="8"/>
        <v>0.446870122</v>
      </c>
      <c r="L161" s="2">
        <f t="shared" si="9"/>
        <v>0.5555862616</v>
      </c>
      <c r="M161" s="2">
        <f t="shared" si="10"/>
        <v>25.85185726</v>
      </c>
      <c r="N161" s="2">
        <f t="shared" si="11"/>
        <v>25.85571923</v>
      </c>
    </row>
    <row r="162">
      <c r="A162" s="1" t="s">
        <v>174</v>
      </c>
      <c r="B162" s="2" t="str">
        <f t="shared" si="1"/>
        <v>cn1</v>
      </c>
      <c r="C162" s="2" t="str">
        <f t="shared" si="2"/>
        <v>m</v>
      </c>
      <c r="D162" s="2" t="str">
        <f t="shared" si="3"/>
        <v>07</v>
      </c>
      <c r="E162" s="2" t="str">
        <f t="shared" si="4"/>
        <v>cn1m</v>
      </c>
      <c r="F162" s="2" t="str">
        <f t="shared" si="5"/>
        <v>08.12.09</v>
      </c>
      <c r="G162" s="1">
        <v>180.0</v>
      </c>
      <c r="H162" s="1">
        <v>0.487</v>
      </c>
      <c r="I162" s="2">
        <f t="shared" si="6"/>
        <v>25.296271</v>
      </c>
      <c r="J162" s="2">
        <f t="shared" si="7"/>
        <v>0</v>
      </c>
      <c r="K162" s="2">
        <f t="shared" si="8"/>
        <v>0</v>
      </c>
      <c r="L162" s="2">
        <f t="shared" si="9"/>
        <v>0.487</v>
      </c>
      <c r="M162" s="2">
        <f t="shared" si="10"/>
        <v>25.783271</v>
      </c>
      <c r="N162" s="2">
        <f t="shared" si="11"/>
        <v>25.783271</v>
      </c>
    </row>
    <row r="163">
      <c r="A163" s="1" t="s">
        <v>175</v>
      </c>
      <c r="B163" s="2" t="str">
        <f t="shared" si="1"/>
        <v>cn1</v>
      </c>
      <c r="C163" s="2" t="str">
        <f t="shared" si="2"/>
        <v>m</v>
      </c>
      <c r="D163" s="2" t="str">
        <f t="shared" si="3"/>
        <v>09</v>
      </c>
      <c r="E163" s="2" t="str">
        <f t="shared" si="4"/>
        <v>cn1m</v>
      </c>
      <c r="F163" s="2" t="str">
        <f t="shared" si="5"/>
        <v>08.12.09</v>
      </c>
      <c r="G163" s="1">
        <v>146.31</v>
      </c>
      <c r="H163" s="1">
        <v>0.688</v>
      </c>
      <c r="I163" s="2">
        <f t="shared" si="6"/>
        <v>40.337097</v>
      </c>
      <c r="J163" s="2">
        <f t="shared" si="7"/>
        <v>33.69</v>
      </c>
      <c r="K163" s="2">
        <f t="shared" si="8"/>
        <v>0.5247561032</v>
      </c>
      <c r="L163" s="2">
        <f t="shared" si="9"/>
        <v>0.4449438528</v>
      </c>
      <c r="M163" s="2">
        <f t="shared" si="10"/>
        <v>40.78204085</v>
      </c>
      <c r="N163" s="2">
        <f t="shared" si="11"/>
        <v>40.78541682</v>
      </c>
    </row>
    <row r="164">
      <c r="A164" s="1" t="s">
        <v>176</v>
      </c>
      <c r="B164" s="2" t="str">
        <f t="shared" si="1"/>
        <v>cn1</v>
      </c>
      <c r="C164" s="2" t="str">
        <f t="shared" si="2"/>
        <v>m</v>
      </c>
      <c r="D164" s="2" t="str">
        <f t="shared" si="3"/>
        <v>09</v>
      </c>
      <c r="E164" s="2" t="str">
        <f t="shared" si="4"/>
        <v>cn1m</v>
      </c>
      <c r="F164" s="2" t="str">
        <f t="shared" si="5"/>
        <v>08.12.09</v>
      </c>
      <c r="G164" s="1">
        <v>154.983</v>
      </c>
      <c r="H164" s="1">
        <v>0.605</v>
      </c>
      <c r="I164" s="2">
        <f t="shared" si="6"/>
        <v>40.337097</v>
      </c>
      <c r="J164" s="2">
        <f t="shared" si="7"/>
        <v>25.017</v>
      </c>
      <c r="K164" s="2">
        <f t="shared" si="8"/>
        <v>0.06986720868</v>
      </c>
      <c r="L164" s="2">
        <f t="shared" si="9"/>
        <v>0.600952222</v>
      </c>
      <c r="M164" s="2">
        <f t="shared" si="10"/>
        <v>40.93804922</v>
      </c>
      <c r="N164" s="2">
        <f t="shared" si="11"/>
        <v>40.93810884</v>
      </c>
    </row>
    <row r="165">
      <c r="A165" s="1" t="s">
        <v>177</v>
      </c>
      <c r="B165" s="2" t="str">
        <f t="shared" si="1"/>
        <v>cn1</v>
      </c>
      <c r="C165" s="2" t="str">
        <f t="shared" si="2"/>
        <v>m</v>
      </c>
      <c r="D165" s="2" t="str">
        <f t="shared" si="3"/>
        <v>09</v>
      </c>
      <c r="E165" s="2" t="str">
        <f t="shared" si="4"/>
        <v>cn1m</v>
      </c>
      <c r="F165" s="2" t="str">
        <f t="shared" si="5"/>
        <v>08.12.09</v>
      </c>
      <c r="G165" s="1">
        <v>141.34</v>
      </c>
      <c r="H165" s="1">
        <v>1.182</v>
      </c>
      <c r="I165" s="2">
        <f t="shared" si="6"/>
        <v>40.337097</v>
      </c>
      <c r="J165" s="2">
        <f t="shared" si="7"/>
        <v>38.66</v>
      </c>
      <c r="K165" s="2">
        <f t="shared" si="8"/>
        <v>0.9688861339</v>
      </c>
      <c r="L165" s="2">
        <f t="shared" si="9"/>
        <v>0.6770403678</v>
      </c>
      <c r="M165" s="2">
        <f t="shared" si="10"/>
        <v>41.01413737</v>
      </c>
      <c r="N165" s="2">
        <f t="shared" si="11"/>
        <v>41.02557988</v>
      </c>
    </row>
    <row r="166">
      <c r="A166" s="1" t="s">
        <v>178</v>
      </c>
      <c r="B166" s="2" t="str">
        <f t="shared" si="1"/>
        <v>cn1</v>
      </c>
      <c r="C166" s="2" t="str">
        <f t="shared" si="2"/>
        <v>m</v>
      </c>
      <c r="D166" s="2" t="str">
        <f t="shared" si="3"/>
        <v>09</v>
      </c>
      <c r="E166" s="2" t="str">
        <f t="shared" si="4"/>
        <v>cn1m</v>
      </c>
      <c r="F166" s="2" t="str">
        <f t="shared" si="5"/>
        <v>08.12.09</v>
      </c>
      <c r="G166" s="1">
        <v>151.39</v>
      </c>
      <c r="H166" s="1">
        <v>0.485</v>
      </c>
      <c r="I166" s="2">
        <f t="shared" si="6"/>
        <v>40.337097</v>
      </c>
      <c r="J166" s="2">
        <f t="shared" si="7"/>
        <v>28.61</v>
      </c>
      <c r="K166" s="2">
        <f t="shared" si="8"/>
        <v>0.1597581199</v>
      </c>
      <c r="L166" s="2">
        <f t="shared" si="9"/>
        <v>0.4579326841</v>
      </c>
      <c r="M166" s="2">
        <f t="shared" si="10"/>
        <v>40.79502968</v>
      </c>
      <c r="N166" s="2">
        <f t="shared" si="11"/>
        <v>40.7953425</v>
      </c>
    </row>
    <row r="167">
      <c r="A167" s="1" t="s">
        <v>179</v>
      </c>
      <c r="B167" s="2" t="str">
        <f t="shared" si="1"/>
        <v>cn1</v>
      </c>
      <c r="C167" s="2" t="str">
        <f t="shared" si="2"/>
        <v>m</v>
      </c>
      <c r="D167" s="2" t="str">
        <f t="shared" si="3"/>
        <v>09</v>
      </c>
      <c r="E167" s="2" t="str">
        <f t="shared" si="4"/>
        <v>cn1m</v>
      </c>
      <c r="F167" s="2" t="str">
        <f t="shared" si="5"/>
        <v>08.12.09</v>
      </c>
      <c r="G167" s="1">
        <v>-149.036</v>
      </c>
      <c r="H167" s="1">
        <v>0.625</v>
      </c>
      <c r="I167" s="2">
        <f t="shared" si="6"/>
        <v>40.337097</v>
      </c>
      <c r="J167" s="2">
        <f t="shared" si="7"/>
        <v>30.964</v>
      </c>
      <c r="K167" s="2">
        <f t="shared" si="8"/>
        <v>0.2729371684</v>
      </c>
      <c r="L167" s="2">
        <f t="shared" si="9"/>
        <v>0.5622546595</v>
      </c>
      <c r="M167" s="2">
        <f t="shared" si="10"/>
        <v>40.89935166</v>
      </c>
      <c r="N167" s="2">
        <f t="shared" si="11"/>
        <v>40.90026236</v>
      </c>
    </row>
    <row r="168">
      <c r="A168" s="1" t="s">
        <v>180</v>
      </c>
      <c r="B168" s="2" t="str">
        <f t="shared" si="1"/>
        <v>cn1</v>
      </c>
      <c r="C168" s="2" t="str">
        <f t="shared" si="2"/>
        <v>m</v>
      </c>
      <c r="D168" s="2" t="str">
        <f t="shared" si="3"/>
        <v>09</v>
      </c>
      <c r="E168" s="2" t="str">
        <f t="shared" si="4"/>
        <v>cn1m</v>
      </c>
      <c r="F168" s="2" t="str">
        <f t="shared" si="5"/>
        <v>08.12.09</v>
      </c>
      <c r="G168" s="1">
        <v>-161.565</v>
      </c>
      <c r="H168" s="1">
        <v>0.665</v>
      </c>
      <c r="I168" s="2">
        <f t="shared" si="6"/>
        <v>40.337097</v>
      </c>
      <c r="J168" s="2">
        <f t="shared" si="7"/>
        <v>18.435</v>
      </c>
      <c r="K168" s="2">
        <f t="shared" si="8"/>
        <v>0.2678510323</v>
      </c>
      <c r="L168" s="2">
        <f t="shared" si="9"/>
        <v>0.60867136</v>
      </c>
      <c r="M168" s="2">
        <f t="shared" si="10"/>
        <v>40.94576836</v>
      </c>
      <c r="N168" s="2">
        <f t="shared" si="11"/>
        <v>40.94664444</v>
      </c>
    </row>
    <row r="169">
      <c r="A169" s="1" t="s">
        <v>181</v>
      </c>
      <c r="B169" s="2" t="str">
        <f t="shared" si="1"/>
        <v>cn1</v>
      </c>
      <c r="C169" s="2" t="str">
        <f t="shared" si="2"/>
        <v>m</v>
      </c>
      <c r="D169" s="2" t="str">
        <f t="shared" si="3"/>
        <v>11</v>
      </c>
      <c r="E169" s="2" t="str">
        <f t="shared" si="4"/>
        <v>cn1m</v>
      </c>
      <c r="F169" s="2" t="str">
        <f t="shared" si="5"/>
        <v>08.06.09</v>
      </c>
      <c r="G169" s="1">
        <v>180.0</v>
      </c>
      <c r="H169" s="1">
        <v>0.582</v>
      </c>
      <c r="I169" s="2">
        <f t="shared" si="6"/>
        <v>55.377923</v>
      </c>
      <c r="J169" s="2">
        <f t="shared" si="7"/>
        <v>0</v>
      </c>
      <c r="K169" s="2">
        <f t="shared" si="8"/>
        <v>0</v>
      </c>
      <c r="L169" s="2">
        <f t="shared" si="9"/>
        <v>0.582</v>
      </c>
      <c r="M169" s="2">
        <f t="shared" si="10"/>
        <v>55.959923</v>
      </c>
      <c r="N169" s="2">
        <f t="shared" si="11"/>
        <v>55.959923</v>
      </c>
    </row>
    <row r="170">
      <c r="A170" s="1" t="s">
        <v>182</v>
      </c>
      <c r="B170" s="2" t="str">
        <f t="shared" si="1"/>
        <v>cn1</v>
      </c>
      <c r="C170" s="2" t="str">
        <f t="shared" si="2"/>
        <v>m</v>
      </c>
      <c r="D170" s="2" t="str">
        <f t="shared" si="3"/>
        <v>11</v>
      </c>
      <c r="E170" s="2" t="str">
        <f t="shared" si="4"/>
        <v>cn1m</v>
      </c>
      <c r="F170" s="2" t="str">
        <f t="shared" si="5"/>
        <v>08.06.09</v>
      </c>
      <c r="G170" s="1">
        <v>176.82</v>
      </c>
      <c r="H170" s="1">
        <v>0.658</v>
      </c>
      <c r="I170" s="2">
        <f t="shared" si="6"/>
        <v>55.377923</v>
      </c>
      <c r="J170" s="2">
        <f t="shared" si="7"/>
        <v>3.18</v>
      </c>
      <c r="K170" s="2">
        <f t="shared" si="8"/>
        <v>0.02526582116</v>
      </c>
      <c r="L170" s="2">
        <f t="shared" si="9"/>
        <v>0.6575147438</v>
      </c>
      <c r="M170" s="2">
        <f t="shared" si="10"/>
        <v>56.03543774</v>
      </c>
      <c r="N170" s="2">
        <f t="shared" si="11"/>
        <v>56.03544344</v>
      </c>
    </row>
    <row r="171">
      <c r="A171" s="1" t="s">
        <v>183</v>
      </c>
      <c r="B171" s="2" t="str">
        <f t="shared" si="1"/>
        <v>cn1</v>
      </c>
      <c r="C171" s="2" t="str">
        <f t="shared" si="2"/>
        <v>m</v>
      </c>
      <c r="D171" s="2" t="str">
        <f t="shared" si="3"/>
        <v>11</v>
      </c>
      <c r="E171" s="2" t="str">
        <f t="shared" si="4"/>
        <v>cn1m</v>
      </c>
      <c r="F171" s="2" t="str">
        <f t="shared" si="5"/>
        <v>08.06.09</v>
      </c>
      <c r="G171" s="1">
        <v>-104.036</v>
      </c>
      <c r="H171" s="1">
        <v>0.624</v>
      </c>
      <c r="I171" s="2">
        <f t="shared" si="6"/>
        <v>55.377923</v>
      </c>
      <c r="J171" s="2">
        <f t="shared" si="7"/>
        <v>75.964</v>
      </c>
      <c r="K171" s="2">
        <f t="shared" si="8"/>
        <v>0.3345085039</v>
      </c>
      <c r="L171" s="2">
        <f t="shared" si="9"/>
        <v>0.5267637618</v>
      </c>
      <c r="M171" s="2">
        <f t="shared" si="10"/>
        <v>55.90468676</v>
      </c>
      <c r="N171" s="2">
        <f t="shared" si="11"/>
        <v>55.90568753</v>
      </c>
    </row>
    <row r="172">
      <c r="A172" s="1" t="s">
        <v>184</v>
      </c>
      <c r="B172" s="2" t="str">
        <f t="shared" si="1"/>
        <v>cn1</v>
      </c>
      <c r="C172" s="2" t="str">
        <f t="shared" si="2"/>
        <v>m</v>
      </c>
      <c r="D172" s="2" t="str">
        <f t="shared" si="3"/>
        <v>11</v>
      </c>
      <c r="E172" s="2" t="str">
        <f t="shared" si="4"/>
        <v>cn1m</v>
      </c>
      <c r="F172" s="2" t="str">
        <f t="shared" si="5"/>
        <v>08.12.09</v>
      </c>
      <c r="G172" s="1">
        <v>167.692</v>
      </c>
      <c r="H172" s="1">
        <v>2.061</v>
      </c>
      <c r="I172" s="2">
        <f t="shared" si="6"/>
        <v>55.377923</v>
      </c>
      <c r="J172" s="2">
        <f t="shared" si="7"/>
        <v>12.308</v>
      </c>
      <c r="K172" s="2">
        <f t="shared" si="8"/>
        <v>0.5265970197</v>
      </c>
      <c r="L172" s="2">
        <f t="shared" si="9"/>
        <v>1.992590419</v>
      </c>
      <c r="M172" s="2">
        <f t="shared" si="10"/>
        <v>57.37051342</v>
      </c>
      <c r="N172" s="2">
        <f t="shared" si="11"/>
        <v>57.37293015</v>
      </c>
    </row>
    <row r="173">
      <c r="A173" s="1" t="s">
        <v>185</v>
      </c>
      <c r="B173" s="2" t="str">
        <f t="shared" si="1"/>
        <v>cn1</v>
      </c>
      <c r="C173" s="2" t="str">
        <f t="shared" si="2"/>
        <v>m</v>
      </c>
      <c r="D173" s="2" t="str">
        <f t="shared" si="3"/>
        <v>11</v>
      </c>
      <c r="E173" s="2" t="str">
        <f t="shared" si="4"/>
        <v>cn1m</v>
      </c>
      <c r="F173" s="2" t="str">
        <f t="shared" si="5"/>
        <v>08.12.09</v>
      </c>
      <c r="G173" s="1">
        <v>166.866</v>
      </c>
      <c r="H173" s="1">
        <v>1.145</v>
      </c>
      <c r="I173" s="2">
        <f t="shared" si="6"/>
        <v>55.377923</v>
      </c>
      <c r="J173" s="2">
        <f t="shared" si="7"/>
        <v>13.134</v>
      </c>
      <c r="K173" s="2">
        <f t="shared" si="8"/>
        <v>0.615591745</v>
      </c>
      <c r="L173" s="2">
        <f t="shared" si="9"/>
        <v>0.9654386586</v>
      </c>
      <c r="M173" s="2">
        <f t="shared" si="10"/>
        <v>56.34336166</v>
      </c>
      <c r="N173" s="2">
        <f t="shared" si="11"/>
        <v>56.34672445</v>
      </c>
    </row>
    <row r="174">
      <c r="A174" s="1" t="s">
        <v>186</v>
      </c>
      <c r="B174" s="2" t="str">
        <f t="shared" si="1"/>
        <v>cn1</v>
      </c>
      <c r="C174" s="2" t="str">
        <f t="shared" si="2"/>
        <v>m</v>
      </c>
      <c r="D174" s="2" t="str">
        <f t="shared" si="3"/>
        <v>13</v>
      </c>
      <c r="E174" s="2" t="str">
        <f t="shared" si="4"/>
        <v>cn1m</v>
      </c>
      <c r="F174" s="2" t="str">
        <f t="shared" si="5"/>
        <v>08.12.09</v>
      </c>
      <c r="G174" s="1">
        <v>180.0</v>
      </c>
      <c r="H174" s="1">
        <v>0.313</v>
      </c>
      <c r="I174" s="2">
        <f t="shared" si="6"/>
        <v>70.418749</v>
      </c>
      <c r="J174" s="2">
        <f t="shared" si="7"/>
        <v>0</v>
      </c>
      <c r="K174" s="2">
        <f t="shared" si="8"/>
        <v>0</v>
      </c>
      <c r="L174" s="2">
        <f t="shared" si="9"/>
        <v>0.313</v>
      </c>
      <c r="M174" s="2">
        <f t="shared" si="10"/>
        <v>70.731749</v>
      </c>
      <c r="N174" s="2">
        <f t="shared" si="11"/>
        <v>70.731749</v>
      </c>
    </row>
    <row r="175">
      <c r="A175" s="1" t="s">
        <v>187</v>
      </c>
      <c r="B175" s="2" t="str">
        <f t="shared" si="1"/>
        <v>cn2</v>
      </c>
      <c r="C175" s="2" t="str">
        <f t="shared" si="2"/>
        <v>f</v>
      </c>
      <c r="D175" s="2" t="str">
        <f t="shared" si="3"/>
        <v>07</v>
      </c>
      <c r="E175" s="2" t="str">
        <f t="shared" si="4"/>
        <v>cn2f</v>
      </c>
      <c r="F175" s="2" t="str">
        <f t="shared" si="5"/>
        <v>08.06.09</v>
      </c>
      <c r="G175" s="1">
        <v>-161.565</v>
      </c>
      <c r="H175" s="1">
        <v>0.466</v>
      </c>
      <c r="I175" s="2">
        <f t="shared" si="6"/>
        <v>25.296271</v>
      </c>
      <c r="J175" s="2">
        <f t="shared" si="7"/>
        <v>18.435</v>
      </c>
      <c r="K175" s="2">
        <f t="shared" si="8"/>
        <v>0.1876971144</v>
      </c>
      <c r="L175" s="2">
        <f t="shared" si="9"/>
        <v>0.4265275997</v>
      </c>
      <c r="M175" s="2">
        <f t="shared" si="10"/>
        <v>25.7227986</v>
      </c>
      <c r="N175" s="2">
        <f t="shared" si="11"/>
        <v>25.7234834</v>
      </c>
    </row>
    <row r="176">
      <c r="A176" s="1" t="s">
        <v>188</v>
      </c>
      <c r="B176" s="2" t="str">
        <f t="shared" si="1"/>
        <v>cn2</v>
      </c>
      <c r="C176" s="2" t="str">
        <f t="shared" si="2"/>
        <v>f</v>
      </c>
      <c r="D176" s="2" t="str">
        <f t="shared" si="3"/>
        <v>07</v>
      </c>
      <c r="E176" s="2" t="str">
        <f t="shared" si="4"/>
        <v>cn2f</v>
      </c>
      <c r="F176" s="2" t="str">
        <f t="shared" si="5"/>
        <v>08.12.09</v>
      </c>
      <c r="G176" s="1">
        <v>174.806</v>
      </c>
      <c r="H176" s="1">
        <v>0.406</v>
      </c>
      <c r="I176" s="2">
        <f t="shared" si="6"/>
        <v>25.296271</v>
      </c>
      <c r="J176" s="2">
        <f t="shared" si="7"/>
        <v>5.194</v>
      </c>
      <c r="K176" s="2">
        <f t="shared" si="8"/>
        <v>0.3598174337</v>
      </c>
      <c r="L176" s="2">
        <f t="shared" si="9"/>
        <v>0.188062262</v>
      </c>
      <c r="M176" s="2">
        <f t="shared" si="10"/>
        <v>25.48433326</v>
      </c>
      <c r="N176" s="2">
        <f t="shared" si="11"/>
        <v>25.4868733</v>
      </c>
    </row>
    <row r="177">
      <c r="A177" s="1" t="s">
        <v>189</v>
      </c>
      <c r="B177" s="2" t="str">
        <f t="shared" si="1"/>
        <v>cn2</v>
      </c>
      <c r="C177" s="2" t="str">
        <f t="shared" si="2"/>
        <v>f</v>
      </c>
      <c r="D177" s="2" t="str">
        <f t="shared" si="3"/>
        <v>07</v>
      </c>
      <c r="E177" s="2" t="str">
        <f t="shared" si="4"/>
        <v>cn2f</v>
      </c>
      <c r="F177" s="2" t="str">
        <f t="shared" si="5"/>
        <v>08.12.09</v>
      </c>
      <c r="G177" s="1">
        <v>-176.987</v>
      </c>
      <c r="H177" s="1">
        <v>0.7</v>
      </c>
      <c r="I177" s="2">
        <f t="shared" si="6"/>
        <v>25.296271</v>
      </c>
      <c r="J177" s="2">
        <f t="shared" si="7"/>
        <v>3.013</v>
      </c>
      <c r="K177" s="2">
        <f t="shared" si="8"/>
        <v>0.08976698054</v>
      </c>
      <c r="L177" s="2">
        <f t="shared" si="9"/>
        <v>0.6942203463</v>
      </c>
      <c r="M177" s="2">
        <f t="shared" si="10"/>
        <v>25.99049135</v>
      </c>
      <c r="N177" s="2">
        <f t="shared" si="11"/>
        <v>25.99064637</v>
      </c>
    </row>
    <row r="178">
      <c r="A178" s="1" t="s">
        <v>190</v>
      </c>
      <c r="B178" s="2" t="str">
        <f t="shared" si="1"/>
        <v>cn2</v>
      </c>
      <c r="C178" s="2" t="str">
        <f t="shared" si="2"/>
        <v>f</v>
      </c>
      <c r="D178" s="2" t="str">
        <f t="shared" si="3"/>
        <v>07</v>
      </c>
      <c r="E178" s="2" t="str">
        <f t="shared" si="4"/>
        <v>cn2f</v>
      </c>
      <c r="F178" s="2" t="str">
        <f t="shared" si="5"/>
        <v>08.12.09</v>
      </c>
      <c r="G178" s="1">
        <v>151.928</v>
      </c>
      <c r="H178" s="1">
        <v>0.619</v>
      </c>
      <c r="I178" s="2">
        <f t="shared" si="6"/>
        <v>25.296271</v>
      </c>
      <c r="J178" s="2">
        <f t="shared" si="7"/>
        <v>28.072</v>
      </c>
      <c r="K178" s="2">
        <f t="shared" si="8"/>
        <v>0.1243918554</v>
      </c>
      <c r="L178" s="2">
        <f t="shared" si="9"/>
        <v>0.6063725475</v>
      </c>
      <c r="M178" s="2">
        <f t="shared" si="10"/>
        <v>25.90264355</v>
      </c>
      <c r="N178" s="2">
        <f t="shared" si="11"/>
        <v>25.90294223</v>
      </c>
    </row>
    <row r="179">
      <c r="A179" s="1" t="s">
        <v>191</v>
      </c>
      <c r="B179" s="2" t="str">
        <f t="shared" si="1"/>
        <v>cn2</v>
      </c>
      <c r="C179" s="2" t="str">
        <f t="shared" si="2"/>
        <v>f</v>
      </c>
      <c r="D179" s="2" t="str">
        <f t="shared" si="3"/>
        <v>09</v>
      </c>
      <c r="E179" s="2" t="str">
        <f t="shared" si="4"/>
        <v>cn2f</v>
      </c>
      <c r="F179" s="2" t="str">
        <f t="shared" si="5"/>
        <v>08.12.09</v>
      </c>
      <c r="G179" s="1">
        <v>132.274</v>
      </c>
      <c r="H179" s="1">
        <v>0.546</v>
      </c>
      <c r="I179" s="2">
        <f t="shared" si="6"/>
        <v>40.337097</v>
      </c>
      <c r="J179" s="2">
        <f t="shared" si="7"/>
        <v>47.726</v>
      </c>
      <c r="K179" s="2">
        <f t="shared" si="8"/>
        <v>0.3092450279</v>
      </c>
      <c r="L179" s="2">
        <f t="shared" si="9"/>
        <v>0.4499816804</v>
      </c>
      <c r="M179" s="2">
        <f t="shared" si="10"/>
        <v>40.78707868</v>
      </c>
      <c r="N179" s="2">
        <f t="shared" si="11"/>
        <v>40.788251</v>
      </c>
    </row>
    <row r="180">
      <c r="A180" s="1" t="s">
        <v>192</v>
      </c>
      <c r="B180" s="2" t="str">
        <f t="shared" si="1"/>
        <v>cn2</v>
      </c>
      <c r="C180" s="2" t="str">
        <f t="shared" si="2"/>
        <v>f</v>
      </c>
      <c r="D180" s="2" t="str">
        <f t="shared" si="3"/>
        <v>09</v>
      </c>
      <c r="E180" s="2" t="str">
        <f t="shared" si="4"/>
        <v>cn2f</v>
      </c>
      <c r="F180" s="2" t="str">
        <f t="shared" si="5"/>
        <v>08.12.09</v>
      </c>
      <c r="G180" s="1">
        <v>-151.783</v>
      </c>
      <c r="H180" s="1">
        <v>1.731</v>
      </c>
      <c r="I180" s="2">
        <f t="shared" si="6"/>
        <v>40.337097</v>
      </c>
      <c r="J180" s="2">
        <f t="shared" si="7"/>
        <v>28.217</v>
      </c>
      <c r="K180" s="2">
        <f t="shared" si="8"/>
        <v>0.09919058664</v>
      </c>
      <c r="L180" s="2">
        <f t="shared" si="9"/>
        <v>1.72815573</v>
      </c>
      <c r="M180" s="2">
        <f t="shared" si="10"/>
        <v>42.06525273</v>
      </c>
      <c r="N180" s="2">
        <f t="shared" si="11"/>
        <v>42.06536968</v>
      </c>
    </row>
    <row r="181">
      <c r="A181" s="1" t="s">
        <v>193</v>
      </c>
      <c r="B181" s="2" t="str">
        <f t="shared" si="1"/>
        <v>cn2</v>
      </c>
      <c r="C181" s="2" t="str">
        <f t="shared" si="2"/>
        <v>f</v>
      </c>
      <c r="D181" s="2" t="str">
        <f t="shared" si="3"/>
        <v>09</v>
      </c>
      <c r="E181" s="2" t="str">
        <f t="shared" si="4"/>
        <v>cn2f</v>
      </c>
      <c r="F181" s="2" t="str">
        <f t="shared" si="5"/>
        <v>08.12.09</v>
      </c>
      <c r="G181" s="1">
        <v>-167.471</v>
      </c>
      <c r="H181" s="1">
        <v>0.684</v>
      </c>
      <c r="I181" s="2">
        <f t="shared" si="6"/>
        <v>40.337097</v>
      </c>
      <c r="J181" s="2">
        <f t="shared" si="7"/>
        <v>12.529</v>
      </c>
      <c r="K181" s="2">
        <f t="shared" si="8"/>
        <v>0.02555555093</v>
      </c>
      <c r="L181" s="2">
        <f t="shared" si="9"/>
        <v>0.6835224311</v>
      </c>
      <c r="M181" s="2">
        <f t="shared" si="10"/>
        <v>41.02061943</v>
      </c>
      <c r="N181" s="2">
        <f t="shared" si="11"/>
        <v>41.02062739</v>
      </c>
    </row>
    <row r="182">
      <c r="A182" s="1" t="s">
        <v>194</v>
      </c>
      <c r="B182" s="2" t="str">
        <f t="shared" si="1"/>
        <v>cn2</v>
      </c>
      <c r="C182" s="2" t="str">
        <f t="shared" si="2"/>
        <v>f</v>
      </c>
      <c r="D182" s="2" t="str">
        <f t="shared" si="3"/>
        <v>09</v>
      </c>
      <c r="E182" s="2" t="str">
        <f t="shared" si="4"/>
        <v>cn2f</v>
      </c>
      <c r="F182" s="2" t="str">
        <f t="shared" si="5"/>
        <v>08.12.09</v>
      </c>
      <c r="G182" s="1">
        <v>-170.91</v>
      </c>
      <c r="H182" s="1">
        <v>0.938</v>
      </c>
      <c r="I182" s="2">
        <f t="shared" si="6"/>
        <v>40.337097</v>
      </c>
      <c r="J182" s="2">
        <f t="shared" si="7"/>
        <v>9.09</v>
      </c>
      <c r="K182" s="2">
        <f t="shared" si="8"/>
        <v>0.3081887788</v>
      </c>
      <c r="L182" s="2">
        <f t="shared" si="9"/>
        <v>0.8859253223</v>
      </c>
      <c r="M182" s="2">
        <f t="shared" si="10"/>
        <v>41.22302232</v>
      </c>
      <c r="N182" s="2">
        <f t="shared" si="11"/>
        <v>41.22417434</v>
      </c>
    </row>
    <row r="183">
      <c r="A183" s="1" t="s">
        <v>195</v>
      </c>
      <c r="B183" s="2" t="str">
        <f t="shared" si="1"/>
        <v>cn2</v>
      </c>
      <c r="C183" s="2" t="str">
        <f t="shared" si="2"/>
        <v>f</v>
      </c>
      <c r="D183" s="2" t="str">
        <f t="shared" si="3"/>
        <v>09</v>
      </c>
      <c r="E183" s="2" t="str">
        <f t="shared" si="4"/>
        <v>cn2f</v>
      </c>
      <c r="F183" s="2" t="str">
        <f t="shared" si="5"/>
        <v>08.12.09</v>
      </c>
      <c r="G183" s="1">
        <v>171.027</v>
      </c>
      <c r="H183" s="1">
        <v>2.142</v>
      </c>
      <c r="I183" s="2">
        <f t="shared" si="6"/>
        <v>40.337097</v>
      </c>
      <c r="J183" s="2">
        <f t="shared" si="7"/>
        <v>8.973</v>
      </c>
      <c r="K183" s="2">
        <f t="shared" si="8"/>
        <v>0.9351239552</v>
      </c>
      <c r="L183" s="2">
        <f t="shared" si="9"/>
        <v>1.927098126</v>
      </c>
      <c r="M183" s="2">
        <f t="shared" si="10"/>
        <v>42.26419513</v>
      </c>
      <c r="N183" s="2">
        <f t="shared" si="11"/>
        <v>42.27453899</v>
      </c>
    </row>
    <row r="184">
      <c r="A184" s="1" t="s">
        <v>196</v>
      </c>
      <c r="B184" s="2" t="str">
        <f t="shared" si="1"/>
        <v>cn2</v>
      </c>
      <c r="C184" s="2" t="str">
        <f t="shared" si="2"/>
        <v>f</v>
      </c>
      <c r="D184" s="2" t="str">
        <f t="shared" si="3"/>
        <v>09</v>
      </c>
      <c r="E184" s="2" t="str">
        <f t="shared" si="4"/>
        <v>cn2f</v>
      </c>
      <c r="F184" s="2" t="str">
        <f t="shared" si="5"/>
        <v>08.12.09</v>
      </c>
      <c r="G184" s="1">
        <v>170.91</v>
      </c>
      <c r="H184" s="1">
        <v>0.916</v>
      </c>
      <c r="I184" s="2">
        <f t="shared" si="6"/>
        <v>40.337097</v>
      </c>
      <c r="J184" s="2">
        <f t="shared" si="7"/>
        <v>9.09</v>
      </c>
      <c r="K184" s="2">
        <f t="shared" si="8"/>
        <v>0.3009604705</v>
      </c>
      <c r="L184" s="2">
        <f t="shared" si="9"/>
        <v>0.86514669</v>
      </c>
      <c r="M184" s="2">
        <f t="shared" si="10"/>
        <v>41.20224369</v>
      </c>
      <c r="N184" s="2">
        <f t="shared" si="11"/>
        <v>41.20334285</v>
      </c>
    </row>
    <row r="185">
      <c r="A185" s="1" t="s">
        <v>197</v>
      </c>
      <c r="B185" s="2" t="str">
        <f t="shared" si="1"/>
        <v>cn2</v>
      </c>
      <c r="C185" s="2" t="str">
        <f t="shared" si="2"/>
        <v>f</v>
      </c>
      <c r="D185" s="2" t="str">
        <f t="shared" si="3"/>
        <v>11</v>
      </c>
      <c r="E185" s="2" t="str">
        <f t="shared" si="4"/>
        <v>cn2f</v>
      </c>
      <c r="F185" s="2" t="str">
        <f t="shared" si="5"/>
        <v>08.06.09</v>
      </c>
      <c r="G185" s="1">
        <v>149.349</v>
      </c>
      <c r="H185" s="1">
        <v>1.125</v>
      </c>
      <c r="I185" s="2">
        <f t="shared" si="6"/>
        <v>55.377923</v>
      </c>
      <c r="J185" s="2">
        <f t="shared" si="7"/>
        <v>30.651</v>
      </c>
      <c r="K185" s="2">
        <f t="shared" si="8"/>
        <v>0.7790445011</v>
      </c>
      <c r="L185" s="2">
        <f t="shared" si="9"/>
        <v>0.8116123861</v>
      </c>
      <c r="M185" s="2">
        <f t="shared" si="10"/>
        <v>56.18953539</v>
      </c>
      <c r="N185" s="2">
        <f t="shared" si="11"/>
        <v>56.19493569</v>
      </c>
    </row>
    <row r="186">
      <c r="A186" s="1" t="s">
        <v>198</v>
      </c>
      <c r="B186" s="2" t="str">
        <f t="shared" si="1"/>
        <v>cn2</v>
      </c>
      <c r="C186" s="2" t="str">
        <f t="shared" si="2"/>
        <v>f</v>
      </c>
      <c r="D186" s="2" t="str">
        <f t="shared" si="3"/>
        <v>11</v>
      </c>
      <c r="E186" s="2" t="str">
        <f t="shared" si="4"/>
        <v>cn2f</v>
      </c>
      <c r="F186" s="2" t="str">
        <f t="shared" si="5"/>
        <v>08.12.09</v>
      </c>
      <c r="G186" s="1">
        <v>180.0</v>
      </c>
      <c r="H186" s="1">
        <v>0.634</v>
      </c>
      <c r="I186" s="2">
        <f t="shared" si="6"/>
        <v>55.377923</v>
      </c>
      <c r="J186" s="2">
        <f t="shared" si="7"/>
        <v>0</v>
      </c>
      <c r="K186" s="2">
        <f t="shared" si="8"/>
        <v>0</v>
      </c>
      <c r="L186" s="2">
        <f t="shared" si="9"/>
        <v>0.634</v>
      </c>
      <c r="M186" s="2">
        <f t="shared" si="10"/>
        <v>56.011923</v>
      </c>
      <c r="N186" s="2">
        <f t="shared" si="11"/>
        <v>56.011923</v>
      </c>
    </row>
    <row r="187">
      <c r="A187" s="1" t="s">
        <v>199</v>
      </c>
      <c r="B187" s="2" t="str">
        <f t="shared" si="1"/>
        <v>cn2</v>
      </c>
      <c r="C187" s="2" t="str">
        <f t="shared" si="2"/>
        <v>f</v>
      </c>
      <c r="D187" s="2" t="str">
        <f t="shared" si="3"/>
        <v>11</v>
      </c>
      <c r="E187" s="2" t="str">
        <f t="shared" si="4"/>
        <v>cn2f</v>
      </c>
      <c r="F187" s="2" t="str">
        <f t="shared" si="5"/>
        <v>08.12.09</v>
      </c>
      <c r="G187" s="1">
        <v>-170.91</v>
      </c>
      <c r="H187" s="1">
        <v>0.927</v>
      </c>
      <c r="I187" s="2">
        <f t="shared" si="6"/>
        <v>55.377923</v>
      </c>
      <c r="J187" s="2">
        <f t="shared" si="7"/>
        <v>9.09</v>
      </c>
      <c r="K187" s="2">
        <f t="shared" si="8"/>
        <v>0.3045746246</v>
      </c>
      <c r="L187" s="2">
        <f t="shared" si="9"/>
        <v>0.8755360061</v>
      </c>
      <c r="M187" s="2">
        <f t="shared" si="10"/>
        <v>56.25345901</v>
      </c>
      <c r="N187" s="2">
        <f t="shared" si="11"/>
        <v>56.25428353</v>
      </c>
    </row>
    <row r="188">
      <c r="A188" s="1" t="s">
        <v>200</v>
      </c>
      <c r="B188" s="2" t="str">
        <f t="shared" si="1"/>
        <v>cn2</v>
      </c>
      <c r="C188" s="2" t="str">
        <f t="shared" si="2"/>
        <v>f</v>
      </c>
      <c r="D188" s="2" t="str">
        <f t="shared" si="3"/>
        <v>11</v>
      </c>
      <c r="E188" s="2" t="str">
        <f t="shared" si="4"/>
        <v>cn2f</v>
      </c>
      <c r="F188" s="2" t="str">
        <f t="shared" si="5"/>
        <v>08.12.09</v>
      </c>
      <c r="G188" s="1">
        <v>126.027</v>
      </c>
      <c r="H188" s="1">
        <v>0.5</v>
      </c>
      <c r="I188" s="2">
        <f t="shared" si="6"/>
        <v>55.377923</v>
      </c>
      <c r="J188" s="2">
        <f t="shared" si="7"/>
        <v>53.973</v>
      </c>
      <c r="K188" s="2">
        <f t="shared" si="8"/>
        <v>0.2680983688</v>
      </c>
      <c r="L188" s="2">
        <f t="shared" si="9"/>
        <v>0.4220465195</v>
      </c>
      <c r="M188" s="2">
        <f t="shared" si="10"/>
        <v>55.79996952</v>
      </c>
      <c r="N188" s="2">
        <f t="shared" si="11"/>
        <v>55.80061357</v>
      </c>
    </row>
    <row r="189">
      <c r="A189" s="1" t="s">
        <v>201</v>
      </c>
      <c r="B189" s="2" t="str">
        <f t="shared" si="1"/>
        <v>cn2</v>
      </c>
      <c r="C189" s="2" t="str">
        <f t="shared" si="2"/>
        <v>f</v>
      </c>
      <c r="D189" s="2" t="str">
        <f t="shared" si="3"/>
        <v>13</v>
      </c>
      <c r="E189" s="2" t="str">
        <f t="shared" si="4"/>
        <v>cn2f</v>
      </c>
      <c r="F189" s="2" t="str">
        <f t="shared" si="5"/>
        <v>08.06.09</v>
      </c>
      <c r="G189" s="1">
        <v>-164.476</v>
      </c>
      <c r="H189" s="1">
        <v>0.684</v>
      </c>
      <c r="I189" s="2">
        <f t="shared" si="6"/>
        <v>70.418749</v>
      </c>
      <c r="J189" s="2">
        <f t="shared" si="7"/>
        <v>15.524</v>
      </c>
      <c r="K189" s="2">
        <f t="shared" si="8"/>
        <v>0.125122337</v>
      </c>
      <c r="L189" s="2">
        <f t="shared" si="9"/>
        <v>0.6724584751</v>
      </c>
      <c r="M189" s="2">
        <f t="shared" si="10"/>
        <v>71.09120748</v>
      </c>
      <c r="N189" s="2">
        <f t="shared" si="11"/>
        <v>71.09131758</v>
      </c>
    </row>
    <row r="190">
      <c r="A190" s="1" t="s">
        <v>202</v>
      </c>
      <c r="B190" s="2" t="str">
        <f t="shared" si="1"/>
        <v>cn2</v>
      </c>
      <c r="C190" s="2" t="str">
        <f t="shared" si="2"/>
        <v>f</v>
      </c>
      <c r="D190" s="2" t="str">
        <f t="shared" si="3"/>
        <v>13</v>
      </c>
      <c r="E190" s="2" t="str">
        <f t="shared" si="4"/>
        <v>cn2f</v>
      </c>
      <c r="F190" s="2" t="str">
        <f t="shared" si="5"/>
        <v>08.06.09</v>
      </c>
      <c r="G190" s="1">
        <v>139.399</v>
      </c>
      <c r="H190" s="1">
        <v>1.006</v>
      </c>
      <c r="I190" s="2">
        <f t="shared" si="6"/>
        <v>70.418749</v>
      </c>
      <c r="J190" s="2">
        <f t="shared" si="7"/>
        <v>40.601</v>
      </c>
      <c r="K190" s="2">
        <f t="shared" si="8"/>
        <v>0.2388400759</v>
      </c>
      <c r="L190" s="2">
        <f t="shared" si="9"/>
        <v>0.9772366234</v>
      </c>
      <c r="M190" s="2">
        <f t="shared" si="10"/>
        <v>71.39598562</v>
      </c>
      <c r="N190" s="2">
        <f t="shared" si="11"/>
        <v>71.39638512</v>
      </c>
    </row>
    <row r="191">
      <c r="A191" s="1" t="s">
        <v>203</v>
      </c>
      <c r="B191" s="2" t="str">
        <f t="shared" si="1"/>
        <v>cn2</v>
      </c>
      <c r="C191" s="2" t="str">
        <f t="shared" si="2"/>
        <v>f</v>
      </c>
      <c r="D191" s="2" t="str">
        <f t="shared" si="3"/>
        <v>13</v>
      </c>
      <c r="E191" s="2" t="str">
        <f t="shared" si="4"/>
        <v>cn2f</v>
      </c>
      <c r="F191" s="2" t="str">
        <f t="shared" si="5"/>
        <v>08.06.09</v>
      </c>
      <c r="G191" s="1">
        <v>170.538</v>
      </c>
      <c r="H191" s="1">
        <v>1.106</v>
      </c>
      <c r="I191" s="2">
        <f t="shared" si="6"/>
        <v>70.418749</v>
      </c>
      <c r="J191" s="2">
        <f t="shared" si="7"/>
        <v>9.462</v>
      </c>
      <c r="K191" s="2">
        <f t="shared" si="8"/>
        <v>0.0411580699</v>
      </c>
      <c r="L191" s="2">
        <f t="shared" si="9"/>
        <v>1.105233918</v>
      </c>
      <c r="M191" s="2">
        <f t="shared" si="10"/>
        <v>71.52398292</v>
      </c>
      <c r="N191" s="2">
        <f t="shared" si="11"/>
        <v>71.52399476</v>
      </c>
    </row>
    <row r="192">
      <c r="A192" s="1" t="s">
        <v>204</v>
      </c>
      <c r="B192" s="2" t="str">
        <f t="shared" si="1"/>
        <v>cn2</v>
      </c>
      <c r="C192" s="2" t="str">
        <f t="shared" si="2"/>
        <v>f</v>
      </c>
      <c r="D192" s="2" t="str">
        <f t="shared" si="3"/>
        <v>13</v>
      </c>
      <c r="E192" s="2" t="str">
        <f t="shared" si="4"/>
        <v>cn2f</v>
      </c>
      <c r="F192" s="2" t="str">
        <f t="shared" si="5"/>
        <v>08.12.09</v>
      </c>
      <c r="G192" s="1">
        <v>153.048</v>
      </c>
      <c r="H192" s="1">
        <v>2.435</v>
      </c>
      <c r="I192" s="2">
        <f t="shared" si="6"/>
        <v>70.418749</v>
      </c>
      <c r="J192" s="2">
        <f t="shared" si="7"/>
        <v>26.952</v>
      </c>
      <c r="K192" s="2">
        <f t="shared" si="8"/>
        <v>2.360225225</v>
      </c>
      <c r="L192" s="2">
        <f t="shared" si="9"/>
        <v>0.5988003727</v>
      </c>
      <c r="M192" s="2">
        <f t="shared" si="10"/>
        <v>71.01754937</v>
      </c>
      <c r="N192" s="2">
        <f t="shared" si="11"/>
        <v>71.05675888</v>
      </c>
    </row>
    <row r="193">
      <c r="A193" s="1" t="s">
        <v>205</v>
      </c>
      <c r="B193" s="2" t="str">
        <f t="shared" si="1"/>
        <v>cn2</v>
      </c>
      <c r="C193" s="2" t="str">
        <f t="shared" si="2"/>
        <v>f</v>
      </c>
      <c r="D193" s="2" t="str">
        <f t="shared" si="3"/>
        <v>13</v>
      </c>
      <c r="E193" s="2" t="str">
        <f t="shared" si="4"/>
        <v>cn2f</v>
      </c>
      <c r="F193" s="2" t="str">
        <f t="shared" si="5"/>
        <v>08.12.09</v>
      </c>
      <c r="G193" s="1">
        <v>-126.87</v>
      </c>
      <c r="H193" s="1">
        <v>0.742</v>
      </c>
      <c r="I193" s="2">
        <f t="shared" si="6"/>
        <v>70.418749</v>
      </c>
      <c r="J193" s="2">
        <f t="shared" si="7"/>
        <v>53.13</v>
      </c>
      <c r="K193" s="2">
        <f t="shared" si="8"/>
        <v>0.2029692696</v>
      </c>
      <c r="L193" s="2">
        <f t="shared" si="9"/>
        <v>0.7136998498</v>
      </c>
      <c r="M193" s="2">
        <f t="shared" si="10"/>
        <v>71.13244885</v>
      </c>
      <c r="N193" s="2">
        <f t="shared" si="11"/>
        <v>71.13273843</v>
      </c>
    </row>
    <row r="194">
      <c r="A194" s="1" t="s">
        <v>206</v>
      </c>
      <c r="B194" s="2" t="str">
        <f t="shared" si="1"/>
        <v>cn2</v>
      </c>
      <c r="C194" s="2" t="str">
        <f t="shared" si="2"/>
        <v>f</v>
      </c>
      <c r="D194" s="2" t="str">
        <f t="shared" si="3"/>
        <v>13</v>
      </c>
      <c r="E194" s="2" t="str">
        <f t="shared" si="4"/>
        <v>cn2f</v>
      </c>
      <c r="F194" s="2" t="str">
        <f t="shared" si="5"/>
        <v>08.12.09</v>
      </c>
      <c r="G194" s="1">
        <v>-124.509</v>
      </c>
      <c r="H194" s="1">
        <v>0.696</v>
      </c>
      <c r="I194" s="2">
        <f t="shared" si="6"/>
        <v>70.418749</v>
      </c>
      <c r="J194" s="2">
        <f t="shared" si="7"/>
        <v>55.491</v>
      </c>
      <c r="K194" s="2">
        <f t="shared" si="8"/>
        <v>0.6063642105</v>
      </c>
      <c r="L194" s="2">
        <f t="shared" si="9"/>
        <v>0.341670081</v>
      </c>
      <c r="M194" s="2">
        <f t="shared" si="10"/>
        <v>70.76041908</v>
      </c>
      <c r="N194" s="2">
        <f t="shared" si="11"/>
        <v>70.76301708</v>
      </c>
    </row>
    <row r="195">
      <c r="A195" s="1" t="s">
        <v>207</v>
      </c>
      <c r="B195" s="2" t="str">
        <f t="shared" si="1"/>
        <v>cn2</v>
      </c>
      <c r="C195" s="2" t="str">
        <f t="shared" si="2"/>
        <v>f</v>
      </c>
      <c r="D195" s="2" t="str">
        <f t="shared" si="3"/>
        <v>15</v>
      </c>
      <c r="E195" s="2" t="str">
        <f t="shared" si="4"/>
        <v>cn2f</v>
      </c>
      <c r="F195" s="2" t="str">
        <f t="shared" si="5"/>
        <v>08.06.09</v>
      </c>
      <c r="G195" s="1">
        <v>-154.654</v>
      </c>
      <c r="H195" s="1">
        <v>0.748</v>
      </c>
      <c r="I195" s="2">
        <f t="shared" si="6"/>
        <v>85.459575</v>
      </c>
      <c r="J195" s="2">
        <f t="shared" si="7"/>
        <v>25.346</v>
      </c>
      <c r="K195" s="2">
        <f t="shared" si="8"/>
        <v>0.1583111829</v>
      </c>
      <c r="L195" s="2">
        <f t="shared" si="9"/>
        <v>0.7310551069</v>
      </c>
      <c r="M195" s="2">
        <f t="shared" si="10"/>
        <v>86.19063011</v>
      </c>
      <c r="N195" s="2">
        <f t="shared" si="11"/>
        <v>86.1907755</v>
      </c>
    </row>
    <row r="196">
      <c r="A196" s="1" t="s">
        <v>208</v>
      </c>
      <c r="B196" s="2" t="str">
        <f t="shared" si="1"/>
        <v>cn2</v>
      </c>
      <c r="C196" s="2" t="str">
        <f t="shared" si="2"/>
        <v>f</v>
      </c>
      <c r="D196" s="2" t="str">
        <f t="shared" si="3"/>
        <v>15</v>
      </c>
      <c r="E196" s="2" t="str">
        <f t="shared" si="4"/>
        <v>cn2f</v>
      </c>
      <c r="F196" s="2" t="str">
        <f t="shared" si="5"/>
        <v>08.06.09</v>
      </c>
      <c r="G196" s="1">
        <v>-176.424</v>
      </c>
      <c r="H196" s="1">
        <v>0.596</v>
      </c>
      <c r="I196" s="2">
        <f t="shared" si="6"/>
        <v>85.459575</v>
      </c>
      <c r="J196" s="2">
        <f t="shared" si="7"/>
        <v>3.576</v>
      </c>
      <c r="K196" s="2">
        <f t="shared" si="8"/>
        <v>0.2508402291</v>
      </c>
      <c r="L196" s="2">
        <f t="shared" si="9"/>
        <v>0.5406433015</v>
      </c>
      <c r="M196" s="2">
        <f t="shared" si="10"/>
        <v>86.0002183</v>
      </c>
      <c r="N196" s="2">
        <f t="shared" si="11"/>
        <v>86.00058412</v>
      </c>
    </row>
    <row r="197">
      <c r="A197" s="1" t="s">
        <v>209</v>
      </c>
      <c r="B197" s="2" t="str">
        <f t="shared" si="1"/>
        <v>cn2</v>
      </c>
      <c r="C197" s="2" t="str">
        <f t="shared" si="2"/>
        <v>f</v>
      </c>
      <c r="D197" s="2" t="str">
        <f t="shared" si="3"/>
        <v>15</v>
      </c>
      <c r="E197" s="2" t="str">
        <f t="shared" si="4"/>
        <v>cn2f</v>
      </c>
      <c r="F197" s="2" t="str">
        <f t="shared" si="5"/>
        <v>08.1.209</v>
      </c>
      <c r="G197" s="1">
        <v>-158.199</v>
      </c>
      <c r="H197" s="1">
        <v>0.198</v>
      </c>
      <c r="I197" s="2">
        <f t="shared" si="6"/>
        <v>85.459575</v>
      </c>
      <c r="J197" s="2">
        <f t="shared" si="7"/>
        <v>21.801</v>
      </c>
      <c r="K197" s="2">
        <f t="shared" si="8"/>
        <v>0.03742294927</v>
      </c>
      <c r="L197" s="2">
        <f t="shared" si="9"/>
        <v>0.1944312806</v>
      </c>
      <c r="M197" s="2">
        <f t="shared" si="10"/>
        <v>85.65400628</v>
      </c>
      <c r="N197" s="2">
        <f t="shared" si="11"/>
        <v>85.65401446</v>
      </c>
    </row>
    <row r="198">
      <c r="A198" s="1" t="s">
        <v>210</v>
      </c>
      <c r="B198" s="2" t="str">
        <f t="shared" si="1"/>
        <v>cn2</v>
      </c>
      <c r="C198" s="2" t="str">
        <f t="shared" si="2"/>
        <v>f</v>
      </c>
      <c r="D198" s="2" t="str">
        <f t="shared" si="3"/>
        <v>15</v>
      </c>
      <c r="E198" s="2" t="str">
        <f t="shared" si="4"/>
        <v>cn2f</v>
      </c>
      <c r="F198" s="2" t="str">
        <f t="shared" si="5"/>
        <v>08.12.09</v>
      </c>
      <c r="G198" s="1">
        <v>170.538</v>
      </c>
      <c r="H198" s="1">
        <v>1.119</v>
      </c>
      <c r="I198" s="2">
        <f t="shared" si="6"/>
        <v>85.459575</v>
      </c>
      <c r="J198" s="2">
        <f t="shared" si="7"/>
        <v>9.462</v>
      </c>
      <c r="K198" s="2">
        <f t="shared" si="8"/>
        <v>0.04164184469</v>
      </c>
      <c r="L198" s="2">
        <f t="shared" si="9"/>
        <v>1.118224913</v>
      </c>
      <c r="M198" s="2">
        <f t="shared" si="10"/>
        <v>86.57779991</v>
      </c>
      <c r="N198" s="2">
        <f t="shared" si="11"/>
        <v>86.57780993</v>
      </c>
    </row>
    <row r="199">
      <c r="A199" s="1" t="s">
        <v>211</v>
      </c>
      <c r="B199" s="2" t="str">
        <f t="shared" si="1"/>
        <v>cn2</v>
      </c>
      <c r="C199" s="2" t="str">
        <f t="shared" si="2"/>
        <v>f</v>
      </c>
      <c r="D199" s="2" t="str">
        <f t="shared" si="3"/>
        <v>15</v>
      </c>
      <c r="E199" s="2" t="str">
        <f t="shared" si="4"/>
        <v>cn2f</v>
      </c>
      <c r="F199" s="2" t="str">
        <f t="shared" si="5"/>
        <v>08.12.09</v>
      </c>
      <c r="G199" s="1">
        <v>-121.139</v>
      </c>
      <c r="H199" s="1">
        <v>2.07</v>
      </c>
      <c r="I199" s="2">
        <f t="shared" si="6"/>
        <v>85.459575</v>
      </c>
      <c r="J199" s="2">
        <f t="shared" si="7"/>
        <v>58.861</v>
      </c>
      <c r="K199" s="2">
        <f t="shared" si="8"/>
        <v>1.52648433</v>
      </c>
      <c r="L199" s="2">
        <f t="shared" si="9"/>
        <v>1.398122166</v>
      </c>
      <c r="M199" s="2">
        <f t="shared" si="10"/>
        <v>86.85769717</v>
      </c>
      <c r="N199" s="2">
        <f t="shared" si="11"/>
        <v>86.87110976</v>
      </c>
    </row>
    <row r="200">
      <c r="A200" s="1" t="s">
        <v>212</v>
      </c>
      <c r="B200" s="2" t="str">
        <f t="shared" si="1"/>
        <v>cn2</v>
      </c>
      <c r="C200" s="2" t="str">
        <f t="shared" si="2"/>
        <v>f</v>
      </c>
      <c r="D200" s="2" t="str">
        <f t="shared" si="3"/>
        <v>17</v>
      </c>
      <c r="E200" s="2" t="str">
        <f t="shared" si="4"/>
        <v>cn2f</v>
      </c>
      <c r="F200" s="2" t="str">
        <f t="shared" si="5"/>
        <v>08.06.09</v>
      </c>
      <c r="G200" s="1">
        <v>-154.537</v>
      </c>
      <c r="H200" s="1">
        <v>0.868</v>
      </c>
      <c r="I200" s="2">
        <f t="shared" si="6"/>
        <v>100.500401</v>
      </c>
      <c r="J200" s="2">
        <f t="shared" si="7"/>
        <v>25.463</v>
      </c>
      <c r="K200" s="2">
        <f t="shared" si="8"/>
        <v>0.2814818331</v>
      </c>
      <c r="L200" s="2">
        <f t="shared" si="9"/>
        <v>0.8210919423</v>
      </c>
      <c r="M200" s="2">
        <f t="shared" si="10"/>
        <v>101.3214929</v>
      </c>
      <c r="N200" s="2">
        <f t="shared" si="11"/>
        <v>101.3218839</v>
      </c>
    </row>
    <row r="201">
      <c r="A201" s="1" t="s">
        <v>213</v>
      </c>
      <c r="B201" s="2" t="str">
        <f t="shared" si="1"/>
        <v>cn2</v>
      </c>
      <c r="C201" s="2" t="str">
        <f t="shared" si="2"/>
        <v>f</v>
      </c>
      <c r="D201" s="2" t="str">
        <f t="shared" si="3"/>
        <v>17</v>
      </c>
      <c r="E201" s="2" t="str">
        <f t="shared" si="4"/>
        <v>cn2f</v>
      </c>
      <c r="F201" s="2" t="str">
        <f t="shared" si="5"/>
        <v>08.12.09</v>
      </c>
      <c r="G201" s="1">
        <v>-136.975</v>
      </c>
      <c r="H201" s="1">
        <v>0.76</v>
      </c>
      <c r="I201" s="2">
        <f t="shared" si="6"/>
        <v>100.500401</v>
      </c>
      <c r="J201" s="2">
        <f t="shared" si="7"/>
        <v>43.025</v>
      </c>
      <c r="K201" s="2">
        <f t="shared" si="8"/>
        <v>0.6214052141</v>
      </c>
      <c r="L201" s="2">
        <f t="shared" si="9"/>
        <v>0.4375563506</v>
      </c>
      <c r="M201" s="2">
        <f t="shared" si="10"/>
        <v>100.9379574</v>
      </c>
      <c r="N201" s="2">
        <f t="shared" si="11"/>
        <v>100.9398701</v>
      </c>
    </row>
    <row r="202">
      <c r="A202" s="1" t="s">
        <v>214</v>
      </c>
      <c r="B202" s="2" t="str">
        <f t="shared" si="1"/>
        <v>cn2</v>
      </c>
      <c r="C202" s="2" t="str">
        <f t="shared" si="2"/>
        <v>f</v>
      </c>
      <c r="D202" s="2" t="str">
        <f t="shared" si="3"/>
        <v>17</v>
      </c>
      <c r="E202" s="2" t="str">
        <f t="shared" si="4"/>
        <v>cn2f</v>
      </c>
      <c r="F202" s="2" t="str">
        <f t="shared" si="5"/>
        <v>08.12.09</v>
      </c>
      <c r="G202" s="1">
        <v>-166.504</v>
      </c>
      <c r="H202" s="1">
        <v>1.86</v>
      </c>
      <c r="I202" s="2">
        <f t="shared" si="6"/>
        <v>100.500401</v>
      </c>
      <c r="J202" s="2">
        <f t="shared" si="7"/>
        <v>13.496</v>
      </c>
      <c r="K202" s="2">
        <f t="shared" si="8"/>
        <v>1.490600875</v>
      </c>
      <c r="L202" s="2">
        <f t="shared" si="9"/>
        <v>1.112523722</v>
      </c>
      <c r="M202" s="2">
        <f t="shared" si="10"/>
        <v>101.6129247</v>
      </c>
      <c r="N202" s="2">
        <f t="shared" si="11"/>
        <v>101.6238572</v>
      </c>
    </row>
    <row r="203">
      <c r="A203" s="1" t="s">
        <v>215</v>
      </c>
      <c r="B203" s="2" t="str">
        <f t="shared" si="1"/>
        <v>cn2</v>
      </c>
      <c r="C203" s="2" t="str">
        <f t="shared" si="2"/>
        <v>m</v>
      </c>
      <c r="D203" s="2" t="str">
        <f t="shared" si="3"/>
        <v>03</v>
      </c>
      <c r="E203" s="2" t="str">
        <f t="shared" si="4"/>
        <v>cn2m</v>
      </c>
      <c r="F203" s="2" t="str">
        <f t="shared" si="5"/>
        <v>08.06.09</v>
      </c>
      <c r="G203" s="1">
        <v>135.0</v>
      </c>
      <c r="H203" s="1">
        <v>0.051</v>
      </c>
      <c r="I203" s="2">
        <f t="shared" si="6"/>
        <v>-4.785381</v>
      </c>
      <c r="J203" s="2">
        <f t="shared" si="7"/>
        <v>45</v>
      </c>
      <c r="K203" s="2">
        <f t="shared" si="8"/>
        <v>0.04339607975</v>
      </c>
      <c r="L203" s="2">
        <f t="shared" si="9"/>
        <v>0.02679142143</v>
      </c>
      <c r="M203" s="2">
        <f t="shared" si="10"/>
        <v>-4.758589579</v>
      </c>
      <c r="N203" s="2">
        <f t="shared" si="11"/>
        <v>4.75878745</v>
      </c>
    </row>
    <row r="204">
      <c r="A204" s="1" t="s">
        <v>216</v>
      </c>
      <c r="B204" s="2" t="str">
        <f t="shared" si="1"/>
        <v>cn2</v>
      </c>
      <c r="C204" s="2" t="str">
        <f t="shared" si="2"/>
        <v>m</v>
      </c>
      <c r="D204" s="2" t="str">
        <f t="shared" si="3"/>
        <v>03</v>
      </c>
      <c r="E204" s="2" t="str">
        <f t="shared" si="4"/>
        <v>cn2m</v>
      </c>
      <c r="F204" s="2" t="str">
        <f t="shared" si="5"/>
        <v>08.06.09</v>
      </c>
      <c r="G204" s="1">
        <v>-71.565</v>
      </c>
      <c r="H204" s="1">
        <v>0.138</v>
      </c>
      <c r="I204" s="2">
        <f t="shared" si="6"/>
        <v>-4.785381</v>
      </c>
      <c r="J204" s="2">
        <f t="shared" si="7"/>
        <v>108.435</v>
      </c>
      <c r="K204" s="2">
        <f t="shared" si="8"/>
        <v>0.1378271671</v>
      </c>
      <c r="L204" s="2">
        <f t="shared" si="9"/>
        <v>0.00690449239</v>
      </c>
      <c r="M204" s="2">
        <f t="shared" si="10"/>
        <v>-4.778476508</v>
      </c>
      <c r="N204" s="2">
        <f t="shared" si="11"/>
        <v>4.780463791</v>
      </c>
    </row>
    <row r="205">
      <c r="A205" s="1" t="s">
        <v>217</v>
      </c>
      <c r="B205" s="2" t="str">
        <f t="shared" si="1"/>
        <v>cn2</v>
      </c>
      <c r="C205" s="2" t="str">
        <f t="shared" si="2"/>
        <v>m</v>
      </c>
      <c r="D205" s="2" t="str">
        <f t="shared" si="3"/>
        <v>03</v>
      </c>
      <c r="E205" s="2" t="str">
        <f t="shared" si="4"/>
        <v>cn2m</v>
      </c>
      <c r="F205" s="2" t="str">
        <f t="shared" si="5"/>
        <v>08.12.09</v>
      </c>
      <c r="G205" s="1">
        <v>180.0</v>
      </c>
      <c r="H205" s="1">
        <v>0.505</v>
      </c>
      <c r="I205" s="2">
        <f t="shared" si="6"/>
        <v>-4.785381</v>
      </c>
      <c r="J205" s="2">
        <f t="shared" si="7"/>
        <v>0</v>
      </c>
      <c r="K205" s="2">
        <f t="shared" si="8"/>
        <v>0</v>
      </c>
      <c r="L205" s="2">
        <f t="shared" si="9"/>
        <v>0.505</v>
      </c>
      <c r="M205" s="2">
        <f t="shared" si="10"/>
        <v>-4.280381</v>
      </c>
      <c r="N205" s="2">
        <f t="shared" si="11"/>
        <v>4.280381</v>
      </c>
    </row>
    <row r="206">
      <c r="A206" s="1" t="s">
        <v>218</v>
      </c>
      <c r="B206" s="2" t="str">
        <f t="shared" si="1"/>
        <v>cn2</v>
      </c>
      <c r="C206" s="2" t="str">
        <f t="shared" si="2"/>
        <v>m</v>
      </c>
      <c r="D206" s="2" t="str">
        <f t="shared" si="3"/>
        <v>03</v>
      </c>
      <c r="E206" s="2" t="str">
        <f t="shared" si="4"/>
        <v>cn2m</v>
      </c>
      <c r="F206" s="2" t="str">
        <f t="shared" si="5"/>
        <v>08.12.09</v>
      </c>
      <c r="G206" s="1">
        <v>-153.435</v>
      </c>
      <c r="H206" s="1">
        <v>0.235</v>
      </c>
      <c r="I206" s="2">
        <f t="shared" si="6"/>
        <v>-4.785381</v>
      </c>
      <c r="J206" s="2">
        <f t="shared" si="7"/>
        <v>26.565</v>
      </c>
      <c r="K206" s="2">
        <f t="shared" si="8"/>
        <v>0.2327484677</v>
      </c>
      <c r="L206" s="2">
        <f t="shared" si="9"/>
        <v>0.03245228505</v>
      </c>
      <c r="M206" s="2">
        <f t="shared" si="10"/>
        <v>-4.752928715</v>
      </c>
      <c r="N206" s="2">
        <f t="shared" si="11"/>
        <v>4.758624089</v>
      </c>
    </row>
    <row r="207">
      <c r="A207" s="1" t="s">
        <v>219</v>
      </c>
      <c r="B207" s="2" t="str">
        <f t="shared" si="1"/>
        <v>cn2</v>
      </c>
      <c r="C207" s="2" t="str">
        <f t="shared" si="2"/>
        <v>m</v>
      </c>
      <c r="D207" s="2" t="str">
        <f t="shared" si="3"/>
        <v>03</v>
      </c>
      <c r="E207" s="2" t="str">
        <f t="shared" si="4"/>
        <v>cn2m</v>
      </c>
      <c r="F207" s="2" t="str">
        <f t="shared" si="5"/>
        <v>08.12.09</v>
      </c>
      <c r="G207" s="1">
        <v>153.435</v>
      </c>
      <c r="H207" s="1">
        <v>0.09</v>
      </c>
      <c r="I207" s="2">
        <f t="shared" si="6"/>
        <v>-4.785381</v>
      </c>
      <c r="J207" s="2">
        <f t="shared" si="7"/>
        <v>26.565</v>
      </c>
      <c r="K207" s="2">
        <f t="shared" si="8"/>
        <v>0.08913771102</v>
      </c>
      <c r="L207" s="2">
        <f t="shared" si="9"/>
        <v>0.0124285347</v>
      </c>
      <c r="M207" s="2">
        <f t="shared" si="10"/>
        <v>-4.772952465</v>
      </c>
      <c r="N207" s="2">
        <f t="shared" si="11"/>
        <v>4.773784742</v>
      </c>
    </row>
    <row r="208">
      <c r="A208" s="1" t="s">
        <v>220</v>
      </c>
      <c r="B208" s="2" t="str">
        <f t="shared" si="1"/>
        <v>cn2</v>
      </c>
      <c r="C208" s="2" t="str">
        <f t="shared" si="2"/>
        <v>m</v>
      </c>
      <c r="D208" s="2" t="str">
        <f t="shared" si="3"/>
        <v>03</v>
      </c>
      <c r="E208" s="2" t="str">
        <f t="shared" si="4"/>
        <v>cn2m</v>
      </c>
      <c r="F208" s="2" t="str">
        <f t="shared" si="5"/>
        <v>08.12.09</v>
      </c>
      <c r="G208" s="1">
        <v>165.964</v>
      </c>
      <c r="H208" s="1">
        <v>0.441</v>
      </c>
      <c r="I208" s="2">
        <f t="shared" si="6"/>
        <v>-4.785381</v>
      </c>
      <c r="J208" s="2">
        <f t="shared" si="7"/>
        <v>14.036</v>
      </c>
      <c r="K208" s="2">
        <f t="shared" si="8"/>
        <v>0.4387451618</v>
      </c>
      <c r="L208" s="2">
        <f t="shared" si="9"/>
        <v>0.04453855674</v>
      </c>
      <c r="M208" s="2">
        <f t="shared" si="10"/>
        <v>-4.740842443</v>
      </c>
      <c r="N208" s="2">
        <f t="shared" si="11"/>
        <v>4.761101174</v>
      </c>
    </row>
    <row r="209">
      <c r="A209" s="1" t="s">
        <v>221</v>
      </c>
      <c r="B209" s="2" t="str">
        <f t="shared" si="1"/>
        <v>cn2</v>
      </c>
      <c r="C209" s="2" t="str">
        <f t="shared" si="2"/>
        <v>m</v>
      </c>
      <c r="D209" s="2" t="str">
        <f t="shared" si="3"/>
        <v>05</v>
      </c>
      <c r="E209" s="2" t="str">
        <f t="shared" si="4"/>
        <v>cn2m</v>
      </c>
      <c r="F209" s="2" t="str">
        <f t="shared" si="5"/>
        <v>08.06.09</v>
      </c>
      <c r="G209" s="1">
        <v>149.744</v>
      </c>
      <c r="H209" s="1">
        <v>1.515</v>
      </c>
      <c r="I209" s="2">
        <f t="shared" si="6"/>
        <v>10.255445</v>
      </c>
      <c r="J209" s="2">
        <f t="shared" si="7"/>
        <v>30.256</v>
      </c>
      <c r="K209" s="2">
        <f t="shared" si="8"/>
        <v>1.38891226</v>
      </c>
      <c r="L209" s="2">
        <f t="shared" si="9"/>
        <v>0.6051014239</v>
      </c>
      <c r="M209" s="2">
        <f t="shared" si="10"/>
        <v>10.86054642</v>
      </c>
      <c r="N209" s="2">
        <f t="shared" si="11"/>
        <v>10.94899748</v>
      </c>
    </row>
    <row r="210">
      <c r="A210" s="1" t="s">
        <v>222</v>
      </c>
      <c r="B210" s="2" t="str">
        <f t="shared" si="1"/>
        <v>cn2</v>
      </c>
      <c r="C210" s="2" t="str">
        <f t="shared" si="2"/>
        <v>m</v>
      </c>
      <c r="D210" s="2" t="str">
        <f t="shared" si="3"/>
        <v>05</v>
      </c>
      <c r="E210" s="2" t="str">
        <f t="shared" si="4"/>
        <v>cn2m</v>
      </c>
      <c r="F210" s="2" t="str">
        <f t="shared" si="5"/>
        <v>08.12.09</v>
      </c>
      <c r="G210" s="1">
        <v>167.471</v>
      </c>
      <c r="H210" s="1">
        <v>0.312</v>
      </c>
      <c r="I210" s="2">
        <f t="shared" si="6"/>
        <v>10.255445</v>
      </c>
      <c r="J210" s="2">
        <f t="shared" si="7"/>
        <v>12.529</v>
      </c>
      <c r="K210" s="2">
        <f t="shared" si="8"/>
        <v>0.01165691797</v>
      </c>
      <c r="L210" s="2">
        <f t="shared" si="9"/>
        <v>0.3117821616</v>
      </c>
      <c r="M210" s="2">
        <f t="shared" si="10"/>
        <v>10.56722716</v>
      </c>
      <c r="N210" s="2">
        <f t="shared" si="11"/>
        <v>10.56723359</v>
      </c>
    </row>
    <row r="211">
      <c r="A211" s="1" t="s">
        <v>223</v>
      </c>
      <c r="B211" s="2" t="str">
        <f t="shared" si="1"/>
        <v>cn2</v>
      </c>
      <c r="C211" s="2" t="str">
        <f t="shared" si="2"/>
        <v>m</v>
      </c>
      <c r="D211" s="2" t="str">
        <f t="shared" si="3"/>
        <v>05</v>
      </c>
      <c r="E211" s="2" t="str">
        <f t="shared" si="4"/>
        <v>cn2m</v>
      </c>
      <c r="F211" s="2" t="str">
        <f t="shared" si="5"/>
        <v>08.12.09</v>
      </c>
      <c r="G211" s="1">
        <v>149.036</v>
      </c>
      <c r="H211" s="1">
        <v>0.44</v>
      </c>
      <c r="I211" s="2">
        <f t="shared" si="6"/>
        <v>10.255445</v>
      </c>
      <c r="J211" s="2">
        <f t="shared" si="7"/>
        <v>30.964</v>
      </c>
      <c r="K211" s="2">
        <f t="shared" si="8"/>
        <v>0.1921477666</v>
      </c>
      <c r="L211" s="2">
        <f t="shared" si="9"/>
        <v>0.3958272803</v>
      </c>
      <c r="M211" s="2">
        <f t="shared" si="10"/>
        <v>10.65127228</v>
      </c>
      <c r="N211" s="2">
        <f t="shared" si="11"/>
        <v>10.6530053</v>
      </c>
    </row>
    <row r="212">
      <c r="A212" s="1" t="s">
        <v>224</v>
      </c>
      <c r="B212" s="2" t="str">
        <f t="shared" si="1"/>
        <v>cn2</v>
      </c>
      <c r="C212" s="2" t="str">
        <f t="shared" si="2"/>
        <v>m</v>
      </c>
      <c r="D212" s="2" t="str">
        <f t="shared" si="3"/>
        <v>05</v>
      </c>
      <c r="E212" s="2" t="str">
        <f t="shared" si="4"/>
        <v>cn2m</v>
      </c>
      <c r="F212" s="2" t="str">
        <f t="shared" si="5"/>
        <v>08.12.09</v>
      </c>
      <c r="G212" s="1">
        <v>-173.29</v>
      </c>
      <c r="H212" s="1">
        <v>0.627</v>
      </c>
      <c r="I212" s="2">
        <f t="shared" si="6"/>
        <v>10.255445</v>
      </c>
      <c r="J212" s="2">
        <f t="shared" si="7"/>
        <v>6.71</v>
      </c>
      <c r="K212" s="2">
        <f t="shared" si="8"/>
        <v>0.2595612951</v>
      </c>
      <c r="L212" s="2">
        <f t="shared" si="9"/>
        <v>0.5707512016</v>
      </c>
      <c r="M212" s="2">
        <f t="shared" si="10"/>
        <v>10.8261962</v>
      </c>
      <c r="N212" s="2">
        <f t="shared" si="11"/>
        <v>10.82930728</v>
      </c>
    </row>
    <row r="213">
      <c r="A213" s="1" t="s">
        <v>225</v>
      </c>
      <c r="B213" s="2" t="str">
        <f t="shared" si="1"/>
        <v>cn2</v>
      </c>
      <c r="C213" s="2" t="str">
        <f t="shared" si="2"/>
        <v>m</v>
      </c>
      <c r="D213" s="2" t="str">
        <f t="shared" si="3"/>
        <v>05</v>
      </c>
      <c r="E213" s="2" t="str">
        <f t="shared" si="4"/>
        <v>cn2m</v>
      </c>
      <c r="F213" s="2" t="str">
        <f t="shared" si="5"/>
        <v>08.12.09</v>
      </c>
      <c r="G213" s="1">
        <v>173.29</v>
      </c>
      <c r="H213" s="1">
        <v>0.629</v>
      </c>
      <c r="I213" s="2">
        <f t="shared" si="6"/>
        <v>10.255445</v>
      </c>
      <c r="J213" s="2">
        <f t="shared" si="7"/>
        <v>6.71</v>
      </c>
      <c r="K213" s="2">
        <f t="shared" si="8"/>
        <v>0.2603892418</v>
      </c>
      <c r="L213" s="2">
        <f t="shared" si="9"/>
        <v>0.5725717796</v>
      </c>
      <c r="M213" s="2">
        <f t="shared" si="10"/>
        <v>10.82801678</v>
      </c>
      <c r="N213" s="2">
        <f t="shared" si="11"/>
        <v>10.83114721</v>
      </c>
    </row>
    <row r="214">
      <c r="A214" s="1" t="s">
        <v>226</v>
      </c>
      <c r="B214" s="2" t="str">
        <f t="shared" si="1"/>
        <v>cn2</v>
      </c>
      <c r="C214" s="2" t="str">
        <f t="shared" si="2"/>
        <v>m</v>
      </c>
      <c r="D214" s="2" t="str">
        <f t="shared" si="3"/>
        <v>07</v>
      </c>
      <c r="E214" s="2" t="str">
        <f t="shared" si="4"/>
        <v>cn2m</v>
      </c>
      <c r="F214" s="2" t="str">
        <f t="shared" si="5"/>
        <v>08.06.09</v>
      </c>
      <c r="G214" s="1">
        <v>-162.121</v>
      </c>
      <c r="H214" s="1">
        <v>2.369</v>
      </c>
      <c r="I214" s="2">
        <f t="shared" si="6"/>
        <v>25.296271</v>
      </c>
      <c r="J214" s="2">
        <f t="shared" si="7"/>
        <v>17.879</v>
      </c>
      <c r="K214" s="2">
        <f t="shared" si="8"/>
        <v>1.95489844</v>
      </c>
      <c r="L214" s="2">
        <f t="shared" si="9"/>
        <v>1.338108026</v>
      </c>
      <c r="M214" s="2">
        <f t="shared" si="10"/>
        <v>26.63437903</v>
      </c>
      <c r="N214" s="2">
        <f t="shared" si="11"/>
        <v>26.70602505</v>
      </c>
    </row>
    <row r="215">
      <c r="A215" s="1" t="s">
        <v>227</v>
      </c>
      <c r="B215" s="2" t="str">
        <f t="shared" si="1"/>
        <v>cn2</v>
      </c>
      <c r="C215" s="2" t="str">
        <f t="shared" si="2"/>
        <v>m</v>
      </c>
      <c r="D215" s="2" t="str">
        <f t="shared" si="3"/>
        <v>07</v>
      </c>
      <c r="E215" s="2" t="str">
        <f t="shared" si="4"/>
        <v>cn2m</v>
      </c>
      <c r="F215" s="2" t="str">
        <f t="shared" si="5"/>
        <v>08.06.09</v>
      </c>
      <c r="G215" s="1">
        <v>-158.199</v>
      </c>
      <c r="H215" s="1">
        <v>0.179</v>
      </c>
      <c r="I215" s="2">
        <f t="shared" si="6"/>
        <v>25.296271</v>
      </c>
      <c r="J215" s="2">
        <f t="shared" si="7"/>
        <v>21.801</v>
      </c>
      <c r="K215" s="2">
        <f t="shared" si="8"/>
        <v>0.03383185818</v>
      </c>
      <c r="L215" s="2">
        <f t="shared" si="9"/>
        <v>0.1757737335</v>
      </c>
      <c r="M215" s="2">
        <f t="shared" si="10"/>
        <v>25.47204473</v>
      </c>
      <c r="N215" s="2">
        <f t="shared" si="11"/>
        <v>25.4720672</v>
      </c>
    </row>
    <row r="216">
      <c r="A216" s="1" t="s">
        <v>228</v>
      </c>
      <c r="B216" s="2" t="str">
        <f t="shared" si="1"/>
        <v>cn2</v>
      </c>
      <c r="C216" s="2" t="str">
        <f t="shared" si="2"/>
        <v>m</v>
      </c>
      <c r="D216" s="2" t="str">
        <f t="shared" si="3"/>
        <v>07</v>
      </c>
      <c r="E216" s="2" t="str">
        <f t="shared" si="4"/>
        <v>cn2m</v>
      </c>
      <c r="F216" s="2" t="str">
        <f t="shared" si="5"/>
        <v>08.06.09</v>
      </c>
      <c r="G216" s="1">
        <v>177.614</v>
      </c>
      <c r="H216" s="1">
        <v>0.856</v>
      </c>
      <c r="I216" s="2">
        <f t="shared" si="6"/>
        <v>25.296271</v>
      </c>
      <c r="J216" s="2">
        <f t="shared" si="7"/>
        <v>2.386</v>
      </c>
      <c r="K216" s="2">
        <f t="shared" si="8"/>
        <v>0.5869764578</v>
      </c>
      <c r="L216" s="2">
        <f t="shared" si="9"/>
        <v>0.6230526767</v>
      </c>
      <c r="M216" s="2">
        <f t="shared" si="10"/>
        <v>25.91932368</v>
      </c>
      <c r="N216" s="2">
        <f t="shared" si="11"/>
        <v>25.92596924</v>
      </c>
    </row>
    <row r="217">
      <c r="A217" s="1" t="s">
        <v>229</v>
      </c>
      <c r="B217" s="2" t="str">
        <f t="shared" si="1"/>
        <v>cn2</v>
      </c>
      <c r="C217" s="2" t="str">
        <f t="shared" si="2"/>
        <v>m</v>
      </c>
      <c r="D217" s="2" t="str">
        <f t="shared" si="3"/>
        <v>07</v>
      </c>
      <c r="E217" s="2" t="str">
        <f t="shared" si="4"/>
        <v>cn2m</v>
      </c>
      <c r="F217" s="2" t="str">
        <f t="shared" si="5"/>
        <v>08.06.09</v>
      </c>
      <c r="G217" s="1">
        <v>135.0</v>
      </c>
      <c r="H217" s="1">
        <v>0.197</v>
      </c>
      <c r="I217" s="2">
        <f t="shared" si="6"/>
        <v>25.296271</v>
      </c>
      <c r="J217" s="2">
        <f t="shared" si="7"/>
        <v>45</v>
      </c>
      <c r="K217" s="2">
        <f t="shared" si="8"/>
        <v>0.1676279943</v>
      </c>
      <c r="L217" s="2">
        <f t="shared" si="9"/>
        <v>0.1034884318</v>
      </c>
      <c r="M217" s="2">
        <f t="shared" si="10"/>
        <v>25.39975943</v>
      </c>
      <c r="N217" s="2">
        <f t="shared" si="11"/>
        <v>25.40031256</v>
      </c>
    </row>
    <row r="218">
      <c r="A218" s="1" t="s">
        <v>230</v>
      </c>
      <c r="B218" s="2" t="str">
        <f t="shared" si="1"/>
        <v>cn2</v>
      </c>
      <c r="C218" s="2" t="str">
        <f t="shared" si="2"/>
        <v>m</v>
      </c>
      <c r="D218" s="2" t="str">
        <f t="shared" si="3"/>
        <v>07</v>
      </c>
      <c r="E218" s="2" t="str">
        <f t="shared" si="4"/>
        <v>cn2m</v>
      </c>
      <c r="F218" s="2" t="str">
        <f t="shared" si="5"/>
        <v>08.12.09</v>
      </c>
      <c r="G218" s="1">
        <v>-147.995</v>
      </c>
      <c r="H218" s="1">
        <v>0.342</v>
      </c>
      <c r="I218" s="2">
        <f t="shared" si="6"/>
        <v>25.296271</v>
      </c>
      <c r="J218" s="2">
        <f t="shared" si="7"/>
        <v>32.005</v>
      </c>
      <c r="K218" s="2">
        <f t="shared" si="8"/>
        <v>0.1900120836</v>
      </c>
      <c r="L218" s="2">
        <f t="shared" si="9"/>
        <v>0.2843578873</v>
      </c>
      <c r="M218" s="2">
        <f t="shared" si="10"/>
        <v>25.58062889</v>
      </c>
      <c r="N218" s="2">
        <f t="shared" si="11"/>
        <v>25.58133458</v>
      </c>
    </row>
    <row r="219">
      <c r="A219" s="1" t="s">
        <v>231</v>
      </c>
      <c r="B219" s="2" t="str">
        <f t="shared" si="1"/>
        <v>cn2</v>
      </c>
      <c r="C219" s="2" t="str">
        <f t="shared" si="2"/>
        <v>m</v>
      </c>
      <c r="D219" s="2" t="str">
        <f t="shared" si="3"/>
        <v>07</v>
      </c>
      <c r="E219" s="2" t="str">
        <f t="shared" si="4"/>
        <v>cn2m</v>
      </c>
      <c r="F219" s="2" t="str">
        <f t="shared" si="5"/>
        <v>08.12.09</v>
      </c>
      <c r="G219" s="1">
        <v>167.471</v>
      </c>
      <c r="H219" s="1">
        <v>0.67</v>
      </c>
      <c r="I219" s="2">
        <f t="shared" si="6"/>
        <v>25.296271</v>
      </c>
      <c r="J219" s="2">
        <f t="shared" si="7"/>
        <v>12.529</v>
      </c>
      <c r="K219" s="2">
        <f t="shared" si="8"/>
        <v>0.0250324841</v>
      </c>
      <c r="L219" s="2">
        <f t="shared" si="9"/>
        <v>0.6695322059</v>
      </c>
      <c r="M219" s="2">
        <f t="shared" si="10"/>
        <v>25.96580321</v>
      </c>
      <c r="N219" s="2">
        <f t="shared" si="11"/>
        <v>25.96581527</v>
      </c>
    </row>
    <row r="220">
      <c r="A220" s="1" t="s">
        <v>232</v>
      </c>
      <c r="B220" s="2" t="str">
        <f t="shared" si="1"/>
        <v>cn2</v>
      </c>
      <c r="C220" s="2" t="str">
        <f t="shared" si="2"/>
        <v>m</v>
      </c>
      <c r="D220" s="2" t="str">
        <f t="shared" si="3"/>
        <v>09</v>
      </c>
      <c r="E220" s="2" t="str">
        <f t="shared" si="4"/>
        <v>cn2m</v>
      </c>
      <c r="F220" s="2" t="str">
        <f t="shared" si="5"/>
        <v>08.12.09</v>
      </c>
      <c r="G220" s="1">
        <v>169.695</v>
      </c>
      <c r="H220" s="1">
        <v>0.823</v>
      </c>
      <c r="I220" s="2">
        <f t="shared" si="6"/>
        <v>40.337097</v>
      </c>
      <c r="J220" s="2">
        <f t="shared" si="7"/>
        <v>10.305</v>
      </c>
      <c r="K220" s="2">
        <f t="shared" si="8"/>
        <v>0.6344345136</v>
      </c>
      <c r="L220" s="2">
        <f t="shared" si="9"/>
        <v>0.5242345352</v>
      </c>
      <c r="M220" s="2">
        <f t="shared" si="10"/>
        <v>40.86133154</v>
      </c>
      <c r="N220" s="2">
        <f t="shared" si="11"/>
        <v>40.86625652</v>
      </c>
    </row>
    <row r="221">
      <c r="A221" s="1" t="s">
        <v>233</v>
      </c>
      <c r="B221" s="2" t="str">
        <f t="shared" si="1"/>
        <v>cn2</v>
      </c>
      <c r="C221" s="2" t="str">
        <f t="shared" si="2"/>
        <v>m</v>
      </c>
      <c r="D221" s="2" t="str">
        <f t="shared" si="3"/>
        <v>09</v>
      </c>
      <c r="E221" s="2" t="str">
        <f t="shared" si="4"/>
        <v>cn2m</v>
      </c>
      <c r="F221" s="2" t="str">
        <f t="shared" si="5"/>
        <v>08.12.09</v>
      </c>
      <c r="G221" s="1">
        <v>171.254</v>
      </c>
      <c r="H221" s="1">
        <v>0.954</v>
      </c>
      <c r="I221" s="2">
        <f t="shared" si="6"/>
        <v>40.337097</v>
      </c>
      <c r="J221" s="2">
        <f t="shared" si="7"/>
        <v>8.746</v>
      </c>
      <c r="K221" s="2">
        <f t="shared" si="8"/>
        <v>0.5989615832</v>
      </c>
      <c r="L221" s="2">
        <f t="shared" si="9"/>
        <v>0.7425368825</v>
      </c>
      <c r="M221" s="2">
        <f t="shared" si="10"/>
        <v>41.07963388</v>
      </c>
      <c r="N221" s="2">
        <f t="shared" si="11"/>
        <v>41.08400023</v>
      </c>
    </row>
    <row r="222">
      <c r="A222" s="1" t="s">
        <v>234</v>
      </c>
      <c r="B222" s="2" t="str">
        <f t="shared" si="1"/>
        <v>cn2</v>
      </c>
      <c r="C222" s="2" t="str">
        <f t="shared" si="2"/>
        <v>m</v>
      </c>
      <c r="D222" s="2" t="str">
        <f t="shared" si="3"/>
        <v>09</v>
      </c>
      <c r="E222" s="2" t="str">
        <f t="shared" si="4"/>
        <v>cn2m</v>
      </c>
      <c r="F222" s="2" t="str">
        <f t="shared" si="5"/>
        <v>08.12.09</v>
      </c>
      <c r="G222" s="1">
        <v>180.0</v>
      </c>
      <c r="H222" s="1">
        <v>0.625</v>
      </c>
      <c r="I222" s="2">
        <f t="shared" si="6"/>
        <v>40.337097</v>
      </c>
      <c r="J222" s="2">
        <f t="shared" si="7"/>
        <v>0</v>
      </c>
      <c r="K222" s="2">
        <f t="shared" si="8"/>
        <v>0</v>
      </c>
      <c r="L222" s="2">
        <f t="shared" si="9"/>
        <v>0.625</v>
      </c>
      <c r="M222" s="2">
        <f t="shared" si="10"/>
        <v>40.962097</v>
      </c>
      <c r="N222" s="2">
        <f t="shared" si="11"/>
        <v>40.962097</v>
      </c>
    </row>
    <row r="223">
      <c r="A223" s="1" t="s">
        <v>235</v>
      </c>
      <c r="B223" s="2" t="str">
        <f t="shared" si="1"/>
        <v>cn2</v>
      </c>
      <c r="C223" s="2" t="str">
        <f t="shared" si="2"/>
        <v>m</v>
      </c>
      <c r="D223" s="2" t="str">
        <f t="shared" si="3"/>
        <v>11</v>
      </c>
      <c r="E223" s="2" t="str">
        <f t="shared" si="4"/>
        <v>cn2m</v>
      </c>
      <c r="F223" s="2" t="str">
        <f t="shared" si="5"/>
        <v>08.12.09</v>
      </c>
      <c r="G223" s="1">
        <v>111.038</v>
      </c>
      <c r="H223" s="1">
        <v>0.507</v>
      </c>
      <c r="I223" s="2">
        <f t="shared" si="6"/>
        <v>55.377923</v>
      </c>
      <c r="J223" s="2">
        <f t="shared" si="7"/>
        <v>68.962</v>
      </c>
      <c r="K223" s="2">
        <f t="shared" si="8"/>
        <v>0.07728794155</v>
      </c>
      <c r="L223" s="2">
        <f t="shared" si="9"/>
        <v>0.5010744197</v>
      </c>
      <c r="M223" s="2">
        <f t="shared" si="10"/>
        <v>55.87899742</v>
      </c>
      <c r="N223" s="2">
        <f t="shared" si="11"/>
        <v>55.87905087</v>
      </c>
    </row>
    <row r="224">
      <c r="A224" s="1" t="s">
        <v>236</v>
      </c>
      <c r="B224" s="2" t="str">
        <f t="shared" si="1"/>
        <v>cn2</v>
      </c>
      <c r="C224" s="2" t="str">
        <f t="shared" si="2"/>
        <v>m</v>
      </c>
      <c r="D224" s="2" t="str">
        <f t="shared" si="3"/>
        <v>11</v>
      </c>
      <c r="E224" s="2" t="str">
        <f t="shared" si="4"/>
        <v>cn2m</v>
      </c>
      <c r="F224" s="2" t="str">
        <f t="shared" si="5"/>
        <v>08.12.09</v>
      </c>
      <c r="G224" s="1">
        <v>180.0</v>
      </c>
      <c r="H224" s="1">
        <v>0.478</v>
      </c>
      <c r="I224" s="2">
        <f t="shared" si="6"/>
        <v>55.377923</v>
      </c>
      <c r="J224" s="2">
        <f t="shared" si="7"/>
        <v>0</v>
      </c>
      <c r="K224" s="2">
        <f t="shared" si="8"/>
        <v>0</v>
      </c>
      <c r="L224" s="2">
        <f t="shared" si="9"/>
        <v>0.478</v>
      </c>
      <c r="M224" s="2">
        <f t="shared" si="10"/>
        <v>55.855923</v>
      </c>
      <c r="N224" s="2">
        <f t="shared" si="11"/>
        <v>55.855923</v>
      </c>
    </row>
    <row r="225">
      <c r="A225" s="1" t="s">
        <v>237</v>
      </c>
      <c r="B225" s="2" t="str">
        <f t="shared" si="1"/>
        <v>cn2</v>
      </c>
      <c r="C225" s="2" t="str">
        <f t="shared" si="2"/>
        <v>m</v>
      </c>
      <c r="D225" s="2" t="str">
        <f t="shared" si="3"/>
        <v>11</v>
      </c>
      <c r="E225" s="2" t="str">
        <f t="shared" si="4"/>
        <v>cn2m</v>
      </c>
      <c r="F225" s="2" t="str">
        <f t="shared" si="5"/>
        <v>08.12.09</v>
      </c>
      <c r="G225" s="1">
        <v>-165.256</v>
      </c>
      <c r="H225" s="1">
        <v>0.716</v>
      </c>
      <c r="I225" s="2">
        <f t="shared" si="6"/>
        <v>55.377923</v>
      </c>
      <c r="J225" s="2">
        <f t="shared" si="7"/>
        <v>14.744</v>
      </c>
      <c r="K225" s="2">
        <f t="shared" si="8"/>
        <v>0.5881640297</v>
      </c>
      <c r="L225" s="2">
        <f t="shared" si="9"/>
        <v>0.4083124713</v>
      </c>
      <c r="M225" s="2">
        <f t="shared" si="10"/>
        <v>55.78623547</v>
      </c>
      <c r="N225" s="2">
        <f t="shared" si="11"/>
        <v>55.78933594</v>
      </c>
    </row>
    <row r="226">
      <c r="A226" s="1" t="s">
        <v>238</v>
      </c>
      <c r="B226" s="2" t="str">
        <f t="shared" si="1"/>
        <v>cn2</v>
      </c>
      <c r="C226" s="2" t="str">
        <f t="shared" si="2"/>
        <v>m</v>
      </c>
      <c r="D226" s="2" t="str">
        <f t="shared" si="3"/>
        <v>11</v>
      </c>
      <c r="E226" s="2" t="str">
        <f t="shared" si="4"/>
        <v>cn2m</v>
      </c>
      <c r="F226" s="2" t="str">
        <f t="shared" si="5"/>
        <v>08.12.09</v>
      </c>
      <c r="G226" s="1">
        <v>142.431</v>
      </c>
      <c r="H226" s="1">
        <v>0.593</v>
      </c>
      <c r="I226" s="2">
        <f t="shared" si="6"/>
        <v>55.377923</v>
      </c>
      <c r="J226" s="2">
        <f t="shared" si="7"/>
        <v>37.569</v>
      </c>
      <c r="K226" s="2">
        <f t="shared" si="8"/>
        <v>0.0769388094</v>
      </c>
      <c r="L226" s="2">
        <f t="shared" si="9"/>
        <v>0.5879876016</v>
      </c>
      <c r="M226" s="2">
        <f t="shared" si="10"/>
        <v>55.9659106</v>
      </c>
      <c r="N226" s="2">
        <f t="shared" si="11"/>
        <v>55.96596349</v>
      </c>
    </row>
    <row r="227">
      <c r="A227" s="1" t="s">
        <v>239</v>
      </c>
      <c r="B227" s="2" t="str">
        <f t="shared" si="1"/>
        <v>cn2</v>
      </c>
      <c r="C227" s="2" t="str">
        <f t="shared" si="2"/>
        <v>m</v>
      </c>
      <c r="D227" s="2" t="str">
        <f t="shared" si="3"/>
        <v>11</v>
      </c>
      <c r="E227" s="2" t="str">
        <f t="shared" si="4"/>
        <v>cn2m</v>
      </c>
      <c r="F227" s="2" t="str">
        <f t="shared" si="5"/>
        <v>08.12.09</v>
      </c>
      <c r="G227" s="1">
        <v>172.875</v>
      </c>
      <c r="H227" s="1">
        <v>0.592</v>
      </c>
      <c r="I227" s="2">
        <f t="shared" si="6"/>
        <v>55.377923</v>
      </c>
      <c r="J227" s="2">
        <f t="shared" si="7"/>
        <v>7.125</v>
      </c>
      <c r="K227" s="2">
        <f t="shared" si="8"/>
        <v>0.4415450549</v>
      </c>
      <c r="L227" s="2">
        <f t="shared" si="9"/>
        <v>0.394337374</v>
      </c>
      <c r="M227" s="2">
        <f t="shared" si="10"/>
        <v>55.77226037</v>
      </c>
      <c r="N227" s="2">
        <f t="shared" si="11"/>
        <v>55.77400819</v>
      </c>
    </row>
    <row r="228">
      <c r="A228" s="1" t="s">
        <v>240</v>
      </c>
      <c r="B228" s="2" t="str">
        <f t="shared" si="1"/>
        <v>cn2</v>
      </c>
      <c r="C228" s="2" t="str">
        <f t="shared" si="2"/>
        <v>m</v>
      </c>
      <c r="D228" s="2" t="str">
        <f t="shared" si="3"/>
        <v>13</v>
      </c>
      <c r="E228" s="2" t="str">
        <f t="shared" si="4"/>
        <v>cn2m</v>
      </c>
      <c r="F228" s="2" t="str">
        <f t="shared" si="5"/>
        <v>08.12.09</v>
      </c>
      <c r="G228" s="1">
        <v>-171.085</v>
      </c>
      <c r="H228" s="1">
        <v>1.922</v>
      </c>
      <c r="I228" s="2">
        <f t="shared" si="6"/>
        <v>70.418749</v>
      </c>
      <c r="J228" s="2">
        <f t="shared" si="7"/>
        <v>8.915</v>
      </c>
      <c r="K228" s="2">
        <f t="shared" si="8"/>
        <v>0.9379041935</v>
      </c>
      <c r="L228" s="2">
        <f t="shared" si="9"/>
        <v>1.677623237</v>
      </c>
      <c r="M228" s="2">
        <f t="shared" si="10"/>
        <v>72.09637224</v>
      </c>
      <c r="N228" s="2">
        <f t="shared" si="11"/>
        <v>72.10247259</v>
      </c>
    </row>
    <row r="229">
      <c r="A229" s="1" t="s">
        <v>241</v>
      </c>
      <c r="B229" s="2" t="str">
        <f t="shared" si="1"/>
        <v>cn2</v>
      </c>
      <c r="C229" s="2" t="str">
        <f t="shared" si="2"/>
        <v>m</v>
      </c>
      <c r="D229" s="2" t="str">
        <f t="shared" si="3"/>
        <v>15</v>
      </c>
      <c r="E229" s="2" t="str">
        <f t="shared" si="4"/>
        <v>cn2m</v>
      </c>
      <c r="F229" s="2" t="str">
        <f t="shared" si="5"/>
        <v>08.12.09</v>
      </c>
      <c r="G229" s="1">
        <v>174.289</v>
      </c>
      <c r="H229" s="1">
        <v>0.74</v>
      </c>
      <c r="I229" s="2">
        <f t="shared" si="6"/>
        <v>85.459575</v>
      </c>
      <c r="J229" s="2">
        <f t="shared" si="7"/>
        <v>5.711</v>
      </c>
      <c r="K229" s="2">
        <f t="shared" si="8"/>
        <v>0.4006882225</v>
      </c>
      <c r="L229" s="2">
        <f t="shared" si="9"/>
        <v>0.622132581</v>
      </c>
      <c r="M229" s="2">
        <f t="shared" si="10"/>
        <v>86.08170758</v>
      </c>
      <c r="N229" s="2">
        <f t="shared" si="11"/>
        <v>86.08264013</v>
      </c>
    </row>
    <row r="230">
      <c r="A230" s="1" t="s">
        <v>242</v>
      </c>
      <c r="B230" s="2" t="str">
        <f t="shared" si="1"/>
        <v>k45</v>
      </c>
      <c r="C230" s="2" t="str">
        <f t="shared" si="2"/>
        <v>f</v>
      </c>
      <c r="D230" s="2" t="str">
        <f t="shared" si="3"/>
        <v>03</v>
      </c>
      <c r="E230" s="2" t="str">
        <f t="shared" si="4"/>
        <v>k45f</v>
      </c>
      <c r="F230" s="2" t="str">
        <f t="shared" si="5"/>
        <v>08.06.09</v>
      </c>
      <c r="G230" s="1">
        <v>165.964</v>
      </c>
      <c r="H230" s="1">
        <v>0.138</v>
      </c>
      <c r="I230" s="2">
        <f t="shared" si="6"/>
        <v>-4.785381</v>
      </c>
      <c r="J230" s="2">
        <f t="shared" si="7"/>
        <v>14.036</v>
      </c>
      <c r="K230" s="2">
        <f t="shared" si="8"/>
        <v>0.1372944044</v>
      </c>
      <c r="L230" s="2">
        <f t="shared" si="9"/>
        <v>0.01393723544</v>
      </c>
      <c r="M230" s="2">
        <f t="shared" si="10"/>
        <v>-4.771443765</v>
      </c>
      <c r="N230" s="2">
        <f t="shared" si="11"/>
        <v>4.773418623</v>
      </c>
    </row>
    <row r="231">
      <c r="A231" s="1" t="s">
        <v>243</v>
      </c>
      <c r="B231" s="2" t="str">
        <f t="shared" si="1"/>
        <v>k45</v>
      </c>
      <c r="C231" s="2" t="str">
        <f t="shared" si="2"/>
        <v>f</v>
      </c>
      <c r="D231" s="2" t="str">
        <f t="shared" si="3"/>
        <v>03</v>
      </c>
      <c r="E231" s="2" t="str">
        <f t="shared" si="4"/>
        <v>k45f</v>
      </c>
      <c r="F231" s="2" t="str">
        <f t="shared" si="5"/>
        <v>08.06.09</v>
      </c>
      <c r="G231" s="1">
        <v>175.236</v>
      </c>
      <c r="H231" s="1">
        <v>0.42</v>
      </c>
      <c r="I231" s="2">
        <f t="shared" si="6"/>
        <v>-4.785381</v>
      </c>
      <c r="J231" s="2">
        <f t="shared" si="7"/>
        <v>4.764</v>
      </c>
      <c r="K231" s="2">
        <f t="shared" si="8"/>
        <v>0.4194407477</v>
      </c>
      <c r="L231" s="2">
        <f t="shared" si="9"/>
        <v>0.02166700619</v>
      </c>
      <c r="M231" s="2">
        <f t="shared" si="10"/>
        <v>-4.763713994</v>
      </c>
      <c r="N231" s="2">
        <f t="shared" si="11"/>
        <v>4.782144033</v>
      </c>
    </row>
    <row r="232">
      <c r="A232" s="1" t="s">
        <v>244</v>
      </c>
      <c r="B232" s="2" t="str">
        <f t="shared" si="1"/>
        <v>k45</v>
      </c>
      <c r="C232" s="2" t="str">
        <f t="shared" si="2"/>
        <v>f</v>
      </c>
      <c r="D232" s="2" t="str">
        <f t="shared" si="3"/>
        <v>05</v>
      </c>
      <c r="E232" s="2" t="str">
        <f t="shared" si="4"/>
        <v>k45f</v>
      </c>
      <c r="F232" s="2" t="str">
        <f t="shared" si="5"/>
        <v>08.06.09</v>
      </c>
      <c r="G232" s="1">
        <v>-164.055</v>
      </c>
      <c r="H232" s="1">
        <v>0.287</v>
      </c>
      <c r="I232" s="2">
        <f t="shared" si="6"/>
        <v>10.255445</v>
      </c>
      <c r="J232" s="2">
        <f t="shared" si="7"/>
        <v>15.945</v>
      </c>
      <c r="K232" s="2">
        <f t="shared" si="8"/>
        <v>0.06739427342</v>
      </c>
      <c r="L232" s="2">
        <f t="shared" si="9"/>
        <v>0.2789749306</v>
      </c>
      <c r="M232" s="2">
        <f t="shared" si="10"/>
        <v>10.53441993</v>
      </c>
      <c r="N232" s="2">
        <f t="shared" si="11"/>
        <v>10.53463551</v>
      </c>
    </row>
    <row r="233">
      <c r="A233" s="1" t="s">
        <v>245</v>
      </c>
      <c r="B233" s="2" t="str">
        <f t="shared" si="1"/>
        <v>k45</v>
      </c>
      <c r="C233" s="2" t="str">
        <f t="shared" si="2"/>
        <v>f</v>
      </c>
      <c r="D233" s="2" t="str">
        <f t="shared" si="3"/>
        <v>05</v>
      </c>
      <c r="E233" s="2" t="str">
        <f t="shared" si="4"/>
        <v>k45f</v>
      </c>
      <c r="F233" s="2" t="str">
        <f t="shared" si="5"/>
        <v>08.06.09</v>
      </c>
      <c r="G233" s="1">
        <v>-139.399</v>
      </c>
      <c r="H233" s="1">
        <v>1.678</v>
      </c>
      <c r="I233" s="2">
        <f t="shared" si="6"/>
        <v>10.255445</v>
      </c>
      <c r="J233" s="2">
        <f t="shared" si="7"/>
        <v>40.601</v>
      </c>
      <c r="K233" s="2">
        <f t="shared" si="8"/>
        <v>0.3983833473</v>
      </c>
      <c r="L233" s="2">
        <f t="shared" si="9"/>
        <v>1.630022917</v>
      </c>
      <c r="M233" s="2">
        <f t="shared" si="10"/>
        <v>11.88546792</v>
      </c>
      <c r="N233" s="2">
        <f t="shared" si="11"/>
        <v>11.89214265</v>
      </c>
    </row>
    <row r="234">
      <c r="A234" s="1" t="s">
        <v>246</v>
      </c>
      <c r="B234" s="2" t="str">
        <f t="shared" si="1"/>
        <v>k45</v>
      </c>
      <c r="C234" s="2" t="str">
        <f t="shared" si="2"/>
        <v>f</v>
      </c>
      <c r="D234" s="2" t="str">
        <f t="shared" si="3"/>
        <v>05</v>
      </c>
      <c r="E234" s="2" t="str">
        <f t="shared" si="4"/>
        <v>k45f</v>
      </c>
      <c r="F234" s="2" t="str">
        <f t="shared" si="5"/>
        <v>08.06.09</v>
      </c>
      <c r="G234" s="1">
        <v>-161.565</v>
      </c>
      <c r="H234" s="1">
        <v>0.594</v>
      </c>
      <c r="I234" s="2">
        <f t="shared" si="6"/>
        <v>10.255445</v>
      </c>
      <c r="J234" s="2">
        <f t="shared" si="7"/>
        <v>18.435</v>
      </c>
      <c r="K234" s="2">
        <f t="shared" si="8"/>
        <v>0.2392534033</v>
      </c>
      <c r="L234" s="2">
        <f t="shared" si="9"/>
        <v>0.5436853953</v>
      </c>
      <c r="M234" s="2">
        <f t="shared" si="10"/>
        <v>10.7991304</v>
      </c>
      <c r="N234" s="2">
        <f t="shared" si="11"/>
        <v>10.80178038</v>
      </c>
    </row>
    <row r="235">
      <c r="A235" s="1" t="s">
        <v>247</v>
      </c>
      <c r="B235" s="2" t="str">
        <f t="shared" si="1"/>
        <v>k45</v>
      </c>
      <c r="C235" s="2" t="str">
        <f t="shared" si="2"/>
        <v>f</v>
      </c>
      <c r="D235" s="2" t="str">
        <f t="shared" si="3"/>
        <v>05</v>
      </c>
      <c r="E235" s="2" t="str">
        <f t="shared" si="4"/>
        <v>k45f</v>
      </c>
      <c r="F235" s="2" t="str">
        <f t="shared" si="5"/>
        <v>08.12.09</v>
      </c>
      <c r="G235" s="1">
        <v>161.565</v>
      </c>
      <c r="H235" s="1">
        <v>1.058</v>
      </c>
      <c r="I235" s="2">
        <f t="shared" si="6"/>
        <v>10.255445</v>
      </c>
      <c r="J235" s="2">
        <f t="shared" si="7"/>
        <v>18.435</v>
      </c>
      <c r="K235" s="2">
        <f t="shared" si="8"/>
        <v>0.4261449506</v>
      </c>
      <c r="L235" s="2">
        <f t="shared" si="9"/>
        <v>0.9683824044</v>
      </c>
      <c r="M235" s="2">
        <f t="shared" si="10"/>
        <v>11.2238274</v>
      </c>
      <c r="N235" s="2">
        <f t="shared" si="11"/>
        <v>11.2319144</v>
      </c>
    </row>
    <row r="236">
      <c r="A236" s="1" t="s">
        <v>248</v>
      </c>
      <c r="B236" s="2" t="str">
        <f t="shared" si="1"/>
        <v>k45</v>
      </c>
      <c r="C236" s="2" t="str">
        <f t="shared" si="2"/>
        <v>f</v>
      </c>
      <c r="D236" s="2" t="str">
        <f t="shared" si="3"/>
        <v>09</v>
      </c>
      <c r="E236" s="2" t="str">
        <f t="shared" si="4"/>
        <v>k45f</v>
      </c>
      <c r="F236" s="2" t="str">
        <f t="shared" si="5"/>
        <v>08.06.09</v>
      </c>
      <c r="G236" s="1">
        <v>-168.111</v>
      </c>
      <c r="H236" s="1">
        <v>0.706</v>
      </c>
      <c r="I236" s="2">
        <f t="shared" si="6"/>
        <v>40.337097</v>
      </c>
      <c r="J236" s="2">
        <f t="shared" si="7"/>
        <v>11.889</v>
      </c>
      <c r="K236" s="2">
        <f t="shared" si="8"/>
        <v>0.4424828978</v>
      </c>
      <c r="L236" s="2">
        <f t="shared" si="9"/>
        <v>0.550131698</v>
      </c>
      <c r="M236" s="2">
        <f t="shared" si="10"/>
        <v>40.8872287</v>
      </c>
      <c r="N236" s="2">
        <f t="shared" si="11"/>
        <v>40.88962291</v>
      </c>
    </row>
    <row r="237">
      <c r="A237" s="1" t="s">
        <v>249</v>
      </c>
      <c r="B237" s="2" t="str">
        <f t="shared" si="1"/>
        <v>k45</v>
      </c>
      <c r="C237" s="2" t="str">
        <f t="shared" si="2"/>
        <v>f</v>
      </c>
      <c r="D237" s="2" t="str">
        <f t="shared" si="3"/>
        <v>11</v>
      </c>
      <c r="E237" s="2" t="str">
        <f t="shared" si="4"/>
        <v>k45f</v>
      </c>
      <c r="F237" s="2" t="str">
        <f t="shared" si="5"/>
        <v>08.06.09</v>
      </c>
      <c r="G237" s="1">
        <v>-164.932</v>
      </c>
      <c r="H237" s="1">
        <v>0.984</v>
      </c>
      <c r="I237" s="2">
        <f t="shared" si="6"/>
        <v>55.377923</v>
      </c>
      <c r="J237" s="2">
        <f t="shared" si="7"/>
        <v>15.068</v>
      </c>
      <c r="K237" s="2">
        <f t="shared" si="8"/>
        <v>0.5876113227</v>
      </c>
      <c r="L237" s="2">
        <f t="shared" si="9"/>
        <v>0.7892838105</v>
      </c>
      <c r="M237" s="2">
        <f t="shared" si="10"/>
        <v>56.16720681</v>
      </c>
      <c r="N237" s="2">
        <f t="shared" si="11"/>
        <v>56.17028047</v>
      </c>
    </row>
    <row r="238">
      <c r="A238" s="1" t="s">
        <v>250</v>
      </c>
      <c r="B238" s="2" t="str">
        <f t="shared" si="1"/>
        <v>k45</v>
      </c>
      <c r="C238" s="2" t="str">
        <f t="shared" si="2"/>
        <v>f</v>
      </c>
      <c r="D238" s="2" t="str">
        <f t="shared" si="3"/>
        <v>11</v>
      </c>
      <c r="E238" s="2" t="str">
        <f t="shared" si="4"/>
        <v>k45f</v>
      </c>
      <c r="F238" s="2" t="str">
        <f t="shared" si="5"/>
        <v>08.12.09</v>
      </c>
      <c r="G238" s="1">
        <v>176.309</v>
      </c>
      <c r="H238" s="1">
        <v>1.151</v>
      </c>
      <c r="I238" s="2">
        <f t="shared" si="6"/>
        <v>55.377923</v>
      </c>
      <c r="J238" s="2">
        <f t="shared" si="7"/>
        <v>3.691</v>
      </c>
      <c r="K238" s="2">
        <f t="shared" si="8"/>
        <v>0.6010313502</v>
      </c>
      <c r="L238" s="2">
        <f t="shared" si="9"/>
        <v>0.9816121006</v>
      </c>
      <c r="M238" s="2">
        <f t="shared" si="10"/>
        <v>56.3595351</v>
      </c>
      <c r="N238" s="2">
        <f t="shared" si="11"/>
        <v>56.36273978</v>
      </c>
    </row>
    <row r="239">
      <c r="A239" s="1" t="s">
        <v>251</v>
      </c>
      <c r="B239" s="2" t="str">
        <f t="shared" si="1"/>
        <v>k45</v>
      </c>
      <c r="C239" s="2" t="str">
        <f t="shared" si="2"/>
        <v>f</v>
      </c>
      <c r="D239" s="2" t="str">
        <f t="shared" si="3"/>
        <v>11</v>
      </c>
      <c r="E239" s="2" t="str">
        <f t="shared" si="4"/>
        <v>k45f</v>
      </c>
      <c r="F239" s="2" t="str">
        <f t="shared" si="5"/>
        <v>08.12.09</v>
      </c>
      <c r="G239" s="1">
        <v>-136.169</v>
      </c>
      <c r="H239" s="1">
        <v>1.306</v>
      </c>
      <c r="I239" s="2">
        <f t="shared" si="6"/>
        <v>55.377923</v>
      </c>
      <c r="J239" s="2">
        <f t="shared" si="7"/>
        <v>43.831</v>
      </c>
      <c r="K239" s="2">
        <f t="shared" si="8"/>
        <v>0.1968410919</v>
      </c>
      <c r="L239" s="2">
        <f t="shared" si="9"/>
        <v>1.291080782</v>
      </c>
      <c r="M239" s="2">
        <f t="shared" si="10"/>
        <v>56.66900378</v>
      </c>
      <c r="N239" s="2">
        <f t="shared" si="11"/>
        <v>56.66934565</v>
      </c>
    </row>
    <row r="240">
      <c r="A240" s="1" t="s">
        <v>252</v>
      </c>
      <c r="B240" s="2" t="str">
        <f t="shared" si="1"/>
        <v>k45</v>
      </c>
      <c r="C240" s="2" t="str">
        <f t="shared" si="2"/>
        <v>f</v>
      </c>
      <c r="D240" s="2" t="str">
        <f t="shared" si="3"/>
        <v>11</v>
      </c>
      <c r="E240" s="2" t="str">
        <f t="shared" si="4"/>
        <v>k45f</v>
      </c>
      <c r="F240" s="2" t="str">
        <f t="shared" si="5"/>
        <v>08.12.09</v>
      </c>
      <c r="G240" s="1">
        <v>-176.496</v>
      </c>
      <c r="H240" s="1">
        <v>1.823</v>
      </c>
      <c r="I240" s="2">
        <f t="shared" si="6"/>
        <v>55.377923</v>
      </c>
      <c r="J240" s="2">
        <f t="shared" si="7"/>
        <v>3.504</v>
      </c>
      <c r="K240" s="2">
        <f t="shared" si="8"/>
        <v>0.6463013322</v>
      </c>
      <c r="L240" s="2">
        <f t="shared" si="9"/>
        <v>1.704588979</v>
      </c>
      <c r="M240" s="2">
        <f t="shared" si="10"/>
        <v>57.08251198</v>
      </c>
      <c r="N240" s="2">
        <f t="shared" si="11"/>
        <v>57.08617065</v>
      </c>
    </row>
    <row r="241">
      <c r="A241" s="1" t="s">
        <v>253</v>
      </c>
      <c r="B241" s="2" t="str">
        <f t="shared" si="1"/>
        <v>k45</v>
      </c>
      <c r="C241" s="2" t="str">
        <f t="shared" si="2"/>
        <v>f</v>
      </c>
      <c r="D241" s="2" t="str">
        <f t="shared" si="3"/>
        <v>13</v>
      </c>
      <c r="E241" s="2" t="str">
        <f t="shared" si="4"/>
        <v>k45f</v>
      </c>
      <c r="F241" s="2" t="str">
        <f t="shared" si="5"/>
        <v>08.06.09</v>
      </c>
      <c r="G241" s="1">
        <v>142.595</v>
      </c>
      <c r="H241" s="1">
        <v>0.773</v>
      </c>
      <c r="I241" s="2">
        <f t="shared" si="6"/>
        <v>70.418749</v>
      </c>
      <c r="J241" s="2">
        <f t="shared" si="7"/>
        <v>37.405</v>
      </c>
      <c r="K241" s="2">
        <f t="shared" si="8"/>
        <v>0.2240849276</v>
      </c>
      <c r="L241" s="2">
        <f t="shared" si="9"/>
        <v>0.7398073704</v>
      </c>
      <c r="M241" s="2">
        <f t="shared" si="10"/>
        <v>71.15855637</v>
      </c>
      <c r="N241" s="2">
        <f t="shared" si="11"/>
        <v>71.1589092</v>
      </c>
    </row>
    <row r="242">
      <c r="A242" s="1" t="s">
        <v>254</v>
      </c>
      <c r="B242" s="2" t="str">
        <f t="shared" si="1"/>
        <v>k45</v>
      </c>
      <c r="C242" s="2" t="str">
        <f t="shared" si="2"/>
        <v>f</v>
      </c>
      <c r="D242" s="2" t="str">
        <f t="shared" si="3"/>
        <v>13</v>
      </c>
      <c r="E242" s="2" t="str">
        <f t="shared" si="4"/>
        <v>k45f</v>
      </c>
      <c r="F242" s="2" t="str">
        <f t="shared" si="5"/>
        <v>08.06.09</v>
      </c>
      <c r="G242" s="1">
        <v>-171.469</v>
      </c>
      <c r="H242" s="1">
        <v>0.72</v>
      </c>
      <c r="I242" s="2">
        <f t="shared" si="6"/>
        <v>70.418749</v>
      </c>
      <c r="J242" s="2">
        <f t="shared" si="7"/>
        <v>8.531</v>
      </c>
      <c r="K242" s="2">
        <f t="shared" si="8"/>
        <v>0.561199745</v>
      </c>
      <c r="L242" s="2">
        <f t="shared" si="9"/>
        <v>0.4510596925</v>
      </c>
      <c r="M242" s="2">
        <f t="shared" si="10"/>
        <v>70.86980869</v>
      </c>
      <c r="N242" s="2">
        <f t="shared" si="11"/>
        <v>70.87203066</v>
      </c>
    </row>
    <row r="243">
      <c r="A243" s="1" t="s">
        <v>255</v>
      </c>
      <c r="B243" s="2" t="str">
        <f t="shared" si="1"/>
        <v>k45</v>
      </c>
      <c r="C243" s="2" t="str">
        <f t="shared" si="2"/>
        <v>f</v>
      </c>
      <c r="D243" s="2" t="str">
        <f t="shared" si="3"/>
        <v>13</v>
      </c>
      <c r="E243" s="2" t="str">
        <f t="shared" si="4"/>
        <v>k45f</v>
      </c>
      <c r="F243" s="2" t="str">
        <f t="shared" si="5"/>
        <v>08.12.09</v>
      </c>
      <c r="G243" s="1">
        <v>139.086</v>
      </c>
      <c r="H243" s="1">
        <v>0.736</v>
      </c>
      <c r="I243" s="2">
        <f t="shared" si="6"/>
        <v>70.418749</v>
      </c>
      <c r="J243" s="2">
        <f t="shared" si="7"/>
        <v>40.914</v>
      </c>
      <c r="K243" s="2">
        <f t="shared" si="8"/>
        <v>0.05389720215</v>
      </c>
      <c r="L243" s="2">
        <f t="shared" si="9"/>
        <v>0.734023904</v>
      </c>
      <c r="M243" s="2">
        <f t="shared" si="10"/>
        <v>71.1527729</v>
      </c>
      <c r="N243" s="2">
        <f t="shared" si="11"/>
        <v>71.15279332</v>
      </c>
    </row>
    <row r="244">
      <c r="A244" s="1" t="s">
        <v>256</v>
      </c>
      <c r="B244" s="2" t="str">
        <f t="shared" si="1"/>
        <v>k45</v>
      </c>
      <c r="C244" s="2" t="str">
        <f t="shared" si="2"/>
        <v>f</v>
      </c>
      <c r="D244" s="2" t="str">
        <f t="shared" si="3"/>
        <v>13</v>
      </c>
      <c r="E244" s="2" t="str">
        <f t="shared" si="4"/>
        <v>k45f</v>
      </c>
      <c r="F244" s="2" t="str">
        <f t="shared" si="5"/>
        <v>08.12.09</v>
      </c>
      <c r="G244" s="1">
        <v>-143.13</v>
      </c>
      <c r="H244" s="1">
        <v>0.535</v>
      </c>
      <c r="I244" s="2">
        <f t="shared" si="6"/>
        <v>70.418749</v>
      </c>
      <c r="J244" s="2">
        <f t="shared" si="7"/>
        <v>36.87</v>
      </c>
      <c r="K244" s="2">
        <f t="shared" si="8"/>
        <v>0.3944724512</v>
      </c>
      <c r="L244" s="2">
        <f t="shared" si="9"/>
        <v>0.3614090276</v>
      </c>
      <c r="M244" s="2">
        <f t="shared" si="10"/>
        <v>70.78015803</v>
      </c>
      <c r="N244" s="2">
        <f t="shared" si="11"/>
        <v>70.78125726</v>
      </c>
    </row>
    <row r="245">
      <c r="A245" s="1" t="s">
        <v>257</v>
      </c>
      <c r="B245" s="2" t="str">
        <f t="shared" si="1"/>
        <v>k45</v>
      </c>
      <c r="C245" s="2" t="str">
        <f t="shared" si="2"/>
        <v>f</v>
      </c>
      <c r="D245" s="2" t="str">
        <f t="shared" si="3"/>
        <v>13</v>
      </c>
      <c r="E245" s="2" t="str">
        <f t="shared" si="4"/>
        <v>k45f</v>
      </c>
      <c r="F245" s="2" t="str">
        <f t="shared" si="5"/>
        <v>08.12.09</v>
      </c>
      <c r="G245" s="1">
        <v>-177.397</v>
      </c>
      <c r="H245" s="1">
        <v>0.835</v>
      </c>
      <c r="I245" s="2">
        <f t="shared" si="6"/>
        <v>70.418749</v>
      </c>
      <c r="J245" s="2">
        <f t="shared" si="7"/>
        <v>2.603</v>
      </c>
      <c r="K245" s="2">
        <f t="shared" si="8"/>
        <v>0.4282952054</v>
      </c>
      <c r="L245" s="2">
        <f t="shared" si="9"/>
        <v>0.7167902183</v>
      </c>
      <c r="M245" s="2">
        <f t="shared" si="10"/>
        <v>71.13553922</v>
      </c>
      <c r="N245" s="2">
        <f t="shared" si="11"/>
        <v>71.13682855</v>
      </c>
    </row>
    <row r="246">
      <c r="A246" s="1" t="s">
        <v>258</v>
      </c>
      <c r="B246" s="2" t="str">
        <f t="shared" si="1"/>
        <v>k45</v>
      </c>
      <c r="C246" s="2" t="str">
        <f t="shared" si="2"/>
        <v>f</v>
      </c>
      <c r="D246" s="2" t="str">
        <f t="shared" si="3"/>
        <v>13</v>
      </c>
      <c r="E246" s="2" t="str">
        <f t="shared" si="4"/>
        <v>k45f</v>
      </c>
      <c r="F246" s="2" t="str">
        <f t="shared" si="5"/>
        <v>08.12.09</v>
      </c>
      <c r="G246" s="1">
        <v>133.264</v>
      </c>
      <c r="H246" s="1">
        <v>0.842</v>
      </c>
      <c r="I246" s="2">
        <f t="shared" si="6"/>
        <v>70.418749</v>
      </c>
      <c r="J246" s="2">
        <f t="shared" si="7"/>
        <v>46.736</v>
      </c>
      <c r="K246" s="2">
        <f t="shared" si="8"/>
        <v>0.3184745693</v>
      </c>
      <c r="L246" s="2">
        <f t="shared" si="9"/>
        <v>0.7794472071</v>
      </c>
      <c r="M246" s="2">
        <f t="shared" si="10"/>
        <v>71.19819621</v>
      </c>
      <c r="N246" s="2">
        <f t="shared" si="11"/>
        <v>71.19890848</v>
      </c>
    </row>
    <row r="247">
      <c r="A247" s="1" t="s">
        <v>259</v>
      </c>
      <c r="B247" s="2" t="str">
        <f t="shared" si="1"/>
        <v>k45</v>
      </c>
      <c r="C247" s="2" t="str">
        <f t="shared" si="2"/>
        <v>f</v>
      </c>
      <c r="D247" s="2" t="str">
        <f t="shared" si="3"/>
        <v>13</v>
      </c>
      <c r="E247" s="2" t="str">
        <f t="shared" si="4"/>
        <v>k45f</v>
      </c>
      <c r="F247" s="2" t="str">
        <f t="shared" si="5"/>
        <v>08.12.09</v>
      </c>
      <c r="G247" s="1">
        <v>167.196</v>
      </c>
      <c r="H247" s="1">
        <v>0.818</v>
      </c>
      <c r="I247" s="2">
        <f t="shared" si="6"/>
        <v>70.418749</v>
      </c>
      <c r="J247" s="2">
        <f t="shared" si="7"/>
        <v>12.804</v>
      </c>
      <c r="K247" s="2">
        <f t="shared" si="8"/>
        <v>0.1925566216</v>
      </c>
      <c r="L247" s="2">
        <f t="shared" si="9"/>
        <v>0.7950131744</v>
      </c>
      <c r="M247" s="2">
        <f t="shared" si="10"/>
        <v>71.21376217</v>
      </c>
      <c r="N247" s="2">
        <f t="shared" si="11"/>
        <v>71.2140225</v>
      </c>
    </row>
    <row r="248">
      <c r="A248" s="1" t="s">
        <v>260</v>
      </c>
      <c r="B248" s="2" t="str">
        <f t="shared" si="1"/>
        <v>k45</v>
      </c>
      <c r="C248" s="2" t="str">
        <f t="shared" si="2"/>
        <v>f</v>
      </c>
      <c r="D248" s="2" t="str">
        <f t="shared" si="3"/>
        <v>15</v>
      </c>
      <c r="E248" s="2" t="str">
        <f t="shared" si="4"/>
        <v>k45f</v>
      </c>
      <c r="F248" s="2" t="str">
        <f t="shared" si="5"/>
        <v>08.06.09</v>
      </c>
      <c r="G248" s="1">
        <v>180.0</v>
      </c>
      <c r="H248" s="1">
        <v>0.534</v>
      </c>
      <c r="I248" s="2">
        <f t="shared" si="6"/>
        <v>85.459575</v>
      </c>
      <c r="J248" s="2">
        <f t="shared" si="7"/>
        <v>0</v>
      </c>
      <c r="K248" s="2">
        <f t="shared" si="8"/>
        <v>0</v>
      </c>
      <c r="L248" s="2">
        <f t="shared" si="9"/>
        <v>0.534</v>
      </c>
      <c r="M248" s="2">
        <f t="shared" si="10"/>
        <v>85.993575</v>
      </c>
      <c r="N248" s="2">
        <f t="shared" si="11"/>
        <v>85.993575</v>
      </c>
    </row>
    <row r="249">
      <c r="A249" s="1" t="s">
        <v>261</v>
      </c>
      <c r="B249" s="2" t="str">
        <f t="shared" si="1"/>
        <v>k45</v>
      </c>
      <c r="C249" s="2" t="str">
        <f t="shared" si="2"/>
        <v>f</v>
      </c>
      <c r="D249" s="2" t="str">
        <f t="shared" si="3"/>
        <v>15</v>
      </c>
      <c r="E249" s="2" t="str">
        <f t="shared" si="4"/>
        <v>k45f</v>
      </c>
      <c r="F249" s="2" t="str">
        <f t="shared" si="5"/>
        <v>08.12.09</v>
      </c>
      <c r="G249" s="1">
        <v>-154.983</v>
      </c>
      <c r="H249" s="1">
        <v>0.625</v>
      </c>
      <c r="I249" s="2">
        <f t="shared" si="6"/>
        <v>85.459575</v>
      </c>
      <c r="J249" s="2">
        <f t="shared" si="7"/>
        <v>25.017</v>
      </c>
      <c r="K249" s="2">
        <f t="shared" si="8"/>
        <v>0.07217686847</v>
      </c>
      <c r="L249" s="2">
        <f t="shared" si="9"/>
        <v>0.6208184112</v>
      </c>
      <c r="M249" s="2">
        <f t="shared" si="10"/>
        <v>86.08039341</v>
      </c>
      <c r="N249" s="2">
        <f t="shared" si="11"/>
        <v>86.08042367</v>
      </c>
    </row>
    <row r="250">
      <c r="A250" s="1" t="s">
        <v>262</v>
      </c>
      <c r="B250" s="2" t="str">
        <f t="shared" si="1"/>
        <v>k45</v>
      </c>
      <c r="C250" s="2" t="str">
        <f t="shared" si="2"/>
        <v>f</v>
      </c>
      <c r="D250" s="2" t="str">
        <f t="shared" si="3"/>
        <v>17</v>
      </c>
      <c r="E250" s="2" t="str">
        <f t="shared" si="4"/>
        <v>k45f</v>
      </c>
      <c r="F250" s="2" t="str">
        <f t="shared" si="5"/>
        <v>08.12.09</v>
      </c>
      <c r="G250" s="1">
        <v>-100.784</v>
      </c>
      <c r="H250" s="1">
        <v>2.404</v>
      </c>
      <c r="I250" s="2">
        <f t="shared" si="6"/>
        <v>100.500401</v>
      </c>
      <c r="J250" s="2">
        <f t="shared" si="7"/>
        <v>79.216</v>
      </c>
      <c r="K250" s="2">
        <f t="shared" si="8"/>
        <v>1.504473613</v>
      </c>
      <c r="L250" s="2">
        <f t="shared" si="9"/>
        <v>1.875040039</v>
      </c>
      <c r="M250" s="2">
        <f t="shared" si="10"/>
        <v>102.375441</v>
      </c>
      <c r="N250" s="2">
        <f t="shared" si="11"/>
        <v>102.3864951</v>
      </c>
    </row>
    <row r="251">
      <c r="A251" s="1" t="s">
        <v>263</v>
      </c>
      <c r="B251" s="2" t="str">
        <f t="shared" si="1"/>
        <v>k45</v>
      </c>
      <c r="C251" s="2" t="str">
        <f t="shared" si="2"/>
        <v>f</v>
      </c>
      <c r="D251" s="2" t="str">
        <f t="shared" si="3"/>
        <v>17</v>
      </c>
      <c r="E251" s="2" t="str">
        <f t="shared" si="4"/>
        <v>k45f</v>
      </c>
      <c r="F251" s="2" t="str">
        <f t="shared" si="5"/>
        <v>08.12.09</v>
      </c>
      <c r="G251" s="1">
        <v>117.759</v>
      </c>
      <c r="H251" s="1">
        <v>0.805</v>
      </c>
      <c r="I251" s="2">
        <f t="shared" si="6"/>
        <v>100.500401</v>
      </c>
      <c r="J251" s="2">
        <f t="shared" si="7"/>
        <v>62.241</v>
      </c>
      <c r="K251" s="2">
        <f t="shared" si="8"/>
        <v>0.4484410863</v>
      </c>
      <c r="L251" s="2">
        <f t="shared" si="9"/>
        <v>0.6685249375</v>
      </c>
      <c r="M251" s="2">
        <f t="shared" si="10"/>
        <v>101.1689259</v>
      </c>
      <c r="N251" s="2">
        <f t="shared" si="11"/>
        <v>101.1699198</v>
      </c>
    </row>
    <row r="252">
      <c r="A252" s="1" t="s">
        <v>264</v>
      </c>
      <c r="B252" s="2" t="str">
        <f t="shared" si="1"/>
        <v>k45</v>
      </c>
      <c r="C252" s="2" t="str">
        <f t="shared" si="2"/>
        <v>f</v>
      </c>
      <c r="D252" s="2" t="str">
        <f t="shared" si="3"/>
        <v>17</v>
      </c>
      <c r="E252" s="2" t="str">
        <f t="shared" si="4"/>
        <v>k45f</v>
      </c>
      <c r="F252" s="2" t="str">
        <f t="shared" si="5"/>
        <v>08.12.09</v>
      </c>
      <c r="G252" s="1">
        <v>-146.31</v>
      </c>
      <c r="H252" s="1">
        <v>1.487</v>
      </c>
      <c r="I252" s="2">
        <f t="shared" si="6"/>
        <v>100.500401</v>
      </c>
      <c r="J252" s="2">
        <f t="shared" si="7"/>
        <v>33.69</v>
      </c>
      <c r="K252" s="2">
        <f t="shared" si="8"/>
        <v>1.134174892</v>
      </c>
      <c r="L252" s="2">
        <f t="shared" si="9"/>
        <v>0.9616737051</v>
      </c>
      <c r="M252" s="2">
        <f t="shared" si="10"/>
        <v>101.4620747</v>
      </c>
      <c r="N252" s="2">
        <f t="shared" si="11"/>
        <v>101.4684136</v>
      </c>
    </row>
    <row r="253">
      <c r="A253" s="1" t="s">
        <v>265</v>
      </c>
      <c r="B253" s="2" t="str">
        <f t="shared" si="1"/>
        <v>k45</v>
      </c>
      <c r="C253" s="2" t="str">
        <f t="shared" si="2"/>
        <v>f</v>
      </c>
      <c r="D253" s="2" t="str">
        <f t="shared" si="3"/>
        <v>19</v>
      </c>
      <c r="E253" s="2" t="str">
        <f t="shared" si="4"/>
        <v>k45f</v>
      </c>
      <c r="F253" s="2" t="str">
        <f t="shared" si="5"/>
        <v>08.06.09</v>
      </c>
      <c r="G253" s="1">
        <v>3.27</v>
      </c>
      <c r="H253" s="1">
        <v>1.275</v>
      </c>
      <c r="I253" s="2">
        <f t="shared" si="6"/>
        <v>115.541227</v>
      </c>
      <c r="J253" s="2">
        <f t="shared" si="7"/>
        <v>176.73</v>
      </c>
      <c r="K253" s="2">
        <f t="shared" si="8"/>
        <v>0.9153494813</v>
      </c>
      <c r="L253" s="2">
        <f t="shared" si="9"/>
        <v>0.887558633</v>
      </c>
      <c r="M253" s="2">
        <f t="shared" si="10"/>
        <v>116.4287856</v>
      </c>
      <c r="N253" s="2">
        <f t="shared" si="11"/>
        <v>116.4323838</v>
      </c>
    </row>
    <row r="254">
      <c r="A254" s="1" t="s">
        <v>266</v>
      </c>
      <c r="B254" s="2" t="str">
        <f t="shared" si="1"/>
        <v>k45</v>
      </c>
      <c r="C254" s="2" t="str">
        <f t="shared" si="2"/>
        <v>f</v>
      </c>
      <c r="D254" s="2" t="str">
        <f t="shared" si="3"/>
        <v>21</v>
      </c>
      <c r="E254" s="2" t="str">
        <f t="shared" si="4"/>
        <v>k45f</v>
      </c>
      <c r="F254" s="2" t="str">
        <f t="shared" si="5"/>
        <v>08.12.09</v>
      </c>
      <c r="G254" s="1">
        <v>-175.855</v>
      </c>
      <c r="H254" s="1">
        <v>2.623</v>
      </c>
      <c r="I254" s="2">
        <f t="shared" si="6"/>
        <v>130.582053</v>
      </c>
      <c r="J254" s="2">
        <f t="shared" si="7"/>
        <v>4.145</v>
      </c>
      <c r="K254" s="2">
        <f t="shared" si="8"/>
        <v>2.211994507</v>
      </c>
      <c r="L254" s="2">
        <f t="shared" si="9"/>
        <v>1.409684115</v>
      </c>
      <c r="M254" s="2">
        <f t="shared" si="10"/>
        <v>131.9917371</v>
      </c>
      <c r="N254" s="2">
        <f t="shared" si="11"/>
        <v>132.0102708</v>
      </c>
    </row>
    <row r="255">
      <c r="A255" s="1" t="s">
        <v>267</v>
      </c>
      <c r="B255" s="2" t="str">
        <f t="shared" si="1"/>
        <v>k45</v>
      </c>
      <c r="C255" s="2" t="str">
        <f t="shared" si="2"/>
        <v>f</v>
      </c>
      <c r="D255" s="2" t="str">
        <f t="shared" si="3"/>
        <v>21</v>
      </c>
      <c r="E255" s="2" t="str">
        <f t="shared" si="4"/>
        <v>k45f</v>
      </c>
      <c r="F255" s="2" t="str">
        <f t="shared" si="5"/>
        <v>08.12.09</v>
      </c>
      <c r="G255" s="1">
        <v>-155.225</v>
      </c>
      <c r="H255" s="1">
        <v>0.541</v>
      </c>
      <c r="I255" s="2">
        <f t="shared" si="6"/>
        <v>130.582053</v>
      </c>
      <c r="J255" s="2">
        <f t="shared" si="7"/>
        <v>24.775</v>
      </c>
      <c r="K255" s="2">
        <f t="shared" si="8"/>
        <v>0.1894362135</v>
      </c>
      <c r="L255" s="2">
        <f t="shared" si="9"/>
        <v>0.5067493671</v>
      </c>
      <c r="M255" s="2">
        <f t="shared" si="10"/>
        <v>131.0888024</v>
      </c>
      <c r="N255" s="2">
        <f t="shared" si="11"/>
        <v>131.0889392</v>
      </c>
    </row>
    <row r="256">
      <c r="A256" s="1" t="s">
        <v>268</v>
      </c>
      <c r="B256" s="2" t="str">
        <f t="shared" si="1"/>
        <v>k45</v>
      </c>
      <c r="C256" s="2" t="str">
        <f t="shared" si="2"/>
        <v>f</v>
      </c>
      <c r="D256" s="2" t="str">
        <f t="shared" si="3"/>
        <v>25</v>
      </c>
      <c r="E256" s="2" t="str">
        <f t="shared" si="4"/>
        <v>k45f</v>
      </c>
      <c r="F256" s="2" t="str">
        <f t="shared" si="5"/>
        <v>08.06.09</v>
      </c>
      <c r="G256" s="1">
        <v>-107.745</v>
      </c>
      <c r="H256" s="1">
        <v>0.954</v>
      </c>
      <c r="I256" s="2">
        <f t="shared" si="6"/>
        <v>160.663705</v>
      </c>
      <c r="J256" s="2">
        <f t="shared" si="7"/>
        <v>72.255</v>
      </c>
      <c r="K256" s="2">
        <f t="shared" si="8"/>
        <v>0.001556004377</v>
      </c>
      <c r="L256" s="2">
        <f t="shared" si="9"/>
        <v>0.9539987311</v>
      </c>
      <c r="M256" s="2">
        <f t="shared" si="10"/>
        <v>161.6177037</v>
      </c>
      <c r="N256" s="2">
        <f t="shared" si="11"/>
        <v>161.6177037</v>
      </c>
    </row>
    <row r="257">
      <c r="A257" s="1" t="s">
        <v>269</v>
      </c>
      <c r="B257" s="2" t="str">
        <f t="shared" si="1"/>
        <v>k45</v>
      </c>
      <c r="C257" s="2" t="str">
        <f t="shared" si="2"/>
        <v>m</v>
      </c>
      <c r="D257" s="2" t="str">
        <f t="shared" si="3"/>
        <v>03</v>
      </c>
      <c r="E257" s="2" t="str">
        <f t="shared" si="4"/>
        <v>k45m</v>
      </c>
      <c r="F257" s="2" t="str">
        <f t="shared" si="5"/>
        <v>08.06.09</v>
      </c>
      <c r="G257" s="1">
        <v>165.964</v>
      </c>
      <c r="H257" s="1">
        <v>0.121</v>
      </c>
      <c r="I257" s="2">
        <f t="shared" si="6"/>
        <v>-4.785381</v>
      </c>
      <c r="J257" s="2">
        <f t="shared" si="7"/>
        <v>14.036</v>
      </c>
      <c r="K257" s="2">
        <f t="shared" si="8"/>
        <v>0.1203813256</v>
      </c>
      <c r="L257" s="2">
        <f t="shared" si="9"/>
        <v>0.01222032963</v>
      </c>
      <c r="M257" s="2">
        <f t="shared" si="10"/>
        <v>-4.77316067</v>
      </c>
      <c r="N257" s="2">
        <f t="shared" si="11"/>
        <v>4.774678465</v>
      </c>
    </row>
    <row r="258">
      <c r="A258" s="1" t="s">
        <v>270</v>
      </c>
      <c r="B258" s="2" t="str">
        <f t="shared" si="1"/>
        <v>k45</v>
      </c>
      <c r="C258" s="2" t="str">
        <f t="shared" si="2"/>
        <v>m</v>
      </c>
      <c r="D258" s="2" t="str">
        <f t="shared" si="3"/>
        <v>03</v>
      </c>
      <c r="E258" s="2" t="str">
        <f t="shared" si="4"/>
        <v>k45m</v>
      </c>
      <c r="F258" s="2" t="str">
        <f t="shared" si="5"/>
        <v>08.06.09</v>
      </c>
      <c r="G258" s="1">
        <v>0.0</v>
      </c>
      <c r="H258" s="1">
        <v>0.0</v>
      </c>
      <c r="I258" s="2">
        <f t="shared" si="6"/>
        <v>-4.785381</v>
      </c>
      <c r="J258" s="2">
        <f t="shared" si="7"/>
        <v>180</v>
      </c>
      <c r="K258" s="2">
        <f t="shared" si="8"/>
        <v>0</v>
      </c>
      <c r="L258" s="2">
        <f t="shared" si="9"/>
        <v>0</v>
      </c>
      <c r="M258" s="2">
        <f t="shared" si="10"/>
        <v>-4.785381</v>
      </c>
      <c r="N258" s="2">
        <f t="shared" si="11"/>
        <v>4.785381</v>
      </c>
    </row>
    <row r="259">
      <c r="A259" s="1" t="s">
        <v>271</v>
      </c>
      <c r="B259" s="2" t="str">
        <f t="shared" si="1"/>
        <v>k45</v>
      </c>
      <c r="C259" s="2" t="str">
        <f t="shared" si="2"/>
        <v>m</v>
      </c>
      <c r="D259" s="2" t="str">
        <f t="shared" si="3"/>
        <v>03</v>
      </c>
      <c r="E259" s="2" t="str">
        <f t="shared" si="4"/>
        <v>k45m</v>
      </c>
      <c r="F259" s="2" t="str">
        <f t="shared" si="5"/>
        <v>08.06.09</v>
      </c>
      <c r="G259" s="1">
        <v>0.0</v>
      </c>
      <c r="H259" s="1">
        <v>0.0</v>
      </c>
      <c r="I259" s="2">
        <f t="shared" si="6"/>
        <v>-4.785381</v>
      </c>
      <c r="J259" s="2">
        <f t="shared" si="7"/>
        <v>180</v>
      </c>
      <c r="K259" s="2">
        <f t="shared" si="8"/>
        <v>0</v>
      </c>
      <c r="L259" s="2">
        <f t="shared" si="9"/>
        <v>0</v>
      </c>
      <c r="M259" s="2">
        <f t="shared" si="10"/>
        <v>-4.785381</v>
      </c>
      <c r="N259" s="2">
        <f t="shared" si="11"/>
        <v>4.785381</v>
      </c>
    </row>
    <row r="260">
      <c r="A260" s="1" t="s">
        <v>272</v>
      </c>
      <c r="B260" s="2" t="str">
        <f t="shared" si="1"/>
        <v>k45</v>
      </c>
      <c r="C260" s="2" t="str">
        <f t="shared" si="2"/>
        <v>m</v>
      </c>
      <c r="D260" s="2" t="str">
        <f t="shared" si="3"/>
        <v>03</v>
      </c>
      <c r="E260" s="2" t="str">
        <f t="shared" si="4"/>
        <v>k45m</v>
      </c>
      <c r="F260" s="2" t="str">
        <f t="shared" si="5"/>
        <v>08.06.09</v>
      </c>
      <c r="G260" s="1">
        <v>0.0</v>
      </c>
      <c r="H260" s="1">
        <v>0.0</v>
      </c>
      <c r="I260" s="2">
        <f t="shared" si="6"/>
        <v>-4.785381</v>
      </c>
      <c r="J260" s="2">
        <f t="shared" si="7"/>
        <v>180</v>
      </c>
      <c r="K260" s="2">
        <f t="shared" si="8"/>
        <v>0</v>
      </c>
      <c r="L260" s="2">
        <f t="shared" si="9"/>
        <v>0</v>
      </c>
      <c r="M260" s="2">
        <f t="shared" si="10"/>
        <v>-4.785381</v>
      </c>
      <c r="N260" s="2">
        <f t="shared" si="11"/>
        <v>4.785381</v>
      </c>
    </row>
    <row r="261">
      <c r="A261" s="1" t="s">
        <v>273</v>
      </c>
      <c r="B261" s="2" t="str">
        <f t="shared" si="1"/>
        <v>k45</v>
      </c>
      <c r="C261" s="2" t="str">
        <f t="shared" si="2"/>
        <v>m</v>
      </c>
      <c r="D261" s="2" t="str">
        <f t="shared" si="3"/>
        <v>05</v>
      </c>
      <c r="E261" s="2" t="str">
        <f t="shared" si="4"/>
        <v>k45m</v>
      </c>
      <c r="F261" s="2" t="str">
        <f t="shared" si="5"/>
        <v>08.06.09</v>
      </c>
      <c r="G261" s="1">
        <v>45.0</v>
      </c>
      <c r="H261" s="1">
        <v>0.773</v>
      </c>
      <c r="I261" s="2">
        <f t="shared" si="6"/>
        <v>10.255445</v>
      </c>
      <c r="J261" s="2">
        <f t="shared" si="7"/>
        <v>135</v>
      </c>
      <c r="K261" s="2">
        <f t="shared" si="8"/>
        <v>0.06830899436</v>
      </c>
      <c r="L261" s="2">
        <f t="shared" si="9"/>
        <v>0.7699758966</v>
      </c>
      <c r="M261" s="2">
        <f t="shared" si="10"/>
        <v>11.0254209</v>
      </c>
      <c r="N261" s="2">
        <f t="shared" si="11"/>
        <v>11.0256325</v>
      </c>
    </row>
    <row r="262">
      <c r="A262" s="1" t="s">
        <v>274</v>
      </c>
      <c r="B262" s="2" t="str">
        <f t="shared" si="1"/>
        <v>k45</v>
      </c>
      <c r="C262" s="2" t="str">
        <f t="shared" si="2"/>
        <v>m</v>
      </c>
      <c r="D262" s="2" t="str">
        <f t="shared" si="3"/>
        <v>05</v>
      </c>
      <c r="E262" s="2" t="str">
        <f t="shared" si="4"/>
        <v>k45m</v>
      </c>
      <c r="F262" s="2" t="str">
        <f t="shared" si="5"/>
        <v>08.06.09</v>
      </c>
      <c r="G262" s="1">
        <v>-162.121</v>
      </c>
      <c r="H262" s="1">
        <v>1.182</v>
      </c>
      <c r="I262" s="2">
        <f t="shared" si="6"/>
        <v>10.255445</v>
      </c>
      <c r="J262" s="2">
        <f t="shared" si="7"/>
        <v>17.879</v>
      </c>
      <c r="K262" s="2">
        <f t="shared" si="8"/>
        <v>0.9753862204</v>
      </c>
      <c r="L262" s="2">
        <f t="shared" si="9"/>
        <v>0.6676419108</v>
      </c>
      <c r="M262" s="2">
        <f t="shared" si="10"/>
        <v>10.92308691</v>
      </c>
      <c r="N262" s="2">
        <f t="shared" si="11"/>
        <v>10.96654941</v>
      </c>
    </row>
    <row r="263">
      <c r="A263" s="1" t="s">
        <v>275</v>
      </c>
      <c r="B263" s="2" t="str">
        <f t="shared" si="1"/>
        <v>k45</v>
      </c>
      <c r="C263" s="2" t="str">
        <f t="shared" si="2"/>
        <v>m</v>
      </c>
      <c r="D263" s="2" t="str">
        <f t="shared" si="3"/>
        <v>07</v>
      </c>
      <c r="E263" s="2" t="str">
        <f t="shared" si="4"/>
        <v>k45m</v>
      </c>
      <c r="F263" s="2" t="str">
        <f t="shared" si="5"/>
        <v>08.06.09</v>
      </c>
      <c r="G263" s="1">
        <v>-129.806</v>
      </c>
      <c r="H263" s="1">
        <v>0.582</v>
      </c>
      <c r="I263" s="2">
        <f t="shared" si="6"/>
        <v>25.296271</v>
      </c>
      <c r="J263" s="2">
        <f t="shared" si="7"/>
        <v>50.194</v>
      </c>
      <c r="K263" s="2">
        <f t="shared" si="8"/>
        <v>0.04156736936</v>
      </c>
      <c r="L263" s="2">
        <f t="shared" si="9"/>
        <v>0.5805136982</v>
      </c>
      <c r="M263" s="2">
        <f t="shared" si="10"/>
        <v>25.8767847</v>
      </c>
      <c r="N263" s="2">
        <f t="shared" si="11"/>
        <v>25.87681808</v>
      </c>
    </row>
    <row r="264">
      <c r="A264" s="1" t="s">
        <v>276</v>
      </c>
      <c r="B264" s="2" t="str">
        <f t="shared" si="1"/>
        <v>k45</v>
      </c>
      <c r="C264" s="2" t="str">
        <f t="shared" si="2"/>
        <v>m</v>
      </c>
      <c r="D264" s="2" t="str">
        <f t="shared" si="3"/>
        <v>07</v>
      </c>
      <c r="E264" s="2" t="str">
        <f t="shared" si="4"/>
        <v>k45m</v>
      </c>
      <c r="F264" s="2" t="str">
        <f t="shared" si="5"/>
        <v>08.06.09</v>
      </c>
      <c r="G264" s="1">
        <v>-147.724</v>
      </c>
      <c r="H264" s="1">
        <v>0.856</v>
      </c>
      <c r="I264" s="2">
        <f t="shared" si="6"/>
        <v>25.296271</v>
      </c>
      <c r="J264" s="2">
        <f t="shared" si="7"/>
        <v>32.276</v>
      </c>
      <c r="K264" s="2">
        <f t="shared" si="8"/>
        <v>0.6487542608</v>
      </c>
      <c r="L264" s="2">
        <f t="shared" si="9"/>
        <v>0.5584388141</v>
      </c>
      <c r="M264" s="2">
        <f t="shared" si="10"/>
        <v>25.85470981</v>
      </c>
      <c r="N264" s="2">
        <f t="shared" si="11"/>
        <v>25.8628479</v>
      </c>
    </row>
    <row r="265">
      <c r="A265" s="1" t="s">
        <v>277</v>
      </c>
      <c r="B265" s="2" t="str">
        <f t="shared" si="1"/>
        <v>k45</v>
      </c>
      <c r="C265" s="2" t="str">
        <f t="shared" si="2"/>
        <v>m</v>
      </c>
      <c r="D265" s="2" t="str">
        <f t="shared" si="3"/>
        <v>07</v>
      </c>
      <c r="E265" s="2" t="str">
        <f t="shared" si="4"/>
        <v>k45m</v>
      </c>
      <c r="F265" s="2" t="str">
        <f t="shared" si="5"/>
        <v>08.06.09</v>
      </c>
      <c r="G265" s="1">
        <v>-170.91</v>
      </c>
      <c r="H265" s="1">
        <v>0.924</v>
      </c>
      <c r="I265" s="2">
        <f t="shared" si="6"/>
        <v>25.296271</v>
      </c>
      <c r="J265" s="2">
        <f t="shared" si="7"/>
        <v>9.09</v>
      </c>
      <c r="K265" s="2">
        <f t="shared" si="8"/>
        <v>0.3035889462</v>
      </c>
      <c r="L265" s="2">
        <f t="shared" si="9"/>
        <v>0.8727025563</v>
      </c>
      <c r="M265" s="2">
        <f t="shared" si="10"/>
        <v>26.16897356</v>
      </c>
      <c r="N265" s="2">
        <f t="shared" si="11"/>
        <v>26.17073448</v>
      </c>
    </row>
    <row r="266">
      <c r="A266" s="1" t="s">
        <v>278</v>
      </c>
      <c r="B266" s="2" t="str">
        <f t="shared" si="1"/>
        <v>k45</v>
      </c>
      <c r="C266" s="2" t="str">
        <f t="shared" si="2"/>
        <v>m</v>
      </c>
      <c r="D266" s="2" t="str">
        <f t="shared" si="3"/>
        <v>07</v>
      </c>
      <c r="E266" s="2" t="str">
        <f t="shared" si="4"/>
        <v>k45m</v>
      </c>
      <c r="F266" s="2" t="str">
        <f t="shared" si="5"/>
        <v>08.06.09</v>
      </c>
      <c r="G266" s="1">
        <v>-150.945</v>
      </c>
      <c r="H266" s="1">
        <v>0.777</v>
      </c>
      <c r="I266" s="2">
        <f t="shared" si="6"/>
        <v>25.296271</v>
      </c>
      <c r="J266" s="2">
        <f t="shared" si="7"/>
        <v>29.055</v>
      </c>
      <c r="K266" s="2">
        <f t="shared" si="8"/>
        <v>0.5468159374</v>
      </c>
      <c r="L266" s="2">
        <f t="shared" si="9"/>
        <v>0.5520156978</v>
      </c>
      <c r="M266" s="2">
        <f t="shared" si="10"/>
        <v>25.8482867</v>
      </c>
      <c r="N266" s="2">
        <f t="shared" si="11"/>
        <v>25.85406995</v>
      </c>
    </row>
    <row r="267">
      <c r="A267" s="1" t="s">
        <v>279</v>
      </c>
      <c r="B267" s="2" t="str">
        <f t="shared" si="1"/>
        <v>k45</v>
      </c>
      <c r="C267" s="2" t="str">
        <f t="shared" si="2"/>
        <v>m</v>
      </c>
      <c r="D267" s="2" t="str">
        <f t="shared" si="3"/>
        <v>09</v>
      </c>
      <c r="E267" s="2" t="str">
        <f t="shared" si="4"/>
        <v>k45m</v>
      </c>
      <c r="F267" s="2" t="str">
        <f t="shared" si="5"/>
        <v>08.12.09</v>
      </c>
      <c r="G267" s="1">
        <v>-138.814</v>
      </c>
      <c r="H267" s="1">
        <v>0.761</v>
      </c>
      <c r="I267" s="2">
        <f t="shared" si="6"/>
        <v>40.337097</v>
      </c>
      <c r="J267" s="2">
        <f t="shared" si="7"/>
        <v>41.186</v>
      </c>
      <c r="K267" s="2">
        <f t="shared" si="8"/>
        <v>0.2575792873</v>
      </c>
      <c r="L267" s="2">
        <f t="shared" si="9"/>
        <v>0.7160823352</v>
      </c>
      <c r="M267" s="2">
        <f t="shared" si="10"/>
        <v>41.05317934</v>
      </c>
      <c r="N267" s="2">
        <f t="shared" si="11"/>
        <v>41.05398739</v>
      </c>
    </row>
    <row r="268">
      <c r="A268" s="1" t="s">
        <v>280</v>
      </c>
      <c r="B268" s="2" t="str">
        <f t="shared" si="1"/>
        <v>k45</v>
      </c>
      <c r="C268" s="2" t="str">
        <f t="shared" si="2"/>
        <v>m</v>
      </c>
      <c r="D268" s="2" t="str">
        <f t="shared" si="3"/>
        <v>11</v>
      </c>
      <c r="E268" s="2" t="str">
        <f t="shared" si="4"/>
        <v>k45m</v>
      </c>
      <c r="F268" s="2" t="str">
        <f t="shared" si="5"/>
        <v>08.06.09</v>
      </c>
      <c r="G268" s="1">
        <v>-160.71</v>
      </c>
      <c r="H268" s="1">
        <v>0.76</v>
      </c>
      <c r="I268" s="2">
        <f t="shared" si="6"/>
        <v>55.377923</v>
      </c>
      <c r="J268" s="2">
        <f t="shared" si="7"/>
        <v>19.29</v>
      </c>
      <c r="K268" s="2">
        <f t="shared" si="8"/>
        <v>0.3240193149</v>
      </c>
      <c r="L268" s="2">
        <f t="shared" si="9"/>
        <v>0.6874674418</v>
      </c>
      <c r="M268" s="2">
        <f t="shared" si="10"/>
        <v>56.06539044</v>
      </c>
      <c r="N268" s="2">
        <f t="shared" si="11"/>
        <v>56.06632674</v>
      </c>
    </row>
    <row r="269">
      <c r="A269" s="1" t="s">
        <v>281</v>
      </c>
      <c r="B269" s="2" t="str">
        <f t="shared" si="1"/>
        <v>k45</v>
      </c>
      <c r="C269" s="2" t="str">
        <f t="shared" si="2"/>
        <v>m</v>
      </c>
      <c r="D269" s="2" t="str">
        <f t="shared" si="3"/>
        <v>11</v>
      </c>
      <c r="E269" s="2" t="str">
        <f t="shared" si="4"/>
        <v>k45m</v>
      </c>
      <c r="F269" s="2" t="str">
        <f t="shared" si="5"/>
        <v>08.06.09</v>
      </c>
      <c r="G269" s="1">
        <v>-157.932</v>
      </c>
      <c r="H269" s="1">
        <v>1.444</v>
      </c>
      <c r="I269" s="2">
        <f t="shared" si="6"/>
        <v>55.377923</v>
      </c>
      <c r="J269" s="2">
        <f t="shared" si="7"/>
        <v>22.068</v>
      </c>
      <c r="K269" s="2">
        <f t="shared" si="8"/>
        <v>0.1108642523</v>
      </c>
      <c r="L269" s="2">
        <f t="shared" si="9"/>
        <v>1.439737864</v>
      </c>
      <c r="M269" s="2">
        <f t="shared" si="10"/>
        <v>56.81766086</v>
      </c>
      <c r="N269" s="2">
        <f t="shared" si="11"/>
        <v>56.81776902</v>
      </c>
    </row>
    <row r="270">
      <c r="A270" s="1" t="s">
        <v>282</v>
      </c>
      <c r="B270" s="2" t="str">
        <f t="shared" si="1"/>
        <v>k45</v>
      </c>
      <c r="C270" s="2" t="str">
        <f t="shared" si="2"/>
        <v>m</v>
      </c>
      <c r="D270" s="2" t="str">
        <f t="shared" si="3"/>
        <v>11</v>
      </c>
      <c r="E270" s="2" t="str">
        <f t="shared" si="4"/>
        <v>k45m</v>
      </c>
      <c r="F270" s="2" t="str">
        <f t="shared" si="5"/>
        <v>08.06.09</v>
      </c>
      <c r="G270" s="1">
        <v>167.196</v>
      </c>
      <c r="H270" s="1">
        <v>0.845</v>
      </c>
      <c r="I270" s="2">
        <f t="shared" si="6"/>
        <v>55.377923</v>
      </c>
      <c r="J270" s="2">
        <f t="shared" si="7"/>
        <v>12.804</v>
      </c>
      <c r="K270" s="2">
        <f t="shared" si="8"/>
        <v>0.1989124025</v>
      </c>
      <c r="L270" s="2">
        <f t="shared" si="9"/>
        <v>0.8212544406</v>
      </c>
      <c r="M270" s="2">
        <f t="shared" si="10"/>
        <v>56.19917744</v>
      </c>
      <c r="N270" s="2">
        <f t="shared" si="11"/>
        <v>56.19952946</v>
      </c>
    </row>
    <row r="271">
      <c r="A271" s="1" t="s">
        <v>283</v>
      </c>
      <c r="B271" s="2" t="str">
        <f t="shared" si="1"/>
        <v>k45</v>
      </c>
      <c r="C271" s="2" t="str">
        <f t="shared" si="2"/>
        <v>m</v>
      </c>
      <c r="D271" s="2" t="str">
        <f t="shared" si="3"/>
        <v>11</v>
      </c>
      <c r="E271" s="2" t="str">
        <f t="shared" si="4"/>
        <v>k45m</v>
      </c>
      <c r="F271" s="2" t="str">
        <f t="shared" si="5"/>
        <v>08.06.09</v>
      </c>
      <c r="G271" s="1">
        <v>144.782</v>
      </c>
      <c r="H271" s="1">
        <v>0.747</v>
      </c>
      <c r="I271" s="2">
        <f t="shared" si="6"/>
        <v>55.377923</v>
      </c>
      <c r="J271" s="2">
        <f t="shared" si="7"/>
        <v>35.218</v>
      </c>
      <c r="K271" s="2">
        <f t="shared" si="8"/>
        <v>0.4582819734</v>
      </c>
      <c r="L271" s="2">
        <f t="shared" si="9"/>
        <v>0.5899039183</v>
      </c>
      <c r="M271" s="2">
        <f t="shared" si="10"/>
        <v>55.96782692</v>
      </c>
      <c r="N271" s="2">
        <f t="shared" si="11"/>
        <v>55.96970316</v>
      </c>
    </row>
    <row r="272">
      <c r="A272" s="1" t="s">
        <v>284</v>
      </c>
      <c r="B272" s="2" t="str">
        <f t="shared" si="1"/>
        <v>k45</v>
      </c>
      <c r="C272" s="2" t="str">
        <f t="shared" si="2"/>
        <v>m</v>
      </c>
      <c r="D272" s="2" t="str">
        <f t="shared" si="3"/>
        <v>11</v>
      </c>
      <c r="E272" s="2" t="str">
        <f t="shared" si="4"/>
        <v>k45m</v>
      </c>
      <c r="F272" s="2" t="str">
        <f t="shared" si="5"/>
        <v>08.12.09</v>
      </c>
      <c r="G272" s="1">
        <v>120.379</v>
      </c>
      <c r="H272" s="1">
        <v>1.196</v>
      </c>
      <c r="I272" s="2">
        <f t="shared" si="6"/>
        <v>55.377923</v>
      </c>
      <c r="J272" s="2">
        <f t="shared" si="7"/>
        <v>59.621</v>
      </c>
      <c r="K272" s="2">
        <f t="shared" si="8"/>
        <v>0.08276924903</v>
      </c>
      <c r="L272" s="2">
        <f t="shared" si="9"/>
        <v>1.193132537</v>
      </c>
      <c r="M272" s="2">
        <f t="shared" si="10"/>
        <v>56.57105554</v>
      </c>
      <c r="N272" s="2">
        <f t="shared" si="11"/>
        <v>56.57111609</v>
      </c>
    </row>
    <row r="273">
      <c r="A273" s="1" t="s">
        <v>285</v>
      </c>
      <c r="B273" s="2" t="str">
        <f t="shared" si="1"/>
        <v>k45</v>
      </c>
      <c r="C273" s="2" t="str">
        <f t="shared" si="2"/>
        <v>m</v>
      </c>
      <c r="D273" s="2" t="str">
        <f t="shared" si="3"/>
        <v>11</v>
      </c>
      <c r="E273" s="2" t="str">
        <f t="shared" si="4"/>
        <v>k45m</v>
      </c>
      <c r="F273" s="2" t="str">
        <f t="shared" si="5"/>
        <v>08.12.09</v>
      </c>
      <c r="G273" s="1">
        <v>-177.879</v>
      </c>
      <c r="H273" s="1">
        <v>0.957</v>
      </c>
      <c r="I273" s="2">
        <f t="shared" si="6"/>
        <v>55.377923</v>
      </c>
      <c r="J273" s="2">
        <f t="shared" si="7"/>
        <v>2.121</v>
      </c>
      <c r="K273" s="2">
        <f t="shared" si="8"/>
        <v>0.815764071</v>
      </c>
      <c r="L273" s="2">
        <f t="shared" si="9"/>
        <v>0.5003778377</v>
      </c>
      <c r="M273" s="2">
        <f t="shared" si="10"/>
        <v>55.87830084</v>
      </c>
      <c r="N273" s="2">
        <f t="shared" si="11"/>
        <v>55.88425517</v>
      </c>
    </row>
    <row r="274">
      <c r="A274" s="1" t="s">
        <v>286</v>
      </c>
      <c r="B274" s="2" t="str">
        <f t="shared" si="1"/>
        <v>k45</v>
      </c>
      <c r="C274" s="2" t="str">
        <f t="shared" si="2"/>
        <v>m</v>
      </c>
      <c r="D274" s="2" t="str">
        <f t="shared" si="3"/>
        <v>11</v>
      </c>
      <c r="E274" s="2" t="str">
        <f t="shared" si="4"/>
        <v>k45m</v>
      </c>
      <c r="F274" s="2" t="str">
        <f t="shared" si="5"/>
        <v>08.12.09</v>
      </c>
      <c r="G274" s="1">
        <v>-176.424</v>
      </c>
      <c r="H274" s="1">
        <v>0.564</v>
      </c>
      <c r="I274" s="2">
        <f t="shared" si="6"/>
        <v>55.377923</v>
      </c>
      <c r="J274" s="2">
        <f t="shared" si="7"/>
        <v>3.576</v>
      </c>
      <c r="K274" s="2">
        <f t="shared" si="8"/>
        <v>0.2373722973</v>
      </c>
      <c r="L274" s="2">
        <f t="shared" si="9"/>
        <v>0.5116154732</v>
      </c>
      <c r="M274" s="2">
        <f t="shared" si="10"/>
        <v>55.88953847</v>
      </c>
      <c r="N274" s="2">
        <f t="shared" si="11"/>
        <v>55.89004255</v>
      </c>
    </row>
    <row r="275">
      <c r="A275" s="1" t="s">
        <v>287</v>
      </c>
      <c r="B275" s="2" t="str">
        <f t="shared" si="1"/>
        <v>k45</v>
      </c>
      <c r="C275" s="2" t="str">
        <f t="shared" si="2"/>
        <v>m</v>
      </c>
      <c r="D275" s="2" t="str">
        <f t="shared" si="3"/>
        <v>11</v>
      </c>
      <c r="E275" s="2" t="str">
        <f t="shared" si="4"/>
        <v>k45m</v>
      </c>
      <c r="F275" s="2" t="str">
        <f t="shared" si="5"/>
        <v>08.12.09</v>
      </c>
      <c r="G275" s="1">
        <v>-174.289</v>
      </c>
      <c r="H275" s="1">
        <v>1.067</v>
      </c>
      <c r="I275" s="2">
        <f t="shared" si="6"/>
        <v>55.377923</v>
      </c>
      <c r="J275" s="2">
        <f t="shared" si="7"/>
        <v>5.711</v>
      </c>
      <c r="K275" s="2">
        <f t="shared" si="8"/>
        <v>0.5777490992</v>
      </c>
      <c r="L275" s="2">
        <f t="shared" si="9"/>
        <v>0.8970479242</v>
      </c>
      <c r="M275" s="2">
        <f t="shared" si="10"/>
        <v>56.27497092</v>
      </c>
      <c r="N275" s="2">
        <f t="shared" si="11"/>
        <v>56.27793659</v>
      </c>
    </row>
    <row r="276">
      <c r="A276" s="1" t="s">
        <v>288</v>
      </c>
      <c r="B276" s="2" t="str">
        <f t="shared" si="1"/>
        <v>k45</v>
      </c>
      <c r="C276" s="2" t="str">
        <f t="shared" si="2"/>
        <v>m</v>
      </c>
      <c r="D276" s="2" t="str">
        <f t="shared" si="3"/>
        <v>13</v>
      </c>
      <c r="E276" s="2" t="str">
        <f t="shared" si="4"/>
        <v>k45m</v>
      </c>
      <c r="F276" s="2" t="str">
        <f t="shared" si="5"/>
        <v>08.06.09</v>
      </c>
      <c r="G276" s="1">
        <v>-158.199</v>
      </c>
      <c r="H276" s="1">
        <v>1.166</v>
      </c>
      <c r="I276" s="2">
        <f t="shared" si="6"/>
        <v>70.418749</v>
      </c>
      <c r="J276" s="2">
        <f t="shared" si="7"/>
        <v>21.801</v>
      </c>
      <c r="K276" s="2">
        <f t="shared" si="8"/>
        <v>0.2203795902</v>
      </c>
      <c r="L276" s="2">
        <f t="shared" si="9"/>
        <v>1.144984208</v>
      </c>
      <c r="M276" s="2">
        <f t="shared" si="10"/>
        <v>71.56373321</v>
      </c>
      <c r="N276" s="2">
        <f t="shared" si="11"/>
        <v>71.56407254</v>
      </c>
    </row>
    <row r="277">
      <c r="A277" s="1" t="s">
        <v>289</v>
      </c>
      <c r="B277" s="2" t="str">
        <f t="shared" si="1"/>
        <v>k45</v>
      </c>
      <c r="C277" s="2" t="str">
        <f t="shared" si="2"/>
        <v>m</v>
      </c>
      <c r="D277" s="2" t="str">
        <f t="shared" si="3"/>
        <v>13</v>
      </c>
      <c r="E277" s="2" t="str">
        <f t="shared" si="4"/>
        <v>k45m</v>
      </c>
      <c r="F277" s="2" t="str">
        <f t="shared" si="5"/>
        <v>08.06.09</v>
      </c>
      <c r="G277" s="1">
        <v>-154.983</v>
      </c>
      <c r="H277" s="1">
        <v>0.604</v>
      </c>
      <c r="I277" s="2">
        <f t="shared" si="6"/>
        <v>70.418749</v>
      </c>
      <c r="J277" s="2">
        <f t="shared" si="7"/>
        <v>25.017</v>
      </c>
      <c r="K277" s="2">
        <f t="shared" si="8"/>
        <v>0.06975172569</v>
      </c>
      <c r="L277" s="2">
        <f t="shared" si="9"/>
        <v>0.5999589126</v>
      </c>
      <c r="M277" s="2">
        <f t="shared" si="10"/>
        <v>71.01870791</v>
      </c>
      <c r="N277" s="2">
        <f t="shared" si="11"/>
        <v>71.01874217</v>
      </c>
    </row>
    <row r="278">
      <c r="A278" s="1" t="s">
        <v>290</v>
      </c>
      <c r="B278" s="2" t="str">
        <f t="shared" si="1"/>
        <v>k45</v>
      </c>
      <c r="C278" s="2" t="str">
        <f t="shared" si="2"/>
        <v>m</v>
      </c>
      <c r="D278" s="2" t="str">
        <f t="shared" si="3"/>
        <v>13</v>
      </c>
      <c r="E278" s="2" t="str">
        <f t="shared" si="4"/>
        <v>k45m</v>
      </c>
      <c r="F278" s="2" t="str">
        <f t="shared" si="5"/>
        <v>08.12.09</v>
      </c>
      <c r="G278" s="1">
        <v>154.093</v>
      </c>
      <c r="H278" s="1">
        <v>1.397</v>
      </c>
      <c r="I278" s="2">
        <f t="shared" si="6"/>
        <v>70.418749</v>
      </c>
      <c r="J278" s="2">
        <f t="shared" si="7"/>
        <v>25.907</v>
      </c>
      <c r="K278" s="2">
        <f t="shared" si="8"/>
        <v>0.9767633083</v>
      </c>
      <c r="L278" s="2">
        <f t="shared" si="9"/>
        <v>0.9987704639</v>
      </c>
      <c r="M278" s="2">
        <f t="shared" si="10"/>
        <v>71.41751946</v>
      </c>
      <c r="N278" s="2">
        <f t="shared" si="11"/>
        <v>71.42419865</v>
      </c>
    </row>
    <row r="279">
      <c r="A279" s="1" t="s">
        <v>291</v>
      </c>
      <c r="B279" s="2" t="str">
        <f t="shared" si="1"/>
        <v>k45</v>
      </c>
      <c r="C279" s="2" t="str">
        <f t="shared" si="2"/>
        <v>m</v>
      </c>
      <c r="D279" s="2" t="str">
        <f t="shared" si="3"/>
        <v>13</v>
      </c>
      <c r="E279" s="2" t="str">
        <f t="shared" si="4"/>
        <v>k45m</v>
      </c>
      <c r="F279" s="2" t="str">
        <f t="shared" si="5"/>
        <v>08.12.09</v>
      </c>
      <c r="G279" s="1">
        <v>-154.799</v>
      </c>
      <c r="H279" s="1">
        <v>0.683</v>
      </c>
      <c r="I279" s="2">
        <f t="shared" si="6"/>
        <v>70.418749</v>
      </c>
      <c r="J279" s="2">
        <f t="shared" si="7"/>
        <v>25.201</v>
      </c>
      <c r="K279" s="2">
        <f t="shared" si="8"/>
        <v>0.04658454619</v>
      </c>
      <c r="L279" s="2">
        <f t="shared" si="9"/>
        <v>0.6814094805</v>
      </c>
      <c r="M279" s="2">
        <f t="shared" si="10"/>
        <v>71.10015848</v>
      </c>
      <c r="N279" s="2">
        <f t="shared" si="11"/>
        <v>71.10017374</v>
      </c>
    </row>
    <row r="280">
      <c r="A280" s="1" t="s">
        <v>292</v>
      </c>
      <c r="B280" s="2" t="str">
        <f t="shared" si="1"/>
        <v>k45</v>
      </c>
      <c r="C280" s="2" t="str">
        <f t="shared" si="2"/>
        <v>m</v>
      </c>
      <c r="D280" s="2" t="str">
        <f t="shared" si="3"/>
        <v>15</v>
      </c>
      <c r="E280" s="2" t="str">
        <f t="shared" si="4"/>
        <v>k45m</v>
      </c>
      <c r="F280" s="2" t="str">
        <f t="shared" si="5"/>
        <v>08.12.08</v>
      </c>
      <c r="G280" s="1">
        <v>-176.424</v>
      </c>
      <c r="H280" s="1">
        <v>1.136</v>
      </c>
      <c r="I280" s="2">
        <f t="shared" si="6"/>
        <v>85.459575</v>
      </c>
      <c r="J280" s="2">
        <f t="shared" si="7"/>
        <v>3.576</v>
      </c>
      <c r="K280" s="2">
        <f t="shared" si="8"/>
        <v>0.4781115776</v>
      </c>
      <c r="L280" s="2">
        <f t="shared" si="9"/>
        <v>1.030487904</v>
      </c>
      <c r="M280" s="2">
        <f t="shared" si="10"/>
        <v>86.4900629</v>
      </c>
      <c r="N280" s="2">
        <f t="shared" si="11"/>
        <v>86.49138438</v>
      </c>
    </row>
    <row r="281">
      <c r="A281" s="1" t="s">
        <v>293</v>
      </c>
      <c r="B281" s="2" t="str">
        <f t="shared" si="1"/>
        <v>k45</v>
      </c>
      <c r="C281" s="2" t="str">
        <f t="shared" si="2"/>
        <v>m</v>
      </c>
      <c r="D281" s="2" t="str">
        <f t="shared" si="3"/>
        <v>15</v>
      </c>
      <c r="E281" s="2" t="str">
        <f t="shared" si="4"/>
        <v>k45m</v>
      </c>
      <c r="F281" s="2" t="str">
        <f t="shared" si="5"/>
        <v>08.12.09</v>
      </c>
      <c r="G281" s="1">
        <v>164.055</v>
      </c>
      <c r="H281" s="1">
        <v>0.528</v>
      </c>
      <c r="I281" s="2">
        <f t="shared" si="6"/>
        <v>85.459575</v>
      </c>
      <c r="J281" s="2">
        <f t="shared" si="7"/>
        <v>15.945</v>
      </c>
      <c r="K281" s="2">
        <f t="shared" si="8"/>
        <v>0.1239866772</v>
      </c>
      <c r="L281" s="2">
        <f t="shared" si="9"/>
        <v>0.5132361093</v>
      </c>
      <c r="M281" s="2">
        <f t="shared" si="10"/>
        <v>85.97281111</v>
      </c>
      <c r="N281" s="2">
        <f t="shared" si="11"/>
        <v>85.97290051</v>
      </c>
    </row>
    <row r="282">
      <c r="A282" s="1" t="s">
        <v>294</v>
      </c>
      <c r="B282" s="2" t="str">
        <f t="shared" si="1"/>
        <v>k45</v>
      </c>
      <c r="C282" s="2" t="str">
        <f t="shared" si="2"/>
        <v>m</v>
      </c>
      <c r="D282" s="2" t="str">
        <f t="shared" si="3"/>
        <v>15</v>
      </c>
      <c r="E282" s="2" t="str">
        <f t="shared" si="4"/>
        <v>k45m</v>
      </c>
      <c r="F282" s="2" t="str">
        <f t="shared" si="5"/>
        <v>08.12.09</v>
      </c>
      <c r="G282" s="1">
        <v>168.366</v>
      </c>
      <c r="H282" s="1">
        <v>1.234</v>
      </c>
      <c r="I282" s="2">
        <f t="shared" si="6"/>
        <v>85.459575</v>
      </c>
      <c r="J282" s="2">
        <f t="shared" si="7"/>
        <v>11.634</v>
      </c>
      <c r="K282" s="2">
        <f t="shared" si="8"/>
        <v>0.9909450924</v>
      </c>
      <c r="L282" s="2">
        <f t="shared" si="9"/>
        <v>0.735380054</v>
      </c>
      <c r="M282" s="2">
        <f t="shared" si="10"/>
        <v>86.19495505</v>
      </c>
      <c r="N282" s="2">
        <f t="shared" si="11"/>
        <v>86.20065109</v>
      </c>
    </row>
    <row r="283">
      <c r="A283" s="1" t="s">
        <v>295</v>
      </c>
      <c r="B283" s="2" t="str">
        <f t="shared" si="1"/>
        <v>k45</v>
      </c>
      <c r="C283" s="2" t="str">
        <f t="shared" si="2"/>
        <v>m</v>
      </c>
      <c r="D283" s="2" t="str">
        <f t="shared" si="3"/>
        <v>17</v>
      </c>
      <c r="E283" s="2" t="str">
        <f t="shared" si="4"/>
        <v>k45m</v>
      </c>
      <c r="F283" s="2" t="str">
        <f t="shared" si="5"/>
        <v>08.12.09</v>
      </c>
      <c r="G283" s="1">
        <v>0.0</v>
      </c>
      <c r="H283" s="1">
        <v>28.008</v>
      </c>
      <c r="I283" s="2">
        <f t="shared" si="6"/>
        <v>100.500401</v>
      </c>
      <c r="J283" s="2">
        <f t="shared" si="7"/>
        <v>180</v>
      </c>
      <c r="K283" s="2">
        <f t="shared" si="8"/>
        <v>22.43868302</v>
      </c>
      <c r="L283" s="2">
        <f t="shared" si="9"/>
        <v>16.76166961</v>
      </c>
      <c r="M283" s="2">
        <f t="shared" si="10"/>
        <v>117.2620706</v>
      </c>
      <c r="N283" s="2">
        <f t="shared" si="11"/>
        <v>119.3896465</v>
      </c>
    </row>
    <row r="284">
      <c r="A284" s="1" t="s">
        <v>296</v>
      </c>
      <c r="B284" s="2" t="str">
        <f t="shared" si="1"/>
        <v>k45</v>
      </c>
      <c r="C284" s="2" t="str">
        <f t="shared" si="2"/>
        <v>m</v>
      </c>
      <c r="D284" s="2" t="str">
        <f t="shared" si="3"/>
        <v>17</v>
      </c>
      <c r="E284" s="2" t="str">
        <f t="shared" si="4"/>
        <v>k45m</v>
      </c>
      <c r="F284" s="2" t="str">
        <f t="shared" si="5"/>
        <v>08.12.09</v>
      </c>
      <c r="G284" s="1">
        <v>180.0</v>
      </c>
      <c r="H284" s="1">
        <v>0.991</v>
      </c>
      <c r="I284" s="2">
        <f t="shared" si="6"/>
        <v>100.500401</v>
      </c>
      <c r="J284" s="2">
        <f t="shared" si="7"/>
        <v>0</v>
      </c>
      <c r="K284" s="2">
        <f t="shared" si="8"/>
        <v>0</v>
      </c>
      <c r="L284" s="2">
        <f t="shared" si="9"/>
        <v>0.991</v>
      </c>
      <c r="M284" s="2">
        <f t="shared" si="10"/>
        <v>101.491401</v>
      </c>
      <c r="N284" s="2">
        <f t="shared" si="11"/>
        <v>101.491401</v>
      </c>
    </row>
    <row r="285">
      <c r="A285" s="1" t="s">
        <v>297</v>
      </c>
      <c r="B285" s="2" t="str">
        <f t="shared" si="1"/>
        <v>n60</v>
      </c>
      <c r="C285" s="2" t="str">
        <f t="shared" si="2"/>
        <v>f</v>
      </c>
      <c r="D285" s="2" t="str">
        <f t="shared" si="3"/>
        <v>03</v>
      </c>
      <c r="E285" s="2" t="str">
        <f t="shared" si="4"/>
        <v>n60f</v>
      </c>
      <c r="F285" s="2" t="str">
        <f t="shared" si="5"/>
        <v>08.12.09</v>
      </c>
      <c r="G285" s="1">
        <v>150.255</v>
      </c>
      <c r="H285" s="1">
        <v>0.287</v>
      </c>
      <c r="I285" s="2">
        <f t="shared" si="6"/>
        <v>-4.785381</v>
      </c>
      <c r="J285" s="2">
        <f t="shared" si="7"/>
        <v>29.745</v>
      </c>
      <c r="K285" s="2">
        <f t="shared" si="8"/>
        <v>0.2855624622</v>
      </c>
      <c r="L285" s="2">
        <f t="shared" si="9"/>
        <v>0.02868937365</v>
      </c>
      <c r="M285" s="2">
        <f t="shared" si="10"/>
        <v>-4.756691626</v>
      </c>
      <c r="N285" s="2">
        <f t="shared" si="11"/>
        <v>4.765255623</v>
      </c>
    </row>
    <row r="286">
      <c r="A286" s="1" t="s">
        <v>298</v>
      </c>
      <c r="B286" s="2" t="str">
        <f t="shared" si="1"/>
        <v>n60</v>
      </c>
      <c r="C286" s="2" t="str">
        <f t="shared" si="2"/>
        <v>f</v>
      </c>
      <c r="D286" s="2" t="str">
        <f t="shared" si="3"/>
        <v>05</v>
      </c>
      <c r="E286" s="2" t="str">
        <f t="shared" si="4"/>
        <v>n60f</v>
      </c>
      <c r="F286" s="2" t="str">
        <f t="shared" si="5"/>
        <v>08.12.09</v>
      </c>
      <c r="G286" s="1">
        <v>180.0</v>
      </c>
      <c r="H286" s="1">
        <v>0.693</v>
      </c>
      <c r="I286" s="2">
        <f t="shared" si="6"/>
        <v>10.255445</v>
      </c>
      <c r="J286" s="2">
        <f t="shared" si="7"/>
        <v>0</v>
      </c>
      <c r="K286" s="2">
        <f t="shared" si="8"/>
        <v>0</v>
      </c>
      <c r="L286" s="2">
        <f t="shared" si="9"/>
        <v>0.693</v>
      </c>
      <c r="M286" s="2">
        <f t="shared" si="10"/>
        <v>10.948445</v>
      </c>
      <c r="N286" s="2">
        <f t="shared" si="11"/>
        <v>10.948445</v>
      </c>
    </row>
    <row r="287">
      <c r="A287" s="1" t="s">
        <v>299</v>
      </c>
      <c r="B287" s="2" t="str">
        <f t="shared" si="1"/>
        <v>n60</v>
      </c>
      <c r="C287" s="2" t="str">
        <f t="shared" si="2"/>
        <v>f</v>
      </c>
      <c r="D287" s="2" t="str">
        <f t="shared" si="3"/>
        <v>07</v>
      </c>
      <c r="E287" s="2" t="str">
        <f t="shared" si="4"/>
        <v>n60f</v>
      </c>
      <c r="F287" s="2" t="str">
        <f t="shared" si="5"/>
        <v>08.12.09</v>
      </c>
      <c r="G287" s="1">
        <v>-148.299</v>
      </c>
      <c r="H287" s="1">
        <v>1.474</v>
      </c>
      <c r="I287" s="2">
        <f t="shared" si="6"/>
        <v>25.296271</v>
      </c>
      <c r="J287" s="2">
        <f t="shared" si="7"/>
        <v>31.701</v>
      </c>
      <c r="K287" s="2">
        <f t="shared" si="8"/>
        <v>0.4145300001</v>
      </c>
      <c r="L287" s="2">
        <f t="shared" si="9"/>
        <v>1.414510827</v>
      </c>
      <c r="M287" s="2">
        <f t="shared" si="10"/>
        <v>26.71078183</v>
      </c>
      <c r="N287" s="2">
        <f t="shared" si="11"/>
        <v>26.71399822</v>
      </c>
    </row>
    <row r="288">
      <c r="A288" s="1" t="s">
        <v>300</v>
      </c>
      <c r="B288" s="2" t="str">
        <f t="shared" si="1"/>
        <v>n60</v>
      </c>
      <c r="C288" s="2" t="str">
        <f t="shared" si="2"/>
        <v>f</v>
      </c>
      <c r="D288" s="2" t="str">
        <f t="shared" si="3"/>
        <v>09</v>
      </c>
      <c r="E288" s="2" t="str">
        <f t="shared" si="4"/>
        <v>n60f</v>
      </c>
      <c r="F288" s="2" t="str">
        <f t="shared" si="5"/>
        <v>08.06.09</v>
      </c>
      <c r="G288" s="1">
        <v>-129.806</v>
      </c>
      <c r="H288" s="1">
        <v>0.85</v>
      </c>
      <c r="I288" s="2">
        <f t="shared" si="6"/>
        <v>40.337097</v>
      </c>
      <c r="J288" s="2">
        <f t="shared" si="7"/>
        <v>50.194</v>
      </c>
      <c r="K288" s="2">
        <f t="shared" si="8"/>
        <v>0.06070835731</v>
      </c>
      <c r="L288" s="2">
        <f t="shared" si="9"/>
        <v>0.8478292843</v>
      </c>
      <c r="M288" s="2">
        <f t="shared" si="10"/>
        <v>41.18492628</v>
      </c>
      <c r="N288" s="2">
        <f t="shared" si="11"/>
        <v>41.18497103</v>
      </c>
    </row>
    <row r="289">
      <c r="A289" s="1" t="s">
        <v>301</v>
      </c>
      <c r="B289" s="2" t="str">
        <f t="shared" si="1"/>
        <v>n60</v>
      </c>
      <c r="C289" s="2" t="str">
        <f t="shared" si="2"/>
        <v>f</v>
      </c>
      <c r="D289" s="2" t="str">
        <f t="shared" si="3"/>
        <v>11</v>
      </c>
      <c r="E289" s="2" t="str">
        <f t="shared" si="4"/>
        <v>n60f</v>
      </c>
      <c r="F289" s="2" t="str">
        <f t="shared" si="5"/>
        <v>08.06.09</v>
      </c>
      <c r="G289" s="1">
        <v>-132.614</v>
      </c>
      <c r="H289" s="1">
        <v>1.235</v>
      </c>
      <c r="I289" s="2">
        <f t="shared" si="6"/>
        <v>55.377923</v>
      </c>
      <c r="J289" s="2">
        <f t="shared" si="7"/>
        <v>47.386</v>
      </c>
      <c r="K289" s="2">
        <f t="shared" si="8"/>
        <v>0.3200122743</v>
      </c>
      <c r="L289" s="2">
        <f t="shared" si="9"/>
        <v>1.192818991</v>
      </c>
      <c r="M289" s="2">
        <f t="shared" si="10"/>
        <v>56.57074199</v>
      </c>
      <c r="N289" s="2">
        <f t="shared" si="11"/>
        <v>56.57164711</v>
      </c>
    </row>
    <row r="290">
      <c r="A290" s="1" t="s">
        <v>302</v>
      </c>
      <c r="B290" s="2" t="str">
        <f t="shared" si="1"/>
        <v>n60</v>
      </c>
      <c r="C290" s="2" t="str">
        <f t="shared" si="2"/>
        <v>f</v>
      </c>
      <c r="D290" s="2" t="str">
        <f t="shared" si="3"/>
        <v>11</v>
      </c>
      <c r="E290" s="2" t="str">
        <f t="shared" si="4"/>
        <v>n60f</v>
      </c>
      <c r="F290" s="2" t="str">
        <f t="shared" si="5"/>
        <v>08.12.09</v>
      </c>
      <c r="G290" s="1">
        <v>-154.29</v>
      </c>
      <c r="H290" s="1">
        <v>1.12</v>
      </c>
      <c r="I290" s="2">
        <f t="shared" si="6"/>
        <v>55.377923</v>
      </c>
      <c r="J290" s="2">
        <f t="shared" si="7"/>
        <v>25.71</v>
      </c>
      <c r="K290" s="2">
        <f t="shared" si="8"/>
        <v>0.6112164186</v>
      </c>
      <c r="L290" s="2">
        <f t="shared" si="9"/>
        <v>0.938517176</v>
      </c>
      <c r="M290" s="2">
        <f t="shared" si="10"/>
        <v>56.31644018</v>
      </c>
      <c r="N290" s="2">
        <f t="shared" si="11"/>
        <v>56.31975692</v>
      </c>
    </row>
    <row r="291">
      <c r="A291" s="1" t="s">
        <v>303</v>
      </c>
      <c r="B291" s="2" t="str">
        <f t="shared" si="1"/>
        <v>n60</v>
      </c>
      <c r="C291" s="2" t="str">
        <f t="shared" si="2"/>
        <v>f</v>
      </c>
      <c r="D291" s="2" t="str">
        <f t="shared" si="3"/>
        <v>13</v>
      </c>
      <c r="E291" s="2" t="str">
        <f t="shared" si="4"/>
        <v>n60f</v>
      </c>
      <c r="F291" s="2" t="str">
        <f t="shared" si="5"/>
        <v>08.06.09</v>
      </c>
      <c r="G291" s="1">
        <v>152.103</v>
      </c>
      <c r="H291" s="1">
        <v>0.699</v>
      </c>
      <c r="I291" s="2">
        <f t="shared" si="6"/>
        <v>70.418749</v>
      </c>
      <c r="J291" s="2">
        <f t="shared" si="7"/>
        <v>27.897</v>
      </c>
      <c r="K291" s="2">
        <f t="shared" si="8"/>
        <v>0.2575418142</v>
      </c>
      <c r="L291" s="2">
        <f t="shared" si="9"/>
        <v>0.6498255258</v>
      </c>
      <c r="M291" s="2">
        <f t="shared" si="10"/>
        <v>71.06857453</v>
      </c>
      <c r="N291" s="2">
        <f t="shared" si="11"/>
        <v>71.06904117</v>
      </c>
    </row>
    <row r="292">
      <c r="A292" s="1" t="s">
        <v>304</v>
      </c>
      <c r="B292" s="2" t="str">
        <f t="shared" si="1"/>
        <v>n60</v>
      </c>
      <c r="C292" s="2" t="str">
        <f t="shared" si="2"/>
        <v>f</v>
      </c>
      <c r="D292" s="2" t="str">
        <f t="shared" si="3"/>
        <v>13</v>
      </c>
      <c r="E292" s="2" t="str">
        <f t="shared" si="4"/>
        <v>n60f</v>
      </c>
      <c r="F292" s="2" t="str">
        <f t="shared" si="5"/>
        <v>08.06.09</v>
      </c>
      <c r="G292" s="1">
        <v>-167.276</v>
      </c>
      <c r="H292" s="1">
        <v>1.155</v>
      </c>
      <c r="I292" s="2">
        <f t="shared" si="6"/>
        <v>70.418749</v>
      </c>
      <c r="J292" s="2">
        <f t="shared" si="7"/>
        <v>12.724</v>
      </c>
      <c r="K292" s="2">
        <f t="shared" si="8"/>
        <v>0.181308927</v>
      </c>
      <c r="L292" s="2">
        <f t="shared" si="9"/>
        <v>1.140680531</v>
      </c>
      <c r="M292" s="2">
        <f t="shared" si="10"/>
        <v>71.55942953</v>
      </c>
      <c r="N292" s="2">
        <f t="shared" si="11"/>
        <v>71.55965922</v>
      </c>
    </row>
    <row r="293">
      <c r="A293" s="1" t="s">
        <v>305</v>
      </c>
      <c r="B293" s="2" t="str">
        <f t="shared" si="1"/>
        <v>n60</v>
      </c>
      <c r="C293" s="2" t="str">
        <f t="shared" si="2"/>
        <v>f</v>
      </c>
      <c r="D293" s="2" t="str">
        <f t="shared" si="3"/>
        <v>13</v>
      </c>
      <c r="E293" s="2" t="str">
        <f t="shared" si="4"/>
        <v>n60f</v>
      </c>
      <c r="F293" s="2" t="str">
        <f t="shared" si="5"/>
        <v>08.06.09</v>
      </c>
      <c r="G293" s="1">
        <v>170.218</v>
      </c>
      <c r="H293" s="1">
        <v>2.14</v>
      </c>
      <c r="I293" s="2">
        <f t="shared" si="6"/>
        <v>70.418749</v>
      </c>
      <c r="J293" s="2">
        <f t="shared" si="7"/>
        <v>9.782</v>
      </c>
      <c r="K293" s="2">
        <f t="shared" si="8"/>
        <v>0.7483002044</v>
      </c>
      <c r="L293" s="2">
        <f t="shared" si="9"/>
        <v>2.004905685</v>
      </c>
      <c r="M293" s="2">
        <f t="shared" si="10"/>
        <v>72.42365468</v>
      </c>
      <c r="N293" s="2">
        <f t="shared" si="11"/>
        <v>72.4275204</v>
      </c>
    </row>
    <row r="294">
      <c r="A294" s="1" t="s">
        <v>306</v>
      </c>
      <c r="B294" s="2" t="str">
        <f t="shared" si="1"/>
        <v>n60</v>
      </c>
      <c r="C294" s="2" t="str">
        <f t="shared" si="2"/>
        <v>f</v>
      </c>
      <c r="D294" s="2" t="str">
        <f t="shared" si="3"/>
        <v>13</v>
      </c>
      <c r="E294" s="2" t="str">
        <f t="shared" si="4"/>
        <v>n60f</v>
      </c>
      <c r="F294" s="2" t="str">
        <f t="shared" si="5"/>
        <v>08.06.09</v>
      </c>
      <c r="G294" s="1">
        <v>-161.565</v>
      </c>
      <c r="H294" s="1">
        <v>1.38</v>
      </c>
      <c r="I294" s="2">
        <f t="shared" si="6"/>
        <v>70.418749</v>
      </c>
      <c r="J294" s="2">
        <f t="shared" si="7"/>
        <v>18.435</v>
      </c>
      <c r="K294" s="2">
        <f t="shared" si="8"/>
        <v>0.5558412399</v>
      </c>
      <c r="L294" s="2">
        <f t="shared" si="9"/>
        <v>1.263107484</v>
      </c>
      <c r="M294" s="2">
        <f t="shared" si="10"/>
        <v>71.68185648</v>
      </c>
      <c r="N294" s="2">
        <f t="shared" si="11"/>
        <v>71.68401153</v>
      </c>
    </row>
    <row r="295">
      <c r="A295" s="1" t="s">
        <v>307</v>
      </c>
      <c r="B295" s="2" t="str">
        <f t="shared" si="1"/>
        <v>n60</v>
      </c>
      <c r="C295" s="2" t="str">
        <f t="shared" si="2"/>
        <v>f</v>
      </c>
      <c r="D295" s="2" t="str">
        <f t="shared" si="3"/>
        <v>13</v>
      </c>
      <c r="E295" s="2" t="str">
        <f t="shared" si="4"/>
        <v>n60f</v>
      </c>
      <c r="F295" s="2" t="str">
        <f t="shared" si="5"/>
        <v>08.12.09</v>
      </c>
      <c r="G295" s="1">
        <v>170.134</v>
      </c>
      <c r="H295" s="1">
        <v>0.859</v>
      </c>
      <c r="I295" s="2">
        <f t="shared" si="6"/>
        <v>70.418749</v>
      </c>
      <c r="J295" s="2">
        <f t="shared" si="7"/>
        <v>9.866</v>
      </c>
      <c r="K295" s="2">
        <f t="shared" si="8"/>
        <v>0.3668314736</v>
      </c>
      <c r="L295" s="2">
        <f t="shared" si="9"/>
        <v>0.7767339763</v>
      </c>
      <c r="M295" s="2">
        <f t="shared" si="10"/>
        <v>71.19548298</v>
      </c>
      <c r="N295" s="2">
        <f t="shared" si="11"/>
        <v>71.19642801</v>
      </c>
    </row>
    <row r="296">
      <c r="A296" s="1" t="s">
        <v>308</v>
      </c>
      <c r="B296" s="2" t="str">
        <f t="shared" si="1"/>
        <v>n60</v>
      </c>
      <c r="C296" s="2" t="str">
        <f t="shared" si="2"/>
        <v>f</v>
      </c>
      <c r="D296" s="2" t="str">
        <f t="shared" si="3"/>
        <v>15</v>
      </c>
      <c r="E296" s="2" t="str">
        <f t="shared" si="4"/>
        <v>n60f</v>
      </c>
      <c r="F296" s="2" t="str">
        <f t="shared" si="5"/>
        <v>08.06.09</v>
      </c>
      <c r="G296" s="1">
        <v>120.114</v>
      </c>
      <c r="H296" s="1">
        <v>2.097</v>
      </c>
      <c r="I296" s="2">
        <f t="shared" si="6"/>
        <v>85.459575</v>
      </c>
      <c r="J296" s="2">
        <f t="shared" si="7"/>
        <v>59.886</v>
      </c>
      <c r="K296" s="2">
        <f t="shared" si="8"/>
        <v>0.4078498223</v>
      </c>
      <c r="L296" s="2">
        <f t="shared" si="9"/>
        <v>2.056955887</v>
      </c>
      <c r="M296" s="2">
        <f t="shared" si="10"/>
        <v>87.51653089</v>
      </c>
      <c r="N296" s="2">
        <f t="shared" si="11"/>
        <v>87.51748123</v>
      </c>
    </row>
    <row r="297">
      <c r="A297" s="1" t="s">
        <v>309</v>
      </c>
      <c r="B297" s="2" t="str">
        <f t="shared" si="1"/>
        <v>n60</v>
      </c>
      <c r="C297" s="2" t="str">
        <f t="shared" si="2"/>
        <v>f</v>
      </c>
      <c r="D297" s="2" t="str">
        <f t="shared" si="3"/>
        <v>15</v>
      </c>
      <c r="E297" s="2" t="str">
        <f t="shared" si="4"/>
        <v>n60f</v>
      </c>
      <c r="F297" s="2" t="str">
        <f t="shared" si="5"/>
        <v>08.06.09</v>
      </c>
      <c r="G297" s="1">
        <v>-165.964</v>
      </c>
      <c r="H297" s="1">
        <v>0.75</v>
      </c>
      <c r="I297" s="2">
        <f t="shared" si="6"/>
        <v>85.459575</v>
      </c>
      <c r="J297" s="2">
        <f t="shared" si="7"/>
        <v>14.036</v>
      </c>
      <c r="K297" s="2">
        <f t="shared" si="8"/>
        <v>0.7461652411</v>
      </c>
      <c r="L297" s="2">
        <f t="shared" si="9"/>
        <v>0.07574584479</v>
      </c>
      <c r="M297" s="2">
        <f t="shared" si="10"/>
        <v>85.53532084</v>
      </c>
      <c r="N297" s="2">
        <f t="shared" si="11"/>
        <v>85.53857536</v>
      </c>
    </row>
    <row r="298">
      <c r="A298" s="1" t="s">
        <v>310</v>
      </c>
      <c r="B298" s="2" t="str">
        <f t="shared" si="1"/>
        <v>n60</v>
      </c>
      <c r="C298" s="2" t="str">
        <f t="shared" si="2"/>
        <v>f</v>
      </c>
      <c r="D298" s="2" t="str">
        <f t="shared" si="3"/>
        <v>15</v>
      </c>
      <c r="E298" s="2" t="str">
        <f t="shared" si="4"/>
        <v>n60f</v>
      </c>
      <c r="F298" s="2" t="str">
        <f t="shared" si="5"/>
        <v>08.06.09</v>
      </c>
      <c r="G298" s="1">
        <v>173.29</v>
      </c>
      <c r="H298" s="1">
        <v>0.622</v>
      </c>
      <c r="I298" s="2">
        <f t="shared" si="6"/>
        <v>85.459575</v>
      </c>
      <c r="J298" s="2">
        <f t="shared" si="7"/>
        <v>6.71</v>
      </c>
      <c r="K298" s="2">
        <f t="shared" si="8"/>
        <v>0.2574914283</v>
      </c>
      <c r="L298" s="2">
        <f t="shared" si="9"/>
        <v>0.5661997566</v>
      </c>
      <c r="M298" s="2">
        <f t="shared" si="10"/>
        <v>86.02577476</v>
      </c>
      <c r="N298" s="2">
        <f t="shared" si="11"/>
        <v>86.02616012</v>
      </c>
    </row>
    <row r="299">
      <c r="A299" s="1" t="s">
        <v>311</v>
      </c>
      <c r="B299" s="2" t="str">
        <f t="shared" si="1"/>
        <v>n60</v>
      </c>
      <c r="C299" s="2" t="str">
        <f t="shared" si="2"/>
        <v>f</v>
      </c>
      <c r="D299" s="2" t="str">
        <f t="shared" si="3"/>
        <v>15</v>
      </c>
      <c r="E299" s="2" t="str">
        <f t="shared" si="4"/>
        <v>n60f</v>
      </c>
      <c r="F299" s="2" t="str">
        <f t="shared" si="5"/>
        <v>08.06.09</v>
      </c>
      <c r="G299" s="1">
        <v>135.0</v>
      </c>
      <c r="H299" s="1">
        <v>1.067</v>
      </c>
      <c r="I299" s="2">
        <f t="shared" si="6"/>
        <v>85.459575</v>
      </c>
      <c r="J299" s="2">
        <f t="shared" si="7"/>
        <v>45</v>
      </c>
      <c r="K299" s="2">
        <f t="shared" si="8"/>
        <v>0.9079140607</v>
      </c>
      <c r="L299" s="2">
        <f t="shared" si="9"/>
        <v>0.5605185621</v>
      </c>
      <c r="M299" s="2">
        <f t="shared" si="10"/>
        <v>86.02009356</v>
      </c>
      <c r="N299" s="2">
        <f t="shared" si="11"/>
        <v>86.0248848</v>
      </c>
    </row>
    <row r="300">
      <c r="A300" s="1" t="s">
        <v>312</v>
      </c>
      <c r="B300" s="2" t="str">
        <f t="shared" si="1"/>
        <v>n60</v>
      </c>
      <c r="C300" s="2" t="str">
        <f t="shared" si="2"/>
        <v>f</v>
      </c>
      <c r="D300" s="2" t="str">
        <f t="shared" si="3"/>
        <v>15</v>
      </c>
      <c r="E300" s="2" t="str">
        <f t="shared" si="4"/>
        <v>n60f</v>
      </c>
      <c r="F300" s="2" t="str">
        <f t="shared" si="5"/>
        <v>08.12.09</v>
      </c>
      <c r="G300" s="1">
        <v>95.906</v>
      </c>
      <c r="H300" s="1">
        <v>1.077</v>
      </c>
      <c r="I300" s="2">
        <f t="shared" si="6"/>
        <v>85.459575</v>
      </c>
      <c r="J300" s="2">
        <f t="shared" si="7"/>
        <v>84.094</v>
      </c>
      <c r="K300" s="2">
        <f t="shared" si="8"/>
        <v>0.717417008</v>
      </c>
      <c r="L300" s="2">
        <f t="shared" si="9"/>
        <v>0.803269467</v>
      </c>
      <c r="M300" s="2">
        <f t="shared" si="10"/>
        <v>86.26284447</v>
      </c>
      <c r="N300" s="2">
        <f t="shared" si="11"/>
        <v>86.26582766</v>
      </c>
    </row>
    <row r="301">
      <c r="A301" s="1" t="s">
        <v>313</v>
      </c>
      <c r="B301" s="2" t="str">
        <f t="shared" si="1"/>
        <v>n60</v>
      </c>
      <c r="C301" s="2" t="str">
        <f t="shared" si="2"/>
        <v>f</v>
      </c>
      <c r="D301" s="2" t="str">
        <f t="shared" si="3"/>
        <v>15</v>
      </c>
      <c r="E301" s="2" t="str">
        <f t="shared" si="4"/>
        <v>n60f</v>
      </c>
      <c r="F301" s="2" t="str">
        <f t="shared" si="5"/>
        <v>08.12.09</v>
      </c>
      <c r="G301" s="1">
        <v>-164.745</v>
      </c>
      <c r="H301" s="1">
        <v>0.833</v>
      </c>
      <c r="I301" s="2">
        <f t="shared" si="6"/>
        <v>85.459575</v>
      </c>
      <c r="J301" s="2">
        <f t="shared" si="7"/>
        <v>15.255</v>
      </c>
      <c r="K301" s="2">
        <f t="shared" si="8"/>
        <v>0.3645473615</v>
      </c>
      <c r="L301" s="2">
        <f t="shared" si="9"/>
        <v>0.7489954748</v>
      </c>
      <c r="M301" s="2">
        <f t="shared" si="10"/>
        <v>86.20857047</v>
      </c>
      <c r="N301" s="2">
        <f t="shared" si="11"/>
        <v>86.20934125</v>
      </c>
    </row>
    <row r="302">
      <c r="A302" s="1" t="s">
        <v>314</v>
      </c>
      <c r="B302" s="2" t="str">
        <f t="shared" si="1"/>
        <v>n60</v>
      </c>
      <c r="C302" s="2" t="str">
        <f t="shared" si="2"/>
        <v>f</v>
      </c>
      <c r="D302" s="2" t="str">
        <f t="shared" si="3"/>
        <v>15</v>
      </c>
      <c r="E302" s="2" t="str">
        <f t="shared" si="4"/>
        <v>n60f</v>
      </c>
      <c r="F302" s="2" t="str">
        <f t="shared" si="5"/>
        <v>08.12.09</v>
      </c>
      <c r="G302" s="1">
        <v>173.884</v>
      </c>
      <c r="H302" s="1">
        <v>2.089</v>
      </c>
      <c r="I302" s="2">
        <f t="shared" si="6"/>
        <v>85.459575</v>
      </c>
      <c r="J302" s="2">
        <f t="shared" si="7"/>
        <v>6.116</v>
      </c>
      <c r="K302" s="2">
        <f t="shared" si="8"/>
        <v>0.3476254016</v>
      </c>
      <c r="L302" s="2">
        <f t="shared" si="9"/>
        <v>2.059873195</v>
      </c>
      <c r="M302" s="2">
        <f t="shared" si="10"/>
        <v>87.5194482</v>
      </c>
      <c r="N302" s="2">
        <f t="shared" si="11"/>
        <v>87.52013857</v>
      </c>
    </row>
    <row r="303">
      <c r="A303" s="1" t="s">
        <v>315</v>
      </c>
      <c r="B303" s="2" t="str">
        <f t="shared" si="1"/>
        <v>n60</v>
      </c>
      <c r="C303" s="2" t="str">
        <f t="shared" si="2"/>
        <v>f</v>
      </c>
      <c r="D303" s="2" t="str">
        <f t="shared" si="3"/>
        <v>15</v>
      </c>
      <c r="E303" s="2" t="str">
        <f t="shared" si="4"/>
        <v>n60f</v>
      </c>
      <c r="F303" s="2" t="str">
        <f t="shared" si="5"/>
        <v>08.12.09</v>
      </c>
      <c r="G303" s="1">
        <v>-174.289</v>
      </c>
      <c r="H303" s="1">
        <v>0.761</v>
      </c>
      <c r="I303" s="2">
        <f t="shared" si="6"/>
        <v>85.459575</v>
      </c>
      <c r="J303" s="2">
        <f t="shared" si="7"/>
        <v>5.711</v>
      </c>
      <c r="K303" s="2">
        <f t="shared" si="8"/>
        <v>0.4120591045</v>
      </c>
      <c r="L303" s="2">
        <f t="shared" si="9"/>
        <v>0.6397876948</v>
      </c>
      <c r="M303" s="2">
        <f t="shared" si="10"/>
        <v>86.09936269</v>
      </c>
      <c r="N303" s="2">
        <f t="shared" si="11"/>
        <v>86.10034872</v>
      </c>
    </row>
    <row r="304">
      <c r="A304" s="1" t="s">
        <v>316</v>
      </c>
      <c r="B304" s="2" t="str">
        <f t="shared" si="1"/>
        <v>n60</v>
      </c>
      <c r="C304" s="2" t="str">
        <f t="shared" si="2"/>
        <v>f</v>
      </c>
      <c r="D304" s="2" t="str">
        <f t="shared" si="3"/>
        <v>15</v>
      </c>
      <c r="E304" s="2" t="str">
        <f t="shared" si="4"/>
        <v>n60f</v>
      </c>
      <c r="F304" s="2" t="str">
        <f t="shared" si="5"/>
        <v>08.12.09</v>
      </c>
      <c r="G304" s="1">
        <v>-105.642</v>
      </c>
      <c r="H304" s="1">
        <v>0.95</v>
      </c>
      <c r="I304" s="2">
        <f t="shared" si="6"/>
        <v>85.459575</v>
      </c>
      <c r="J304" s="2">
        <f t="shared" si="7"/>
        <v>74.358</v>
      </c>
      <c r="K304" s="2">
        <f t="shared" si="8"/>
        <v>0.8193915681</v>
      </c>
      <c r="L304" s="2">
        <f t="shared" si="9"/>
        <v>0.4807259699</v>
      </c>
      <c r="M304" s="2">
        <f t="shared" si="10"/>
        <v>85.94030097</v>
      </c>
      <c r="N304" s="2">
        <f t="shared" si="11"/>
        <v>85.9442071</v>
      </c>
    </row>
    <row r="305">
      <c r="A305" s="1" t="s">
        <v>317</v>
      </c>
      <c r="B305" s="2" t="str">
        <f t="shared" si="1"/>
        <v>n60</v>
      </c>
      <c r="C305" s="2" t="str">
        <f t="shared" si="2"/>
        <v>f</v>
      </c>
      <c r="D305" s="2" t="str">
        <f t="shared" si="3"/>
        <v>17</v>
      </c>
      <c r="E305" s="2" t="str">
        <f t="shared" si="4"/>
        <v>n60f</v>
      </c>
      <c r="F305" s="2" t="str">
        <f t="shared" si="5"/>
        <v>08.06.09</v>
      </c>
      <c r="G305" s="1">
        <v>154.44</v>
      </c>
      <c r="H305" s="1">
        <v>0.911</v>
      </c>
      <c r="I305" s="2">
        <f t="shared" si="6"/>
        <v>100.500401</v>
      </c>
      <c r="J305" s="2">
        <f t="shared" si="7"/>
        <v>25.56</v>
      </c>
      <c r="K305" s="2">
        <f t="shared" si="8"/>
        <v>0.3774979538</v>
      </c>
      <c r="L305" s="2">
        <f t="shared" si="9"/>
        <v>0.82910572</v>
      </c>
      <c r="M305" s="2">
        <f t="shared" si="10"/>
        <v>101.3295067</v>
      </c>
      <c r="N305" s="2">
        <f t="shared" si="11"/>
        <v>101.3302099</v>
      </c>
    </row>
    <row r="306">
      <c r="A306" s="1" t="s">
        <v>318</v>
      </c>
      <c r="B306" s="2" t="str">
        <f t="shared" si="1"/>
        <v>n60</v>
      </c>
      <c r="C306" s="2" t="str">
        <f t="shared" si="2"/>
        <v>f</v>
      </c>
      <c r="D306" s="2" t="str">
        <f t="shared" si="3"/>
        <v>17</v>
      </c>
      <c r="E306" s="2" t="str">
        <f t="shared" si="4"/>
        <v>n60f</v>
      </c>
      <c r="F306" s="2" t="str">
        <f t="shared" si="5"/>
        <v>08.06.09</v>
      </c>
      <c r="G306" s="1">
        <v>135.971</v>
      </c>
      <c r="H306" s="1">
        <v>1.53</v>
      </c>
      <c r="I306" s="2">
        <f t="shared" si="6"/>
        <v>100.500401</v>
      </c>
      <c r="J306" s="2">
        <f t="shared" si="7"/>
        <v>44.029</v>
      </c>
      <c r="K306" s="2">
        <f t="shared" si="8"/>
        <v>0.07142938706</v>
      </c>
      <c r="L306" s="2">
        <f t="shared" si="9"/>
        <v>1.528331719</v>
      </c>
      <c r="M306" s="2">
        <f t="shared" si="10"/>
        <v>102.0287327</v>
      </c>
      <c r="N306" s="2">
        <f t="shared" si="11"/>
        <v>102.0287577</v>
      </c>
    </row>
    <row r="307">
      <c r="A307" s="1" t="s">
        <v>319</v>
      </c>
      <c r="B307" s="2" t="str">
        <f t="shared" si="1"/>
        <v>n60</v>
      </c>
      <c r="C307" s="2" t="str">
        <f t="shared" si="2"/>
        <v>f</v>
      </c>
      <c r="D307" s="2" t="str">
        <f t="shared" si="3"/>
        <v>17</v>
      </c>
      <c r="E307" s="2" t="str">
        <f t="shared" si="4"/>
        <v>n60f</v>
      </c>
      <c r="F307" s="2" t="str">
        <f t="shared" si="5"/>
        <v>08.06.09</v>
      </c>
      <c r="G307" s="1">
        <v>161.565</v>
      </c>
      <c r="H307" s="1">
        <v>0.675</v>
      </c>
      <c r="I307" s="2">
        <f t="shared" si="6"/>
        <v>100.500401</v>
      </c>
      <c r="J307" s="2">
        <f t="shared" si="7"/>
        <v>18.435</v>
      </c>
      <c r="K307" s="2">
        <f t="shared" si="8"/>
        <v>0.2718788674</v>
      </c>
      <c r="L307" s="2">
        <f t="shared" si="9"/>
        <v>0.6178243128</v>
      </c>
      <c r="M307" s="2">
        <f t="shared" si="10"/>
        <v>101.1182253</v>
      </c>
      <c r="N307" s="2">
        <f t="shared" si="11"/>
        <v>101.1185908</v>
      </c>
    </row>
    <row r="308">
      <c r="A308" s="1" t="s">
        <v>320</v>
      </c>
      <c r="B308" s="2" t="str">
        <f t="shared" si="1"/>
        <v>n60</v>
      </c>
      <c r="C308" s="2" t="str">
        <f t="shared" si="2"/>
        <v>f</v>
      </c>
      <c r="D308" s="2" t="str">
        <f t="shared" si="3"/>
        <v>17</v>
      </c>
      <c r="E308" s="2" t="str">
        <f t="shared" si="4"/>
        <v>n60f</v>
      </c>
      <c r="F308" s="2" t="str">
        <f t="shared" si="5"/>
        <v>08.06.09</v>
      </c>
      <c r="G308" s="1">
        <v>170.538</v>
      </c>
      <c r="H308" s="1">
        <v>0.864</v>
      </c>
      <c r="I308" s="2">
        <f t="shared" si="6"/>
        <v>100.500401</v>
      </c>
      <c r="J308" s="2">
        <f t="shared" si="7"/>
        <v>9.462</v>
      </c>
      <c r="K308" s="2">
        <f t="shared" si="8"/>
        <v>0.03215241627</v>
      </c>
      <c r="L308" s="2">
        <f t="shared" si="9"/>
        <v>0.8634015417</v>
      </c>
      <c r="M308" s="2">
        <f t="shared" si="10"/>
        <v>101.3638025</v>
      </c>
      <c r="N308" s="2">
        <f t="shared" si="11"/>
        <v>101.3638076</v>
      </c>
    </row>
    <row r="309">
      <c r="A309" s="1" t="s">
        <v>321</v>
      </c>
      <c r="B309" s="2" t="str">
        <f t="shared" si="1"/>
        <v>n60</v>
      </c>
      <c r="C309" s="2" t="str">
        <f t="shared" si="2"/>
        <v>f</v>
      </c>
      <c r="D309" s="2" t="str">
        <f t="shared" si="3"/>
        <v>17</v>
      </c>
      <c r="E309" s="2" t="str">
        <f t="shared" si="4"/>
        <v>n60f</v>
      </c>
      <c r="F309" s="2" t="str">
        <f t="shared" si="5"/>
        <v>08.06.09</v>
      </c>
      <c r="G309" s="1">
        <v>177.138</v>
      </c>
      <c r="H309" s="1">
        <v>0.747</v>
      </c>
      <c r="I309" s="2">
        <f t="shared" si="6"/>
        <v>100.500401</v>
      </c>
      <c r="J309" s="2">
        <f t="shared" si="7"/>
        <v>2.862</v>
      </c>
      <c r="K309" s="2">
        <f t="shared" si="8"/>
        <v>0.2061452149</v>
      </c>
      <c r="L309" s="2">
        <f t="shared" si="9"/>
        <v>0.7179924445</v>
      </c>
      <c r="M309" s="2">
        <f t="shared" si="10"/>
        <v>101.2183934</v>
      </c>
      <c r="N309" s="2">
        <f t="shared" si="11"/>
        <v>101.2186034</v>
      </c>
    </row>
    <row r="310">
      <c r="A310" s="1" t="s">
        <v>322</v>
      </c>
      <c r="B310" s="2" t="str">
        <f t="shared" si="1"/>
        <v>n60</v>
      </c>
      <c r="C310" s="2" t="str">
        <f t="shared" si="2"/>
        <v>f</v>
      </c>
      <c r="D310" s="2" t="str">
        <f t="shared" si="3"/>
        <v>17</v>
      </c>
      <c r="E310" s="2" t="str">
        <f t="shared" si="4"/>
        <v>n60f</v>
      </c>
      <c r="F310" s="2" t="str">
        <f t="shared" si="5"/>
        <v>08.06.09</v>
      </c>
      <c r="G310" s="1">
        <v>-169.509</v>
      </c>
      <c r="H310" s="1">
        <v>0.998</v>
      </c>
      <c r="I310" s="2">
        <f t="shared" si="6"/>
        <v>100.500401</v>
      </c>
      <c r="J310" s="2">
        <f t="shared" si="7"/>
        <v>10.491</v>
      </c>
      <c r="K310" s="2">
        <f t="shared" si="8"/>
        <v>0.8736295972</v>
      </c>
      <c r="L310" s="2">
        <f t="shared" si="9"/>
        <v>0.4824679542</v>
      </c>
      <c r="M310" s="2">
        <f t="shared" si="10"/>
        <v>100.982869</v>
      </c>
      <c r="N310" s="2">
        <f t="shared" si="11"/>
        <v>100.9866479</v>
      </c>
    </row>
    <row r="311">
      <c r="A311" s="1" t="s">
        <v>323</v>
      </c>
      <c r="B311" s="2" t="str">
        <f t="shared" si="1"/>
        <v>n60</v>
      </c>
      <c r="C311" s="2" t="str">
        <f t="shared" si="2"/>
        <v>f</v>
      </c>
      <c r="D311" s="2" t="str">
        <f t="shared" si="3"/>
        <v>17</v>
      </c>
      <c r="E311" s="2" t="str">
        <f t="shared" si="4"/>
        <v>n60f</v>
      </c>
      <c r="F311" s="2" t="str">
        <f t="shared" si="5"/>
        <v>08.12.09</v>
      </c>
      <c r="G311" s="1">
        <v>-148.392</v>
      </c>
      <c r="H311" s="1">
        <v>0.546</v>
      </c>
      <c r="I311" s="2">
        <f t="shared" si="6"/>
        <v>100.500401</v>
      </c>
      <c r="J311" s="2">
        <f t="shared" si="7"/>
        <v>31.608</v>
      </c>
      <c r="K311" s="2">
        <f t="shared" si="8"/>
        <v>0.1042284724</v>
      </c>
      <c r="L311" s="2">
        <f t="shared" si="9"/>
        <v>0.5359593506</v>
      </c>
      <c r="M311" s="2">
        <f t="shared" si="10"/>
        <v>101.0363604</v>
      </c>
      <c r="N311" s="2">
        <f t="shared" si="11"/>
        <v>101.0364141</v>
      </c>
    </row>
    <row r="312">
      <c r="A312" s="1" t="s">
        <v>324</v>
      </c>
      <c r="B312" s="2" t="str">
        <f t="shared" si="1"/>
        <v>n60</v>
      </c>
      <c r="C312" s="2" t="str">
        <f t="shared" si="2"/>
        <v>f</v>
      </c>
      <c r="D312" s="2" t="str">
        <f t="shared" si="3"/>
        <v>19</v>
      </c>
      <c r="E312" s="2" t="str">
        <f t="shared" si="4"/>
        <v>n60f</v>
      </c>
      <c r="F312" s="2" t="str">
        <f t="shared" si="5"/>
        <v>08.06.09</v>
      </c>
      <c r="G312" s="1">
        <v>-164.249</v>
      </c>
      <c r="H312" s="1">
        <v>1.458</v>
      </c>
      <c r="I312" s="2">
        <f t="shared" si="6"/>
        <v>115.541227</v>
      </c>
      <c r="J312" s="2">
        <f t="shared" si="7"/>
        <v>15.751</v>
      </c>
      <c r="K312" s="2">
        <f t="shared" si="8"/>
        <v>0.06272818737</v>
      </c>
      <c r="L312" s="2">
        <f t="shared" si="9"/>
        <v>1.456649984</v>
      </c>
      <c r="M312" s="2">
        <f t="shared" si="10"/>
        <v>116.997877</v>
      </c>
      <c r="N312" s="2">
        <f t="shared" si="11"/>
        <v>116.9978938</v>
      </c>
    </row>
    <row r="313">
      <c r="A313" s="1" t="s">
        <v>325</v>
      </c>
      <c r="B313" s="2" t="str">
        <f t="shared" si="1"/>
        <v>n60</v>
      </c>
      <c r="C313" s="2" t="str">
        <f t="shared" si="2"/>
        <v>f</v>
      </c>
      <c r="D313" s="2" t="str">
        <f t="shared" si="3"/>
        <v>19</v>
      </c>
      <c r="E313" s="2" t="str">
        <f t="shared" si="4"/>
        <v>n60f</v>
      </c>
      <c r="F313" s="2" t="str">
        <f t="shared" si="5"/>
        <v>08.12.09</v>
      </c>
      <c r="G313" s="1">
        <v>175.914</v>
      </c>
      <c r="H313" s="1">
        <v>1.063</v>
      </c>
      <c r="I313" s="2">
        <f t="shared" si="6"/>
        <v>115.541227</v>
      </c>
      <c r="J313" s="2">
        <f t="shared" si="7"/>
        <v>4.086</v>
      </c>
      <c r="K313" s="2">
        <f t="shared" si="8"/>
        <v>0.8611890767</v>
      </c>
      <c r="L313" s="2">
        <f t="shared" si="9"/>
        <v>0.6231551766</v>
      </c>
      <c r="M313" s="2">
        <f t="shared" si="10"/>
        <v>116.1643822</v>
      </c>
      <c r="N313" s="2">
        <f t="shared" si="11"/>
        <v>116.1675744</v>
      </c>
    </row>
    <row r="314">
      <c r="A314" s="1" t="s">
        <v>326</v>
      </c>
      <c r="B314" s="2" t="str">
        <f t="shared" si="1"/>
        <v>n60</v>
      </c>
      <c r="C314" s="2" t="str">
        <f t="shared" si="2"/>
        <v>f</v>
      </c>
      <c r="D314" s="2" t="str">
        <f t="shared" si="3"/>
        <v>19</v>
      </c>
      <c r="E314" s="2" t="str">
        <f t="shared" si="4"/>
        <v>n60f</v>
      </c>
      <c r="F314" s="2" t="str">
        <f t="shared" si="5"/>
        <v>08.12.09</v>
      </c>
      <c r="G314" s="1">
        <v>-174.289</v>
      </c>
      <c r="H314" s="1">
        <v>1.858</v>
      </c>
      <c r="I314" s="2">
        <f t="shared" si="6"/>
        <v>115.541227</v>
      </c>
      <c r="J314" s="2">
        <f t="shared" si="7"/>
        <v>5.711</v>
      </c>
      <c r="K314" s="2">
        <f t="shared" si="8"/>
        <v>1.006052321</v>
      </c>
      <c r="L314" s="2">
        <f t="shared" si="9"/>
        <v>1.56205721</v>
      </c>
      <c r="M314" s="2">
        <f t="shared" si="10"/>
        <v>117.1032842</v>
      </c>
      <c r="N314" s="2">
        <f t="shared" si="11"/>
        <v>117.1076057</v>
      </c>
    </row>
    <row r="315">
      <c r="A315" s="1" t="s">
        <v>327</v>
      </c>
      <c r="B315" s="2" t="str">
        <f t="shared" si="1"/>
        <v>n60</v>
      </c>
      <c r="C315" s="2" t="str">
        <f t="shared" si="2"/>
        <v>m</v>
      </c>
      <c r="D315" s="2" t="str">
        <f t="shared" si="3"/>
        <v>03</v>
      </c>
      <c r="E315" s="2" t="str">
        <f t="shared" si="4"/>
        <v>n60m</v>
      </c>
      <c r="F315" s="2" t="str">
        <f t="shared" si="5"/>
        <v>08.06.09</v>
      </c>
      <c r="G315" s="1">
        <v>-169.216</v>
      </c>
      <c r="H315" s="1">
        <v>0.809</v>
      </c>
      <c r="I315" s="2">
        <f t="shared" si="6"/>
        <v>-4.785381</v>
      </c>
      <c r="J315" s="2">
        <f t="shared" si="7"/>
        <v>10.784</v>
      </c>
      <c r="K315" s="2">
        <f t="shared" si="8"/>
        <v>0.7909605354</v>
      </c>
      <c r="L315" s="2">
        <f t="shared" si="9"/>
        <v>0.1698894683</v>
      </c>
      <c r="M315" s="2">
        <f t="shared" si="10"/>
        <v>-4.615491532</v>
      </c>
      <c r="N315" s="2">
        <f t="shared" si="11"/>
        <v>4.682774888</v>
      </c>
    </row>
    <row r="316">
      <c r="A316" s="1" t="s">
        <v>328</v>
      </c>
      <c r="B316" s="2" t="str">
        <f t="shared" si="1"/>
        <v>n60</v>
      </c>
      <c r="C316" s="2" t="str">
        <f t="shared" si="2"/>
        <v>m</v>
      </c>
      <c r="D316" s="2" t="str">
        <f t="shared" si="3"/>
        <v>03</v>
      </c>
      <c r="E316" s="2" t="str">
        <f t="shared" si="4"/>
        <v>n60m</v>
      </c>
      <c r="F316" s="2" t="str">
        <f t="shared" si="5"/>
        <v>08.06.09</v>
      </c>
      <c r="G316" s="1">
        <v>-172.405</v>
      </c>
      <c r="H316" s="1">
        <v>0.575</v>
      </c>
      <c r="I316" s="2">
        <f t="shared" si="6"/>
        <v>-4.785381</v>
      </c>
      <c r="J316" s="2">
        <f t="shared" si="7"/>
        <v>7.595</v>
      </c>
      <c r="K316" s="2">
        <f t="shared" si="8"/>
        <v>0.5558244855</v>
      </c>
      <c r="L316" s="2">
        <f t="shared" si="9"/>
        <v>0.147255361</v>
      </c>
      <c r="M316" s="2">
        <f t="shared" si="10"/>
        <v>-4.638125639</v>
      </c>
      <c r="N316" s="2">
        <f t="shared" si="11"/>
        <v>4.671311411</v>
      </c>
    </row>
    <row r="317">
      <c r="A317" s="1" t="s">
        <v>329</v>
      </c>
      <c r="B317" s="2" t="str">
        <f t="shared" si="1"/>
        <v>n60</v>
      </c>
      <c r="C317" s="2" t="str">
        <f t="shared" si="2"/>
        <v>m</v>
      </c>
      <c r="D317" s="2" t="str">
        <f t="shared" si="3"/>
        <v>07</v>
      </c>
      <c r="E317" s="2" t="str">
        <f t="shared" si="4"/>
        <v>n60m</v>
      </c>
      <c r="F317" s="2" t="str">
        <f t="shared" si="5"/>
        <v>08.06.09</v>
      </c>
      <c r="G317" s="1">
        <v>171.254</v>
      </c>
      <c r="H317" s="1">
        <v>0.457</v>
      </c>
      <c r="I317" s="2">
        <f t="shared" si="6"/>
        <v>25.296271</v>
      </c>
      <c r="J317" s="2">
        <f t="shared" si="7"/>
        <v>8.746</v>
      </c>
      <c r="K317" s="2">
        <f t="shared" si="8"/>
        <v>0.286923945</v>
      </c>
      <c r="L317" s="2">
        <f t="shared" si="9"/>
        <v>0.3557016303</v>
      </c>
      <c r="M317" s="2">
        <f t="shared" si="10"/>
        <v>25.65197263</v>
      </c>
      <c r="N317" s="2">
        <f t="shared" si="11"/>
        <v>25.65357724</v>
      </c>
    </row>
    <row r="318">
      <c r="A318" s="1" t="s">
        <v>330</v>
      </c>
      <c r="B318" s="2" t="str">
        <f t="shared" si="1"/>
        <v>n60</v>
      </c>
      <c r="C318" s="2" t="str">
        <f t="shared" si="2"/>
        <v>m</v>
      </c>
      <c r="D318" s="2" t="str">
        <f t="shared" si="3"/>
        <v>07</v>
      </c>
      <c r="E318" s="2" t="str">
        <f t="shared" si="4"/>
        <v>n60m</v>
      </c>
      <c r="F318" s="2" t="str">
        <f t="shared" si="5"/>
        <v>08.12.09</v>
      </c>
      <c r="G318" s="1">
        <v>-158.199</v>
      </c>
      <c r="H318" s="1">
        <v>0.617</v>
      </c>
      <c r="I318" s="2">
        <f t="shared" si="6"/>
        <v>25.296271</v>
      </c>
      <c r="J318" s="2">
        <f t="shared" si="7"/>
        <v>21.801</v>
      </c>
      <c r="K318" s="2">
        <f t="shared" si="8"/>
        <v>0.1166159581</v>
      </c>
      <c r="L318" s="2">
        <f t="shared" si="9"/>
        <v>0.6058792935</v>
      </c>
      <c r="M318" s="2">
        <f t="shared" si="10"/>
        <v>25.90215029</v>
      </c>
      <c r="N318" s="2">
        <f t="shared" si="11"/>
        <v>25.9024128</v>
      </c>
    </row>
    <row r="319">
      <c r="A319" s="1" t="s">
        <v>331</v>
      </c>
      <c r="B319" s="2" t="str">
        <f t="shared" si="1"/>
        <v>n60</v>
      </c>
      <c r="C319" s="2" t="str">
        <f t="shared" si="2"/>
        <v>m</v>
      </c>
      <c r="D319" s="2" t="str">
        <f t="shared" si="3"/>
        <v>09</v>
      </c>
      <c r="E319" s="2" t="str">
        <f t="shared" si="4"/>
        <v>n60m</v>
      </c>
      <c r="F319" s="2" t="str">
        <f t="shared" si="5"/>
        <v>08.06.09</v>
      </c>
      <c r="G319" s="1">
        <v>158.199</v>
      </c>
      <c r="H319" s="1">
        <v>0.597</v>
      </c>
      <c r="I319" s="2">
        <f t="shared" si="6"/>
        <v>40.337097</v>
      </c>
      <c r="J319" s="2">
        <f t="shared" si="7"/>
        <v>21.801</v>
      </c>
      <c r="K319" s="2">
        <f t="shared" si="8"/>
        <v>0.1128358622</v>
      </c>
      <c r="L319" s="2">
        <f t="shared" si="9"/>
        <v>0.5862397702</v>
      </c>
      <c r="M319" s="2">
        <f t="shared" si="10"/>
        <v>40.92333677</v>
      </c>
      <c r="N319" s="2">
        <f t="shared" si="11"/>
        <v>40.92349233</v>
      </c>
    </row>
    <row r="320">
      <c r="A320" s="1" t="s">
        <v>332</v>
      </c>
      <c r="B320" s="2" t="str">
        <f t="shared" si="1"/>
        <v>n60</v>
      </c>
      <c r="C320" s="2" t="str">
        <f t="shared" si="2"/>
        <v>m</v>
      </c>
      <c r="D320" s="2" t="str">
        <f t="shared" si="3"/>
        <v>09</v>
      </c>
      <c r="E320" s="2" t="str">
        <f t="shared" si="4"/>
        <v>n60m</v>
      </c>
      <c r="F320" s="2" t="str">
        <f t="shared" si="5"/>
        <v>08.12.09</v>
      </c>
      <c r="G320" s="1">
        <v>-176.309</v>
      </c>
      <c r="H320" s="1">
        <v>1.157</v>
      </c>
      <c r="I320" s="2">
        <f t="shared" si="6"/>
        <v>40.337097</v>
      </c>
      <c r="J320" s="2">
        <f t="shared" si="7"/>
        <v>3.691</v>
      </c>
      <c r="K320" s="2">
        <f t="shared" si="8"/>
        <v>0.6041644415</v>
      </c>
      <c r="L320" s="2">
        <f t="shared" si="9"/>
        <v>0.9867291055</v>
      </c>
      <c r="M320" s="2">
        <f t="shared" si="10"/>
        <v>41.32382611</v>
      </c>
      <c r="N320" s="2">
        <f t="shared" si="11"/>
        <v>41.32824239</v>
      </c>
    </row>
    <row r="321">
      <c r="A321" s="1" t="s">
        <v>333</v>
      </c>
      <c r="B321" s="2" t="str">
        <f t="shared" si="1"/>
        <v>n60</v>
      </c>
      <c r="C321" s="2" t="str">
        <f t="shared" si="2"/>
        <v>m</v>
      </c>
      <c r="D321" s="2" t="str">
        <f t="shared" si="3"/>
        <v>09</v>
      </c>
      <c r="E321" s="2" t="str">
        <f t="shared" si="4"/>
        <v>n60m</v>
      </c>
      <c r="F321" s="2" t="str">
        <f t="shared" si="5"/>
        <v>08.12.09</v>
      </c>
      <c r="G321" s="1">
        <v>127.875</v>
      </c>
      <c r="H321" s="1">
        <v>0.855</v>
      </c>
      <c r="I321" s="2">
        <f t="shared" si="6"/>
        <v>40.337097</v>
      </c>
      <c r="J321" s="2">
        <f t="shared" si="7"/>
        <v>52.125</v>
      </c>
      <c r="K321" s="2">
        <f t="shared" si="8"/>
        <v>0.8196104925</v>
      </c>
      <c r="L321" s="2">
        <f t="shared" si="9"/>
        <v>0.2434412468</v>
      </c>
      <c r="M321" s="2">
        <f t="shared" si="10"/>
        <v>40.58053825</v>
      </c>
      <c r="N321" s="2">
        <f t="shared" si="11"/>
        <v>40.58881429</v>
      </c>
    </row>
    <row r="322">
      <c r="A322" s="1" t="s">
        <v>334</v>
      </c>
      <c r="B322" s="2" t="str">
        <f t="shared" si="1"/>
        <v>n60</v>
      </c>
      <c r="C322" s="2" t="str">
        <f t="shared" si="2"/>
        <v>m</v>
      </c>
      <c r="D322" s="2" t="str">
        <f t="shared" si="3"/>
        <v>09</v>
      </c>
      <c r="E322" s="2" t="str">
        <f t="shared" si="4"/>
        <v>n60m</v>
      </c>
      <c r="F322" s="2" t="str">
        <f t="shared" si="5"/>
        <v>08.12.09</v>
      </c>
      <c r="G322" s="1">
        <v>126.87</v>
      </c>
      <c r="H322" s="1">
        <v>0.369</v>
      </c>
      <c r="I322" s="2">
        <f t="shared" si="6"/>
        <v>40.337097</v>
      </c>
      <c r="J322" s="2">
        <f t="shared" si="7"/>
        <v>53.13</v>
      </c>
      <c r="K322" s="2">
        <f t="shared" si="8"/>
        <v>0.1009375478</v>
      </c>
      <c r="L322" s="2">
        <f t="shared" si="9"/>
        <v>0.3549262056</v>
      </c>
      <c r="M322" s="2">
        <f t="shared" si="10"/>
        <v>40.69202321</v>
      </c>
      <c r="N322" s="2">
        <f t="shared" si="11"/>
        <v>40.69214839</v>
      </c>
    </row>
    <row r="323">
      <c r="A323" s="1" t="s">
        <v>335</v>
      </c>
      <c r="B323" s="2" t="str">
        <f t="shared" si="1"/>
        <v>n60</v>
      </c>
      <c r="C323" s="2" t="str">
        <f t="shared" si="2"/>
        <v>m</v>
      </c>
      <c r="D323" s="2" t="str">
        <f t="shared" si="3"/>
        <v>11</v>
      </c>
      <c r="E323" s="2" t="str">
        <f t="shared" si="4"/>
        <v>n60m</v>
      </c>
      <c r="F323" s="2" t="str">
        <f t="shared" si="5"/>
        <v>08.06.09</v>
      </c>
      <c r="G323" s="1">
        <v>-161.565</v>
      </c>
      <c r="H323" s="1">
        <v>1.049</v>
      </c>
      <c r="I323" s="2">
        <f t="shared" si="6"/>
        <v>55.377923</v>
      </c>
      <c r="J323" s="2">
        <f t="shared" si="7"/>
        <v>18.435</v>
      </c>
      <c r="K323" s="2">
        <f t="shared" si="8"/>
        <v>0.422519899</v>
      </c>
      <c r="L323" s="2">
        <f t="shared" si="9"/>
        <v>0.9601447469</v>
      </c>
      <c r="M323" s="2">
        <f t="shared" si="10"/>
        <v>56.33806775</v>
      </c>
      <c r="N323" s="2">
        <f t="shared" si="11"/>
        <v>56.33965212</v>
      </c>
    </row>
    <row r="324">
      <c r="A324" s="1" t="s">
        <v>336</v>
      </c>
      <c r="B324" s="2" t="str">
        <f t="shared" si="1"/>
        <v>n60</v>
      </c>
      <c r="C324" s="2" t="str">
        <f t="shared" si="2"/>
        <v>m</v>
      </c>
      <c r="D324" s="2" t="str">
        <f t="shared" si="3"/>
        <v>11</v>
      </c>
      <c r="E324" s="2" t="str">
        <f t="shared" si="4"/>
        <v>n60m</v>
      </c>
      <c r="F324" s="2" t="str">
        <f t="shared" si="5"/>
        <v>08.06.09</v>
      </c>
      <c r="G324" s="1">
        <v>169.695</v>
      </c>
      <c r="H324" s="1">
        <v>0.407</v>
      </c>
      <c r="I324" s="2">
        <f t="shared" si="6"/>
        <v>55.377923</v>
      </c>
      <c r="J324" s="2">
        <f t="shared" si="7"/>
        <v>10.305</v>
      </c>
      <c r="K324" s="2">
        <f t="shared" si="8"/>
        <v>0.3137482953</v>
      </c>
      <c r="L324" s="2">
        <f t="shared" si="9"/>
        <v>0.2592508577</v>
      </c>
      <c r="M324" s="2">
        <f t="shared" si="10"/>
        <v>55.63717386</v>
      </c>
      <c r="N324" s="2">
        <f t="shared" si="11"/>
        <v>55.63805849</v>
      </c>
    </row>
    <row r="325">
      <c r="A325" s="1" t="s">
        <v>337</v>
      </c>
      <c r="B325" s="2" t="str">
        <f t="shared" si="1"/>
        <v>n60</v>
      </c>
      <c r="C325" s="2" t="str">
        <f t="shared" si="2"/>
        <v>m</v>
      </c>
      <c r="D325" s="2" t="str">
        <f t="shared" si="3"/>
        <v>11</v>
      </c>
      <c r="E325" s="2" t="str">
        <f t="shared" si="4"/>
        <v>n60m</v>
      </c>
      <c r="F325" s="2" t="str">
        <f t="shared" si="5"/>
        <v>08.06.09</v>
      </c>
      <c r="G325" s="1">
        <v>180.0</v>
      </c>
      <c r="H325" s="1">
        <v>0.833</v>
      </c>
      <c r="I325" s="2">
        <f t="shared" si="6"/>
        <v>55.377923</v>
      </c>
      <c r="J325" s="2">
        <f t="shared" si="7"/>
        <v>0</v>
      </c>
      <c r="K325" s="2">
        <f t="shared" si="8"/>
        <v>0</v>
      </c>
      <c r="L325" s="2">
        <f t="shared" si="9"/>
        <v>0.833</v>
      </c>
      <c r="M325" s="2">
        <f t="shared" si="10"/>
        <v>56.210923</v>
      </c>
      <c r="N325" s="2">
        <f t="shared" si="11"/>
        <v>56.210923</v>
      </c>
    </row>
    <row r="326">
      <c r="A326" s="1" t="s">
        <v>338</v>
      </c>
      <c r="B326" s="2" t="str">
        <f t="shared" si="1"/>
        <v>n60</v>
      </c>
      <c r="C326" s="2" t="str">
        <f t="shared" si="2"/>
        <v>m</v>
      </c>
      <c r="D326" s="2" t="str">
        <f t="shared" si="3"/>
        <v>11</v>
      </c>
      <c r="E326" s="2" t="str">
        <f t="shared" si="4"/>
        <v>n60m</v>
      </c>
      <c r="F326" s="2" t="str">
        <f t="shared" si="5"/>
        <v>08.06.09</v>
      </c>
      <c r="G326" s="1">
        <v>175.03</v>
      </c>
      <c r="H326" s="1">
        <v>0.872</v>
      </c>
      <c r="I326" s="2">
        <f t="shared" si="6"/>
        <v>55.377923</v>
      </c>
      <c r="J326" s="2">
        <f t="shared" si="7"/>
        <v>4.97</v>
      </c>
      <c r="K326" s="2">
        <f t="shared" si="8"/>
        <v>0.8432252036</v>
      </c>
      <c r="L326" s="2">
        <f t="shared" si="9"/>
        <v>0.2221604287</v>
      </c>
      <c r="M326" s="2">
        <f t="shared" si="10"/>
        <v>55.60008343</v>
      </c>
      <c r="N326" s="2">
        <f t="shared" si="11"/>
        <v>55.60647719</v>
      </c>
    </row>
    <row r="327">
      <c r="A327" s="1" t="s">
        <v>339</v>
      </c>
      <c r="B327" s="2" t="str">
        <f t="shared" si="1"/>
        <v>n60</v>
      </c>
      <c r="C327" s="2" t="str">
        <f t="shared" si="2"/>
        <v>m</v>
      </c>
      <c r="D327" s="2" t="str">
        <f t="shared" si="3"/>
        <v>11</v>
      </c>
      <c r="E327" s="2" t="str">
        <f t="shared" si="4"/>
        <v>n60m</v>
      </c>
      <c r="F327" s="2" t="str">
        <f t="shared" si="5"/>
        <v>08.12.09</v>
      </c>
      <c r="G327" s="1">
        <v>-164.249</v>
      </c>
      <c r="H327" s="1">
        <v>1.501</v>
      </c>
      <c r="I327" s="2">
        <f t="shared" si="6"/>
        <v>55.377923</v>
      </c>
      <c r="J327" s="2">
        <f t="shared" si="7"/>
        <v>15.751</v>
      </c>
      <c r="K327" s="2">
        <f t="shared" si="8"/>
        <v>0.06457819564</v>
      </c>
      <c r="L327" s="2">
        <f t="shared" si="9"/>
        <v>1.499610168</v>
      </c>
      <c r="M327" s="2">
        <f t="shared" si="10"/>
        <v>56.87753317</v>
      </c>
      <c r="N327" s="2">
        <f t="shared" si="11"/>
        <v>56.87756983</v>
      </c>
    </row>
    <row r="328">
      <c r="A328" s="1" t="s">
        <v>340</v>
      </c>
      <c r="B328" s="2" t="str">
        <f t="shared" si="1"/>
        <v>n60</v>
      </c>
      <c r="C328" s="2" t="str">
        <f t="shared" si="2"/>
        <v>m</v>
      </c>
      <c r="D328" s="2" t="str">
        <f t="shared" si="3"/>
        <v>13</v>
      </c>
      <c r="E328" s="2" t="str">
        <f t="shared" si="4"/>
        <v>n60m</v>
      </c>
      <c r="F328" s="2" t="str">
        <f t="shared" si="5"/>
        <v>08.06.09</v>
      </c>
      <c r="G328" s="1">
        <v>123.69</v>
      </c>
      <c r="H328" s="1">
        <v>0.548</v>
      </c>
      <c r="I328" s="2">
        <f t="shared" si="6"/>
        <v>70.418749</v>
      </c>
      <c r="J328" s="2">
        <f t="shared" si="7"/>
        <v>56.31</v>
      </c>
      <c r="K328" s="2">
        <f t="shared" si="8"/>
        <v>0.129551784</v>
      </c>
      <c r="L328" s="2">
        <f t="shared" si="9"/>
        <v>0.5324662762</v>
      </c>
      <c r="M328" s="2">
        <f t="shared" si="10"/>
        <v>70.95121528</v>
      </c>
      <c r="N328" s="2">
        <f t="shared" si="11"/>
        <v>70.95133355</v>
      </c>
    </row>
    <row r="329">
      <c r="A329" s="1" t="s">
        <v>341</v>
      </c>
      <c r="B329" s="2" t="str">
        <f t="shared" si="1"/>
        <v>n60</v>
      </c>
      <c r="C329" s="2" t="str">
        <f t="shared" si="2"/>
        <v>m</v>
      </c>
      <c r="D329" s="2" t="str">
        <f t="shared" si="3"/>
        <v>13</v>
      </c>
      <c r="E329" s="2" t="str">
        <f t="shared" si="4"/>
        <v>n60m</v>
      </c>
      <c r="F329" s="2" t="str">
        <f t="shared" si="5"/>
        <v>08.12.09</v>
      </c>
      <c r="G329" s="1">
        <v>180.0</v>
      </c>
      <c r="H329" s="1">
        <v>0.326</v>
      </c>
      <c r="I329" s="2">
        <f t="shared" si="6"/>
        <v>70.418749</v>
      </c>
      <c r="J329" s="2">
        <f t="shared" si="7"/>
        <v>0</v>
      </c>
      <c r="K329" s="2">
        <f t="shared" si="8"/>
        <v>0</v>
      </c>
      <c r="L329" s="2">
        <f t="shared" si="9"/>
        <v>0.326</v>
      </c>
      <c r="M329" s="2">
        <f t="shared" si="10"/>
        <v>70.744749</v>
      </c>
      <c r="N329" s="2">
        <f t="shared" si="11"/>
        <v>70.744749</v>
      </c>
    </row>
    <row r="330">
      <c r="A330" s="1" t="s">
        <v>342</v>
      </c>
      <c r="B330" s="2" t="str">
        <f t="shared" si="1"/>
        <v>n60</v>
      </c>
      <c r="C330" s="2" t="str">
        <f t="shared" si="2"/>
        <v>m</v>
      </c>
      <c r="D330" s="2" t="str">
        <f t="shared" si="3"/>
        <v>15</v>
      </c>
      <c r="E330" s="2" t="str">
        <f t="shared" si="4"/>
        <v>n60m</v>
      </c>
      <c r="F330" s="2" t="str">
        <f t="shared" si="5"/>
        <v>08.06.09</v>
      </c>
      <c r="G330" s="1">
        <v>169.695</v>
      </c>
      <c r="H330" s="1">
        <v>0.417</v>
      </c>
      <c r="I330" s="2">
        <f t="shared" si="6"/>
        <v>85.459575</v>
      </c>
      <c r="J330" s="2">
        <f t="shared" si="7"/>
        <v>10.305</v>
      </c>
      <c r="K330" s="2">
        <f t="shared" si="8"/>
        <v>0.3214570986</v>
      </c>
      <c r="L330" s="2">
        <f t="shared" si="9"/>
        <v>0.2656206576</v>
      </c>
      <c r="M330" s="2">
        <f t="shared" si="10"/>
        <v>85.72519566</v>
      </c>
      <c r="N330" s="2">
        <f t="shared" si="11"/>
        <v>85.72579836</v>
      </c>
    </row>
    <row r="331">
      <c r="A331" s="1" t="s">
        <v>343</v>
      </c>
      <c r="B331" s="2" t="str">
        <f t="shared" si="1"/>
        <v>n60</v>
      </c>
      <c r="C331" s="2" t="str">
        <f t="shared" si="2"/>
        <v>m</v>
      </c>
      <c r="D331" s="2" t="str">
        <f t="shared" si="3"/>
        <v>15</v>
      </c>
      <c r="E331" s="2" t="str">
        <f t="shared" si="4"/>
        <v>n60m</v>
      </c>
      <c r="F331" s="2" t="str">
        <f t="shared" si="5"/>
        <v>08.12.09</v>
      </c>
      <c r="G331" s="1">
        <v>-176.82</v>
      </c>
      <c r="H331" s="1">
        <v>0.675</v>
      </c>
      <c r="I331" s="2">
        <f t="shared" si="6"/>
        <v>85.459575</v>
      </c>
      <c r="J331" s="2">
        <f t="shared" si="7"/>
        <v>3.18</v>
      </c>
      <c r="K331" s="2">
        <f t="shared" si="8"/>
        <v>0.02591858554</v>
      </c>
      <c r="L331" s="2">
        <f t="shared" si="9"/>
        <v>0.6745022068</v>
      </c>
      <c r="M331" s="2">
        <f t="shared" si="10"/>
        <v>86.13407721</v>
      </c>
      <c r="N331" s="2">
        <f t="shared" si="11"/>
        <v>86.13408111</v>
      </c>
    </row>
    <row r="332">
      <c r="A332" s="1" t="s">
        <v>344</v>
      </c>
      <c r="B332" s="2" t="str">
        <f t="shared" si="1"/>
        <v>n60</v>
      </c>
      <c r="C332" s="2" t="str">
        <f t="shared" si="2"/>
        <v>m</v>
      </c>
      <c r="D332" s="2" t="str">
        <f t="shared" si="3"/>
        <v>15</v>
      </c>
      <c r="E332" s="2" t="str">
        <f t="shared" si="4"/>
        <v>n60m</v>
      </c>
      <c r="F332" s="2" t="str">
        <f t="shared" si="5"/>
        <v>08.12.09</v>
      </c>
      <c r="G332" s="1">
        <v>-136.219</v>
      </c>
      <c r="H332" s="1">
        <v>1.222</v>
      </c>
      <c r="I332" s="2">
        <f t="shared" si="6"/>
        <v>85.459575</v>
      </c>
      <c r="J332" s="2">
        <f t="shared" si="7"/>
        <v>43.781</v>
      </c>
      <c r="K332" s="2">
        <f t="shared" si="8"/>
        <v>0.2443272383</v>
      </c>
      <c r="L332" s="2">
        <f t="shared" si="9"/>
        <v>1.197325436</v>
      </c>
      <c r="M332" s="2">
        <f t="shared" si="10"/>
        <v>86.65690044</v>
      </c>
      <c r="N332" s="2">
        <f t="shared" si="11"/>
        <v>86.65724487</v>
      </c>
    </row>
    <row r="333">
      <c r="A333" s="1" t="s">
        <v>345</v>
      </c>
      <c r="B333" s="2" t="str">
        <f t="shared" si="1"/>
        <v>n60</v>
      </c>
      <c r="C333" s="2" t="str">
        <f t="shared" si="2"/>
        <v>m</v>
      </c>
      <c r="D333" s="2" t="str">
        <f t="shared" si="3"/>
        <v>17</v>
      </c>
      <c r="E333" s="2" t="str">
        <f t="shared" si="4"/>
        <v>n60m</v>
      </c>
      <c r="F333" s="2" t="str">
        <f t="shared" si="5"/>
        <v>08.06.09</v>
      </c>
      <c r="G333" s="1">
        <v>-142.306</v>
      </c>
      <c r="H333" s="1">
        <v>1.019</v>
      </c>
      <c r="I333" s="2">
        <f t="shared" si="6"/>
        <v>100.500401</v>
      </c>
      <c r="J333" s="2">
        <f t="shared" si="7"/>
        <v>37.694</v>
      </c>
      <c r="K333" s="2">
        <f t="shared" si="8"/>
        <v>0.00520894541</v>
      </c>
      <c r="L333" s="2">
        <f t="shared" si="9"/>
        <v>1.018986686</v>
      </c>
      <c r="M333" s="2">
        <f t="shared" si="10"/>
        <v>101.5193877</v>
      </c>
      <c r="N333" s="2">
        <f t="shared" si="11"/>
        <v>101.5193878</v>
      </c>
    </row>
    <row r="334">
      <c r="A334" s="1" t="s">
        <v>346</v>
      </c>
      <c r="B334" s="2" t="str">
        <f t="shared" si="1"/>
        <v>n60</v>
      </c>
      <c r="C334" s="2" t="str">
        <f t="shared" si="2"/>
        <v>m</v>
      </c>
      <c r="D334" s="2" t="str">
        <f t="shared" si="3"/>
        <v>17</v>
      </c>
      <c r="E334" s="2" t="str">
        <f t="shared" si="4"/>
        <v>n60m</v>
      </c>
      <c r="F334" s="2" t="str">
        <f t="shared" si="5"/>
        <v>08.06.09</v>
      </c>
      <c r="G334" s="1">
        <v>-167.905</v>
      </c>
      <c r="H334" s="1">
        <v>1.041</v>
      </c>
      <c r="I334" s="2">
        <f t="shared" si="6"/>
        <v>100.500401</v>
      </c>
      <c r="J334" s="2">
        <f t="shared" si="7"/>
        <v>12.095</v>
      </c>
      <c r="K334" s="2">
        <f t="shared" si="8"/>
        <v>0.472726278</v>
      </c>
      <c r="L334" s="2">
        <f t="shared" si="9"/>
        <v>0.927475534</v>
      </c>
      <c r="M334" s="2">
        <f t="shared" si="10"/>
        <v>101.4278765</v>
      </c>
      <c r="N334" s="2">
        <f t="shared" si="11"/>
        <v>101.4289781</v>
      </c>
    </row>
    <row r="335">
      <c r="A335" s="1" t="s">
        <v>347</v>
      </c>
      <c r="B335" s="2" t="str">
        <f t="shared" si="1"/>
        <v>n60</v>
      </c>
      <c r="C335" s="2" t="str">
        <f t="shared" si="2"/>
        <v>m</v>
      </c>
      <c r="D335" s="2" t="str">
        <f t="shared" si="3"/>
        <v>17</v>
      </c>
      <c r="E335" s="2" t="str">
        <f t="shared" si="4"/>
        <v>n60m</v>
      </c>
      <c r="F335" s="2" t="str">
        <f t="shared" si="5"/>
        <v>08.06.09</v>
      </c>
      <c r="G335" s="1">
        <v>-161.075</v>
      </c>
      <c r="H335" s="1">
        <v>1.368</v>
      </c>
      <c r="I335" s="2">
        <f t="shared" si="6"/>
        <v>100.500401</v>
      </c>
      <c r="J335" s="2">
        <f t="shared" si="7"/>
        <v>18.925</v>
      </c>
      <c r="K335" s="2">
        <f t="shared" si="8"/>
        <v>0.103109621</v>
      </c>
      <c r="L335" s="2">
        <f t="shared" si="9"/>
        <v>1.364108649</v>
      </c>
      <c r="M335" s="2">
        <f t="shared" si="10"/>
        <v>101.8645096</v>
      </c>
      <c r="N335" s="2">
        <f t="shared" si="11"/>
        <v>101.8645618</v>
      </c>
    </row>
    <row r="336">
      <c r="A336" s="1" t="s">
        <v>348</v>
      </c>
      <c r="B336" s="2" t="str">
        <f t="shared" si="1"/>
        <v>n60</v>
      </c>
      <c r="C336" s="2" t="str">
        <f t="shared" si="2"/>
        <v>m</v>
      </c>
      <c r="D336" s="2" t="str">
        <f t="shared" si="3"/>
        <v>17</v>
      </c>
      <c r="E336" s="2" t="str">
        <f t="shared" si="4"/>
        <v>n60m</v>
      </c>
      <c r="F336" s="2" t="str">
        <f t="shared" si="5"/>
        <v>08.06.09</v>
      </c>
      <c r="G336" s="1">
        <v>-148.736</v>
      </c>
      <c r="H336" s="1">
        <v>1.195</v>
      </c>
      <c r="I336" s="2">
        <f t="shared" si="6"/>
        <v>100.500401</v>
      </c>
      <c r="J336" s="2">
        <f t="shared" si="7"/>
        <v>31.264</v>
      </c>
      <c r="K336" s="2">
        <f t="shared" si="8"/>
        <v>0.1808545946</v>
      </c>
      <c r="L336" s="2">
        <f t="shared" si="9"/>
        <v>1.181235208</v>
      </c>
      <c r="M336" s="2">
        <f t="shared" si="10"/>
        <v>101.6816362</v>
      </c>
      <c r="N336" s="2">
        <f t="shared" si="11"/>
        <v>101.681797</v>
      </c>
    </row>
    <row r="337">
      <c r="A337" s="1" t="s">
        <v>349</v>
      </c>
      <c r="B337" s="2" t="str">
        <f t="shared" si="1"/>
        <v>n60</v>
      </c>
      <c r="C337" s="2" t="str">
        <f t="shared" si="2"/>
        <v>m</v>
      </c>
      <c r="D337" s="2" t="str">
        <f t="shared" si="3"/>
        <v>17</v>
      </c>
      <c r="E337" s="2" t="str">
        <f t="shared" si="4"/>
        <v>n60m</v>
      </c>
      <c r="F337" s="2" t="str">
        <f t="shared" si="5"/>
        <v>08.06.09</v>
      </c>
      <c r="G337" s="1">
        <v>-117.646</v>
      </c>
      <c r="H337" s="1">
        <v>0.854</v>
      </c>
      <c r="I337" s="2">
        <f t="shared" si="6"/>
        <v>100.500401</v>
      </c>
      <c r="J337" s="2">
        <f t="shared" si="7"/>
        <v>62.354</v>
      </c>
      <c r="K337" s="2">
        <f t="shared" si="8"/>
        <v>0.3927322238</v>
      </c>
      <c r="L337" s="2">
        <f t="shared" si="9"/>
        <v>0.758338579</v>
      </c>
      <c r="M337" s="2">
        <f t="shared" si="10"/>
        <v>101.2587396</v>
      </c>
      <c r="N337" s="2">
        <f t="shared" si="11"/>
        <v>101.2595012</v>
      </c>
    </row>
    <row r="338">
      <c r="A338" s="1" t="s">
        <v>350</v>
      </c>
      <c r="B338" s="2" t="str">
        <f t="shared" si="1"/>
        <v>n60</v>
      </c>
      <c r="C338" s="2" t="str">
        <f t="shared" si="2"/>
        <v>m</v>
      </c>
      <c r="D338" s="2" t="str">
        <f t="shared" si="3"/>
        <v>17</v>
      </c>
      <c r="E338" s="2" t="str">
        <f t="shared" si="4"/>
        <v>n60m</v>
      </c>
      <c r="F338" s="2" t="str">
        <f t="shared" si="5"/>
        <v>08.12.08</v>
      </c>
      <c r="G338" s="1">
        <v>160.71</v>
      </c>
      <c r="H338" s="1">
        <v>0.793</v>
      </c>
      <c r="I338" s="2">
        <f t="shared" si="6"/>
        <v>100.500401</v>
      </c>
      <c r="J338" s="2">
        <f t="shared" si="7"/>
        <v>19.29</v>
      </c>
      <c r="K338" s="2">
        <f t="shared" si="8"/>
        <v>0.3380885746</v>
      </c>
      <c r="L338" s="2">
        <f t="shared" si="9"/>
        <v>0.7173180018</v>
      </c>
      <c r="M338" s="2">
        <f t="shared" si="10"/>
        <v>101.217719</v>
      </c>
      <c r="N338" s="2">
        <f t="shared" si="11"/>
        <v>101.2182836</v>
      </c>
    </row>
    <row r="339">
      <c r="A339" s="1" t="s">
        <v>351</v>
      </c>
      <c r="B339" s="2" t="str">
        <f t="shared" si="1"/>
        <v>n60</v>
      </c>
      <c r="C339" s="2" t="str">
        <f t="shared" si="2"/>
        <v>m</v>
      </c>
      <c r="D339" s="2" t="str">
        <f t="shared" si="3"/>
        <v>17</v>
      </c>
      <c r="E339" s="2" t="str">
        <f t="shared" si="4"/>
        <v>n60m</v>
      </c>
      <c r="F339" s="2" t="str">
        <f t="shared" si="5"/>
        <v>08.12.09</v>
      </c>
      <c r="G339" s="1">
        <v>146.31</v>
      </c>
      <c r="H339" s="1">
        <v>0.678</v>
      </c>
      <c r="I339" s="2">
        <f t="shared" si="6"/>
        <v>100.500401</v>
      </c>
      <c r="J339" s="2">
        <f t="shared" si="7"/>
        <v>33.69</v>
      </c>
      <c r="K339" s="2">
        <f t="shared" si="8"/>
        <v>0.5171288343</v>
      </c>
      <c r="L339" s="2">
        <f t="shared" si="9"/>
        <v>0.4384766456</v>
      </c>
      <c r="M339" s="2">
        <f t="shared" si="10"/>
        <v>100.9388776</v>
      </c>
      <c r="N339" s="2">
        <f t="shared" si="11"/>
        <v>100.9402023</v>
      </c>
    </row>
    <row r="340">
      <c r="A340" s="1" t="s">
        <v>352</v>
      </c>
      <c r="B340" s="2" t="str">
        <f t="shared" si="1"/>
        <v>n60</v>
      </c>
      <c r="C340" s="2" t="str">
        <f t="shared" si="2"/>
        <v>m</v>
      </c>
      <c r="D340" s="2" t="str">
        <f t="shared" si="3"/>
        <v>17</v>
      </c>
      <c r="E340" s="2" t="str">
        <f t="shared" si="4"/>
        <v>n60m</v>
      </c>
      <c r="F340" s="2" t="str">
        <f t="shared" si="5"/>
        <v>08.12.09</v>
      </c>
      <c r="G340" s="1">
        <v>-167.196</v>
      </c>
      <c r="H340" s="1">
        <v>0.817</v>
      </c>
      <c r="I340" s="2">
        <f t="shared" si="6"/>
        <v>100.500401</v>
      </c>
      <c r="J340" s="2">
        <f t="shared" si="7"/>
        <v>12.804</v>
      </c>
      <c r="K340" s="2">
        <f t="shared" si="8"/>
        <v>0.1923212223</v>
      </c>
      <c r="L340" s="2">
        <f t="shared" si="9"/>
        <v>0.7940412757</v>
      </c>
      <c r="M340" s="2">
        <f t="shared" si="10"/>
        <v>101.2944423</v>
      </c>
      <c r="N340" s="2">
        <f t="shared" si="11"/>
        <v>101.2946248</v>
      </c>
    </row>
    <row r="341">
      <c r="A341" s="1" t="s">
        <v>353</v>
      </c>
      <c r="B341" s="2" t="str">
        <f t="shared" si="1"/>
        <v>n60</v>
      </c>
      <c r="C341" s="2" t="str">
        <f t="shared" si="2"/>
        <v>m</v>
      </c>
      <c r="D341" s="2" t="str">
        <f t="shared" si="3"/>
        <v>19</v>
      </c>
      <c r="E341" s="2" t="str">
        <f t="shared" si="4"/>
        <v>n60m</v>
      </c>
      <c r="F341" s="2" t="str">
        <f t="shared" si="5"/>
        <v>08.12.09</v>
      </c>
      <c r="G341" s="1">
        <v>116.565</v>
      </c>
      <c r="H341" s="1">
        <v>0.579</v>
      </c>
      <c r="I341" s="2">
        <f t="shared" si="6"/>
        <v>115.541227</v>
      </c>
      <c r="J341" s="2">
        <f t="shared" si="7"/>
        <v>63.435</v>
      </c>
      <c r="K341" s="2">
        <f t="shared" si="8"/>
        <v>0.3284301912</v>
      </c>
      <c r="L341" s="2">
        <f t="shared" si="9"/>
        <v>0.4768381376</v>
      </c>
      <c r="M341" s="2">
        <f t="shared" si="10"/>
        <v>116.0180651</v>
      </c>
      <c r="N341" s="2">
        <f t="shared" si="11"/>
        <v>116.01853</v>
      </c>
    </row>
    <row r="342">
      <c r="A342" s="1" t="s">
        <v>354</v>
      </c>
      <c r="B342" s="2" t="str">
        <f t="shared" si="1"/>
        <v>n60</v>
      </c>
      <c r="C342" s="2" t="str">
        <f t="shared" si="2"/>
        <v>m</v>
      </c>
      <c r="D342" s="2" t="str">
        <f t="shared" si="3"/>
        <v>19</v>
      </c>
      <c r="E342" s="2" t="str">
        <f t="shared" si="4"/>
        <v>n60m</v>
      </c>
      <c r="F342" s="2" t="str">
        <f t="shared" si="5"/>
        <v>08.12.09</v>
      </c>
      <c r="G342" s="1">
        <v>-177.138</v>
      </c>
      <c r="H342" s="1">
        <v>0.76</v>
      </c>
      <c r="I342" s="2">
        <f t="shared" si="6"/>
        <v>115.541227</v>
      </c>
      <c r="J342" s="2">
        <f t="shared" si="7"/>
        <v>2.862</v>
      </c>
      <c r="K342" s="2">
        <f t="shared" si="8"/>
        <v>0.2097327488</v>
      </c>
      <c r="L342" s="2">
        <f t="shared" si="9"/>
        <v>0.7304876276</v>
      </c>
      <c r="M342" s="2">
        <f t="shared" si="10"/>
        <v>116.2717146</v>
      </c>
      <c r="N342" s="2">
        <f t="shared" si="11"/>
        <v>116.2719038</v>
      </c>
    </row>
    <row r="343">
      <c r="A343" s="3"/>
      <c r="B343" s="3"/>
      <c r="C343" s="3"/>
      <c r="D343" s="3"/>
      <c r="E343" s="3"/>
      <c r="F34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8.13"/>
  </cols>
  <sheetData/>
  <drawing r:id="rId1"/>
</worksheet>
</file>
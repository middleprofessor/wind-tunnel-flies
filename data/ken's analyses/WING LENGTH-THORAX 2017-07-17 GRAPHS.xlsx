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drawings/drawing2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bookViews>
    <workbookView xWindow="0" yWindow="0" windowWidth="13635" windowHeight="7425" tabRatio="774"/>
  </bookViews>
  <sheets>
    <sheet name="HT 2017-07-05 BIG JIM" sheetId="1" r:id="rId1"/>
    <sheet name="Chart5fm" sheetId="10" r:id="rId2"/>
    <sheet name="Chart5f-pooled" sheetId="7" r:id="rId3"/>
    <sheet name="Chart5m-pooled" sheetId="9" r:id="rId4"/>
    <sheet name="Chart5f-lines" sheetId="11" r:id="rId5"/>
    <sheet name="Chart5f-X" sheetId="15" r:id="rId6"/>
    <sheet name="Chart5f-Y" sheetId="14" r:id="rId7"/>
    <sheet name="Chart5f-Z" sheetId="13" r:id="rId8"/>
    <sheet name="Chart5m-lines" sheetId="12" r:id="rId9"/>
    <sheet name="Chart5m-X" sheetId="18" r:id="rId10"/>
    <sheet name="Chart5m-Y" sheetId="17" r:id="rId11"/>
    <sheet name="Chart5m-Z" sheetId="16" r:id="rId12"/>
  </sheets>
  <definedNames>
    <definedName name="_xlnm._FilterDatabase" localSheetId="0" hidden="1">'HT 2017-07-05 BIG JIM'!$A$1:$AA$1205</definedName>
  </definedNames>
  <calcPr calcId="171027"/>
</workbook>
</file>

<file path=xl/calcChain.xml><?xml version="1.0" encoding="utf-8"?>
<calcChain xmlns="http://schemas.openxmlformats.org/spreadsheetml/2006/main">
  <c r="AF1002" i="1" l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01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00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396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198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2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597" i="1"/>
  <c r="AH1206" i="1" l="1"/>
  <c r="AI1207" i="1"/>
  <c r="AI1208" i="1"/>
  <c r="AI1209" i="1"/>
  <c r="AI1210" i="1"/>
  <c r="AI1211" i="1"/>
  <c r="AI1212" i="1"/>
  <c r="AI1213" i="1"/>
  <c r="AI1214" i="1"/>
  <c r="AI1206" i="1"/>
  <c r="CM8" i="1"/>
  <c r="CL8" i="1"/>
  <c r="CJ8" i="1"/>
  <c r="CI8" i="1"/>
  <c r="CM2" i="1"/>
  <c r="CL2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4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275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81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085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881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682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81" i="1"/>
  <c r="R81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CI2" i="1" s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68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2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CJ2" i="1" s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682" i="1"/>
  <c r="CM132" i="1"/>
  <c r="CL132" i="1"/>
  <c r="CJ132" i="1"/>
  <c r="CI132" i="1"/>
  <c r="CM129" i="1"/>
  <c r="CL129" i="1"/>
  <c r="CJ129" i="1"/>
  <c r="CI129" i="1"/>
  <c r="CM126" i="1"/>
  <c r="CL126" i="1"/>
  <c r="CJ126" i="1"/>
  <c r="CI126" i="1"/>
  <c r="CM123" i="1"/>
  <c r="CL123" i="1"/>
  <c r="CI123" i="1"/>
  <c r="CJ123" i="1"/>
  <c r="CM120" i="1"/>
  <c r="CL120" i="1"/>
  <c r="CJ120" i="1"/>
  <c r="CI120" i="1"/>
  <c r="CM117" i="1"/>
  <c r="CL117" i="1"/>
  <c r="CJ117" i="1"/>
  <c r="CI117" i="1"/>
  <c r="CM114" i="1"/>
  <c r="CL114" i="1"/>
  <c r="CJ114" i="1"/>
  <c r="CI114" i="1"/>
  <c r="CM111" i="1"/>
  <c r="CL111" i="1"/>
  <c r="CJ111" i="1"/>
  <c r="CI111" i="1"/>
  <c r="CM108" i="1"/>
  <c r="CL108" i="1"/>
  <c r="CJ108" i="1"/>
  <c r="CI108" i="1"/>
  <c r="CL105" i="1"/>
  <c r="CM105" i="1"/>
  <c r="CJ105" i="1"/>
  <c r="CI105" i="1"/>
  <c r="CL102" i="1"/>
  <c r="CM102" i="1"/>
  <c r="CJ102" i="1"/>
  <c r="CI102" i="1"/>
  <c r="CL99" i="1"/>
  <c r="CM99" i="1"/>
  <c r="CJ99" i="1"/>
  <c r="CI99" i="1"/>
  <c r="CL96" i="1"/>
  <c r="CM96" i="1"/>
  <c r="CJ96" i="1"/>
  <c r="CI96" i="1"/>
  <c r="CL93" i="1"/>
  <c r="CM93" i="1"/>
  <c r="CJ93" i="1"/>
  <c r="CI93" i="1"/>
  <c r="CL90" i="1"/>
  <c r="CM90" i="1"/>
  <c r="CJ90" i="1"/>
  <c r="CI90" i="1"/>
  <c r="CM87" i="1"/>
  <c r="CL87" i="1"/>
  <c r="CJ87" i="1"/>
  <c r="CI87" i="1"/>
  <c r="CM84" i="1"/>
  <c r="CL84" i="1"/>
  <c r="CJ84" i="1"/>
  <c r="CI84" i="1"/>
  <c r="CM81" i="1"/>
  <c r="CL81" i="1"/>
  <c r="CJ81" i="1"/>
  <c r="CI81" i="1"/>
  <c r="CL78" i="1"/>
  <c r="CM78" i="1"/>
  <c r="CJ78" i="1"/>
  <c r="CI78" i="1"/>
  <c r="CL75" i="1"/>
  <c r="CM75" i="1"/>
  <c r="CJ75" i="1"/>
  <c r="CI75" i="1"/>
  <c r="CM72" i="1"/>
  <c r="CL72" i="1"/>
  <c r="CJ72" i="1"/>
  <c r="CI72" i="1"/>
  <c r="CM69" i="1"/>
  <c r="CL69" i="1"/>
  <c r="CJ69" i="1"/>
  <c r="CI69" i="1"/>
  <c r="CM66" i="1"/>
  <c r="CL66" i="1"/>
  <c r="CJ66" i="1"/>
  <c r="CI66" i="1"/>
  <c r="CM63" i="1"/>
  <c r="CL63" i="1"/>
  <c r="CJ63" i="1"/>
  <c r="CI63" i="1"/>
  <c r="CM60" i="1"/>
  <c r="CL60" i="1"/>
  <c r="CJ60" i="1"/>
  <c r="CI60" i="1"/>
  <c r="CM57" i="1"/>
  <c r="CL57" i="1"/>
  <c r="CJ57" i="1"/>
  <c r="CI57" i="1"/>
  <c r="CM54" i="1"/>
  <c r="CL54" i="1"/>
  <c r="CJ54" i="1"/>
  <c r="CI54" i="1"/>
  <c r="CM51" i="1"/>
  <c r="CL51" i="1"/>
  <c r="CJ51" i="1"/>
  <c r="CI51" i="1"/>
  <c r="CM48" i="1"/>
  <c r="CL48" i="1"/>
  <c r="CJ48" i="1"/>
  <c r="CI48" i="1"/>
  <c r="CM45" i="1"/>
  <c r="CL45" i="1"/>
  <c r="CJ45" i="1"/>
  <c r="CI45" i="1"/>
  <c r="CM42" i="1"/>
  <c r="CL42" i="1"/>
  <c r="CJ42" i="1"/>
  <c r="CI42" i="1"/>
  <c r="CM39" i="1"/>
  <c r="CL39" i="1"/>
  <c r="CJ39" i="1"/>
  <c r="CI39" i="1"/>
  <c r="CM36" i="1"/>
  <c r="CL36" i="1"/>
  <c r="CJ36" i="1"/>
  <c r="CI36" i="1"/>
  <c r="CM33" i="1"/>
  <c r="CL33" i="1"/>
  <c r="CJ33" i="1"/>
  <c r="CI33" i="1"/>
  <c r="CM30" i="1"/>
  <c r="CL30" i="1"/>
  <c r="CJ30" i="1"/>
  <c r="CI30" i="1"/>
  <c r="CJ27" i="1"/>
  <c r="CI27" i="1"/>
  <c r="CM27" i="1"/>
  <c r="CL27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2" i="1"/>
  <c r="CU2" i="1" l="1"/>
  <c r="CT11" i="1"/>
  <c r="CS11" i="1"/>
  <c r="CQ11" i="1"/>
  <c r="CP11" i="1"/>
  <c r="CM11" i="1"/>
  <c r="CL11" i="1"/>
  <c r="CT8" i="1"/>
  <c r="CS8" i="1"/>
  <c r="CQ8" i="1"/>
  <c r="CP8" i="1"/>
  <c r="CT5" i="1"/>
  <c r="CS5" i="1"/>
  <c r="CQ5" i="1"/>
  <c r="CP5" i="1"/>
  <c r="CM5" i="1"/>
  <c r="CL5" i="1"/>
  <c r="CT2" i="1"/>
  <c r="CS2" i="1"/>
  <c r="CQ2" i="1"/>
  <c r="CP2" i="1"/>
  <c r="CU5" i="1" l="1"/>
  <c r="CV5" i="1" s="1"/>
  <c r="CV2" i="1"/>
  <c r="CE1208" i="1" s="1"/>
  <c r="CJ21" i="1"/>
  <c r="CI11" i="1"/>
  <c r="CJ24" i="1"/>
  <c r="CD1213" i="1" s="1"/>
  <c r="CU8" i="1"/>
  <c r="CV8" i="1" s="1"/>
  <c r="CF1212" i="1" s="1"/>
  <c r="CK39" i="1"/>
  <c r="CN39" i="1" s="1"/>
  <c r="AN1207" i="1" s="1"/>
  <c r="CK45" i="1"/>
  <c r="CN45" i="1" s="1"/>
  <c r="CK51" i="1"/>
  <c r="CN51" i="1" s="1"/>
  <c r="AR1208" i="1" s="1"/>
  <c r="CJ5" i="1"/>
  <c r="CI5" i="1"/>
  <c r="CK90" i="1"/>
  <c r="CN90" i="1" s="1"/>
  <c r="CK102" i="1"/>
  <c r="CN102" i="1" s="1"/>
  <c r="CK114" i="1"/>
  <c r="CN114" i="1" s="1"/>
  <c r="CK120" i="1"/>
  <c r="CN120" i="1" s="1"/>
  <c r="CK123" i="1"/>
  <c r="CN123" i="1" s="1"/>
  <c r="CJ11" i="1"/>
  <c r="CC1213" i="1"/>
  <c r="CD1209" i="1"/>
  <c r="CD1212" i="1"/>
  <c r="CD1210" i="1"/>
  <c r="CD1208" i="1"/>
  <c r="CE1212" i="1"/>
  <c r="CE1210" i="1"/>
  <c r="CE1211" i="1"/>
  <c r="CE1209" i="1"/>
  <c r="CE1207" i="1"/>
  <c r="CU11" i="1"/>
  <c r="CV11" i="1" s="1"/>
  <c r="CJ18" i="1"/>
  <c r="CK2" i="1"/>
  <c r="CN2" i="1" s="1"/>
  <c r="CJ15" i="1"/>
  <c r="CK126" i="1"/>
  <c r="CN126" i="1" s="1"/>
  <c r="CD1207" i="1" l="1"/>
  <c r="CD1211" i="1"/>
  <c r="CK132" i="1"/>
  <c r="CN132" i="1" s="1"/>
  <c r="BU1214" i="1" s="1"/>
  <c r="CK117" i="1"/>
  <c r="CN117" i="1" s="1"/>
  <c r="BP1214" i="1" s="1"/>
  <c r="CK111" i="1"/>
  <c r="CN111" i="1" s="1"/>
  <c r="BN1212" i="1" s="1"/>
  <c r="CK78" i="1"/>
  <c r="CN78" i="1" s="1"/>
  <c r="CK54" i="1"/>
  <c r="CN54" i="1" s="1"/>
  <c r="AS1214" i="1" s="1"/>
  <c r="CK8" i="1"/>
  <c r="CN8" i="1" s="1"/>
  <c r="AH1214" i="1" s="1"/>
  <c r="CC1208" i="1"/>
  <c r="CE1213" i="1"/>
  <c r="CK105" i="1"/>
  <c r="CN105" i="1" s="1"/>
  <c r="BL1212" i="1" s="1"/>
  <c r="CK99" i="1"/>
  <c r="CN99" i="1" s="1"/>
  <c r="BJ1213" i="1" s="1"/>
  <c r="CK93" i="1"/>
  <c r="CN93" i="1" s="1"/>
  <c r="BH1214" i="1" s="1"/>
  <c r="CK81" i="1"/>
  <c r="CN81" i="1" s="1"/>
  <c r="BD1212" i="1" s="1"/>
  <c r="CK72" i="1"/>
  <c r="CN72" i="1" s="1"/>
  <c r="AY1206" i="1" s="1"/>
  <c r="CK66" i="1"/>
  <c r="CN66" i="1" s="1"/>
  <c r="AW1211" i="1" s="1"/>
  <c r="CK60" i="1"/>
  <c r="CN60" i="1" s="1"/>
  <c r="AU1206" i="1" s="1"/>
  <c r="CK48" i="1"/>
  <c r="CN48" i="1" s="1"/>
  <c r="AQ1214" i="1" s="1"/>
  <c r="CK42" i="1"/>
  <c r="CN42" i="1" s="1"/>
  <c r="AO1206" i="1" s="1"/>
  <c r="CK36" i="1"/>
  <c r="CN36" i="1" s="1"/>
  <c r="AM1210" i="1" s="1"/>
  <c r="CK30" i="1"/>
  <c r="CN30" i="1" s="1"/>
  <c r="AK1211" i="1" s="1"/>
  <c r="CC1207" i="1"/>
  <c r="CK27" i="1"/>
  <c r="CN27" i="1" s="1"/>
  <c r="AJ1213" i="1" s="1"/>
  <c r="AN1209" i="1"/>
  <c r="CC1210" i="1"/>
  <c r="AR1211" i="1"/>
  <c r="CF1207" i="1"/>
  <c r="CC1211" i="1"/>
  <c r="BQ1206" i="1"/>
  <c r="BQ1214" i="1"/>
  <c r="BO1206" i="1"/>
  <c r="BO1214" i="1"/>
  <c r="AR1213" i="1"/>
  <c r="AN1213" i="1"/>
  <c r="CF1211" i="1"/>
  <c r="CC1209" i="1"/>
  <c r="BS1206" i="1"/>
  <c r="BS1214" i="1"/>
  <c r="AR1209" i="1"/>
  <c r="AR1212" i="1"/>
  <c r="CF1213" i="1"/>
  <c r="CC1212" i="1"/>
  <c r="CF1209" i="1"/>
  <c r="BR1206" i="1"/>
  <c r="BR1214" i="1"/>
  <c r="CK11" i="1"/>
  <c r="CN11" i="1" s="1"/>
  <c r="BC1214" i="1" s="1"/>
  <c r="BG1206" i="1"/>
  <c r="BG1214" i="1"/>
  <c r="BA1214" i="1"/>
  <c r="BA1206" i="1"/>
  <c r="AN1206" i="1"/>
  <c r="AN1214" i="1"/>
  <c r="CF1206" i="1"/>
  <c r="CF1214" i="1"/>
  <c r="CC1206" i="1"/>
  <c r="CC1214" i="1"/>
  <c r="AP1214" i="1"/>
  <c r="AP1206" i="1"/>
  <c r="BK1206" i="1"/>
  <c r="BK1214" i="1"/>
  <c r="AR1206" i="1"/>
  <c r="AR1214" i="1"/>
  <c r="CB1206" i="1"/>
  <c r="CB1214" i="1"/>
  <c r="AR1207" i="1"/>
  <c r="AN1210" i="1"/>
  <c r="CF1208" i="1"/>
  <c r="CA1206" i="1"/>
  <c r="CA1214" i="1"/>
  <c r="AR1210" i="1"/>
  <c r="AN1208" i="1"/>
  <c r="AN1211" i="1"/>
  <c r="AN1212" i="1"/>
  <c r="CF1210" i="1"/>
  <c r="CD1206" i="1"/>
  <c r="CD1214" i="1"/>
  <c r="CE1206" i="1"/>
  <c r="CE1214" i="1"/>
  <c r="BR1208" i="1"/>
  <c r="BR1212" i="1"/>
  <c r="BR1213" i="1"/>
  <c r="BR1207" i="1"/>
  <c r="BR1211" i="1"/>
  <c r="BR1209" i="1"/>
  <c r="BR1210" i="1"/>
  <c r="BN1211" i="1"/>
  <c r="BN1213" i="1"/>
  <c r="CK87" i="1"/>
  <c r="CN87" i="1" s="1"/>
  <c r="CK129" i="1"/>
  <c r="CN129" i="1" s="1"/>
  <c r="BT1210" i="1" s="1"/>
  <c r="CK108" i="1"/>
  <c r="CN108" i="1" s="1"/>
  <c r="BM1211" i="1" s="1"/>
  <c r="CK96" i="1"/>
  <c r="CN96" i="1" s="1"/>
  <c r="BI1208" i="1" s="1"/>
  <c r="CK84" i="1"/>
  <c r="CN84" i="1" s="1"/>
  <c r="BE1211" i="1" s="1"/>
  <c r="CK5" i="1"/>
  <c r="CN5" i="1" s="1"/>
  <c r="BW1213" i="1" s="1"/>
  <c r="CK75" i="1"/>
  <c r="CN75" i="1" s="1"/>
  <c r="CK69" i="1"/>
  <c r="CN69" i="1" s="1"/>
  <c r="AX1212" i="1" s="1"/>
  <c r="CK63" i="1"/>
  <c r="CN63" i="1" s="1"/>
  <c r="CK57" i="1"/>
  <c r="CN57" i="1" s="1"/>
  <c r="AT1212" i="1" s="1"/>
  <c r="CK33" i="1"/>
  <c r="CN33" i="1" s="1"/>
  <c r="AL1213" i="1" s="1"/>
  <c r="BS1212" i="1"/>
  <c r="BS1210" i="1"/>
  <c r="BS1213" i="1"/>
  <c r="BS1209" i="1"/>
  <c r="BS1208" i="1"/>
  <c r="BS1211" i="1"/>
  <c r="BS1207" i="1"/>
  <c r="BA1213" i="1"/>
  <c r="BA1211" i="1"/>
  <c r="BA1209" i="1"/>
  <c r="BA1207" i="1"/>
  <c r="BA1210" i="1"/>
  <c r="BA1212" i="1"/>
  <c r="BA1208" i="1"/>
  <c r="BO1212" i="1"/>
  <c r="BO1210" i="1"/>
  <c r="BO1211" i="1"/>
  <c r="BO1208" i="1"/>
  <c r="BO1213" i="1"/>
  <c r="BO1209" i="1"/>
  <c r="BO1207" i="1"/>
  <c r="BK1212" i="1"/>
  <c r="BK1210" i="1"/>
  <c r="BK1208" i="1"/>
  <c r="BK1211" i="1"/>
  <c r="BK1209" i="1"/>
  <c r="BK1213" i="1"/>
  <c r="BK1207" i="1"/>
  <c r="BG1212" i="1"/>
  <c r="BG1210" i="1"/>
  <c r="BG1208" i="1"/>
  <c r="BG1209" i="1"/>
  <c r="BG1213" i="1"/>
  <c r="BG1211" i="1"/>
  <c r="BG1207" i="1"/>
  <c r="AP1213" i="1"/>
  <c r="AP1211" i="1"/>
  <c r="AP1212" i="1"/>
  <c r="AP1210" i="1"/>
  <c r="AP1209" i="1"/>
  <c r="AP1208" i="1"/>
  <c r="AP1207" i="1"/>
  <c r="BQ1213" i="1"/>
  <c r="BQ1211" i="1"/>
  <c r="BQ1209" i="1"/>
  <c r="BQ1212" i="1"/>
  <c r="BQ1207" i="1"/>
  <c r="BQ1210" i="1"/>
  <c r="BQ1208" i="1"/>
  <c r="CB1212" i="1"/>
  <c r="CB1210" i="1"/>
  <c r="CB1213" i="1"/>
  <c r="CB1211" i="1"/>
  <c r="CB1208" i="1"/>
  <c r="CB1209" i="1"/>
  <c r="CB1207" i="1"/>
  <c r="AK1208" i="1"/>
  <c r="AU1209" i="1"/>
  <c r="CA1212" i="1"/>
  <c r="CA1210" i="1"/>
  <c r="CA1208" i="1"/>
  <c r="CA1211" i="1"/>
  <c r="CA1209" i="1"/>
  <c r="CA1207" i="1"/>
  <c r="CA1213" i="1"/>
  <c r="BD1207" i="1"/>
  <c r="AH1211" i="1" l="1"/>
  <c r="AH1210" i="1"/>
  <c r="BN1209" i="1"/>
  <c r="BM1213" i="1"/>
  <c r="BN1210" i="1"/>
  <c r="BN1214" i="1"/>
  <c r="BN1207" i="1"/>
  <c r="BN1206" i="1"/>
  <c r="BU1208" i="1"/>
  <c r="BU1213" i="1"/>
  <c r="BU1206" i="1"/>
  <c r="BP1211" i="1"/>
  <c r="BU1212" i="1"/>
  <c r="BU1211" i="1"/>
  <c r="BN1208" i="1"/>
  <c r="AW1213" i="1"/>
  <c r="AW1206" i="1"/>
  <c r="AS1210" i="1"/>
  <c r="AS1209" i="1"/>
  <c r="AS1211" i="1"/>
  <c r="AS1208" i="1"/>
  <c r="AM1207" i="1"/>
  <c r="AS1207" i="1"/>
  <c r="AS1213" i="1"/>
  <c r="AW1208" i="1"/>
  <c r="BT1213" i="1"/>
  <c r="AM1212" i="1"/>
  <c r="BU1207" i="1"/>
  <c r="AH1209" i="1"/>
  <c r="BP1208" i="1"/>
  <c r="BP1210" i="1"/>
  <c r="BJ1211" i="1"/>
  <c r="BJ1210" i="1"/>
  <c r="AS1206" i="1"/>
  <c r="BP1206" i="1"/>
  <c r="BT1208" i="1"/>
  <c r="AM1209" i="1"/>
  <c r="AH1213" i="1"/>
  <c r="AH1212" i="1"/>
  <c r="BP1209" i="1"/>
  <c r="BP1213" i="1"/>
  <c r="AJ1206" i="1"/>
  <c r="AM1206" i="1"/>
  <c r="AS1212" i="1"/>
  <c r="AW1210" i="1"/>
  <c r="BT1212" i="1"/>
  <c r="BU1210" i="1"/>
  <c r="BU1209" i="1"/>
  <c r="AH1207" i="1"/>
  <c r="AH1208" i="1"/>
  <c r="BP1207" i="1"/>
  <c r="BP1212" i="1"/>
  <c r="BD1214" i="1"/>
  <c r="BD1209" i="1"/>
  <c r="AQ1213" i="1"/>
  <c r="BD1213" i="1"/>
  <c r="AQ1206" i="1"/>
  <c r="BD1206" i="1"/>
  <c r="BT1209" i="1"/>
  <c r="BM1208" i="1"/>
  <c r="AM1214" i="1"/>
  <c r="BJ1207" i="1"/>
  <c r="AQ1210" i="1"/>
  <c r="BT1211" i="1"/>
  <c r="BM1210" i="1"/>
  <c r="AQ1207" i="1"/>
  <c r="AQ1208" i="1"/>
  <c r="AQ1212" i="1"/>
  <c r="AY1212" i="1"/>
  <c r="AY1209" i="1"/>
  <c r="BW1207" i="1"/>
  <c r="BD1210" i="1"/>
  <c r="BD1208" i="1"/>
  <c r="BD1211" i="1"/>
  <c r="AQ1209" i="1"/>
  <c r="AQ1211" i="1"/>
  <c r="AO1210" i="1"/>
  <c r="BL1213" i="1"/>
  <c r="AO1208" i="1"/>
  <c r="AO1209" i="1"/>
  <c r="BL1207" i="1"/>
  <c r="AY1207" i="1"/>
  <c r="BL1214" i="1"/>
  <c r="BL1209" i="1"/>
  <c r="BL1210" i="1"/>
  <c r="AY1213" i="1"/>
  <c r="AY1210" i="1"/>
  <c r="AO1212" i="1"/>
  <c r="AO1213" i="1"/>
  <c r="AO1214" i="1"/>
  <c r="AY1214" i="1"/>
  <c r="BL1206" i="1"/>
  <c r="AX1207" i="1"/>
  <c r="AK1213" i="1"/>
  <c r="AW1207" i="1"/>
  <c r="AM1208" i="1"/>
  <c r="BH1209" i="1"/>
  <c r="BI1213" i="1"/>
  <c r="AU1212" i="1"/>
  <c r="AW1209" i="1"/>
  <c r="BJ1209" i="1"/>
  <c r="AJ1214" i="1"/>
  <c r="AK1206" i="1"/>
  <c r="AW1214" i="1"/>
  <c r="AU1207" i="1"/>
  <c r="AU1213" i="1"/>
  <c r="AL1209" i="1"/>
  <c r="AK1212" i="1"/>
  <c r="AK1209" i="1"/>
  <c r="BH1210" i="1"/>
  <c r="AK1214" i="1"/>
  <c r="BW1208" i="1"/>
  <c r="AT1211" i="1"/>
  <c r="AU1211" i="1"/>
  <c r="AL1212" i="1"/>
  <c r="AK1210" i="1"/>
  <c r="AW1212" i="1"/>
  <c r="AM1213" i="1"/>
  <c r="BH1208" i="1"/>
  <c r="BH1211" i="1"/>
  <c r="BH1212" i="1"/>
  <c r="AJ1210" i="1"/>
  <c r="BJ1208" i="1"/>
  <c r="BJ1206" i="1"/>
  <c r="AU1214" i="1"/>
  <c r="BH1206" i="1"/>
  <c r="BW1212" i="1"/>
  <c r="AT1209" i="1"/>
  <c r="AU1208" i="1"/>
  <c r="AU1210" i="1"/>
  <c r="BL1208" i="1"/>
  <c r="BL1211" i="1"/>
  <c r="AK1207" i="1"/>
  <c r="AY1211" i="1"/>
  <c r="AY1208" i="1"/>
  <c r="AM1211" i="1"/>
  <c r="BH1207" i="1"/>
  <c r="BH1213" i="1"/>
  <c r="AJ1209" i="1"/>
  <c r="AO1207" i="1"/>
  <c r="AO1211" i="1"/>
  <c r="BJ1212" i="1"/>
  <c r="BJ1214" i="1"/>
  <c r="BC1208" i="1"/>
  <c r="BM1209" i="1"/>
  <c r="BW1211" i="1"/>
  <c r="AT1207" i="1"/>
  <c r="AT1210" i="1"/>
  <c r="AT1213" i="1"/>
  <c r="AL1211" i="1"/>
  <c r="BT1207" i="1"/>
  <c r="BM1212" i="1"/>
  <c r="AJ1208" i="1"/>
  <c r="AJ1211" i="1"/>
  <c r="AJ1212" i="1"/>
  <c r="AL1208" i="1"/>
  <c r="BW1209" i="1"/>
  <c r="BW1210" i="1"/>
  <c r="AT1208" i="1"/>
  <c r="AL1207" i="1"/>
  <c r="AL1210" i="1"/>
  <c r="BM1207" i="1"/>
  <c r="AJ1207" i="1"/>
  <c r="BC1211" i="1"/>
  <c r="BC1210" i="1"/>
  <c r="BM1206" i="1"/>
  <c r="BM1214" i="1"/>
  <c r="BC1206" i="1"/>
  <c r="BC1207" i="1"/>
  <c r="BC1213" i="1"/>
  <c r="BC1209" i="1"/>
  <c r="BC1212" i="1"/>
  <c r="BE1209" i="1"/>
  <c r="BT1214" i="1"/>
  <c r="BT1206" i="1"/>
  <c r="AV1206" i="1"/>
  <c r="AV1214" i="1"/>
  <c r="BE1208" i="1"/>
  <c r="AX1213" i="1"/>
  <c r="AX1214" i="1"/>
  <c r="AX1206" i="1"/>
  <c r="BI1211" i="1"/>
  <c r="BI1214" i="1"/>
  <c r="BI1206" i="1"/>
  <c r="BE1212" i="1"/>
  <c r="AL1214" i="1"/>
  <c r="AL1206" i="1"/>
  <c r="AZ1206" i="1"/>
  <c r="AZ1214" i="1"/>
  <c r="BF1214" i="1"/>
  <c r="BF1206" i="1"/>
  <c r="BE1214" i="1"/>
  <c r="BE1206" i="1"/>
  <c r="BE1210" i="1"/>
  <c r="BE1207" i="1"/>
  <c r="BE1213" i="1"/>
  <c r="AT1214" i="1"/>
  <c r="AT1206" i="1"/>
  <c r="BW1206" i="1"/>
  <c r="BW1214" i="1"/>
  <c r="BI1209" i="1"/>
  <c r="AX1208" i="1"/>
  <c r="AZ1209" i="1"/>
  <c r="AZ1213" i="1"/>
  <c r="AZ1207" i="1"/>
  <c r="AZ1212" i="1"/>
  <c r="AZ1211" i="1"/>
  <c r="AZ1208" i="1"/>
  <c r="AZ1210" i="1"/>
  <c r="BF1213" i="1"/>
  <c r="BF1211" i="1"/>
  <c r="BF1208" i="1"/>
  <c r="BF1212" i="1"/>
  <c r="BF1207" i="1"/>
  <c r="BF1210" i="1"/>
  <c r="BF1209" i="1"/>
  <c r="BI1212" i="1"/>
  <c r="BI1210" i="1"/>
  <c r="AX1211" i="1"/>
  <c r="BI1207" i="1"/>
  <c r="AX1209" i="1"/>
  <c r="AX1210" i="1"/>
  <c r="AV1210" i="1"/>
  <c r="AV1207" i="1"/>
  <c r="AV1213" i="1"/>
  <c r="AV1209" i="1"/>
  <c r="AV1212" i="1"/>
  <c r="AV1211" i="1"/>
  <c r="AV1208" i="1"/>
</calcChain>
</file>

<file path=xl/sharedStrings.xml><?xml version="1.0" encoding="utf-8"?>
<sst xmlns="http://schemas.openxmlformats.org/spreadsheetml/2006/main" count="5225" uniqueCount="143">
  <si>
    <t>Temp</t>
  </si>
  <si>
    <t>Line</t>
  </si>
  <si>
    <t>Sex</t>
  </si>
  <si>
    <t>Rep</t>
  </si>
  <si>
    <t>fly</t>
  </si>
  <si>
    <t>thorax</t>
  </si>
  <si>
    <t>lnx</t>
  </si>
  <si>
    <t>lny</t>
  </si>
  <si>
    <t>wild-m</t>
  </si>
  <si>
    <t>wild-mx</t>
  </si>
  <si>
    <t>wild-my</t>
  </si>
  <si>
    <t>wild-mz</t>
  </si>
  <si>
    <t>xk4a-m</t>
  </si>
  <si>
    <t>xk4b-m</t>
  </si>
  <si>
    <t>yk4a-m</t>
  </si>
  <si>
    <t>yk4b-m</t>
  </si>
  <si>
    <t>zk4a-m</t>
  </si>
  <si>
    <t>zk4b-m</t>
  </si>
  <si>
    <t>xl4a-m</t>
  </si>
  <si>
    <t>xl4b-m</t>
  </si>
  <si>
    <t>yl4a-m</t>
  </si>
  <si>
    <t>yl4b-m</t>
  </si>
  <si>
    <t>zl4a-m</t>
  </si>
  <si>
    <t>zl4b-m</t>
  </si>
  <si>
    <t>xn6a-m</t>
  </si>
  <si>
    <t>xn6b-m</t>
  </si>
  <si>
    <t>yn6a-m</t>
  </si>
  <si>
    <t>yn6b-m</t>
  </si>
  <si>
    <t>zn6a-m</t>
  </si>
  <si>
    <t>zn6b-m</t>
  </si>
  <si>
    <t>sel-m</t>
  </si>
  <si>
    <t>fitsel-m</t>
  </si>
  <si>
    <t>wild-f</t>
  </si>
  <si>
    <t>wild-fx</t>
  </si>
  <si>
    <t>wild-fy</t>
  </si>
  <si>
    <t>wild-fz</t>
  </si>
  <si>
    <t>fitwild-f</t>
  </si>
  <si>
    <t>xk4a-f</t>
  </si>
  <si>
    <t>xk4b-f</t>
  </si>
  <si>
    <t>yk4a-f</t>
  </si>
  <si>
    <t>yk4b-f</t>
  </si>
  <si>
    <t>zk4a-f</t>
  </si>
  <si>
    <t>zk4b-f</t>
  </si>
  <si>
    <t>xl4a-f</t>
  </si>
  <si>
    <t>xl4b-f</t>
  </si>
  <si>
    <t>yl4a-f</t>
  </si>
  <si>
    <t>yl4b-f</t>
  </si>
  <si>
    <t>zl4a-f</t>
  </si>
  <si>
    <t>zl4b-f</t>
  </si>
  <si>
    <t>xn6a-f</t>
  </si>
  <si>
    <t>xn6b-f</t>
  </si>
  <si>
    <t>yn6a-f</t>
  </si>
  <si>
    <t>yn6b-f</t>
  </si>
  <si>
    <t>zn6a-f</t>
  </si>
  <si>
    <t>zn6b-f</t>
  </si>
  <si>
    <t>sel-f</t>
  </si>
  <si>
    <t>fitsel-f</t>
  </si>
  <si>
    <t>maleline</t>
  </si>
  <si>
    <t>femaleline</t>
  </si>
  <si>
    <t>wildline</t>
  </si>
  <si>
    <t>selline</t>
  </si>
  <si>
    <t>maleWild</t>
  </si>
  <si>
    <t>femaleWild</t>
  </si>
  <si>
    <t>WILD-M</t>
  </si>
  <si>
    <t>stdev x</t>
  </si>
  <si>
    <t>stdev y</t>
  </si>
  <si>
    <t>Alpha</t>
  </si>
  <si>
    <t>avg x</t>
  </si>
  <si>
    <t>avg y</t>
  </si>
  <si>
    <t>Beta</t>
  </si>
  <si>
    <t>cenx</t>
  </si>
  <si>
    <t>ceny</t>
  </si>
  <si>
    <t>Xbar</t>
  </si>
  <si>
    <t>Ybar</t>
  </si>
  <si>
    <t>slope</t>
  </si>
  <si>
    <t>b</t>
  </si>
  <si>
    <t>x</t>
  </si>
  <si>
    <t>a1</t>
  </si>
  <si>
    <t>f</t>
  </si>
  <si>
    <t>a</t>
  </si>
  <si>
    <t>SEL-M</t>
  </si>
  <si>
    <t>WILD-F</t>
  </si>
  <si>
    <t>SEL-F</t>
  </si>
  <si>
    <t>SLOPE-M</t>
  </si>
  <si>
    <t>SLOPE-F</t>
  </si>
  <si>
    <t>SLOPE-WILD</t>
  </si>
  <si>
    <t>SLOPE-SEL</t>
  </si>
  <si>
    <t>u</t>
  </si>
  <si>
    <t>v</t>
  </si>
  <si>
    <t>w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</si>
  <si>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</si>
  <si>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</si>
  <si>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</si>
  <si>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</si>
  <si>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</si>
  <si>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</si>
  <si>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</si>
  <si>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</si>
  <si>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</si>
  <si>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</si>
  <si>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</si>
  <si>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</si>
  <si>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</si>
  <si>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a2</t>
  </si>
  <si>
    <t>k4</t>
  </si>
  <si>
    <t>l4</t>
  </si>
  <si>
    <t>n6</t>
  </si>
  <si>
    <t>m</t>
  </si>
  <si>
    <t>D1-to-17</t>
  </si>
  <si>
    <t>al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</si>
  <si>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</si>
  <si>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</si>
  <si>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</si>
  <si>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</si>
  <si>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</si>
  <si>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</si>
  <si>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</si>
  <si>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</si>
  <si>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</si>
  <si>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</si>
  <si>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</si>
  <si>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</si>
  <si>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</si>
  <si>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</si>
  <si>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</si>
  <si>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</si>
  <si>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</si>
  <si>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</si>
  <si>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wild-lnm</t>
  </si>
  <si>
    <t>sellnm</t>
  </si>
  <si>
    <t>sellnf</t>
  </si>
  <si>
    <t>lnxwildm</t>
  </si>
  <si>
    <t>lnwildxf</t>
  </si>
  <si>
    <t>wild-lnf</t>
  </si>
  <si>
    <t>wildxm</t>
  </si>
  <si>
    <t>wildxf</t>
  </si>
  <si>
    <t>fitwild-m</t>
  </si>
  <si>
    <t>sel-mx</t>
  </si>
  <si>
    <t>sel-fx</t>
  </si>
  <si>
    <t>sel-my</t>
  </si>
  <si>
    <t>sel-fy</t>
  </si>
  <si>
    <t>sel-mz</t>
  </si>
  <si>
    <t>sel-fz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</si>
</sst>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8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 applyFill="1" applyAlignment="1"/>
    <xf numFmtId="0" fontId="2" fillId="0" borderId="0" xfId="0" applyFont="1"/>
    <xf numFmtId="0" fontId="3" fillId="0" borderId="0" xfId="0" applyFont="1" applyFill="1" applyAlignment="1"/>
    <xf numFmtId="0" fontId="0" fillId="0" borderId="0" xfId="0" applyFill="1" applyAlignme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/>
  <colors>
    <mruColors>
      <color rgb="FF8CADD4"/>
      <color rgb="FF88A9D2"/>
      <color rgb="FFFE5F34"/>
      <color rgb="FFD17E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WING LENGTH VS THORAX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959413214743155"/>
          <c:y val="6.1460541594815316E-2"/>
          <c:w val="0.63642463464474208"/>
          <c:h val="0.74512422512362908"/>
        </c:manualLayout>
      </c:layout>
      <c:scatterChart>
        <c:scatterStyle val="lineMarker"/>
        <c:varyColors val="0"/>
        <c:ser>
          <c:idx val="20"/>
          <c:order val="0"/>
          <c:tx>
            <c:strRef>
              <c:f>'HT 2017-07-05 BIG JIM'!$P$1</c:f>
              <c:strCache>
                <c:ptCount val="1"/>
                <c:pt idx="0">
                  <c:v>wild-m</c:v>
                </c:pt>
              </c:strCache>
            </c:strRef>
          </c:tx>
          <c:spPr>
            <a:ln w="19050" cap="rnd" cmpd="sng" algn="ctr">
              <a:noFill/>
              <a:prstDash val="dash"/>
              <a:round/>
            </a:ln>
          </c:spPr>
          <c:marker>
            <c:symbol val="circle"/>
            <c:size val="3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JIM'!$P$2:$P$1205</c:f>
              <c:numCache>
                <c:formatCode>General</c:formatCode>
                <c:ptCount val="1204"/>
                <c:pt idx="680">
                  <c:v>1.9636954957426571</c:v>
                </c:pt>
                <c:pt idx="681">
                  <c:v>1.94982050455933</c:v>
                </c:pt>
                <c:pt idx="682">
                  <c:v>2.0385534086699812</c:v>
                </c:pt>
                <c:pt idx="683">
                  <c:v>2.0255616505058542</c:v>
                </c:pt>
                <c:pt idx="684">
                  <c:v>2.0392400545301181</c:v>
                </c:pt>
                <c:pt idx="685">
                  <c:v>2.0620620747203513</c:v>
                </c:pt>
                <c:pt idx="686">
                  <c:v>1.9697715603592212</c:v>
                </c:pt>
                <c:pt idx="687">
                  <c:v>1.9720294115453754</c:v>
                </c:pt>
                <c:pt idx="688">
                  <c:v>1.9469976887505542</c:v>
                </c:pt>
                <c:pt idx="689">
                  <c:v>1.9921094347449892</c:v>
                </c:pt>
                <c:pt idx="690">
                  <c:v>1.9720294115453754</c:v>
                </c:pt>
                <c:pt idx="691">
                  <c:v>2.0615528128088298</c:v>
                </c:pt>
                <c:pt idx="692">
                  <c:v>1.9725364381932211</c:v>
                </c:pt>
                <c:pt idx="693">
                  <c:v>1.9588772294352701</c:v>
                </c:pt>
                <c:pt idx="694">
                  <c:v>2.0498048687619024</c:v>
                </c:pt>
                <c:pt idx="695">
                  <c:v>2.0448227307030797</c:v>
                </c:pt>
                <c:pt idx="696">
                  <c:v>1.9473315074737534</c:v>
                </c:pt>
                <c:pt idx="697">
                  <c:v>2.0357062656483622</c:v>
                </c:pt>
                <c:pt idx="698">
                  <c:v>2.0171762441591463</c:v>
                </c:pt>
                <c:pt idx="699">
                  <c:v>2.0235859260234048</c:v>
                </c:pt>
                <c:pt idx="700">
                  <c:v>1.9961963831246663</c:v>
                </c:pt>
                <c:pt idx="701">
                  <c:v>1.915097908724251</c:v>
                </c:pt>
                <c:pt idx="702">
                  <c:v>2.0706762180505187</c:v>
                </c:pt>
                <c:pt idx="703">
                  <c:v>1.9089525923919639</c:v>
                </c:pt>
                <c:pt idx="704">
                  <c:v>1.9664434901618708</c:v>
                </c:pt>
                <c:pt idx="705">
                  <c:v>2.0412986062798359</c:v>
                </c:pt>
                <c:pt idx="706">
                  <c:v>1.9991248085099642</c:v>
                </c:pt>
                <c:pt idx="707">
                  <c:v>1.9620907216538179</c:v>
                </c:pt>
                <c:pt idx="708">
                  <c:v>1.9960210419732554</c:v>
                </c:pt>
                <c:pt idx="709">
                  <c:v>1.969771560359221</c:v>
                </c:pt>
                <c:pt idx="710">
                  <c:v>1.9789138435010252</c:v>
                </c:pt>
                <c:pt idx="711">
                  <c:v>2.0155644370746373</c:v>
                </c:pt>
                <c:pt idx="712">
                  <c:v>2.049414550548522</c:v>
                </c:pt>
                <c:pt idx="713">
                  <c:v>2.0264747716169573</c:v>
                </c:pt>
                <c:pt idx="714">
                  <c:v>2.0317726250739767</c:v>
                </c:pt>
                <c:pt idx="715">
                  <c:v>2.005243127403757</c:v>
                </c:pt>
                <c:pt idx="716">
                  <c:v>1.9448650338776725</c:v>
                </c:pt>
                <c:pt idx="717">
                  <c:v>2.006389792637512</c:v>
                </c:pt>
                <c:pt idx="718">
                  <c:v>1.9190883252211188</c:v>
                </c:pt>
                <c:pt idx="719">
                  <c:v>1.9824479816630751</c:v>
                </c:pt>
                <c:pt idx="720">
                  <c:v>1.9490510511528425</c:v>
                </c:pt>
                <c:pt idx="721">
                  <c:v>2.078701517774979</c:v>
                </c:pt>
                <c:pt idx="722">
                  <c:v>2.0172506041639942</c:v>
                </c:pt>
                <c:pt idx="723">
                  <c:v>2.0185390756683406</c:v>
                </c:pt>
                <c:pt idx="724">
                  <c:v>2.0135789033459801</c:v>
                </c:pt>
                <c:pt idx="725">
                  <c:v>2.0931316251014889</c:v>
                </c:pt>
                <c:pt idx="726">
                  <c:v>2.0140506448448607</c:v>
                </c:pt>
                <c:pt idx="727">
                  <c:v>1.9729419656948861</c:v>
                </c:pt>
                <c:pt idx="728">
                  <c:v>2.0110942295178513</c:v>
                </c:pt>
                <c:pt idx="729">
                  <c:v>1.9924858845171274</c:v>
                </c:pt>
                <c:pt idx="730">
                  <c:v>1.9592090240706836</c:v>
                </c:pt>
                <c:pt idx="731">
                  <c:v>1.9455076458343721</c:v>
                </c:pt>
                <c:pt idx="732">
                  <c:v>1.9688829320200831</c:v>
                </c:pt>
                <c:pt idx="733">
                  <c:v>2.0353869410998984</c:v>
                </c:pt>
                <c:pt idx="734">
                  <c:v>2.0024235316236174</c:v>
                </c:pt>
                <c:pt idx="735">
                  <c:v>2.0573040611440985</c:v>
                </c:pt>
                <c:pt idx="736">
                  <c:v>1.9184629264074926</c:v>
                </c:pt>
                <c:pt idx="737">
                  <c:v>2.0483407919582133</c:v>
                </c:pt>
                <c:pt idx="738">
                  <c:v>1.9784084512557059</c:v>
                </c:pt>
                <c:pt idx="739">
                  <c:v>1.9921094347449895</c:v>
                </c:pt>
                <c:pt idx="740">
                  <c:v>1.9577793542685038</c:v>
                </c:pt>
                <c:pt idx="741">
                  <c:v>1.9642046736529264</c:v>
                </c:pt>
                <c:pt idx="742">
                  <c:v>1.9808079159777203</c:v>
                </c:pt>
                <c:pt idx="743">
                  <c:v>1.9444536507718562</c:v>
                </c:pt>
                <c:pt idx="744">
                  <c:v>1.9990497742677644</c:v>
                </c:pt>
                <c:pt idx="745">
                  <c:v>1.927200041511</c:v>
                </c:pt>
                <c:pt idx="746">
                  <c:v>1.9581624038878902</c:v>
                </c:pt>
                <c:pt idx="747">
                  <c:v>1.9928873525616042</c:v>
                </c:pt>
                <c:pt idx="748">
                  <c:v>1.9991248085099638</c:v>
                </c:pt>
                <c:pt idx="749">
                  <c:v>1.9642046736529262</c:v>
                </c:pt>
                <c:pt idx="750">
                  <c:v>2.0125854019146616</c:v>
                </c:pt>
                <c:pt idx="751">
                  <c:v>2.0169531476958014</c:v>
                </c:pt>
                <c:pt idx="752">
                  <c:v>1.9859506539690257</c:v>
                </c:pt>
                <c:pt idx="753">
                  <c:v>1.9747404892795408</c:v>
                </c:pt>
                <c:pt idx="754">
                  <c:v>1.9588006534611941</c:v>
                </c:pt>
                <c:pt idx="755">
                  <c:v>2.0035218990567585</c:v>
                </c:pt>
                <c:pt idx="756">
                  <c:v>1.9617339269126179</c:v>
                </c:pt>
                <c:pt idx="757">
                  <c:v>1.9777259668619414</c:v>
                </c:pt>
                <c:pt idx="758">
                  <c:v>1.9394071259021404</c:v>
                </c:pt>
                <c:pt idx="759">
                  <c:v>1.9384787850270633</c:v>
                </c:pt>
                <c:pt idx="760">
                  <c:v>1.9359752064528102</c:v>
                </c:pt>
                <c:pt idx="761">
                  <c:v>1.8983413813115912</c:v>
                </c:pt>
                <c:pt idx="762">
                  <c:v>1.8601075237738274</c:v>
                </c:pt>
                <c:pt idx="763">
                  <c:v>1.9578048932414078</c:v>
                </c:pt>
                <c:pt idx="764">
                  <c:v>1.8993156662334989</c:v>
                </c:pt>
                <c:pt idx="765">
                  <c:v>1.954328529188478</c:v>
                </c:pt>
                <c:pt idx="766">
                  <c:v>1.9453791404248171</c:v>
                </c:pt>
                <c:pt idx="767">
                  <c:v>1.9003157632351526</c:v>
                </c:pt>
                <c:pt idx="768">
                  <c:v>1.9577793542685038</c:v>
                </c:pt>
                <c:pt idx="769">
                  <c:v>1.9192967462067974</c:v>
                </c:pt>
                <c:pt idx="770">
                  <c:v>2.0024235316236174</c:v>
                </c:pt>
                <c:pt idx="771">
                  <c:v>1.9043371550227128</c:v>
                </c:pt>
                <c:pt idx="772">
                  <c:v>1.8693581786270921</c:v>
                </c:pt>
                <c:pt idx="773">
                  <c:v>1.9374467734624348</c:v>
                </c:pt>
                <c:pt idx="774">
                  <c:v>1.946535383701</c:v>
                </c:pt>
                <c:pt idx="775">
                  <c:v>1.8656098198712399</c:v>
                </c:pt>
                <c:pt idx="776">
                  <c:v>1.9544052803858265</c:v>
                </c:pt>
                <c:pt idx="777">
                  <c:v>1.9553260597659921</c:v>
                </c:pt>
                <c:pt idx="778">
                  <c:v>1.9018412131405713</c:v>
                </c:pt>
                <c:pt idx="779">
                  <c:v>1.9365174928205531</c:v>
                </c:pt>
                <c:pt idx="780">
                  <c:v>1.9876870981117727</c:v>
                </c:pt>
                <c:pt idx="781">
                  <c:v>1.8493782739072071</c:v>
                </c:pt>
                <c:pt idx="782">
                  <c:v>1.9293781381574737</c:v>
                </c:pt>
                <c:pt idx="783">
                  <c:v>1.8783237207680681</c:v>
                </c:pt>
                <c:pt idx="784">
                  <c:v>1.9312690128513945</c:v>
                </c:pt>
                <c:pt idx="785">
                  <c:v>1.9112822920751398</c:v>
                </c:pt>
                <c:pt idx="786">
                  <c:v>1.8917980864775183</c:v>
                </c:pt>
                <c:pt idx="787">
                  <c:v>1.8874321179846445</c:v>
                </c:pt>
                <c:pt idx="788">
                  <c:v>1.9544052803858265</c:v>
                </c:pt>
                <c:pt idx="789">
                  <c:v>1.800999722376436</c:v>
                </c:pt>
                <c:pt idx="790">
                  <c:v>1.8383960400305477</c:v>
                </c:pt>
                <c:pt idx="791">
                  <c:v>1.9166898549321951</c:v>
                </c:pt>
                <c:pt idx="792">
                  <c:v>1.9159592897553954</c:v>
                </c:pt>
                <c:pt idx="793">
                  <c:v>1.9119100397246727</c:v>
                </c:pt>
                <c:pt idx="794">
                  <c:v>1.8788294228055935</c:v>
                </c:pt>
                <c:pt idx="795">
                  <c:v>1.9436306233438494</c:v>
                </c:pt>
                <c:pt idx="796">
                  <c:v>1.8213182039391143</c:v>
                </c:pt>
                <c:pt idx="797">
                  <c:v>1.8828170383762728</c:v>
                </c:pt>
                <c:pt idx="879">
                  <c:v>2.2135265979879257</c:v>
                </c:pt>
                <c:pt idx="880">
                  <c:v>2.0795432190748042</c:v>
                </c:pt>
                <c:pt idx="881">
                  <c:v>2.1023082552280483</c:v>
                </c:pt>
                <c:pt idx="882">
                  <c:v>2.15188289644209</c:v>
                </c:pt>
                <c:pt idx="883">
                  <c:v>2.1645322820415496</c:v>
                </c:pt>
                <c:pt idx="884">
                  <c:v>2.1078899402008635</c:v>
                </c:pt>
                <c:pt idx="885">
                  <c:v>2.1137644144984558</c:v>
                </c:pt>
                <c:pt idx="886">
                  <c:v>2.106181378704123</c:v>
                </c:pt>
                <c:pt idx="887">
                  <c:v>2.1849027438309467</c:v>
                </c:pt>
                <c:pt idx="888">
                  <c:v>2.0565261972559452</c:v>
                </c:pt>
                <c:pt idx="889">
                  <c:v>2.0863365021012314</c:v>
                </c:pt>
                <c:pt idx="890">
                  <c:v>2.182773465112676</c:v>
                </c:pt>
                <c:pt idx="891">
                  <c:v>2.1198348992315417</c:v>
                </c:pt>
                <c:pt idx="892">
                  <c:v>2.167879147923149</c:v>
                </c:pt>
                <c:pt idx="893">
                  <c:v>2.1751321798916035</c:v>
                </c:pt>
                <c:pt idx="894">
                  <c:v>2.0930360723121808</c:v>
                </c:pt>
                <c:pt idx="895">
                  <c:v>2.1720497231877545</c:v>
                </c:pt>
                <c:pt idx="896">
                  <c:v>2.1330025785263365</c:v>
                </c:pt>
                <c:pt idx="897">
                  <c:v>2.0977368757782755</c:v>
                </c:pt>
                <c:pt idx="898">
                  <c:v>2.1079136604709405</c:v>
                </c:pt>
                <c:pt idx="899">
                  <c:v>2.1969296757065302</c:v>
                </c:pt>
                <c:pt idx="900">
                  <c:v>2.0443580899636933</c:v>
                </c:pt>
                <c:pt idx="901">
                  <c:v>2.097474672075923</c:v>
                </c:pt>
                <c:pt idx="902">
                  <c:v>2.008706051168264</c:v>
                </c:pt>
                <c:pt idx="903">
                  <c:v>2.1341274563624357</c:v>
                </c:pt>
                <c:pt idx="904">
                  <c:v>2.1513948963405114</c:v>
                </c:pt>
                <c:pt idx="905">
                  <c:v>2.1783020910791966</c:v>
                </c:pt>
                <c:pt idx="906">
                  <c:v>2.1799541279577421</c:v>
                </c:pt>
                <c:pt idx="907">
                  <c:v>2.1428252378577213</c:v>
                </c:pt>
                <c:pt idx="908">
                  <c:v>2.11322029140362</c:v>
                </c:pt>
                <c:pt idx="909">
                  <c:v>2.0670752284326763</c:v>
                </c:pt>
                <c:pt idx="910">
                  <c:v>2.1289668856043766</c:v>
                </c:pt>
                <c:pt idx="911">
                  <c:v>2.0554804791094465</c:v>
                </c:pt>
                <c:pt idx="912">
                  <c:v>1.9954197553397128</c:v>
                </c:pt>
                <c:pt idx="913">
                  <c:v>2.1385976713725285</c:v>
                </c:pt>
                <c:pt idx="914">
                  <c:v>2.1587033144922905</c:v>
                </c:pt>
                <c:pt idx="915">
                  <c:v>2.0750903594783532</c:v>
                </c:pt>
                <c:pt idx="916">
                  <c:v>2.1736835096213984</c:v>
                </c:pt>
                <c:pt idx="917">
                  <c:v>2.1437350582569668</c:v>
                </c:pt>
                <c:pt idx="918">
                  <c:v>2.0930838492521033</c:v>
                </c:pt>
                <c:pt idx="919">
                  <c:v>2.0439422692434341</c:v>
                </c:pt>
                <c:pt idx="920">
                  <c:v>2.0944211610848473</c:v>
                </c:pt>
                <c:pt idx="921">
                  <c:v>2.2132555207205513</c:v>
                </c:pt>
                <c:pt idx="922">
                  <c:v>2.1484878403193255</c:v>
                </c:pt>
                <c:pt idx="923">
                  <c:v>2.125323504786977</c:v>
                </c:pt>
                <c:pt idx="924">
                  <c:v>2.1455302374937526</c:v>
                </c:pt>
                <c:pt idx="925">
                  <c:v>2.105445321066306</c:v>
                </c:pt>
                <c:pt idx="926">
                  <c:v>2.1440615662802225</c:v>
                </c:pt>
                <c:pt idx="927">
                  <c:v>2.1881956036881167</c:v>
                </c:pt>
                <c:pt idx="928">
                  <c:v>2.1294130646729865</c:v>
                </c:pt>
                <c:pt idx="929">
                  <c:v>2.0796634343085421</c:v>
                </c:pt>
                <c:pt idx="930">
                  <c:v>2.1734764779035451</c:v>
                </c:pt>
                <c:pt idx="931">
                  <c:v>2.1262408142070832</c:v>
                </c:pt>
                <c:pt idx="932">
                  <c:v>2.112557691519926</c:v>
                </c:pt>
                <c:pt idx="933">
                  <c:v>2.0706037766796426</c:v>
                </c:pt>
                <c:pt idx="934">
                  <c:v>2.0925104539762756</c:v>
                </c:pt>
                <c:pt idx="935">
                  <c:v>2.0803124765284662</c:v>
                </c:pt>
                <c:pt idx="936">
                  <c:v>2.0752349264601344</c:v>
                </c:pt>
                <c:pt idx="937">
                  <c:v>2.1446211786700236</c:v>
                </c:pt>
                <c:pt idx="938">
                  <c:v>2.0940391591371923</c:v>
                </c:pt>
                <c:pt idx="939">
                  <c:v>2.1476731594914531</c:v>
                </c:pt>
                <c:pt idx="940">
                  <c:v>2.1378493866500512</c:v>
                </c:pt>
                <c:pt idx="941">
                  <c:v>2.1576144233852355</c:v>
                </c:pt>
                <c:pt idx="942">
                  <c:v>2.1213203435596424</c:v>
                </c:pt>
                <c:pt idx="943">
                  <c:v>2.128497122384712</c:v>
                </c:pt>
                <c:pt idx="944">
                  <c:v>2.1111608181282637</c:v>
                </c:pt>
                <c:pt idx="945">
                  <c:v>2.173131381210073</c:v>
                </c:pt>
                <c:pt idx="946">
                  <c:v>2.0715453169071631</c:v>
                </c:pt>
                <c:pt idx="947">
                  <c:v>2.15188289644209</c:v>
                </c:pt>
                <c:pt idx="948">
                  <c:v>2.139088590965788</c:v>
                </c:pt>
                <c:pt idx="949">
                  <c:v>2.1117765033260505</c:v>
                </c:pt>
                <c:pt idx="950">
                  <c:v>2.1458098704218882</c:v>
                </c:pt>
                <c:pt idx="951">
                  <c:v>2.0854256160314133</c:v>
                </c:pt>
                <c:pt idx="952">
                  <c:v>2.1335416564951339</c:v>
                </c:pt>
                <c:pt idx="953">
                  <c:v>2.1337759957408839</c:v>
                </c:pt>
                <c:pt idx="954">
                  <c:v>2.1660101569475612</c:v>
                </c:pt>
                <c:pt idx="955">
                  <c:v>2.1800917411888889</c:v>
                </c:pt>
                <c:pt idx="956">
                  <c:v>2.097474672075923</c:v>
                </c:pt>
                <c:pt idx="957">
                  <c:v>2.110923968313402</c:v>
                </c:pt>
                <c:pt idx="958">
                  <c:v>2.0086064821163951</c:v>
                </c:pt>
                <c:pt idx="959">
                  <c:v>2.0808652046684815</c:v>
                </c:pt>
                <c:pt idx="960">
                  <c:v>2.1242645786248002</c:v>
                </c:pt>
                <c:pt idx="961">
                  <c:v>2.0155644370746373</c:v>
                </c:pt>
                <c:pt idx="962">
                  <c:v>2.1850400453996262</c:v>
                </c:pt>
                <c:pt idx="963">
                  <c:v>2.1128653530218151</c:v>
                </c:pt>
                <c:pt idx="964">
                  <c:v>2.09995238041247</c:v>
                </c:pt>
                <c:pt idx="965">
                  <c:v>2.1148285982556603</c:v>
                </c:pt>
                <c:pt idx="966">
                  <c:v>2.1272752525237535</c:v>
                </c:pt>
                <c:pt idx="967">
                  <c:v>2.011591409804685</c:v>
                </c:pt>
                <c:pt idx="968">
                  <c:v>2.0961870145576231</c:v>
                </c:pt>
                <c:pt idx="969">
                  <c:v>2.0803124765284662</c:v>
                </c:pt>
                <c:pt idx="970">
                  <c:v>2.1600462958001616</c:v>
                </c:pt>
                <c:pt idx="971">
                  <c:v>2.063904067538024</c:v>
                </c:pt>
                <c:pt idx="972">
                  <c:v>2.063904067538024</c:v>
                </c:pt>
                <c:pt idx="973">
                  <c:v>2.0006249023742555</c:v>
                </c:pt>
                <c:pt idx="974">
                  <c:v>2.0944211610848473</c:v>
                </c:pt>
                <c:pt idx="975">
                  <c:v>1.9658077220318368</c:v>
                </c:pt>
                <c:pt idx="976">
                  <c:v>2.0622802913280243</c:v>
                </c:pt>
                <c:pt idx="977">
                  <c:v>2.0701932276963904</c:v>
                </c:pt>
                <c:pt idx="978">
                  <c:v>2.066615590766701</c:v>
                </c:pt>
                <c:pt idx="979">
                  <c:v>2.04</c:v>
                </c:pt>
                <c:pt idx="980">
                  <c:v>2.1019038988498027</c:v>
                </c:pt>
                <c:pt idx="981">
                  <c:v>2.0562587385832551</c:v>
                </c:pt>
                <c:pt idx="982">
                  <c:v>2.0226715007632849</c:v>
                </c:pt>
                <c:pt idx="983">
                  <c:v>2.0738611332488008</c:v>
                </c:pt>
                <c:pt idx="984">
                  <c:v>2.0768485741623053</c:v>
                </c:pt>
                <c:pt idx="985">
                  <c:v>2.0768485741623048</c:v>
                </c:pt>
                <c:pt idx="986">
                  <c:v>2.0957099035887579</c:v>
                </c:pt>
                <c:pt idx="987">
                  <c:v>2.048243149628481</c:v>
                </c:pt>
                <c:pt idx="988">
                  <c:v>2.0107958623390889</c:v>
                </c:pt>
                <c:pt idx="989">
                  <c:v>2.0894257584322062</c:v>
                </c:pt>
                <c:pt idx="990">
                  <c:v>2.0484140206510988</c:v>
                </c:pt>
                <c:pt idx="991">
                  <c:v>2.0099751242241783</c:v>
                </c:pt>
                <c:pt idx="992">
                  <c:v>2.0172506041639942</c:v>
                </c:pt>
                <c:pt idx="993">
                  <c:v>2.1261467494037185</c:v>
                </c:pt>
                <c:pt idx="994">
                  <c:v>2.056428943581567</c:v>
                </c:pt>
                <c:pt idx="995">
                  <c:v>2.0488289338058463</c:v>
                </c:pt>
                <c:pt idx="996">
                  <c:v>2.0580087463370997</c:v>
                </c:pt>
                <c:pt idx="997">
                  <c:v>2.1086725682286476</c:v>
                </c:pt>
                <c:pt idx="998">
                  <c:v>2.0666155907667005</c:v>
                </c:pt>
                <c:pt idx="1083">
                  <c:v>2.2227910383119687</c:v>
                </c:pt>
                <c:pt idx="1084">
                  <c:v>2.2624102192131295</c:v>
                </c:pt>
                <c:pt idx="1085">
                  <c:v>2.2587828580897278</c:v>
                </c:pt>
                <c:pt idx="1086">
                  <c:v>2.2316137658654109</c:v>
                </c:pt>
                <c:pt idx="1087">
                  <c:v>2.3157288269570766</c:v>
                </c:pt>
                <c:pt idx="1088">
                  <c:v>2.240089283934906</c:v>
                </c:pt>
                <c:pt idx="1089">
                  <c:v>2.3256181973832248</c:v>
                </c:pt>
                <c:pt idx="1090">
                  <c:v>2.2537524265100637</c:v>
                </c:pt>
                <c:pt idx="1091">
                  <c:v>2.295778734982969</c:v>
                </c:pt>
                <c:pt idx="1092">
                  <c:v>2.2155134844996995</c:v>
                </c:pt>
                <c:pt idx="1093">
                  <c:v>2.3343735776434755</c:v>
                </c:pt>
                <c:pt idx="1094">
                  <c:v>2.2897379762758883</c:v>
                </c:pt>
                <c:pt idx="1095">
                  <c:v>2.26503863101714</c:v>
                </c:pt>
                <c:pt idx="1096">
                  <c:v>2.2737853900489378</c:v>
                </c:pt>
                <c:pt idx="1097">
                  <c:v>2.2724656213021133</c:v>
                </c:pt>
                <c:pt idx="1098">
                  <c:v>2.2316137658654109</c:v>
                </c:pt>
                <c:pt idx="1099">
                  <c:v>2.2226560687609767</c:v>
                </c:pt>
                <c:pt idx="1100">
                  <c:v>2.245551157288562</c:v>
                </c:pt>
                <c:pt idx="1101">
                  <c:v>2.3706539182259396</c:v>
                </c:pt>
                <c:pt idx="1102">
                  <c:v>2.3132660893204657</c:v>
                </c:pt>
                <c:pt idx="1103">
                  <c:v>2.2811400658442702</c:v>
                </c:pt>
                <c:pt idx="1104">
                  <c:v>2.3122499864850257</c:v>
                </c:pt>
                <c:pt idx="1105">
                  <c:v>2.2071927872299693</c:v>
                </c:pt>
                <c:pt idx="1106">
                  <c:v>2.2760711763914592</c:v>
                </c:pt>
                <c:pt idx="1107">
                  <c:v>2.2588713996153036</c:v>
                </c:pt>
                <c:pt idx="1108">
                  <c:v>2.2299103120977759</c:v>
                </c:pt>
                <c:pt idx="1109">
                  <c:v>2.2301569451498251</c:v>
                </c:pt>
                <c:pt idx="1110">
                  <c:v>2.2219135896789504</c:v>
                </c:pt>
                <c:pt idx="1111">
                  <c:v>2.1110187114282053</c:v>
                </c:pt>
                <c:pt idx="1112">
                  <c:v>2.3212496634356246</c:v>
                </c:pt>
                <c:pt idx="1113">
                  <c:v>2.2896506283710623</c:v>
                </c:pt>
                <c:pt idx="1114">
                  <c:v>2.2418296099391672</c:v>
                </c:pt>
                <c:pt idx="1115">
                  <c:v>2.2545953073667122</c:v>
                </c:pt>
                <c:pt idx="1116">
                  <c:v>2.1695391215647621</c:v>
                </c:pt>
                <c:pt idx="1117">
                  <c:v>2.1971344974762013</c:v>
                </c:pt>
                <c:pt idx="1118">
                  <c:v>2.1863439802556228</c:v>
                </c:pt>
                <c:pt idx="1119">
                  <c:v>2.2242751628339512</c:v>
                </c:pt>
                <c:pt idx="1120">
                  <c:v>2.211628359376864</c:v>
                </c:pt>
                <c:pt idx="1121">
                  <c:v>2.1827734651126764</c:v>
                </c:pt>
                <c:pt idx="1122">
                  <c:v>2.2141589825484527</c:v>
                </c:pt>
                <c:pt idx="1123">
                  <c:v>2.2808112591795053</c:v>
                </c:pt>
                <c:pt idx="1124">
                  <c:v>2.2246797522340152</c:v>
                </c:pt>
                <c:pt idx="1125">
                  <c:v>2.1747873459260334</c:v>
                </c:pt>
                <c:pt idx="1126">
                  <c:v>2.1749482752470231</c:v>
                </c:pt>
                <c:pt idx="1127">
                  <c:v>2.3753947040439409</c:v>
                </c:pt>
                <c:pt idx="1128">
                  <c:v>2.2726416347501868</c:v>
                </c:pt>
                <c:pt idx="1129">
                  <c:v>2.2983907413666635</c:v>
                </c:pt>
                <c:pt idx="1130">
                  <c:v>2.2552383466055201</c:v>
                </c:pt>
                <c:pt idx="1131">
                  <c:v>2.1678099547700209</c:v>
                </c:pt>
                <c:pt idx="1132">
                  <c:v>2.170023041352326</c:v>
                </c:pt>
                <c:pt idx="1133">
                  <c:v>2.2339650847763934</c:v>
                </c:pt>
                <c:pt idx="1134">
                  <c:v>2.2945587811167534</c:v>
                </c:pt>
                <c:pt idx="1135">
                  <c:v>2.2205629916757594</c:v>
                </c:pt>
                <c:pt idx="1136">
                  <c:v>2.20476756144497</c:v>
                </c:pt>
                <c:pt idx="1137">
                  <c:v>2.2580744009000231</c:v>
                </c:pt>
                <c:pt idx="1138">
                  <c:v>2.2737853900489382</c:v>
                </c:pt>
                <c:pt idx="1139">
                  <c:v>2.2660317738284252</c:v>
                </c:pt>
                <c:pt idx="1140">
                  <c:v>2.1661486560252508</c:v>
                </c:pt>
                <c:pt idx="1141">
                  <c:v>2.2629184695874485</c:v>
                </c:pt>
                <c:pt idx="1142">
                  <c:v>2.2367163432138639</c:v>
                </c:pt>
                <c:pt idx="1143">
                  <c:v>2.266384786394402</c:v>
                </c:pt>
                <c:pt idx="1144">
                  <c:v>2.2934035841953335</c:v>
                </c:pt>
                <c:pt idx="1145">
                  <c:v>2.2760711763914592</c:v>
                </c:pt>
                <c:pt idx="1146">
                  <c:v>2.2411827234743713</c:v>
                </c:pt>
                <c:pt idx="1147">
                  <c:v>2.1513251730038396</c:v>
                </c:pt>
                <c:pt idx="1148">
                  <c:v>2.228744040934266</c:v>
                </c:pt>
                <c:pt idx="1149">
                  <c:v>2.1854976549975982</c:v>
                </c:pt>
                <c:pt idx="1150">
                  <c:v>2.0838665984174711</c:v>
                </c:pt>
                <c:pt idx="1151">
                  <c:v>2.1742354978244651</c:v>
                </c:pt>
                <c:pt idx="1152">
                  <c:v>2.21054291973714</c:v>
                </c:pt>
                <c:pt idx="1153">
                  <c:v>2.3104112188093273</c:v>
                </c:pt>
                <c:pt idx="1154">
                  <c:v>2.2875751353780709</c:v>
                </c:pt>
                <c:pt idx="1155">
                  <c:v>2.2865257488163127</c:v>
                </c:pt>
                <c:pt idx="1156">
                  <c:v>2.2945587811167534</c:v>
                </c:pt>
                <c:pt idx="1157">
                  <c:v>2.3122499864850257</c:v>
                </c:pt>
                <c:pt idx="1158">
                  <c:v>2.3129418496797536</c:v>
                </c:pt>
                <c:pt idx="1159">
                  <c:v>2.204835594777987</c:v>
                </c:pt>
                <c:pt idx="1160">
                  <c:v>2.1854976549975982</c:v>
                </c:pt>
                <c:pt idx="1161">
                  <c:v>2.1799541279577421</c:v>
                </c:pt>
                <c:pt idx="1162">
                  <c:v>2.2155134844996995</c:v>
                </c:pt>
                <c:pt idx="1163">
                  <c:v>2.1791053209975879</c:v>
                </c:pt>
                <c:pt idx="1164">
                  <c:v>2.2297085011274453</c:v>
                </c:pt>
                <c:pt idx="1165">
                  <c:v>2.2466196829904255</c:v>
                </c:pt>
                <c:pt idx="1166">
                  <c:v>2.17846276075585</c:v>
                </c:pt>
                <c:pt idx="1167">
                  <c:v>2.1109239683134016</c:v>
                </c:pt>
                <c:pt idx="1168">
                  <c:v>2.1742354978244651</c:v>
                </c:pt>
                <c:pt idx="1169">
                  <c:v>2.2723776094654689</c:v>
                </c:pt>
                <c:pt idx="1170">
                  <c:v>2.1242645786248002</c:v>
                </c:pt>
                <c:pt idx="1171">
                  <c:v>2.2408257406590097</c:v>
                </c:pt>
                <c:pt idx="1172">
                  <c:v>2.1850400453996257</c:v>
                </c:pt>
                <c:pt idx="1173">
                  <c:v>2.1172859986312664</c:v>
                </c:pt>
                <c:pt idx="1174">
                  <c:v>2.1601157376399995</c:v>
                </c:pt>
                <c:pt idx="1175">
                  <c:v>2.2370739817896057</c:v>
                </c:pt>
                <c:pt idx="1176">
                  <c:v>2.116317556511782</c:v>
                </c:pt>
                <c:pt idx="1177">
                  <c:v>2.1574522010927613</c:v>
                </c:pt>
                <c:pt idx="1178">
                  <c:v>2.2411827234743709</c:v>
                </c:pt>
                <c:pt idx="1179">
                  <c:v>2.3170886905770356</c:v>
                </c:pt>
                <c:pt idx="1180">
                  <c:v>2.2360679774997898</c:v>
                </c:pt>
                <c:pt idx="1181">
                  <c:v>2.1517667159801501</c:v>
                </c:pt>
                <c:pt idx="1182">
                  <c:v>2.1953131895016709</c:v>
                </c:pt>
                <c:pt idx="1183">
                  <c:v>2.1868927728629037</c:v>
                </c:pt>
                <c:pt idx="1184">
                  <c:v>2.2063997824510411</c:v>
                </c:pt>
                <c:pt idx="1185">
                  <c:v>2.1883555469804259</c:v>
                </c:pt>
                <c:pt idx="1186">
                  <c:v>2.1535552001283831</c:v>
                </c:pt>
                <c:pt idx="1187">
                  <c:v>2.2163483480716657</c:v>
                </c:pt>
                <c:pt idx="1188">
                  <c:v>2.1446211786700236</c:v>
                </c:pt>
                <c:pt idx="1189">
                  <c:v>2.2629184695874485</c:v>
                </c:pt>
                <c:pt idx="1190">
                  <c:v>2.2354417907876734</c:v>
                </c:pt>
                <c:pt idx="1191">
                  <c:v>2.16453228204155</c:v>
                </c:pt>
                <c:pt idx="1192">
                  <c:v>2.1868927728629037</c:v>
                </c:pt>
                <c:pt idx="1193">
                  <c:v>2.2027482833950867</c:v>
                </c:pt>
                <c:pt idx="1194">
                  <c:v>2.1064187617850347</c:v>
                </c:pt>
                <c:pt idx="1195">
                  <c:v>2.1805733191066978</c:v>
                </c:pt>
                <c:pt idx="1196">
                  <c:v>2.125323504786977</c:v>
                </c:pt>
                <c:pt idx="1197">
                  <c:v>2.1523243250030886</c:v>
                </c:pt>
                <c:pt idx="1198">
                  <c:v>2.1965882636488794</c:v>
                </c:pt>
                <c:pt idx="1199">
                  <c:v>2.2140009033421828</c:v>
                </c:pt>
                <c:pt idx="1200">
                  <c:v>2.2437914341578185</c:v>
                </c:pt>
                <c:pt idx="1201">
                  <c:v>2.1623135757794243</c:v>
                </c:pt>
                <c:pt idx="1202">
                  <c:v>2.1923731434224423</c:v>
                </c:pt>
                <c:pt idx="1203">
                  <c:v>2.1333776037073231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7-424A-9343-BDC7C8F9525F}"/>
            </c:ext>
          </c:extLst>
        </c:ser>
        <c:ser>
          <c:idx val="0"/>
          <c:order val="1"/>
          <c:tx>
            <c:strRef>
              <c:f>'HT 2017-07-05 BIG JIM'!$S$1</c:f>
              <c:strCache>
                <c:ptCount val="1"/>
                <c:pt idx="0">
                  <c:v>wild-f</c:v>
                </c:pt>
              </c:strCache>
            </c:strRef>
          </c:tx>
          <c:spPr>
            <a:ln w="31750" cap="rnd" cmpd="sng" algn="ctr">
              <a:solidFill>
                <a:srgbClr val="7030A0">
                  <a:alpha val="1000"/>
                </a:srgbClr>
              </a:solidFill>
              <a:prstDash val="sysDash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JIM'!$S$2:$S$1205</c:f>
              <c:numCache>
                <c:formatCode>General</c:formatCode>
                <c:ptCount val="1204"/>
                <c:pt idx="79">
                  <c:v>2.2495555116511352</c:v>
                </c:pt>
                <c:pt idx="80">
                  <c:v>2.3333452380648687</c:v>
                </c:pt>
                <c:pt idx="81">
                  <c:v>2.3120553626589482</c:v>
                </c:pt>
                <c:pt idx="82">
                  <c:v>2.3413671220037235</c:v>
                </c:pt>
                <c:pt idx="83">
                  <c:v>2.3686494041964079</c:v>
                </c:pt>
                <c:pt idx="84">
                  <c:v>2.2982819670353765</c:v>
                </c:pt>
                <c:pt idx="85">
                  <c:v>2.3908366736354032</c:v>
                </c:pt>
                <c:pt idx="86">
                  <c:v>2.310086578464106</c:v>
                </c:pt>
                <c:pt idx="87">
                  <c:v>2.3872997298202838</c:v>
                </c:pt>
                <c:pt idx="88">
                  <c:v>2.3360008561642269</c:v>
                </c:pt>
                <c:pt idx="89">
                  <c:v>2.3331738040703267</c:v>
                </c:pt>
                <c:pt idx="90">
                  <c:v>2.2881652038259825</c:v>
                </c:pt>
                <c:pt idx="91">
                  <c:v>2.3992707225321612</c:v>
                </c:pt>
                <c:pt idx="92">
                  <c:v>2.2940139493908926</c:v>
                </c:pt>
                <c:pt idx="93">
                  <c:v>2.3638104830971538</c:v>
                </c:pt>
                <c:pt idx="94">
                  <c:v>2.2812277396174192</c:v>
                </c:pt>
                <c:pt idx="95">
                  <c:v>2.3160742647851342</c:v>
                </c:pt>
                <c:pt idx="96">
                  <c:v>2.327101201065394</c:v>
                </c:pt>
                <c:pt idx="97">
                  <c:v>2.3122499864850257</c:v>
                </c:pt>
                <c:pt idx="98">
                  <c:v>2.2594247055390002</c:v>
                </c:pt>
                <c:pt idx="99">
                  <c:v>2.2472205054244232</c:v>
                </c:pt>
                <c:pt idx="100">
                  <c:v>2.2203603311174516</c:v>
                </c:pt>
                <c:pt idx="101">
                  <c:v>2.3307724041613329</c:v>
                </c:pt>
                <c:pt idx="102">
                  <c:v>2.2826519664635692</c:v>
                </c:pt>
                <c:pt idx="103">
                  <c:v>2.2313448859376268</c:v>
                </c:pt>
                <c:pt idx="104">
                  <c:v>2.3150161986474305</c:v>
                </c:pt>
                <c:pt idx="105">
                  <c:v>2.2552383466055201</c:v>
                </c:pt>
                <c:pt idx="106">
                  <c:v>2.3860637040950943</c:v>
                </c:pt>
                <c:pt idx="107">
                  <c:v>2.3193102422918757</c:v>
                </c:pt>
                <c:pt idx="108">
                  <c:v>2.2552383466055201</c:v>
                </c:pt>
                <c:pt idx="109">
                  <c:v>2.3404700382615458</c:v>
                </c:pt>
                <c:pt idx="110">
                  <c:v>2.3084626919229168</c:v>
                </c:pt>
                <c:pt idx="111">
                  <c:v>2.308246087400561</c:v>
                </c:pt>
                <c:pt idx="112">
                  <c:v>2.3138712150852303</c:v>
                </c:pt>
                <c:pt idx="113">
                  <c:v>2.2840534144367117</c:v>
                </c:pt>
                <c:pt idx="114">
                  <c:v>2.276532450899833</c:v>
                </c:pt>
                <c:pt idx="115">
                  <c:v>2.327101201065394</c:v>
                </c:pt>
                <c:pt idx="116">
                  <c:v>2.3424132854814497</c:v>
                </c:pt>
                <c:pt idx="117">
                  <c:v>2.3780033641691931</c:v>
                </c:pt>
                <c:pt idx="118">
                  <c:v>2.4041630560342613</c:v>
                </c:pt>
                <c:pt idx="119">
                  <c:v>2.3259406699226011</c:v>
                </c:pt>
                <c:pt idx="120">
                  <c:v>2.3786130412490385</c:v>
                </c:pt>
                <c:pt idx="121">
                  <c:v>2.2622555116520329</c:v>
                </c:pt>
                <c:pt idx="122">
                  <c:v>2.3360008561642269</c:v>
                </c:pt>
                <c:pt idx="123">
                  <c:v>2.2466196829904255</c:v>
                </c:pt>
                <c:pt idx="124">
                  <c:v>2.300195643852931</c:v>
                </c:pt>
                <c:pt idx="125">
                  <c:v>2.2812277396174192</c:v>
                </c:pt>
                <c:pt idx="126">
                  <c:v>2.2177466041006579</c:v>
                </c:pt>
                <c:pt idx="127">
                  <c:v>2.2240728405337808</c:v>
                </c:pt>
                <c:pt idx="128">
                  <c:v>2.3700210969525148</c:v>
                </c:pt>
                <c:pt idx="129">
                  <c:v>2.3762154784446636</c:v>
                </c:pt>
                <c:pt idx="130">
                  <c:v>2.3541665191740364</c:v>
                </c:pt>
                <c:pt idx="131">
                  <c:v>2.3167218218853987</c:v>
                </c:pt>
                <c:pt idx="132">
                  <c:v>2.2461745257214543</c:v>
                </c:pt>
                <c:pt idx="133">
                  <c:v>2.3952035404115453</c:v>
                </c:pt>
                <c:pt idx="134">
                  <c:v>2.26947130407062</c:v>
                </c:pt>
                <c:pt idx="135">
                  <c:v>2.236604569431083</c:v>
                </c:pt>
                <c:pt idx="136">
                  <c:v>2.3546761985462035</c:v>
                </c:pt>
                <c:pt idx="137">
                  <c:v>2.3576471322061749</c:v>
                </c:pt>
                <c:pt idx="138">
                  <c:v>2.3082460874005615</c:v>
                </c:pt>
                <c:pt idx="139">
                  <c:v>2.3375414434828743</c:v>
                </c:pt>
                <c:pt idx="140">
                  <c:v>2.2182200071228282</c:v>
                </c:pt>
                <c:pt idx="141">
                  <c:v>2.2542404485768595</c:v>
                </c:pt>
                <c:pt idx="142">
                  <c:v>2.3300643767930533</c:v>
                </c:pt>
                <c:pt idx="143">
                  <c:v>2.2624102192131295</c:v>
                </c:pt>
                <c:pt idx="144">
                  <c:v>2.3255106965997814</c:v>
                </c:pt>
                <c:pt idx="145">
                  <c:v>2.2905894437895236</c:v>
                </c:pt>
                <c:pt idx="146">
                  <c:v>2.2184003245582167</c:v>
                </c:pt>
                <c:pt idx="147">
                  <c:v>2.263117319097709</c:v>
                </c:pt>
                <c:pt idx="148">
                  <c:v>2.3702320561497769</c:v>
                </c:pt>
                <c:pt idx="149">
                  <c:v>2.3331095130747723</c:v>
                </c:pt>
                <c:pt idx="150">
                  <c:v>2.2929675095822879</c:v>
                </c:pt>
                <c:pt idx="151">
                  <c:v>2.2729716232280595</c:v>
                </c:pt>
                <c:pt idx="152">
                  <c:v>2.2107012462112561</c:v>
                </c:pt>
                <c:pt idx="153">
                  <c:v>2.3692192806914263</c:v>
                </c:pt>
                <c:pt idx="154">
                  <c:v>2.2123742902140227</c:v>
                </c:pt>
                <c:pt idx="155">
                  <c:v>2.2727076362788066</c:v>
                </c:pt>
                <c:pt idx="156">
                  <c:v>2.2673773395709853</c:v>
                </c:pt>
                <c:pt idx="157">
                  <c:v>2.283527972239447</c:v>
                </c:pt>
                <c:pt idx="158">
                  <c:v>2.300825938657681</c:v>
                </c:pt>
                <c:pt idx="159">
                  <c:v>2.3008259386576815</c:v>
                </c:pt>
                <c:pt idx="160">
                  <c:v>2.2673773395709858</c:v>
                </c:pt>
                <c:pt idx="161">
                  <c:v>2.2303362975121037</c:v>
                </c:pt>
                <c:pt idx="162">
                  <c:v>2.220022522408275</c:v>
                </c:pt>
                <c:pt idx="163">
                  <c:v>2.2029071700822982</c:v>
                </c:pt>
                <c:pt idx="164">
                  <c:v>2.3512762491889379</c:v>
                </c:pt>
                <c:pt idx="165">
                  <c:v>2.2466196829904255</c:v>
                </c:pt>
                <c:pt idx="166">
                  <c:v>2.2636474990598692</c:v>
                </c:pt>
                <c:pt idx="167">
                  <c:v>2.2196396103872353</c:v>
                </c:pt>
                <c:pt idx="168">
                  <c:v>2.2800219297190978</c:v>
                </c:pt>
                <c:pt idx="169">
                  <c:v>2.2202927734873166</c:v>
                </c:pt>
                <c:pt idx="170">
                  <c:v>2.1253235047869774</c:v>
                </c:pt>
                <c:pt idx="171">
                  <c:v>2.1087437018281761</c:v>
                </c:pt>
                <c:pt idx="172">
                  <c:v>2.2536193112413638</c:v>
                </c:pt>
                <c:pt idx="173">
                  <c:v>2.1741205118392126</c:v>
                </c:pt>
                <c:pt idx="174">
                  <c:v>2.2410934831014973</c:v>
                </c:pt>
                <c:pt idx="175">
                  <c:v>2.2853664913969487</c:v>
                </c:pt>
                <c:pt idx="176">
                  <c:v>2.194288039433292</c:v>
                </c:pt>
                <c:pt idx="177">
                  <c:v>2.1609257275528928</c:v>
                </c:pt>
                <c:pt idx="178">
                  <c:v>2.2981731875557161</c:v>
                </c:pt>
                <c:pt idx="179">
                  <c:v>2.1349004660639332</c:v>
                </c:pt>
                <c:pt idx="180">
                  <c:v>2.1947665023869853</c:v>
                </c:pt>
                <c:pt idx="181">
                  <c:v>2.2071927872299693</c:v>
                </c:pt>
                <c:pt idx="182">
                  <c:v>2.2205629916757599</c:v>
                </c:pt>
                <c:pt idx="183">
                  <c:v>2.2271281956816047</c:v>
                </c:pt>
                <c:pt idx="184">
                  <c:v>2.2165288177689004</c:v>
                </c:pt>
                <c:pt idx="185">
                  <c:v>2.2585393509965686</c:v>
                </c:pt>
                <c:pt idx="186">
                  <c:v>2.2503777460684242</c:v>
                </c:pt>
                <c:pt idx="187">
                  <c:v>2.2407588000496617</c:v>
                </c:pt>
                <c:pt idx="188">
                  <c:v>2.2484883811129643</c:v>
                </c:pt>
                <c:pt idx="189">
                  <c:v>2.2077137495608441</c:v>
                </c:pt>
                <c:pt idx="190">
                  <c:v>2.1600462958001621</c:v>
                </c:pt>
                <c:pt idx="191">
                  <c:v>2.2585393509965681</c:v>
                </c:pt>
                <c:pt idx="192">
                  <c:v>2.2155134844996991</c:v>
                </c:pt>
                <c:pt idx="193">
                  <c:v>2.2318154045529837</c:v>
                </c:pt>
                <c:pt idx="194">
                  <c:v>2.1708293346092407</c:v>
                </c:pt>
                <c:pt idx="195">
                  <c:v>2.3020860105565126</c:v>
                </c:pt>
                <c:pt idx="273">
                  <c:v>2.4833847869389873</c:v>
                </c:pt>
                <c:pt idx="274">
                  <c:v>2.5379716310471241</c:v>
                </c:pt>
                <c:pt idx="275">
                  <c:v>2.4387701818744629</c:v>
                </c:pt>
                <c:pt idx="276">
                  <c:v>2.4357750306627248</c:v>
                </c:pt>
                <c:pt idx="277">
                  <c:v>2.4477336456403909</c:v>
                </c:pt>
                <c:pt idx="278">
                  <c:v>2.4175400720567182</c:v>
                </c:pt>
                <c:pt idx="279">
                  <c:v>2.4437675830569483</c:v>
                </c:pt>
                <c:pt idx="280">
                  <c:v>2.4118250351134511</c:v>
                </c:pt>
                <c:pt idx="281">
                  <c:v>2.419462750281558</c:v>
                </c:pt>
                <c:pt idx="282">
                  <c:v>2.4239018131929355</c:v>
                </c:pt>
                <c:pt idx="283">
                  <c:v>2.5119912420229493</c:v>
                </c:pt>
                <c:pt idx="284">
                  <c:v>2.4613004692641653</c:v>
                </c:pt>
                <c:pt idx="285">
                  <c:v>2.4920072231034966</c:v>
                </c:pt>
                <c:pt idx="286">
                  <c:v>2.3854978516024699</c:v>
                </c:pt>
                <c:pt idx="287">
                  <c:v>2.4424782496472717</c:v>
                </c:pt>
                <c:pt idx="288">
                  <c:v>2.4709512338368804</c:v>
                </c:pt>
                <c:pt idx="289">
                  <c:v>2.4186773244895652</c:v>
                </c:pt>
                <c:pt idx="290">
                  <c:v>2.3671290628100534</c:v>
                </c:pt>
                <c:pt idx="291">
                  <c:v>2.426272861819132</c:v>
                </c:pt>
                <c:pt idx="292">
                  <c:v>2.4831028975860021</c:v>
                </c:pt>
                <c:pt idx="293">
                  <c:v>2.4257163890281981</c:v>
                </c:pt>
                <c:pt idx="294">
                  <c:v>2.4581497106563708</c:v>
                </c:pt>
                <c:pt idx="295">
                  <c:v>2.5092827660508887</c:v>
                </c:pt>
                <c:pt idx="296">
                  <c:v>2.517935662402834</c:v>
                </c:pt>
                <c:pt idx="297">
                  <c:v>2.4147256572952549</c:v>
                </c:pt>
                <c:pt idx="298">
                  <c:v>2.4604471138392712</c:v>
                </c:pt>
                <c:pt idx="299">
                  <c:v>2.3977697971239862</c:v>
                </c:pt>
                <c:pt idx="300">
                  <c:v>2.4804031930313264</c:v>
                </c:pt>
                <c:pt idx="301">
                  <c:v>2.5019192632856884</c:v>
                </c:pt>
                <c:pt idx="302">
                  <c:v>2.4973586046060743</c:v>
                </c:pt>
                <c:pt idx="303">
                  <c:v>2.4020824298928627</c:v>
                </c:pt>
                <c:pt idx="304">
                  <c:v>2.4689471440271866</c:v>
                </c:pt>
                <c:pt idx="305">
                  <c:v>2.429897117163605</c:v>
                </c:pt>
                <c:pt idx="306">
                  <c:v>2.491304878974069</c:v>
                </c:pt>
                <c:pt idx="307">
                  <c:v>2.4686838598735159</c:v>
                </c:pt>
                <c:pt idx="308">
                  <c:v>2.4633310780323461</c:v>
                </c:pt>
                <c:pt idx="309">
                  <c:v>2.4341733709824367</c:v>
                </c:pt>
                <c:pt idx="310">
                  <c:v>2.4352823244954576</c:v>
                </c:pt>
                <c:pt idx="311">
                  <c:v>2.4166091947189146</c:v>
                </c:pt>
                <c:pt idx="312">
                  <c:v>2.4078413569004082</c:v>
                </c:pt>
                <c:pt idx="313">
                  <c:v>2.3409613409879286</c:v>
                </c:pt>
                <c:pt idx="314">
                  <c:v>2.4274472187876714</c:v>
                </c:pt>
                <c:pt idx="315">
                  <c:v>2.4473863609981974</c:v>
                </c:pt>
                <c:pt idx="316">
                  <c:v>2.5241434190631882</c:v>
                </c:pt>
                <c:pt idx="317">
                  <c:v>2.49899979991996</c:v>
                </c:pt>
                <c:pt idx="318">
                  <c:v>2.4440130932546169</c:v>
                </c:pt>
                <c:pt idx="319">
                  <c:v>2.4869660230891775</c:v>
                </c:pt>
                <c:pt idx="320">
                  <c:v>2.5019192632856884</c:v>
                </c:pt>
                <c:pt idx="321">
                  <c:v>2.4795160818191921</c:v>
                </c:pt>
                <c:pt idx="322">
                  <c:v>2.470080970332754</c:v>
                </c:pt>
                <c:pt idx="323">
                  <c:v>2.4689471440271866</c:v>
                </c:pt>
                <c:pt idx="324">
                  <c:v>2.43232399157678</c:v>
                </c:pt>
                <c:pt idx="325">
                  <c:v>2.3930106560565085</c:v>
                </c:pt>
                <c:pt idx="326">
                  <c:v>2.4147256572952549</c:v>
                </c:pt>
                <c:pt idx="327">
                  <c:v>2.3259406699226011</c:v>
                </c:pt>
                <c:pt idx="328">
                  <c:v>2.4226638231500468</c:v>
                </c:pt>
                <c:pt idx="329">
                  <c:v>2.4062626623043464</c:v>
                </c:pt>
                <c:pt idx="330">
                  <c:v>2.3837994882120435</c:v>
                </c:pt>
                <c:pt idx="331">
                  <c:v>2.4524681445433703</c:v>
                </c:pt>
                <c:pt idx="332">
                  <c:v>2.4645689278249048</c:v>
                </c:pt>
                <c:pt idx="333">
                  <c:v>2.4242318370980938</c:v>
                </c:pt>
                <c:pt idx="334">
                  <c:v>2.4880916381837705</c:v>
                </c:pt>
                <c:pt idx="335">
                  <c:v>2.3881373494839027</c:v>
                </c:pt>
                <c:pt idx="336">
                  <c:v>2.4018534509832192</c:v>
                </c:pt>
                <c:pt idx="337">
                  <c:v>2.4449948875202172</c:v>
                </c:pt>
                <c:pt idx="338">
                  <c:v>2.5147763320025107</c:v>
                </c:pt>
                <c:pt idx="339">
                  <c:v>2.4377243486497813</c:v>
                </c:pt>
                <c:pt idx="340">
                  <c:v>2.3537204591879641</c:v>
                </c:pt>
                <c:pt idx="341">
                  <c:v>2.4420483205702546</c:v>
                </c:pt>
                <c:pt idx="342">
                  <c:v>2.5026585863836881</c:v>
                </c:pt>
                <c:pt idx="343">
                  <c:v>2.3942639787625759</c:v>
                </c:pt>
                <c:pt idx="344">
                  <c:v>2.4973586046060747</c:v>
                </c:pt>
                <c:pt idx="345">
                  <c:v>2.3728674636397202</c:v>
                </c:pt>
                <c:pt idx="346">
                  <c:v>2.4105808428675441</c:v>
                </c:pt>
                <c:pt idx="347">
                  <c:v>2.3847222060441338</c:v>
                </c:pt>
                <c:pt idx="348">
                  <c:v>2.4520399670478454</c:v>
                </c:pt>
                <c:pt idx="349">
                  <c:v>2.4687648733729177</c:v>
                </c:pt>
                <c:pt idx="350">
                  <c:v>2.3713498265755728</c:v>
                </c:pt>
                <c:pt idx="351">
                  <c:v>2.4166091947189146</c:v>
                </c:pt>
                <c:pt idx="352">
                  <c:v>2.4798790293076798</c:v>
                </c:pt>
                <c:pt idx="353">
                  <c:v>2.4301646034785378</c:v>
                </c:pt>
                <c:pt idx="354">
                  <c:v>2.4439517180173591</c:v>
                </c:pt>
                <c:pt idx="355">
                  <c:v>2.3085276693165282</c:v>
                </c:pt>
                <c:pt idx="356">
                  <c:v>2.4644877763949244</c:v>
                </c:pt>
                <c:pt idx="357">
                  <c:v>2.3754157530840785</c:v>
                </c:pt>
                <c:pt idx="358">
                  <c:v>2.346912865872953</c:v>
                </c:pt>
                <c:pt idx="359">
                  <c:v>2.4500000000000002</c:v>
                </c:pt>
                <c:pt idx="360">
                  <c:v>2.4311519903124119</c:v>
                </c:pt>
                <c:pt idx="361">
                  <c:v>2.3120986138138657</c:v>
                </c:pt>
                <c:pt idx="362">
                  <c:v>2.3394016328967542</c:v>
                </c:pt>
                <c:pt idx="363">
                  <c:v>2.542380773999048</c:v>
                </c:pt>
                <c:pt idx="364">
                  <c:v>2.4085265205099984</c:v>
                </c:pt>
                <c:pt idx="365">
                  <c:v>2.4008540147205952</c:v>
                </c:pt>
                <c:pt idx="366">
                  <c:v>2.5249158401816092</c:v>
                </c:pt>
                <c:pt idx="367">
                  <c:v>2.3914012628582433</c:v>
                </c:pt>
                <c:pt idx="368">
                  <c:v>2.4212806528777282</c:v>
                </c:pt>
                <c:pt idx="369">
                  <c:v>2.4480400323524125</c:v>
                </c:pt>
                <c:pt idx="370">
                  <c:v>2.5145377308761945</c:v>
                </c:pt>
                <c:pt idx="371">
                  <c:v>2.358664876577425</c:v>
                </c:pt>
                <c:pt idx="372">
                  <c:v>2.3995416228938393</c:v>
                </c:pt>
                <c:pt idx="373">
                  <c:v>2.4318717071424638</c:v>
                </c:pt>
                <c:pt idx="374">
                  <c:v>2.3120553626589482</c:v>
                </c:pt>
                <c:pt idx="375">
                  <c:v>2.3653540961133075</c:v>
                </c:pt>
                <c:pt idx="376">
                  <c:v>2.2998478210525151</c:v>
                </c:pt>
                <c:pt idx="377">
                  <c:v>2.3769728648009427</c:v>
                </c:pt>
                <c:pt idx="378">
                  <c:v>2.3097185975785015</c:v>
                </c:pt>
                <c:pt idx="379">
                  <c:v>2.2821262015935928</c:v>
                </c:pt>
                <c:pt idx="380">
                  <c:v>2.4206197553519222</c:v>
                </c:pt>
                <c:pt idx="381">
                  <c:v>2.3097185975785015</c:v>
                </c:pt>
                <c:pt idx="382">
                  <c:v>2.4340295807569801</c:v>
                </c:pt>
                <c:pt idx="383">
                  <c:v>2.3564804263986581</c:v>
                </c:pt>
                <c:pt idx="384">
                  <c:v>2.4047037239543672</c:v>
                </c:pt>
                <c:pt idx="385">
                  <c:v>2.4422940035957996</c:v>
                </c:pt>
                <c:pt idx="386">
                  <c:v>2.2722015755649854</c:v>
                </c:pt>
                <c:pt idx="387">
                  <c:v>2.3415593095200471</c:v>
                </c:pt>
                <c:pt idx="388">
                  <c:v>2.3569683918118209</c:v>
                </c:pt>
                <c:pt idx="389">
                  <c:v>2.3355513267749011</c:v>
                </c:pt>
                <c:pt idx="390">
                  <c:v>2.3152537657889685</c:v>
                </c:pt>
                <c:pt idx="391">
                  <c:v>2.3566925976885487</c:v>
                </c:pt>
                <c:pt idx="392">
                  <c:v>2.3759208741033442</c:v>
                </c:pt>
                <c:pt idx="393">
                  <c:v>2.3815961034566713</c:v>
                </c:pt>
                <c:pt idx="473">
                  <c:v>2.5494509212769718</c:v>
                </c:pt>
                <c:pt idx="474">
                  <c:v>2.5147763320025103</c:v>
                </c:pt>
                <c:pt idx="475">
                  <c:v>2.5601953050499877</c:v>
                </c:pt>
                <c:pt idx="476">
                  <c:v>2.6670020622414223</c:v>
                </c:pt>
                <c:pt idx="477">
                  <c:v>2.6532432983049259</c:v>
                </c:pt>
                <c:pt idx="478">
                  <c:v>2.5188290930509756</c:v>
                </c:pt>
                <c:pt idx="479">
                  <c:v>2.5292291315734921</c:v>
                </c:pt>
                <c:pt idx="480">
                  <c:v>2.5059928172283334</c:v>
                </c:pt>
                <c:pt idx="481">
                  <c:v>2.5536836139193126</c:v>
                </c:pt>
                <c:pt idx="482">
                  <c:v>2.6016341018675164</c:v>
                </c:pt>
                <c:pt idx="483">
                  <c:v>2.6564638149238924</c:v>
                </c:pt>
                <c:pt idx="484">
                  <c:v>2.6513770007299979</c:v>
                </c:pt>
                <c:pt idx="485">
                  <c:v>2.5895559464896678</c:v>
                </c:pt>
                <c:pt idx="486">
                  <c:v>2.7220764133286188</c:v>
                </c:pt>
                <c:pt idx="487">
                  <c:v>2.5437374078312405</c:v>
                </c:pt>
                <c:pt idx="488">
                  <c:v>2.6102107194630859</c:v>
                </c:pt>
                <c:pt idx="489">
                  <c:v>2.5935689695861184</c:v>
                </c:pt>
                <c:pt idx="490">
                  <c:v>2.5457808232446091</c:v>
                </c:pt>
                <c:pt idx="491">
                  <c:v>2.5352711886502401</c:v>
                </c:pt>
                <c:pt idx="492">
                  <c:v>2.6172504656604798</c:v>
                </c:pt>
                <c:pt idx="493">
                  <c:v>2.6629307163349178</c:v>
                </c:pt>
                <c:pt idx="494">
                  <c:v>2.5079872407968904</c:v>
                </c:pt>
                <c:pt idx="495">
                  <c:v>2.6102107194630859</c:v>
                </c:pt>
                <c:pt idx="496">
                  <c:v>2.5515681452785071</c:v>
                </c:pt>
                <c:pt idx="497">
                  <c:v>2.5026585863836881</c:v>
                </c:pt>
                <c:pt idx="498">
                  <c:v>2.6332679316772909</c:v>
                </c:pt>
                <c:pt idx="499">
                  <c:v>2.5516269319788893</c:v>
                </c:pt>
                <c:pt idx="500">
                  <c:v>2.5899034731047412</c:v>
                </c:pt>
                <c:pt idx="501">
                  <c:v>2.5073093147834791</c:v>
                </c:pt>
                <c:pt idx="502">
                  <c:v>2.5949373788205374</c:v>
                </c:pt>
                <c:pt idx="503">
                  <c:v>2.6840454541605663</c:v>
                </c:pt>
                <c:pt idx="504">
                  <c:v>2.619255619446105</c:v>
                </c:pt>
                <c:pt idx="505">
                  <c:v>2.5428330656966063</c:v>
                </c:pt>
                <c:pt idx="506">
                  <c:v>2.6046496885377888</c:v>
                </c:pt>
                <c:pt idx="507">
                  <c:v>2.5267568145747621</c:v>
                </c:pt>
                <c:pt idx="508">
                  <c:v>2.4709512338368804</c:v>
                </c:pt>
                <c:pt idx="509">
                  <c:v>2.6043233286210836</c:v>
                </c:pt>
                <c:pt idx="510">
                  <c:v>2.5451522547776979</c:v>
                </c:pt>
                <c:pt idx="511">
                  <c:v>2.581259382549534</c:v>
                </c:pt>
                <c:pt idx="512">
                  <c:v>2.5280031645549816</c:v>
                </c:pt>
                <c:pt idx="513">
                  <c:v>2.6565579233286067</c:v>
                </c:pt>
                <c:pt idx="514">
                  <c:v>2.6225560051217207</c:v>
                </c:pt>
                <c:pt idx="515">
                  <c:v>2.5515681452785071</c:v>
                </c:pt>
                <c:pt idx="516">
                  <c:v>2.5347583711273156</c:v>
                </c:pt>
                <c:pt idx="517">
                  <c:v>2.5341073379002714</c:v>
                </c:pt>
                <c:pt idx="518">
                  <c:v>2.5350542400508909</c:v>
                </c:pt>
                <c:pt idx="519">
                  <c:v>2.5536836139193126</c:v>
                </c:pt>
                <c:pt idx="520">
                  <c:v>2.4560537453402764</c:v>
                </c:pt>
                <c:pt idx="521">
                  <c:v>2.6050911692299756</c:v>
                </c:pt>
                <c:pt idx="522">
                  <c:v>2.5179356624028344</c:v>
                </c:pt>
                <c:pt idx="523">
                  <c:v>2.6239092972128439</c:v>
                </c:pt>
                <c:pt idx="524">
                  <c:v>2.522320360303187</c:v>
                </c:pt>
                <c:pt idx="525">
                  <c:v>2.6153584840323516</c:v>
                </c:pt>
                <c:pt idx="526">
                  <c:v>2.5556603843233945</c:v>
                </c:pt>
                <c:pt idx="527">
                  <c:v>2.5133443854752575</c:v>
                </c:pt>
                <c:pt idx="528">
                  <c:v>2.6436716891475007</c:v>
                </c:pt>
                <c:pt idx="529">
                  <c:v>2.5366316248127161</c:v>
                </c:pt>
                <c:pt idx="530">
                  <c:v>2.6109385285755007</c:v>
                </c:pt>
                <c:pt idx="531">
                  <c:v>2.5988074187980916</c:v>
                </c:pt>
                <c:pt idx="532">
                  <c:v>2.5283393759541064</c:v>
                </c:pt>
                <c:pt idx="533">
                  <c:v>2.5292291315734921</c:v>
                </c:pt>
                <c:pt idx="534">
                  <c:v>2.4720234626718254</c:v>
                </c:pt>
                <c:pt idx="535">
                  <c:v>2.5741989045137905</c:v>
                </c:pt>
                <c:pt idx="536">
                  <c:v>2.5800775182152957</c:v>
                </c:pt>
                <c:pt idx="537">
                  <c:v>2.5524889813670106</c:v>
                </c:pt>
                <c:pt idx="538">
                  <c:v>2.6330400680582131</c:v>
                </c:pt>
                <c:pt idx="539">
                  <c:v>2.4605893602956184</c:v>
                </c:pt>
                <c:pt idx="540">
                  <c:v>2.5916982849089516</c:v>
                </c:pt>
                <c:pt idx="541">
                  <c:v>2.5292291315734921</c:v>
                </c:pt>
                <c:pt idx="542">
                  <c:v>2.6284025566872358</c:v>
                </c:pt>
                <c:pt idx="543">
                  <c:v>2.5316002844051031</c:v>
                </c:pt>
                <c:pt idx="544">
                  <c:v>2.5537815098398688</c:v>
                </c:pt>
                <c:pt idx="545">
                  <c:v>2.4935316320431955</c:v>
                </c:pt>
                <c:pt idx="546">
                  <c:v>2.5633766793040778</c:v>
                </c:pt>
                <c:pt idx="547">
                  <c:v>2.4742675683927153</c:v>
                </c:pt>
                <c:pt idx="548">
                  <c:v>2.5294465797877606</c:v>
                </c:pt>
                <c:pt idx="549">
                  <c:v>2.5556603843233945</c:v>
                </c:pt>
                <c:pt idx="550">
                  <c:v>2.4696963376091401</c:v>
                </c:pt>
                <c:pt idx="551">
                  <c:v>2.5879142180528318</c:v>
                </c:pt>
                <c:pt idx="552">
                  <c:v>2.5694357357209774</c:v>
                </c:pt>
                <c:pt idx="553">
                  <c:v>2.4404302899283969</c:v>
                </c:pt>
                <c:pt idx="554">
                  <c:v>2.4520399670478459</c:v>
                </c:pt>
                <c:pt idx="555">
                  <c:v>2.6035744659986202</c:v>
                </c:pt>
                <c:pt idx="556">
                  <c:v>2.5656188337319321</c:v>
                </c:pt>
                <c:pt idx="557">
                  <c:v>2.5526456863419176</c:v>
                </c:pt>
                <c:pt idx="558">
                  <c:v>2.4742675683927149</c:v>
                </c:pt>
                <c:pt idx="559">
                  <c:v>2.5026585863836881</c:v>
                </c:pt>
                <c:pt idx="560">
                  <c:v>2.5794766911139164</c:v>
                </c:pt>
                <c:pt idx="561">
                  <c:v>2.5849564793241684</c:v>
                </c:pt>
                <c:pt idx="562">
                  <c:v>2.5107767722360346</c:v>
                </c:pt>
                <c:pt idx="563">
                  <c:v>2.4992999019725506</c:v>
                </c:pt>
                <c:pt idx="564">
                  <c:v>2.5156311335328949</c:v>
                </c:pt>
                <c:pt idx="565">
                  <c:v>2.5347583711273152</c:v>
                </c:pt>
                <c:pt idx="566">
                  <c:v>2.6076809620810595</c:v>
                </c:pt>
                <c:pt idx="567">
                  <c:v>2.5452701231892854</c:v>
                </c:pt>
                <c:pt idx="568">
                  <c:v>2.6034592372457075</c:v>
                </c:pt>
                <c:pt idx="569">
                  <c:v>2.6102107194630855</c:v>
                </c:pt>
                <c:pt idx="570">
                  <c:v>2.5715753926338616</c:v>
                </c:pt>
                <c:pt idx="571">
                  <c:v>2.5020391683584813</c:v>
                </c:pt>
                <c:pt idx="572">
                  <c:v>2.4285386552410482</c:v>
                </c:pt>
                <c:pt idx="573">
                  <c:v>2.5489213404889526</c:v>
                </c:pt>
                <c:pt idx="574">
                  <c:v>2.4577225229874915</c:v>
                </c:pt>
                <c:pt idx="575">
                  <c:v>2.5489213404889526</c:v>
                </c:pt>
                <c:pt idx="576">
                  <c:v>2.4987396823198691</c:v>
                </c:pt>
                <c:pt idx="577">
                  <c:v>2.5536836139193122</c:v>
                </c:pt>
                <c:pt idx="578">
                  <c:v>2.5599414055794325</c:v>
                </c:pt>
                <c:pt idx="579">
                  <c:v>2.4602845363900494</c:v>
                </c:pt>
                <c:pt idx="580">
                  <c:v>2.5439536159293472</c:v>
                </c:pt>
                <c:pt idx="581">
                  <c:v>2.5366316248127165</c:v>
                </c:pt>
                <c:pt idx="582">
                  <c:v>2.520495982936692</c:v>
                </c:pt>
                <c:pt idx="583">
                  <c:v>2.4920874784003875</c:v>
                </c:pt>
                <c:pt idx="584">
                  <c:v>2.5992498917957079</c:v>
                </c:pt>
                <c:pt idx="585">
                  <c:v>2.5072694310743713</c:v>
                </c:pt>
                <c:pt idx="586">
                  <c:v>2.5451522547776979</c:v>
                </c:pt>
                <c:pt idx="587">
                  <c:v>2.411514047232568</c:v>
                </c:pt>
                <c:pt idx="588">
                  <c:v>2.4935917869611295</c:v>
                </c:pt>
                <c:pt idx="589">
                  <c:v>2.4541597340026584</c:v>
                </c:pt>
                <c:pt idx="590">
                  <c:v>2.4581497106563708</c:v>
                </c:pt>
                <c:pt idx="591">
                  <c:v>2.4473863609981974</c:v>
                </c:pt>
                <c:pt idx="592">
                  <c:v>2.4214252001662162</c:v>
                </c:pt>
                <c:pt idx="593">
                  <c:v>2.5266974492408067</c:v>
                </c:pt>
                <c:pt idx="594">
                  <c:v>2.3434376458527764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87-424A-9343-BDC7C8F9525F}"/>
            </c:ext>
          </c:extLst>
        </c:ser>
        <c:ser>
          <c:idx val="21"/>
          <c:order val="2"/>
          <c:tx>
            <c:strRef>
              <c:f>'HT 2017-07-05 BIG JIM'!$L$1</c:f>
              <c:strCache>
                <c:ptCount val="1"/>
                <c:pt idx="0">
                  <c:v>sel-f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circle"/>
            <c:size val="3"/>
            <c:spPr>
              <a:noFill/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JIM'!$L$2:$L$1205</c:f>
              <c:numCache>
                <c:formatCode>General</c:formatCode>
                <c:ptCount val="1204"/>
                <c:pt idx="0">
                  <c:v>2.2461077445216202</c:v>
                </c:pt>
                <c:pt idx="1">
                  <c:v>2.2774766738651788</c:v>
                </c:pt>
                <c:pt idx="2">
                  <c:v>2.3032585612562047</c:v>
                </c:pt>
                <c:pt idx="3">
                  <c:v>2.2529092303064493</c:v>
                </c:pt>
                <c:pt idx="4">
                  <c:v>2.2821262015935928</c:v>
                </c:pt>
                <c:pt idx="5">
                  <c:v>2.2067623342806995</c:v>
                </c:pt>
                <c:pt idx="6">
                  <c:v>2.156965461012299</c:v>
                </c:pt>
                <c:pt idx="7">
                  <c:v>2.2314345161801188</c:v>
                </c:pt>
                <c:pt idx="8">
                  <c:v>2.2022942582679548</c:v>
                </c:pt>
                <c:pt idx="9">
                  <c:v>2.235732542143626</c:v>
                </c:pt>
                <c:pt idx="10">
                  <c:v>2.2949074055394916</c:v>
                </c:pt>
                <c:pt idx="11">
                  <c:v>2.2079175709251468</c:v>
                </c:pt>
                <c:pt idx="12">
                  <c:v>2.2041778512633687</c:v>
                </c:pt>
                <c:pt idx="13">
                  <c:v>2.3277671704876326</c:v>
                </c:pt>
                <c:pt idx="14">
                  <c:v>2.2181523843054607</c:v>
                </c:pt>
                <c:pt idx="15">
                  <c:v>2.2861539755668248</c:v>
                </c:pt>
                <c:pt idx="16">
                  <c:v>2.2184679398179274</c:v>
                </c:pt>
                <c:pt idx="17">
                  <c:v>2.2552383466055201</c:v>
                </c:pt>
                <c:pt idx="18">
                  <c:v>2.2049489790015553</c:v>
                </c:pt>
                <c:pt idx="19">
                  <c:v>2.2238030488332368</c:v>
                </c:pt>
                <c:pt idx="20">
                  <c:v>2.2604866732630828</c:v>
                </c:pt>
                <c:pt idx="21">
                  <c:v>2.2405579662218069</c:v>
                </c:pt>
                <c:pt idx="22">
                  <c:v>2.2226560687609771</c:v>
                </c:pt>
                <c:pt idx="23">
                  <c:v>2.2316361710637334</c:v>
                </c:pt>
                <c:pt idx="24">
                  <c:v>2.2192341021172148</c:v>
                </c:pt>
                <c:pt idx="25">
                  <c:v>2.2085742007005331</c:v>
                </c:pt>
                <c:pt idx="26">
                  <c:v>2.2514439810930229</c:v>
                </c:pt>
                <c:pt idx="27">
                  <c:v>2.2051077071199949</c:v>
                </c:pt>
                <c:pt idx="28">
                  <c:v>2.1991361940543839</c:v>
                </c:pt>
                <c:pt idx="29">
                  <c:v>2.1912781658201226</c:v>
                </c:pt>
                <c:pt idx="30">
                  <c:v>2.2747747141200598</c:v>
                </c:pt>
                <c:pt idx="31">
                  <c:v>2.2107012462112561</c:v>
                </c:pt>
                <c:pt idx="32">
                  <c:v>2.2689424849475581</c:v>
                </c:pt>
                <c:pt idx="33">
                  <c:v>2.229102958591191</c:v>
                </c:pt>
                <c:pt idx="34">
                  <c:v>2.1800000000000002</c:v>
                </c:pt>
                <c:pt idx="35">
                  <c:v>2.1669563908856126</c:v>
                </c:pt>
                <c:pt idx="36">
                  <c:v>2.2029071700822982</c:v>
                </c:pt>
                <c:pt idx="37">
                  <c:v>2.2228135324403619</c:v>
                </c:pt>
                <c:pt idx="38">
                  <c:v>2.2415396494374127</c:v>
                </c:pt>
                <c:pt idx="39">
                  <c:v>2.3097185975785015</c:v>
                </c:pt>
                <c:pt idx="40">
                  <c:v>2.2542404485768595</c:v>
                </c:pt>
                <c:pt idx="41">
                  <c:v>2.2029298672449835</c:v>
                </c:pt>
                <c:pt idx="42">
                  <c:v>2.2228360263411244</c:v>
                </c:pt>
                <c:pt idx="43">
                  <c:v>2.2588713996153036</c:v>
                </c:pt>
                <c:pt idx="44">
                  <c:v>2.291244203484212</c:v>
                </c:pt>
                <c:pt idx="45">
                  <c:v>2.2961271741782947</c:v>
                </c:pt>
                <c:pt idx="46">
                  <c:v>2.2777181564012703</c:v>
                </c:pt>
                <c:pt idx="47">
                  <c:v>2.2503777460684242</c:v>
                </c:pt>
                <c:pt idx="48">
                  <c:v>2.3505318547086316</c:v>
                </c:pt>
                <c:pt idx="49">
                  <c:v>2.26101747007846</c:v>
                </c:pt>
                <c:pt idx="50">
                  <c:v>2.2988910370002316</c:v>
                </c:pt>
                <c:pt idx="51">
                  <c:v>2.2689424849475577</c:v>
                </c:pt>
                <c:pt idx="52">
                  <c:v>2.2586943130932968</c:v>
                </c:pt>
                <c:pt idx="53">
                  <c:v>2.2812277396174192</c:v>
                </c:pt>
                <c:pt idx="54">
                  <c:v>2.3505318547086316</c:v>
                </c:pt>
                <c:pt idx="55">
                  <c:v>2.1883326986543885</c:v>
                </c:pt>
                <c:pt idx="56">
                  <c:v>2.3078344827998389</c:v>
                </c:pt>
                <c:pt idx="57">
                  <c:v>2.2398660674245678</c:v>
                </c:pt>
                <c:pt idx="58">
                  <c:v>2.2786399452304877</c:v>
                </c:pt>
                <c:pt idx="59">
                  <c:v>2.1954498400100149</c:v>
                </c:pt>
                <c:pt idx="60">
                  <c:v>2.2297085011274458</c:v>
                </c:pt>
                <c:pt idx="61">
                  <c:v>2.1827734651126764</c:v>
                </c:pt>
                <c:pt idx="62">
                  <c:v>2.2005681084665389</c:v>
                </c:pt>
                <c:pt idx="63">
                  <c:v>2.2252415599210797</c:v>
                </c:pt>
                <c:pt idx="64">
                  <c:v>2.2655021518418383</c:v>
                </c:pt>
                <c:pt idx="65">
                  <c:v>2.2214634815814551</c:v>
                </c:pt>
                <c:pt idx="66">
                  <c:v>2.2500222221124839</c:v>
                </c:pt>
                <c:pt idx="67">
                  <c:v>2.2621449997734451</c:v>
                </c:pt>
                <c:pt idx="68">
                  <c:v>2.2723776094654689</c:v>
                </c:pt>
                <c:pt idx="69">
                  <c:v>2.2107012462112556</c:v>
                </c:pt>
                <c:pt idx="70">
                  <c:v>2.1774526401279091</c:v>
                </c:pt>
                <c:pt idx="71">
                  <c:v>2.1832544515012446</c:v>
                </c:pt>
                <c:pt idx="72">
                  <c:v>2.2716073604388591</c:v>
                </c:pt>
                <c:pt idx="73">
                  <c:v>2.2561028345356955</c:v>
                </c:pt>
                <c:pt idx="74">
                  <c:v>2.2743130831088321</c:v>
                </c:pt>
                <c:pt idx="75">
                  <c:v>2.1411445537375564</c:v>
                </c:pt>
                <c:pt idx="76">
                  <c:v>2.2092758994747577</c:v>
                </c:pt>
                <c:pt idx="77">
                  <c:v>2.2230159693533467</c:v>
                </c:pt>
                <c:pt idx="78">
                  <c:v>2.2539742678211745</c:v>
                </c:pt>
                <c:pt idx="196">
                  <c:v>2.3749736840647309</c:v>
                </c:pt>
                <c:pt idx="197">
                  <c:v>2.3970815588961503</c:v>
                </c:pt>
                <c:pt idx="198">
                  <c:v>2.3645718428502018</c:v>
                </c:pt>
                <c:pt idx="199">
                  <c:v>2.414560001325293</c:v>
                </c:pt>
                <c:pt idx="200">
                  <c:v>2.4175400720567177</c:v>
                </c:pt>
                <c:pt idx="201">
                  <c:v>2.4358981916328113</c:v>
                </c:pt>
                <c:pt idx="202">
                  <c:v>2.3977489443225704</c:v>
                </c:pt>
                <c:pt idx="203">
                  <c:v>2.4423349483639631</c:v>
                </c:pt>
                <c:pt idx="204">
                  <c:v>2.3864827675891567</c:v>
                </c:pt>
                <c:pt idx="205">
                  <c:v>2.3843028331149552</c:v>
                </c:pt>
                <c:pt idx="206">
                  <c:v>2.3795167576632026</c:v>
                </c:pt>
                <c:pt idx="207">
                  <c:v>2.411514047232568</c:v>
                </c:pt>
                <c:pt idx="208">
                  <c:v>2.3703375287076733</c:v>
                </c:pt>
                <c:pt idx="209">
                  <c:v>2.346422809299296</c:v>
                </c:pt>
                <c:pt idx="210">
                  <c:v>2.3853720883753127</c:v>
                </c:pt>
                <c:pt idx="211">
                  <c:v>2.3544001359157285</c:v>
                </c:pt>
                <c:pt idx="212">
                  <c:v>2.3796848530845423</c:v>
                </c:pt>
                <c:pt idx="213">
                  <c:v>2.3910248848558644</c:v>
                </c:pt>
                <c:pt idx="214">
                  <c:v>2.4185326129701044</c:v>
                </c:pt>
                <c:pt idx="215">
                  <c:v>2.4039342753078756</c:v>
                </c:pt>
                <c:pt idx="216">
                  <c:v>2.4285386552410482</c:v>
                </c:pt>
                <c:pt idx="217">
                  <c:v>2.4137315509393336</c:v>
                </c:pt>
                <c:pt idx="218">
                  <c:v>2.4560130292814004</c:v>
                </c:pt>
                <c:pt idx="219">
                  <c:v>2.3535717537394101</c:v>
                </c:pt>
                <c:pt idx="220">
                  <c:v>2.4686838598735159</c:v>
                </c:pt>
                <c:pt idx="221">
                  <c:v>2.4215697388264501</c:v>
                </c:pt>
                <c:pt idx="222">
                  <c:v>2.3571593073019055</c:v>
                </c:pt>
                <c:pt idx="223">
                  <c:v>2.3576471322061749</c:v>
                </c:pt>
                <c:pt idx="224">
                  <c:v>2.4063665556186575</c:v>
                </c:pt>
                <c:pt idx="225">
                  <c:v>2.4147877753541822</c:v>
                </c:pt>
                <c:pt idx="226">
                  <c:v>2.4575801105966009</c:v>
                </c:pt>
                <c:pt idx="227">
                  <c:v>2.4252834885843759</c:v>
                </c:pt>
                <c:pt idx="228">
                  <c:v>2.4288680491125905</c:v>
                </c:pt>
                <c:pt idx="229">
                  <c:v>2.4164643593481783</c:v>
                </c:pt>
                <c:pt idx="230">
                  <c:v>2.4166091947189146</c:v>
                </c:pt>
                <c:pt idx="231">
                  <c:v>2.395850579648072</c:v>
                </c:pt>
                <c:pt idx="232">
                  <c:v>2.4301646034785382</c:v>
                </c:pt>
                <c:pt idx="233">
                  <c:v>2.3925091431382244</c:v>
                </c:pt>
                <c:pt idx="234">
                  <c:v>2.4157193545608724</c:v>
                </c:pt>
                <c:pt idx="235">
                  <c:v>2.4200206610688264</c:v>
                </c:pt>
                <c:pt idx="236">
                  <c:v>2.4021656895393373</c:v>
                </c:pt>
                <c:pt idx="237">
                  <c:v>2.4407375934335915</c:v>
                </c:pt>
                <c:pt idx="238">
                  <c:v>2.4226019070412703</c:v>
                </c:pt>
                <c:pt idx="239">
                  <c:v>2.4078621222985337</c:v>
                </c:pt>
                <c:pt idx="240">
                  <c:v>2.4541597340026584</c:v>
                </c:pt>
                <c:pt idx="241">
                  <c:v>2.4732367456432471</c:v>
                </c:pt>
                <c:pt idx="242">
                  <c:v>2.3634931774811623</c:v>
                </c:pt>
                <c:pt idx="243">
                  <c:v>2.4750959577357805</c:v>
                </c:pt>
                <c:pt idx="244">
                  <c:v>2.3972692798265278</c:v>
                </c:pt>
                <c:pt idx="245">
                  <c:v>2.4075921581530375</c:v>
                </c:pt>
                <c:pt idx="246">
                  <c:v>2.4528350943347172</c:v>
                </c:pt>
                <c:pt idx="247">
                  <c:v>2.4181397809059755</c:v>
                </c:pt>
                <c:pt idx="248">
                  <c:v>2.4358981916328113</c:v>
                </c:pt>
                <c:pt idx="249">
                  <c:v>2.4185326129701044</c:v>
                </c:pt>
                <c:pt idx="250">
                  <c:v>2.3961009995407125</c:v>
                </c:pt>
                <c:pt idx="251">
                  <c:v>2.3852253562294696</c:v>
                </c:pt>
                <c:pt idx="252">
                  <c:v>2.4284357104934853</c:v>
                </c:pt>
                <c:pt idx="253">
                  <c:v>2.4164643593481783</c:v>
                </c:pt>
                <c:pt idx="254">
                  <c:v>2.3644872594285635</c:v>
                </c:pt>
                <c:pt idx="255">
                  <c:v>2.4106845500811596</c:v>
                </c:pt>
                <c:pt idx="256">
                  <c:v>2.4175400720567182</c:v>
                </c:pt>
                <c:pt idx="257">
                  <c:v>2.426705585768492</c:v>
                </c:pt>
                <c:pt idx="258">
                  <c:v>2.4560537453402764</c:v>
                </c:pt>
                <c:pt idx="259">
                  <c:v>2.4661711213944582</c:v>
                </c:pt>
                <c:pt idx="260">
                  <c:v>2.4273648263085632</c:v>
                </c:pt>
                <c:pt idx="261">
                  <c:v>2.4629250902128552</c:v>
                </c:pt>
                <c:pt idx="262">
                  <c:v>2.4358366119261774</c:v>
                </c:pt>
                <c:pt idx="263">
                  <c:v>2.4629453911932355</c:v>
                </c:pt>
                <c:pt idx="264">
                  <c:v>2.4323856602109788</c:v>
                </c:pt>
                <c:pt idx="265">
                  <c:v>2.4041006634498476</c:v>
                </c:pt>
                <c:pt idx="266">
                  <c:v>2.4311519903124119</c:v>
                </c:pt>
                <c:pt idx="267">
                  <c:v>2.3603813251252435</c:v>
                </c:pt>
                <c:pt idx="268">
                  <c:v>2.4475497952033582</c:v>
                </c:pt>
                <c:pt idx="269">
                  <c:v>2.4390571949013413</c:v>
                </c:pt>
                <c:pt idx="270">
                  <c:v>2.352296749987127</c:v>
                </c:pt>
                <c:pt idx="271">
                  <c:v>2.3769728648009427</c:v>
                </c:pt>
                <c:pt idx="272">
                  <c:v>2.4323856602109788</c:v>
                </c:pt>
                <c:pt idx="394">
                  <c:v>2.5166843266488548</c:v>
                </c:pt>
                <c:pt idx="395">
                  <c:v>2.5787787807409925</c:v>
                </c:pt>
                <c:pt idx="396">
                  <c:v>2.5405511213120664</c:v>
                </c:pt>
                <c:pt idx="397">
                  <c:v>2.5556603843233945</c:v>
                </c:pt>
                <c:pt idx="398">
                  <c:v>2.54939208439973</c:v>
                </c:pt>
                <c:pt idx="399">
                  <c:v>2.4906224121692957</c:v>
                </c:pt>
                <c:pt idx="400">
                  <c:v>2.49897979183506</c:v>
                </c:pt>
                <c:pt idx="401">
                  <c:v>2.5111352014576998</c:v>
                </c:pt>
                <c:pt idx="402">
                  <c:v>2.5770137756713685</c:v>
                </c:pt>
                <c:pt idx="403">
                  <c:v>2.5379716310471241</c:v>
                </c:pt>
                <c:pt idx="404">
                  <c:v>2.5880108191427635</c:v>
                </c:pt>
                <c:pt idx="405">
                  <c:v>2.5111352014576998</c:v>
                </c:pt>
                <c:pt idx="406">
                  <c:v>2.5347583711273152</c:v>
                </c:pt>
                <c:pt idx="407">
                  <c:v>2.5609568524284043</c:v>
                </c:pt>
                <c:pt idx="408">
                  <c:v>2.5331403435261928</c:v>
                </c:pt>
                <c:pt idx="409">
                  <c:v>2.5133443854752575</c:v>
                </c:pt>
                <c:pt idx="410">
                  <c:v>2.610785322465254</c:v>
                </c:pt>
                <c:pt idx="411">
                  <c:v>2.5244801445050031</c:v>
                </c:pt>
                <c:pt idx="412">
                  <c:v>2.4819548746905129</c:v>
                </c:pt>
                <c:pt idx="413">
                  <c:v>2.5143587651725441</c:v>
                </c:pt>
                <c:pt idx="414">
                  <c:v>2.449693858423946</c:v>
                </c:pt>
                <c:pt idx="415">
                  <c:v>2.4684408034222738</c:v>
                </c:pt>
                <c:pt idx="416">
                  <c:v>2.4906424873915567</c:v>
                </c:pt>
                <c:pt idx="417">
                  <c:v>2.4933912649241394</c:v>
                </c:pt>
                <c:pt idx="418">
                  <c:v>2.4528350943347172</c:v>
                </c:pt>
                <c:pt idx="419">
                  <c:v>2.5044959572736389</c:v>
                </c:pt>
                <c:pt idx="420">
                  <c:v>2.4520399670478459</c:v>
                </c:pt>
                <c:pt idx="421">
                  <c:v>2.5026585863836881</c:v>
                </c:pt>
                <c:pt idx="422">
                  <c:v>2.5572641631243336</c:v>
                </c:pt>
                <c:pt idx="423">
                  <c:v>2.4850955716028307</c:v>
                </c:pt>
                <c:pt idx="424">
                  <c:v>2.5314027731674784</c:v>
                </c:pt>
                <c:pt idx="425">
                  <c:v>2.5184916120567085</c:v>
                </c:pt>
                <c:pt idx="426">
                  <c:v>2.5183526361492743</c:v>
                </c:pt>
                <c:pt idx="427">
                  <c:v>2.5253910588263357</c:v>
                </c:pt>
                <c:pt idx="428">
                  <c:v>2.5158895047279004</c:v>
                </c:pt>
                <c:pt idx="429">
                  <c:v>2.5128469909646309</c:v>
                </c:pt>
                <c:pt idx="430">
                  <c:v>2.4370679104202249</c:v>
                </c:pt>
                <c:pt idx="431">
                  <c:v>2.4911041728518697</c:v>
                </c:pt>
                <c:pt idx="432">
                  <c:v>2.5824213443975403</c:v>
                </c:pt>
                <c:pt idx="433">
                  <c:v>2.5072694310743713</c:v>
                </c:pt>
                <c:pt idx="434">
                  <c:v>2.5433245958783943</c:v>
                </c:pt>
                <c:pt idx="435">
                  <c:v>2.5238858928247923</c:v>
                </c:pt>
                <c:pt idx="436">
                  <c:v>2.5471749056552833</c:v>
                </c:pt>
                <c:pt idx="437">
                  <c:v>2.5962472917655592</c:v>
                </c:pt>
                <c:pt idx="438">
                  <c:v>2.5460754112948027</c:v>
                </c:pt>
                <c:pt idx="439">
                  <c:v>2.5460754112948027</c:v>
                </c:pt>
                <c:pt idx="440">
                  <c:v>2.5674306222369476</c:v>
                </c:pt>
                <c:pt idx="441">
                  <c:v>2.5211505310076192</c:v>
                </c:pt>
                <c:pt idx="442">
                  <c:v>2.4989797918350605</c:v>
                </c:pt>
                <c:pt idx="443">
                  <c:v>2.5726639889422018</c:v>
                </c:pt>
                <c:pt idx="444">
                  <c:v>2.5690854403853525</c:v>
                </c:pt>
                <c:pt idx="445">
                  <c:v>2.5355867171130235</c:v>
                </c:pt>
                <c:pt idx="446">
                  <c:v>2.5599414055794325</c:v>
                </c:pt>
                <c:pt idx="447">
                  <c:v>2.5711087102648928</c:v>
                </c:pt>
                <c:pt idx="448">
                  <c:v>2.5879142180528318</c:v>
                </c:pt>
                <c:pt idx="449">
                  <c:v>2.5748980562344599</c:v>
                </c:pt>
                <c:pt idx="450">
                  <c:v>2.5547798339583001</c:v>
                </c:pt>
                <c:pt idx="451">
                  <c:v>2.5006399181009651</c:v>
                </c:pt>
                <c:pt idx="452">
                  <c:v>2.5193848455525805</c:v>
                </c:pt>
                <c:pt idx="453">
                  <c:v>2.5439536159293472</c:v>
                </c:pt>
                <c:pt idx="454">
                  <c:v>2.5547798339583001</c:v>
                </c:pt>
                <c:pt idx="455">
                  <c:v>2.5312447530809821</c:v>
                </c:pt>
                <c:pt idx="456">
                  <c:v>2.5001799935204669</c:v>
                </c:pt>
                <c:pt idx="457">
                  <c:v>2.5853626438084079</c:v>
                </c:pt>
                <c:pt idx="458">
                  <c:v>2.584027863626861</c:v>
                </c:pt>
                <c:pt idx="459">
                  <c:v>2.6299239532731744</c:v>
                </c:pt>
                <c:pt idx="460">
                  <c:v>2.5707780923292467</c:v>
                </c:pt>
                <c:pt idx="461">
                  <c:v>2.5039169315294783</c:v>
                </c:pt>
                <c:pt idx="462">
                  <c:v>2.5518032839543099</c:v>
                </c:pt>
                <c:pt idx="463">
                  <c:v>2.6224606765402605</c:v>
                </c:pt>
                <c:pt idx="464">
                  <c:v>2.5403149411047439</c:v>
                </c:pt>
                <c:pt idx="465">
                  <c:v>2.5045957757690163</c:v>
                </c:pt>
                <c:pt idx="466">
                  <c:v>2.5092827660508887</c:v>
                </c:pt>
                <c:pt idx="467">
                  <c:v>2.5897104085206131</c:v>
                </c:pt>
                <c:pt idx="468">
                  <c:v>2.5144581921360314</c:v>
                </c:pt>
                <c:pt idx="469">
                  <c:v>2.4465894629054543</c:v>
                </c:pt>
                <c:pt idx="470">
                  <c:v>2.5147763320025103</c:v>
                </c:pt>
                <c:pt idx="471">
                  <c:v>2.4200206610688264</c:v>
                </c:pt>
                <c:pt idx="472">
                  <c:v>2.510019920239678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87-424A-9343-BDC7C8F9525F}"/>
            </c:ext>
          </c:extLst>
        </c:ser>
        <c:ser>
          <c:idx val="1"/>
          <c:order val="3"/>
          <c:tx>
            <c:strRef>
              <c:f>'HT 2017-07-05 BIG JIM'!$J$1</c:f>
              <c:strCache>
                <c:ptCount val="1"/>
                <c:pt idx="0">
                  <c:v>sel-m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C0000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JIM'!$J$2:$J$1205</c:f>
              <c:numCache>
                <c:formatCode>General</c:formatCode>
                <c:ptCount val="1204"/>
                <c:pt idx="595">
                  <c:v>1.9672569735548024</c:v>
                </c:pt>
                <c:pt idx="596">
                  <c:v>2.0416659863944449</c:v>
                </c:pt>
                <c:pt idx="597">
                  <c:v>1.9241881404893857</c:v>
                </c:pt>
                <c:pt idx="598">
                  <c:v>2.0225231766286389</c:v>
                </c:pt>
                <c:pt idx="599">
                  <c:v>1.9604081207748556</c:v>
                </c:pt>
                <c:pt idx="600">
                  <c:v>1.9918082237002634</c:v>
                </c:pt>
                <c:pt idx="601">
                  <c:v>2.0368603290358425</c:v>
                </c:pt>
                <c:pt idx="602">
                  <c:v>1.895521036549054</c:v>
                </c:pt>
                <c:pt idx="603">
                  <c:v>2.0368603290358425</c:v>
                </c:pt>
                <c:pt idx="604">
                  <c:v>2.0525106577067995</c:v>
                </c:pt>
                <c:pt idx="605">
                  <c:v>1.9887936041731427</c:v>
                </c:pt>
                <c:pt idx="606">
                  <c:v>2.0169779374103229</c:v>
                </c:pt>
                <c:pt idx="607">
                  <c:v>1.946175737183053</c:v>
                </c:pt>
                <c:pt idx="608">
                  <c:v>1.9856485086741811</c:v>
                </c:pt>
                <c:pt idx="609">
                  <c:v>1.9895728184713419</c:v>
                </c:pt>
                <c:pt idx="610">
                  <c:v>2.0193315725754397</c:v>
                </c:pt>
                <c:pt idx="611">
                  <c:v>1.9996499693696395</c:v>
                </c:pt>
                <c:pt idx="612">
                  <c:v>2.0064396327824068</c:v>
                </c:pt>
                <c:pt idx="613">
                  <c:v>2.0008498194517248</c:v>
                </c:pt>
                <c:pt idx="614">
                  <c:v>1.8989734068701436</c:v>
                </c:pt>
                <c:pt idx="615">
                  <c:v>2.0183656754909403</c:v>
                </c:pt>
                <c:pt idx="616">
                  <c:v>1.960229578391266</c:v>
                </c:pt>
                <c:pt idx="617">
                  <c:v>1.9018412131405713</c:v>
                </c:pt>
                <c:pt idx="618">
                  <c:v>1.8917980864775186</c:v>
                </c:pt>
                <c:pt idx="619">
                  <c:v>1.9119100397246727</c:v>
                </c:pt>
                <c:pt idx="620">
                  <c:v>1.9833809518093088</c:v>
                </c:pt>
                <c:pt idx="621">
                  <c:v>1.9601020381602585</c:v>
                </c:pt>
                <c:pt idx="622">
                  <c:v>2.0392400545301181</c:v>
                </c:pt>
                <c:pt idx="623">
                  <c:v>1.9190883252211191</c:v>
                </c:pt>
                <c:pt idx="624">
                  <c:v>1.9739554199626697</c:v>
                </c:pt>
                <c:pt idx="625">
                  <c:v>1.966443490161871</c:v>
                </c:pt>
                <c:pt idx="626">
                  <c:v>2.04</c:v>
                </c:pt>
                <c:pt idx="627">
                  <c:v>1.9550959055759898</c:v>
                </c:pt>
                <c:pt idx="628">
                  <c:v>1.9458931111445972</c:v>
                </c:pt>
                <c:pt idx="629">
                  <c:v>1.924811679100062</c:v>
                </c:pt>
                <c:pt idx="630">
                  <c:v>2.0056171120131583</c:v>
                </c:pt>
                <c:pt idx="631">
                  <c:v>1.9299999999999997</c:v>
                </c:pt>
                <c:pt idx="632">
                  <c:v>1.9602295783912658</c:v>
                </c:pt>
                <c:pt idx="633">
                  <c:v>1.9465096968677038</c:v>
                </c:pt>
                <c:pt idx="634">
                  <c:v>1.9553260597659921</c:v>
                </c:pt>
                <c:pt idx="635">
                  <c:v>1.9791412279066898</c:v>
                </c:pt>
                <c:pt idx="636">
                  <c:v>1.9723082923316018</c:v>
                </c:pt>
                <c:pt idx="637">
                  <c:v>1.9795959183631389</c:v>
                </c:pt>
                <c:pt idx="638">
                  <c:v>2.0374493858744072</c:v>
                </c:pt>
                <c:pt idx="639">
                  <c:v>2.005243127403757</c:v>
                </c:pt>
                <c:pt idx="640">
                  <c:v>2.0289159667172023</c:v>
                </c:pt>
                <c:pt idx="641">
                  <c:v>2.0088305055429641</c:v>
                </c:pt>
                <c:pt idx="642">
                  <c:v>2.0207176942858696</c:v>
                </c:pt>
                <c:pt idx="643">
                  <c:v>2.0400980368599937</c:v>
                </c:pt>
                <c:pt idx="644">
                  <c:v>1.9949185447030162</c:v>
                </c:pt>
                <c:pt idx="645">
                  <c:v>1.9553260597659921</c:v>
                </c:pt>
                <c:pt idx="646">
                  <c:v>1.9999999999999998</c:v>
                </c:pt>
                <c:pt idx="647">
                  <c:v>1.9420092687729378</c:v>
                </c:pt>
                <c:pt idx="648">
                  <c:v>1.9677398201998149</c:v>
                </c:pt>
                <c:pt idx="649">
                  <c:v>1.9751708786836644</c:v>
                </c:pt>
                <c:pt idx="650">
                  <c:v>2.0026232796010337</c:v>
                </c:pt>
                <c:pt idx="651">
                  <c:v>1.9694669329541941</c:v>
                </c:pt>
                <c:pt idx="652">
                  <c:v>1.9665706191235541</c:v>
                </c:pt>
                <c:pt idx="653">
                  <c:v>2.0171762441591463</c:v>
                </c:pt>
                <c:pt idx="654">
                  <c:v>2.0026232796010337</c:v>
                </c:pt>
                <c:pt idx="655">
                  <c:v>1.9764867821465439</c:v>
                </c:pt>
                <c:pt idx="656">
                  <c:v>1.9946177578674065</c:v>
                </c:pt>
                <c:pt idx="657">
                  <c:v>2.0092784774639876</c:v>
                </c:pt>
                <c:pt idx="658">
                  <c:v>2.0129580224137809</c:v>
                </c:pt>
                <c:pt idx="659">
                  <c:v>1.9610456394485061</c:v>
                </c:pt>
                <c:pt idx="660">
                  <c:v>1.9729419656948859</c:v>
                </c:pt>
                <c:pt idx="661">
                  <c:v>1.8930662957223656</c:v>
                </c:pt>
                <c:pt idx="662">
                  <c:v>2.0255616505058542</c:v>
                </c:pt>
                <c:pt idx="663">
                  <c:v>2.0205444810743467</c:v>
                </c:pt>
                <c:pt idx="664">
                  <c:v>1.9458931111445974</c:v>
                </c:pt>
                <c:pt idx="665">
                  <c:v>1.9523319389898841</c:v>
                </c:pt>
                <c:pt idx="666">
                  <c:v>2.0441624201613728</c:v>
                </c:pt>
                <c:pt idx="667">
                  <c:v>1.9553260597659918</c:v>
                </c:pt>
                <c:pt idx="668">
                  <c:v>2.0116162655934158</c:v>
                </c:pt>
                <c:pt idx="669">
                  <c:v>1.9513328778042971</c:v>
                </c:pt>
                <c:pt idx="670">
                  <c:v>1.9425756098540929</c:v>
                </c:pt>
                <c:pt idx="671">
                  <c:v>1.8921152184790442</c:v>
                </c:pt>
                <c:pt idx="672">
                  <c:v>1.9142622599842478</c:v>
                </c:pt>
                <c:pt idx="673">
                  <c:v>1.9485892332659542</c:v>
                </c:pt>
                <c:pt idx="674">
                  <c:v>1.9504102132628407</c:v>
                </c:pt>
                <c:pt idx="675">
                  <c:v>1.9949185447030164</c:v>
                </c:pt>
                <c:pt idx="676">
                  <c:v>1.9557607215607946</c:v>
                </c:pt>
                <c:pt idx="677">
                  <c:v>1.9398195792392652</c:v>
                </c:pt>
                <c:pt idx="678">
                  <c:v>1.9918082237002634</c:v>
                </c:pt>
                <c:pt idx="679">
                  <c:v>1.9695684806576286</c:v>
                </c:pt>
                <c:pt idx="798">
                  <c:v>2.1253235047869774</c:v>
                </c:pt>
                <c:pt idx="799">
                  <c:v>2.0582759776084449</c:v>
                </c:pt>
                <c:pt idx="800">
                  <c:v>2.1211553455605276</c:v>
                </c:pt>
                <c:pt idx="801">
                  <c:v>2.155736533067063</c:v>
                </c:pt>
                <c:pt idx="802">
                  <c:v>2.0927493877672023</c:v>
                </c:pt>
                <c:pt idx="803">
                  <c:v>2.1137644144984558</c:v>
                </c:pt>
                <c:pt idx="804">
                  <c:v>2.1332135383031861</c:v>
                </c:pt>
                <c:pt idx="805">
                  <c:v>2.0932271735289505</c:v>
                </c:pt>
                <c:pt idx="806">
                  <c:v>2.1428252378577213</c:v>
                </c:pt>
                <c:pt idx="807">
                  <c:v>2.0787015177749786</c:v>
                </c:pt>
                <c:pt idx="808">
                  <c:v>2.1876242821837577</c:v>
                </c:pt>
                <c:pt idx="809">
                  <c:v>2.1020228352708257</c:v>
                </c:pt>
                <c:pt idx="810">
                  <c:v>2.1660332407421636</c:v>
                </c:pt>
                <c:pt idx="811">
                  <c:v>2.0929644048573781</c:v>
                </c:pt>
                <c:pt idx="812">
                  <c:v>2.168893727225933</c:v>
                </c:pt>
                <c:pt idx="813">
                  <c:v>2.1079373804740973</c:v>
                </c:pt>
                <c:pt idx="814">
                  <c:v>2.1109239683134016</c:v>
                </c:pt>
                <c:pt idx="815">
                  <c:v>2.0894257584322062</c:v>
                </c:pt>
                <c:pt idx="816">
                  <c:v>2.0915305400591215</c:v>
                </c:pt>
                <c:pt idx="817">
                  <c:v>2.1577998053572998</c:v>
                </c:pt>
                <c:pt idx="818">
                  <c:v>2.1377558326431951</c:v>
                </c:pt>
                <c:pt idx="819">
                  <c:v>2.1080085388821366</c:v>
                </c:pt>
                <c:pt idx="820">
                  <c:v>2.110094784600919</c:v>
                </c:pt>
                <c:pt idx="821">
                  <c:v>2.1414014102918677</c:v>
                </c:pt>
                <c:pt idx="822">
                  <c:v>2.0981182044870588</c:v>
                </c:pt>
                <c:pt idx="823">
                  <c:v>2.0447249203743767</c:v>
                </c:pt>
                <c:pt idx="824">
                  <c:v>2.1247352776287216</c:v>
                </c:pt>
                <c:pt idx="825">
                  <c:v>2.0840585404445817</c:v>
                </c:pt>
                <c:pt idx="826">
                  <c:v>2.1023796041628637</c:v>
                </c:pt>
                <c:pt idx="827">
                  <c:v>2.1086725682286476</c:v>
                </c:pt>
                <c:pt idx="828">
                  <c:v>2.1050890717496968</c:v>
                </c:pt>
                <c:pt idx="829">
                  <c:v>2.1332838535928595</c:v>
                </c:pt>
                <c:pt idx="830">
                  <c:v>2.1435018077902339</c:v>
                </c:pt>
                <c:pt idx="831">
                  <c:v>2.0930838492521029</c:v>
                </c:pt>
                <c:pt idx="832">
                  <c:v>2.1574522010927613</c:v>
                </c:pt>
                <c:pt idx="833">
                  <c:v>2.1376856644511606</c:v>
                </c:pt>
                <c:pt idx="834">
                  <c:v>2.0709901013766339</c:v>
                </c:pt>
                <c:pt idx="835">
                  <c:v>2.0443580899636933</c:v>
                </c:pt>
                <c:pt idx="836">
                  <c:v>2.1287555049840741</c:v>
                </c:pt>
                <c:pt idx="837">
                  <c:v>2.0706037766796426</c:v>
                </c:pt>
                <c:pt idx="838">
                  <c:v>2.1466252583997982</c:v>
                </c:pt>
                <c:pt idx="839">
                  <c:v>2.087773934122179</c:v>
                </c:pt>
                <c:pt idx="840">
                  <c:v>2.1856349191939626</c:v>
                </c:pt>
                <c:pt idx="841">
                  <c:v>2.1128653530218151</c:v>
                </c:pt>
                <c:pt idx="842">
                  <c:v>2.154483696851754</c:v>
                </c:pt>
                <c:pt idx="843">
                  <c:v>2.1692625475031835</c:v>
                </c:pt>
                <c:pt idx="844">
                  <c:v>2.1495348334000077</c:v>
                </c:pt>
                <c:pt idx="845">
                  <c:v>2.1338462924962518</c:v>
                </c:pt>
                <c:pt idx="846">
                  <c:v>2.1337759957408839</c:v>
                </c:pt>
                <c:pt idx="847">
                  <c:v>2.1122736565132842</c:v>
                </c:pt>
                <c:pt idx="848">
                  <c:v>2.221823575354263</c:v>
                </c:pt>
                <c:pt idx="849">
                  <c:v>2.16453228204155</c:v>
                </c:pt>
                <c:pt idx="850">
                  <c:v>2.0416659863944444</c:v>
                </c:pt>
                <c:pt idx="851">
                  <c:v>2.110852908186641</c:v>
                </c:pt>
                <c:pt idx="852">
                  <c:v>2.110923968313402</c:v>
                </c:pt>
                <c:pt idx="853">
                  <c:v>2.1660332407421636</c:v>
                </c:pt>
                <c:pt idx="854">
                  <c:v>2.1560380330597142</c:v>
                </c:pt>
                <c:pt idx="855">
                  <c:v>2.1301643129110959</c:v>
                </c:pt>
                <c:pt idx="856">
                  <c:v>2.0607280266934791</c:v>
                </c:pt>
                <c:pt idx="857">
                  <c:v>2.1120606051910538</c:v>
                </c:pt>
                <c:pt idx="858">
                  <c:v>2.1115397225721324</c:v>
                </c:pt>
                <c:pt idx="859">
                  <c:v>2.1751321798916039</c:v>
                </c:pt>
                <c:pt idx="860">
                  <c:v>2.097474672075923</c:v>
                </c:pt>
                <c:pt idx="861">
                  <c:v>2.1351580737734621</c:v>
                </c:pt>
                <c:pt idx="862">
                  <c:v>2.1421717951648978</c:v>
                </c:pt>
                <c:pt idx="863">
                  <c:v>2.1252999788265186</c:v>
                </c:pt>
                <c:pt idx="864">
                  <c:v>2.1511159894343215</c:v>
                </c:pt>
                <c:pt idx="865">
                  <c:v>2.1476731594914531</c:v>
                </c:pt>
                <c:pt idx="866">
                  <c:v>2.1428252378577217</c:v>
                </c:pt>
                <c:pt idx="867">
                  <c:v>2.1211553455605272</c:v>
                </c:pt>
                <c:pt idx="868">
                  <c:v>2.1577998053572998</c:v>
                </c:pt>
                <c:pt idx="869">
                  <c:v>2.1066086489901248</c:v>
                </c:pt>
                <c:pt idx="870">
                  <c:v>2.0977368757782755</c:v>
                </c:pt>
                <c:pt idx="871">
                  <c:v>2.1174040710265958</c:v>
                </c:pt>
                <c:pt idx="872">
                  <c:v>2.1923731434224423</c:v>
                </c:pt>
                <c:pt idx="873">
                  <c:v>2.1497209121185938</c:v>
                </c:pt>
                <c:pt idx="874">
                  <c:v>2.087773934122179</c:v>
                </c:pt>
                <c:pt idx="875">
                  <c:v>2.125323504786977</c:v>
                </c:pt>
                <c:pt idx="876">
                  <c:v>2.0701932276963904</c:v>
                </c:pt>
                <c:pt idx="877">
                  <c:v>2.1107818456676188</c:v>
                </c:pt>
                <c:pt idx="878">
                  <c:v>2.1594675269612185</c:v>
                </c:pt>
                <c:pt idx="999">
                  <c:v>2.2532199182503247</c:v>
                </c:pt>
                <c:pt idx="1000">
                  <c:v>2.2585393509965681</c:v>
                </c:pt>
                <c:pt idx="1001">
                  <c:v>2.3068810112357334</c:v>
                </c:pt>
                <c:pt idx="1002">
                  <c:v>2.2631835983852482</c:v>
                </c:pt>
                <c:pt idx="1003">
                  <c:v>2.2631173190977085</c:v>
                </c:pt>
                <c:pt idx="1004">
                  <c:v>2.3020860105565126</c:v>
                </c:pt>
                <c:pt idx="1005">
                  <c:v>2.2981731875557156</c:v>
                </c:pt>
                <c:pt idx="1006">
                  <c:v>2.3576471322061749</c:v>
                </c:pt>
                <c:pt idx="1007">
                  <c:v>2.2461522655421202</c:v>
                </c:pt>
                <c:pt idx="1008">
                  <c:v>2.2475764725588316</c:v>
                </c:pt>
                <c:pt idx="1009">
                  <c:v>2.2770595073471398</c:v>
                </c:pt>
                <c:pt idx="1010">
                  <c:v>2.3400213674238106</c:v>
                </c:pt>
                <c:pt idx="1011">
                  <c:v>2.3194827009486407</c:v>
                </c:pt>
                <c:pt idx="1012">
                  <c:v>2.2405579662218069</c:v>
                </c:pt>
                <c:pt idx="1013">
                  <c:v>2.2494888308235717</c:v>
                </c:pt>
                <c:pt idx="1014">
                  <c:v>2.3034105148670307</c:v>
                </c:pt>
                <c:pt idx="1015">
                  <c:v>2.2514439810930225</c:v>
                </c:pt>
                <c:pt idx="1016">
                  <c:v>2.2624102192131295</c:v>
                </c:pt>
                <c:pt idx="1017">
                  <c:v>2.2953213282675695</c:v>
                </c:pt>
                <c:pt idx="1018">
                  <c:v>2.3119256043393785</c:v>
                </c:pt>
                <c:pt idx="1019">
                  <c:v>2.1840558600914948</c:v>
                </c:pt>
                <c:pt idx="1020">
                  <c:v>2.1849027438309467</c:v>
                </c:pt>
                <c:pt idx="1021">
                  <c:v>2.2411827234743713</c:v>
                </c:pt>
                <c:pt idx="1022">
                  <c:v>2.2276669409945464</c:v>
                </c:pt>
                <c:pt idx="1023">
                  <c:v>2.1918029108475974</c:v>
                </c:pt>
                <c:pt idx="1024">
                  <c:v>2.1741205118392126</c:v>
                </c:pt>
                <c:pt idx="1025">
                  <c:v>2.1958369702689677</c:v>
                </c:pt>
                <c:pt idx="1026">
                  <c:v>2.2323530186778258</c:v>
                </c:pt>
                <c:pt idx="1027">
                  <c:v>2.2633824246026122</c:v>
                </c:pt>
                <c:pt idx="1028">
                  <c:v>2.18929212303886</c:v>
                </c:pt>
                <c:pt idx="1029">
                  <c:v>2.1742354978244651</c:v>
                </c:pt>
                <c:pt idx="1030">
                  <c:v>2.1708293346092411</c:v>
                </c:pt>
                <c:pt idx="1031">
                  <c:v>2.1964744478368057</c:v>
                </c:pt>
                <c:pt idx="1032">
                  <c:v>2.22784649381415</c:v>
                </c:pt>
                <c:pt idx="1033">
                  <c:v>2.2472205054244228</c:v>
                </c:pt>
                <c:pt idx="1034">
                  <c:v>2.2900873345791855</c:v>
                </c:pt>
                <c:pt idx="1035">
                  <c:v>2.1741205118392126</c:v>
                </c:pt>
                <c:pt idx="1036">
                  <c:v>2.2587828580897278</c:v>
                </c:pt>
                <c:pt idx="1037">
                  <c:v>2.2226560687609771</c:v>
                </c:pt>
                <c:pt idx="1038">
                  <c:v>2.211628359376864</c:v>
                </c:pt>
                <c:pt idx="1039">
                  <c:v>2.2643321311150446</c:v>
                </c:pt>
                <c:pt idx="1040">
                  <c:v>2.2717834403833477</c:v>
                </c:pt>
                <c:pt idx="1041">
                  <c:v>2.2458851261807671</c:v>
                </c:pt>
                <c:pt idx="1042">
                  <c:v>2.2714973035423132</c:v>
                </c:pt>
                <c:pt idx="1043">
                  <c:v>2.2775864418282792</c:v>
                </c:pt>
                <c:pt idx="1044">
                  <c:v>2.2228135324403619</c:v>
                </c:pt>
                <c:pt idx="1045">
                  <c:v>2.3078344827998389</c:v>
                </c:pt>
                <c:pt idx="1046">
                  <c:v>2.2141589825484527</c:v>
                </c:pt>
                <c:pt idx="1047">
                  <c:v>2.271079038695043</c:v>
                </c:pt>
                <c:pt idx="1048">
                  <c:v>2.2370739817896053</c:v>
                </c:pt>
                <c:pt idx="1049">
                  <c:v>2.315728826957077</c:v>
                </c:pt>
                <c:pt idx="1050">
                  <c:v>2.2194819215303379</c:v>
                </c:pt>
                <c:pt idx="1051">
                  <c:v>2.205311769342376</c:v>
                </c:pt>
                <c:pt idx="1052">
                  <c:v>2.2579636843846713</c:v>
                </c:pt>
                <c:pt idx="1053">
                  <c:v>2.2724656213021133</c:v>
                </c:pt>
                <c:pt idx="1054">
                  <c:v>2.2189411889457547</c:v>
                </c:pt>
                <c:pt idx="1055">
                  <c:v>2.2329352879114071</c:v>
                </c:pt>
                <c:pt idx="1056">
                  <c:v>2.2569448376068033</c:v>
                </c:pt>
                <c:pt idx="1057">
                  <c:v>2.3216588896735026</c:v>
                </c:pt>
                <c:pt idx="1058">
                  <c:v>2.2135040094836058</c:v>
                </c:pt>
                <c:pt idx="1059">
                  <c:v>2.2165288177689004</c:v>
                </c:pt>
                <c:pt idx="1060">
                  <c:v>2.173683509621398</c:v>
                </c:pt>
                <c:pt idx="1061">
                  <c:v>2.2346588106464931</c:v>
                </c:pt>
                <c:pt idx="1062">
                  <c:v>2.2983907413666635</c:v>
                </c:pt>
                <c:pt idx="1063">
                  <c:v>2.2005681084665389</c:v>
                </c:pt>
                <c:pt idx="1064">
                  <c:v>2.2994347131414714</c:v>
                </c:pt>
                <c:pt idx="1065">
                  <c:v>2.28177562437677</c:v>
                </c:pt>
                <c:pt idx="1066">
                  <c:v>2.2368057582186256</c:v>
                </c:pt>
                <c:pt idx="1067">
                  <c:v>2.2260727750906981</c:v>
                </c:pt>
                <c:pt idx="1068">
                  <c:v>2.3307724041613334</c:v>
                </c:pt>
                <c:pt idx="1069">
                  <c:v>2.2541739063346466</c:v>
                </c:pt>
                <c:pt idx="1070">
                  <c:v>2.2662965384079814</c:v>
                </c:pt>
                <c:pt idx="1071">
                  <c:v>2.2135265979879257</c:v>
                </c:pt>
                <c:pt idx="1072">
                  <c:v>2.2214634815814551</c:v>
                </c:pt>
                <c:pt idx="1073">
                  <c:v>2.2629184695874485</c:v>
                </c:pt>
                <c:pt idx="1074">
                  <c:v>2.2214634815814551</c:v>
                </c:pt>
                <c:pt idx="1075">
                  <c:v>2.2748186740925087</c:v>
                </c:pt>
                <c:pt idx="1076">
                  <c:v>2.2280035906613795</c:v>
                </c:pt>
                <c:pt idx="1077">
                  <c:v>2.2257582977493309</c:v>
                </c:pt>
                <c:pt idx="1078">
                  <c:v>2.2022942582679548</c:v>
                </c:pt>
                <c:pt idx="1079">
                  <c:v>2.2418073066166948</c:v>
                </c:pt>
                <c:pt idx="1080">
                  <c:v>2.2510886255321005</c:v>
                </c:pt>
                <c:pt idx="1081">
                  <c:v>2.3108656386730928</c:v>
                </c:pt>
                <c:pt idx="1082">
                  <c:v>2.2610838109190028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87-424A-9343-BDC7C8F95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507528"/>
        <c:axId val="301507920"/>
      </c:scatterChart>
      <c:valAx>
        <c:axId val="301507528"/>
        <c:scaling>
          <c:orientation val="minMax"/>
          <c:max val="1.3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THORAX</a:t>
                </a:r>
              </a:p>
            </c:rich>
          </c:tx>
          <c:layout>
            <c:manualLayout>
              <c:xMode val="edge"/>
              <c:yMode val="edge"/>
              <c:x val="0.4588569878643034"/>
              <c:y val="0.843624372305115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07920"/>
        <c:crosses val="autoZero"/>
        <c:crossBetween val="midCat"/>
        <c:majorUnit val="0.1"/>
      </c:valAx>
      <c:valAx>
        <c:axId val="301507920"/>
        <c:scaling>
          <c:orientation val="minMax"/>
          <c:max val="2.9"/>
          <c:min val="1.5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WING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07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WING LENGTH VS THORAX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420335341638465"/>
          <c:y val="7.8012906893210318E-2"/>
          <c:w val="0.58549321192709147"/>
          <c:h val="0.71694041787804497"/>
        </c:manualLayout>
      </c:layout>
      <c:scatterChart>
        <c:scatterStyle val="lineMarker"/>
        <c:varyColors val="0"/>
        <c:ser>
          <c:idx val="3"/>
          <c:order val="0"/>
          <c:tx>
            <c:strRef>
              <c:f>'HT 2017-07-05 BIG JIM'!$L$1</c:f>
              <c:strCache>
                <c:ptCount val="1"/>
                <c:pt idx="0">
                  <c:v>sel-f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C0000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JIM'!$L$2:$L$1205</c:f>
              <c:numCache>
                <c:formatCode>General</c:formatCode>
                <c:ptCount val="1204"/>
                <c:pt idx="0">
                  <c:v>2.2461077445216202</c:v>
                </c:pt>
                <c:pt idx="1">
                  <c:v>2.2774766738651788</c:v>
                </c:pt>
                <c:pt idx="2">
                  <c:v>2.3032585612562047</c:v>
                </c:pt>
                <c:pt idx="3">
                  <c:v>2.2529092303064493</c:v>
                </c:pt>
                <c:pt idx="4">
                  <c:v>2.2821262015935928</c:v>
                </c:pt>
                <c:pt idx="5">
                  <c:v>2.2067623342806995</c:v>
                </c:pt>
                <c:pt idx="6">
                  <c:v>2.156965461012299</c:v>
                </c:pt>
                <c:pt idx="7">
                  <c:v>2.2314345161801188</c:v>
                </c:pt>
                <c:pt idx="8">
                  <c:v>2.2022942582679548</c:v>
                </c:pt>
                <c:pt idx="9">
                  <c:v>2.235732542143626</c:v>
                </c:pt>
                <c:pt idx="10">
                  <c:v>2.2949074055394916</c:v>
                </c:pt>
                <c:pt idx="11">
                  <c:v>2.2079175709251468</c:v>
                </c:pt>
                <c:pt idx="12">
                  <c:v>2.2041778512633687</c:v>
                </c:pt>
                <c:pt idx="13">
                  <c:v>2.3277671704876326</c:v>
                </c:pt>
                <c:pt idx="14">
                  <c:v>2.2181523843054607</c:v>
                </c:pt>
                <c:pt idx="15">
                  <c:v>2.2861539755668248</c:v>
                </c:pt>
                <c:pt idx="16">
                  <c:v>2.2184679398179274</c:v>
                </c:pt>
                <c:pt idx="17">
                  <c:v>2.2552383466055201</c:v>
                </c:pt>
                <c:pt idx="18">
                  <c:v>2.2049489790015553</c:v>
                </c:pt>
                <c:pt idx="19">
                  <c:v>2.2238030488332368</c:v>
                </c:pt>
                <c:pt idx="20">
                  <c:v>2.2604866732630828</c:v>
                </c:pt>
                <c:pt idx="21">
                  <c:v>2.2405579662218069</c:v>
                </c:pt>
                <c:pt idx="22">
                  <c:v>2.2226560687609771</c:v>
                </c:pt>
                <c:pt idx="23">
                  <c:v>2.2316361710637334</c:v>
                </c:pt>
                <c:pt idx="24">
                  <c:v>2.2192341021172148</c:v>
                </c:pt>
                <c:pt idx="25">
                  <c:v>2.2085742007005331</c:v>
                </c:pt>
                <c:pt idx="26">
                  <c:v>2.2514439810930229</c:v>
                </c:pt>
                <c:pt idx="27">
                  <c:v>2.2051077071199949</c:v>
                </c:pt>
                <c:pt idx="28">
                  <c:v>2.1991361940543839</c:v>
                </c:pt>
                <c:pt idx="29">
                  <c:v>2.1912781658201226</c:v>
                </c:pt>
                <c:pt idx="30">
                  <c:v>2.2747747141200598</c:v>
                </c:pt>
                <c:pt idx="31">
                  <c:v>2.2107012462112561</c:v>
                </c:pt>
                <c:pt idx="32">
                  <c:v>2.2689424849475581</c:v>
                </c:pt>
                <c:pt idx="33">
                  <c:v>2.229102958591191</c:v>
                </c:pt>
                <c:pt idx="34">
                  <c:v>2.1800000000000002</c:v>
                </c:pt>
                <c:pt idx="35">
                  <c:v>2.1669563908856126</c:v>
                </c:pt>
                <c:pt idx="36">
                  <c:v>2.2029071700822982</c:v>
                </c:pt>
                <c:pt idx="37">
                  <c:v>2.2228135324403619</c:v>
                </c:pt>
                <c:pt idx="38">
                  <c:v>2.2415396494374127</c:v>
                </c:pt>
                <c:pt idx="39">
                  <c:v>2.3097185975785015</c:v>
                </c:pt>
                <c:pt idx="40">
                  <c:v>2.2542404485768595</c:v>
                </c:pt>
                <c:pt idx="41">
                  <c:v>2.2029298672449835</c:v>
                </c:pt>
                <c:pt idx="42">
                  <c:v>2.2228360263411244</c:v>
                </c:pt>
                <c:pt idx="43">
                  <c:v>2.2588713996153036</c:v>
                </c:pt>
                <c:pt idx="44">
                  <c:v>2.291244203484212</c:v>
                </c:pt>
                <c:pt idx="45">
                  <c:v>2.2961271741782947</c:v>
                </c:pt>
                <c:pt idx="46">
                  <c:v>2.2777181564012703</c:v>
                </c:pt>
                <c:pt idx="47">
                  <c:v>2.2503777460684242</c:v>
                </c:pt>
                <c:pt idx="48">
                  <c:v>2.3505318547086316</c:v>
                </c:pt>
                <c:pt idx="49">
                  <c:v>2.26101747007846</c:v>
                </c:pt>
                <c:pt idx="50">
                  <c:v>2.2988910370002316</c:v>
                </c:pt>
                <c:pt idx="51">
                  <c:v>2.2689424849475577</c:v>
                </c:pt>
                <c:pt idx="52">
                  <c:v>2.2586943130932968</c:v>
                </c:pt>
                <c:pt idx="53">
                  <c:v>2.2812277396174192</c:v>
                </c:pt>
                <c:pt idx="54">
                  <c:v>2.3505318547086316</c:v>
                </c:pt>
                <c:pt idx="55">
                  <c:v>2.1883326986543885</c:v>
                </c:pt>
                <c:pt idx="56">
                  <c:v>2.3078344827998389</c:v>
                </c:pt>
                <c:pt idx="57">
                  <c:v>2.2398660674245678</c:v>
                </c:pt>
                <c:pt idx="58">
                  <c:v>2.2786399452304877</c:v>
                </c:pt>
                <c:pt idx="59">
                  <c:v>2.1954498400100149</c:v>
                </c:pt>
                <c:pt idx="60">
                  <c:v>2.2297085011274458</c:v>
                </c:pt>
                <c:pt idx="61">
                  <c:v>2.1827734651126764</c:v>
                </c:pt>
                <c:pt idx="62">
                  <c:v>2.2005681084665389</c:v>
                </c:pt>
                <c:pt idx="63">
                  <c:v>2.2252415599210797</c:v>
                </c:pt>
                <c:pt idx="64">
                  <c:v>2.2655021518418383</c:v>
                </c:pt>
                <c:pt idx="65">
                  <c:v>2.2214634815814551</c:v>
                </c:pt>
                <c:pt idx="66">
                  <c:v>2.2500222221124839</c:v>
                </c:pt>
                <c:pt idx="67">
                  <c:v>2.2621449997734451</c:v>
                </c:pt>
                <c:pt idx="68">
                  <c:v>2.2723776094654689</c:v>
                </c:pt>
                <c:pt idx="69">
                  <c:v>2.2107012462112556</c:v>
                </c:pt>
                <c:pt idx="70">
                  <c:v>2.1774526401279091</c:v>
                </c:pt>
                <c:pt idx="71">
                  <c:v>2.1832544515012446</c:v>
                </c:pt>
                <c:pt idx="72">
                  <c:v>2.2716073604388591</c:v>
                </c:pt>
                <c:pt idx="73">
                  <c:v>2.2561028345356955</c:v>
                </c:pt>
                <c:pt idx="74">
                  <c:v>2.2743130831088321</c:v>
                </c:pt>
                <c:pt idx="75">
                  <c:v>2.1411445537375564</c:v>
                </c:pt>
                <c:pt idx="76">
                  <c:v>2.2092758994747577</c:v>
                </c:pt>
                <c:pt idx="77">
                  <c:v>2.2230159693533467</c:v>
                </c:pt>
                <c:pt idx="78">
                  <c:v>2.2539742678211745</c:v>
                </c:pt>
                <c:pt idx="196">
                  <c:v>2.3749736840647309</c:v>
                </c:pt>
                <c:pt idx="197">
                  <c:v>2.3970815588961503</c:v>
                </c:pt>
                <c:pt idx="198">
                  <c:v>2.3645718428502018</c:v>
                </c:pt>
                <c:pt idx="199">
                  <c:v>2.414560001325293</c:v>
                </c:pt>
                <c:pt idx="200">
                  <c:v>2.4175400720567177</c:v>
                </c:pt>
                <c:pt idx="201">
                  <c:v>2.4358981916328113</c:v>
                </c:pt>
                <c:pt idx="202">
                  <c:v>2.3977489443225704</c:v>
                </c:pt>
                <c:pt idx="203">
                  <c:v>2.4423349483639631</c:v>
                </c:pt>
                <c:pt idx="204">
                  <c:v>2.3864827675891567</c:v>
                </c:pt>
                <c:pt idx="205">
                  <c:v>2.3843028331149552</c:v>
                </c:pt>
                <c:pt idx="206">
                  <c:v>2.3795167576632026</c:v>
                </c:pt>
                <c:pt idx="207">
                  <c:v>2.411514047232568</c:v>
                </c:pt>
                <c:pt idx="208">
                  <c:v>2.3703375287076733</c:v>
                </c:pt>
                <c:pt idx="209">
                  <c:v>2.346422809299296</c:v>
                </c:pt>
                <c:pt idx="210">
                  <c:v>2.3853720883753127</c:v>
                </c:pt>
                <c:pt idx="211">
                  <c:v>2.3544001359157285</c:v>
                </c:pt>
                <c:pt idx="212">
                  <c:v>2.3796848530845423</c:v>
                </c:pt>
                <c:pt idx="213">
                  <c:v>2.3910248848558644</c:v>
                </c:pt>
                <c:pt idx="214">
                  <c:v>2.4185326129701044</c:v>
                </c:pt>
                <c:pt idx="215">
                  <c:v>2.4039342753078756</c:v>
                </c:pt>
                <c:pt idx="216">
                  <c:v>2.4285386552410482</c:v>
                </c:pt>
                <c:pt idx="217">
                  <c:v>2.4137315509393336</c:v>
                </c:pt>
                <c:pt idx="218">
                  <c:v>2.4560130292814004</c:v>
                </c:pt>
                <c:pt idx="219">
                  <c:v>2.3535717537394101</c:v>
                </c:pt>
                <c:pt idx="220">
                  <c:v>2.4686838598735159</c:v>
                </c:pt>
                <c:pt idx="221">
                  <c:v>2.4215697388264501</c:v>
                </c:pt>
                <c:pt idx="222">
                  <c:v>2.3571593073019055</c:v>
                </c:pt>
                <c:pt idx="223">
                  <c:v>2.3576471322061749</c:v>
                </c:pt>
                <c:pt idx="224">
                  <c:v>2.4063665556186575</c:v>
                </c:pt>
                <c:pt idx="225">
                  <c:v>2.4147877753541822</c:v>
                </c:pt>
                <c:pt idx="226">
                  <c:v>2.4575801105966009</c:v>
                </c:pt>
                <c:pt idx="227">
                  <c:v>2.4252834885843759</c:v>
                </c:pt>
                <c:pt idx="228">
                  <c:v>2.4288680491125905</c:v>
                </c:pt>
                <c:pt idx="229">
                  <c:v>2.4164643593481783</c:v>
                </c:pt>
                <c:pt idx="230">
                  <c:v>2.4166091947189146</c:v>
                </c:pt>
                <c:pt idx="231">
                  <c:v>2.395850579648072</c:v>
                </c:pt>
                <c:pt idx="232">
                  <c:v>2.4301646034785382</c:v>
                </c:pt>
                <c:pt idx="233">
                  <c:v>2.3925091431382244</c:v>
                </c:pt>
                <c:pt idx="234">
                  <c:v>2.4157193545608724</c:v>
                </c:pt>
                <c:pt idx="235">
                  <c:v>2.4200206610688264</c:v>
                </c:pt>
                <c:pt idx="236">
                  <c:v>2.4021656895393373</c:v>
                </c:pt>
                <c:pt idx="237">
                  <c:v>2.4407375934335915</c:v>
                </c:pt>
                <c:pt idx="238">
                  <c:v>2.4226019070412703</c:v>
                </c:pt>
                <c:pt idx="239">
                  <c:v>2.4078621222985337</c:v>
                </c:pt>
                <c:pt idx="240">
                  <c:v>2.4541597340026584</c:v>
                </c:pt>
                <c:pt idx="241">
                  <c:v>2.4732367456432471</c:v>
                </c:pt>
                <c:pt idx="242">
                  <c:v>2.3634931774811623</c:v>
                </c:pt>
                <c:pt idx="243">
                  <c:v>2.4750959577357805</c:v>
                </c:pt>
                <c:pt idx="244">
                  <c:v>2.3972692798265278</c:v>
                </c:pt>
                <c:pt idx="245">
                  <c:v>2.4075921581530375</c:v>
                </c:pt>
                <c:pt idx="246">
                  <c:v>2.4528350943347172</c:v>
                </c:pt>
                <c:pt idx="247">
                  <c:v>2.4181397809059755</c:v>
                </c:pt>
                <c:pt idx="248">
                  <c:v>2.4358981916328113</c:v>
                </c:pt>
                <c:pt idx="249">
                  <c:v>2.4185326129701044</c:v>
                </c:pt>
                <c:pt idx="250">
                  <c:v>2.3961009995407125</c:v>
                </c:pt>
                <c:pt idx="251">
                  <c:v>2.3852253562294696</c:v>
                </c:pt>
                <c:pt idx="252">
                  <c:v>2.4284357104934853</c:v>
                </c:pt>
                <c:pt idx="253">
                  <c:v>2.4164643593481783</c:v>
                </c:pt>
                <c:pt idx="254">
                  <c:v>2.3644872594285635</c:v>
                </c:pt>
                <c:pt idx="255">
                  <c:v>2.4106845500811596</c:v>
                </c:pt>
                <c:pt idx="256">
                  <c:v>2.4175400720567182</c:v>
                </c:pt>
                <c:pt idx="257">
                  <c:v>2.426705585768492</c:v>
                </c:pt>
                <c:pt idx="258">
                  <c:v>2.4560537453402764</c:v>
                </c:pt>
                <c:pt idx="259">
                  <c:v>2.4661711213944582</c:v>
                </c:pt>
                <c:pt idx="260">
                  <c:v>2.4273648263085632</c:v>
                </c:pt>
                <c:pt idx="261">
                  <c:v>2.4629250902128552</c:v>
                </c:pt>
                <c:pt idx="262">
                  <c:v>2.4358366119261774</c:v>
                </c:pt>
                <c:pt idx="263">
                  <c:v>2.4629453911932355</c:v>
                </c:pt>
                <c:pt idx="264">
                  <c:v>2.4323856602109788</c:v>
                </c:pt>
                <c:pt idx="265">
                  <c:v>2.4041006634498476</c:v>
                </c:pt>
                <c:pt idx="266">
                  <c:v>2.4311519903124119</c:v>
                </c:pt>
                <c:pt idx="267">
                  <c:v>2.3603813251252435</c:v>
                </c:pt>
                <c:pt idx="268">
                  <c:v>2.4475497952033582</c:v>
                </c:pt>
                <c:pt idx="269">
                  <c:v>2.4390571949013413</c:v>
                </c:pt>
                <c:pt idx="270">
                  <c:v>2.352296749987127</c:v>
                </c:pt>
                <c:pt idx="271">
                  <c:v>2.3769728648009427</c:v>
                </c:pt>
                <c:pt idx="272">
                  <c:v>2.4323856602109788</c:v>
                </c:pt>
                <c:pt idx="394">
                  <c:v>2.5166843266488548</c:v>
                </c:pt>
                <c:pt idx="395">
                  <c:v>2.5787787807409925</c:v>
                </c:pt>
                <c:pt idx="396">
                  <c:v>2.5405511213120664</c:v>
                </c:pt>
                <c:pt idx="397">
                  <c:v>2.5556603843233945</c:v>
                </c:pt>
                <c:pt idx="398">
                  <c:v>2.54939208439973</c:v>
                </c:pt>
                <c:pt idx="399">
                  <c:v>2.4906224121692957</c:v>
                </c:pt>
                <c:pt idx="400">
                  <c:v>2.49897979183506</c:v>
                </c:pt>
                <c:pt idx="401">
                  <c:v>2.5111352014576998</c:v>
                </c:pt>
                <c:pt idx="402">
                  <c:v>2.5770137756713685</c:v>
                </c:pt>
                <c:pt idx="403">
                  <c:v>2.5379716310471241</c:v>
                </c:pt>
                <c:pt idx="404">
                  <c:v>2.5880108191427635</c:v>
                </c:pt>
                <c:pt idx="405">
                  <c:v>2.5111352014576998</c:v>
                </c:pt>
                <c:pt idx="406">
                  <c:v>2.5347583711273152</c:v>
                </c:pt>
                <c:pt idx="407">
                  <c:v>2.5609568524284043</c:v>
                </c:pt>
                <c:pt idx="408">
                  <c:v>2.5331403435261928</c:v>
                </c:pt>
                <c:pt idx="409">
                  <c:v>2.5133443854752575</c:v>
                </c:pt>
                <c:pt idx="410">
                  <c:v>2.610785322465254</c:v>
                </c:pt>
                <c:pt idx="411">
                  <c:v>2.5244801445050031</c:v>
                </c:pt>
                <c:pt idx="412">
                  <c:v>2.4819548746905129</c:v>
                </c:pt>
                <c:pt idx="413">
                  <c:v>2.5143587651725441</c:v>
                </c:pt>
                <c:pt idx="414">
                  <c:v>2.449693858423946</c:v>
                </c:pt>
                <c:pt idx="415">
                  <c:v>2.4684408034222738</c:v>
                </c:pt>
                <c:pt idx="416">
                  <c:v>2.4906424873915567</c:v>
                </c:pt>
                <c:pt idx="417">
                  <c:v>2.4933912649241394</c:v>
                </c:pt>
                <c:pt idx="418">
                  <c:v>2.4528350943347172</c:v>
                </c:pt>
                <c:pt idx="419">
                  <c:v>2.5044959572736389</c:v>
                </c:pt>
                <c:pt idx="420">
                  <c:v>2.4520399670478459</c:v>
                </c:pt>
                <c:pt idx="421">
                  <c:v>2.5026585863836881</c:v>
                </c:pt>
                <c:pt idx="422">
                  <c:v>2.5572641631243336</c:v>
                </c:pt>
                <c:pt idx="423">
                  <c:v>2.4850955716028307</c:v>
                </c:pt>
                <c:pt idx="424">
                  <c:v>2.5314027731674784</c:v>
                </c:pt>
                <c:pt idx="425">
                  <c:v>2.5184916120567085</c:v>
                </c:pt>
                <c:pt idx="426">
                  <c:v>2.5183526361492743</c:v>
                </c:pt>
                <c:pt idx="427">
                  <c:v>2.5253910588263357</c:v>
                </c:pt>
                <c:pt idx="428">
                  <c:v>2.5158895047279004</c:v>
                </c:pt>
                <c:pt idx="429">
                  <c:v>2.5128469909646309</c:v>
                </c:pt>
                <c:pt idx="430">
                  <c:v>2.4370679104202249</c:v>
                </c:pt>
                <c:pt idx="431">
                  <c:v>2.4911041728518697</c:v>
                </c:pt>
                <c:pt idx="432">
                  <c:v>2.5824213443975403</c:v>
                </c:pt>
                <c:pt idx="433">
                  <c:v>2.5072694310743713</c:v>
                </c:pt>
                <c:pt idx="434">
                  <c:v>2.5433245958783943</c:v>
                </c:pt>
                <c:pt idx="435">
                  <c:v>2.5238858928247923</c:v>
                </c:pt>
                <c:pt idx="436">
                  <c:v>2.5471749056552833</c:v>
                </c:pt>
                <c:pt idx="437">
                  <c:v>2.5962472917655592</c:v>
                </c:pt>
                <c:pt idx="438">
                  <c:v>2.5460754112948027</c:v>
                </c:pt>
                <c:pt idx="439">
                  <c:v>2.5460754112948027</c:v>
                </c:pt>
                <c:pt idx="440">
                  <c:v>2.5674306222369476</c:v>
                </c:pt>
                <c:pt idx="441">
                  <c:v>2.5211505310076192</c:v>
                </c:pt>
                <c:pt idx="442">
                  <c:v>2.4989797918350605</c:v>
                </c:pt>
                <c:pt idx="443">
                  <c:v>2.5726639889422018</c:v>
                </c:pt>
                <c:pt idx="444">
                  <c:v>2.5690854403853525</c:v>
                </c:pt>
                <c:pt idx="445">
                  <c:v>2.5355867171130235</c:v>
                </c:pt>
                <c:pt idx="446">
                  <c:v>2.5599414055794325</c:v>
                </c:pt>
                <c:pt idx="447">
                  <c:v>2.5711087102648928</c:v>
                </c:pt>
                <c:pt idx="448">
                  <c:v>2.5879142180528318</c:v>
                </c:pt>
                <c:pt idx="449">
                  <c:v>2.5748980562344599</c:v>
                </c:pt>
                <c:pt idx="450">
                  <c:v>2.5547798339583001</c:v>
                </c:pt>
                <c:pt idx="451">
                  <c:v>2.5006399181009651</c:v>
                </c:pt>
                <c:pt idx="452">
                  <c:v>2.5193848455525805</c:v>
                </c:pt>
                <c:pt idx="453">
                  <c:v>2.5439536159293472</c:v>
                </c:pt>
                <c:pt idx="454">
                  <c:v>2.5547798339583001</c:v>
                </c:pt>
                <c:pt idx="455">
                  <c:v>2.5312447530809821</c:v>
                </c:pt>
                <c:pt idx="456">
                  <c:v>2.5001799935204669</c:v>
                </c:pt>
                <c:pt idx="457">
                  <c:v>2.5853626438084079</c:v>
                </c:pt>
                <c:pt idx="458">
                  <c:v>2.584027863626861</c:v>
                </c:pt>
                <c:pt idx="459">
                  <c:v>2.6299239532731744</c:v>
                </c:pt>
                <c:pt idx="460">
                  <c:v>2.5707780923292467</c:v>
                </c:pt>
                <c:pt idx="461">
                  <c:v>2.5039169315294783</c:v>
                </c:pt>
                <c:pt idx="462">
                  <c:v>2.5518032839543099</c:v>
                </c:pt>
                <c:pt idx="463">
                  <c:v>2.6224606765402605</c:v>
                </c:pt>
                <c:pt idx="464">
                  <c:v>2.5403149411047439</c:v>
                </c:pt>
                <c:pt idx="465">
                  <c:v>2.5045957757690163</c:v>
                </c:pt>
                <c:pt idx="466">
                  <c:v>2.5092827660508887</c:v>
                </c:pt>
                <c:pt idx="467">
                  <c:v>2.5897104085206131</c:v>
                </c:pt>
                <c:pt idx="468">
                  <c:v>2.5144581921360314</c:v>
                </c:pt>
                <c:pt idx="469">
                  <c:v>2.4465894629054543</c:v>
                </c:pt>
                <c:pt idx="470">
                  <c:v>2.5147763320025103</c:v>
                </c:pt>
                <c:pt idx="471">
                  <c:v>2.4200206610688264</c:v>
                </c:pt>
                <c:pt idx="472">
                  <c:v>2.510019920239678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5-48FD-9832-41FA258413D0}"/>
            </c:ext>
          </c:extLst>
        </c:ser>
        <c:ser>
          <c:idx val="22"/>
          <c:order val="1"/>
          <c:tx>
            <c:strRef>
              <c:f>'HT 2017-07-05 BIG JIM'!$S$1</c:f>
              <c:strCache>
                <c:ptCount val="1"/>
                <c:pt idx="0">
                  <c:v>wild-f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JIM'!$S$2:$S$1205</c:f>
              <c:numCache>
                <c:formatCode>General</c:formatCode>
                <c:ptCount val="1204"/>
                <c:pt idx="79">
                  <c:v>2.2495555116511352</c:v>
                </c:pt>
                <c:pt idx="80">
                  <c:v>2.3333452380648687</c:v>
                </c:pt>
                <c:pt idx="81">
                  <c:v>2.3120553626589482</c:v>
                </c:pt>
                <c:pt idx="82">
                  <c:v>2.3413671220037235</c:v>
                </c:pt>
                <c:pt idx="83">
                  <c:v>2.3686494041964079</c:v>
                </c:pt>
                <c:pt idx="84">
                  <c:v>2.2982819670353765</c:v>
                </c:pt>
                <c:pt idx="85">
                  <c:v>2.3908366736354032</c:v>
                </c:pt>
                <c:pt idx="86">
                  <c:v>2.310086578464106</c:v>
                </c:pt>
                <c:pt idx="87">
                  <c:v>2.3872997298202838</c:v>
                </c:pt>
                <c:pt idx="88">
                  <c:v>2.3360008561642269</c:v>
                </c:pt>
                <c:pt idx="89">
                  <c:v>2.3331738040703267</c:v>
                </c:pt>
                <c:pt idx="90">
                  <c:v>2.2881652038259825</c:v>
                </c:pt>
                <c:pt idx="91">
                  <c:v>2.3992707225321612</c:v>
                </c:pt>
                <c:pt idx="92">
                  <c:v>2.2940139493908926</c:v>
                </c:pt>
                <c:pt idx="93">
                  <c:v>2.3638104830971538</c:v>
                </c:pt>
                <c:pt idx="94">
                  <c:v>2.2812277396174192</c:v>
                </c:pt>
                <c:pt idx="95">
                  <c:v>2.3160742647851342</c:v>
                </c:pt>
                <c:pt idx="96">
                  <c:v>2.327101201065394</c:v>
                </c:pt>
                <c:pt idx="97">
                  <c:v>2.3122499864850257</c:v>
                </c:pt>
                <c:pt idx="98">
                  <c:v>2.2594247055390002</c:v>
                </c:pt>
                <c:pt idx="99">
                  <c:v>2.2472205054244232</c:v>
                </c:pt>
                <c:pt idx="100">
                  <c:v>2.2203603311174516</c:v>
                </c:pt>
                <c:pt idx="101">
                  <c:v>2.3307724041613329</c:v>
                </c:pt>
                <c:pt idx="102">
                  <c:v>2.2826519664635692</c:v>
                </c:pt>
                <c:pt idx="103">
                  <c:v>2.2313448859376268</c:v>
                </c:pt>
                <c:pt idx="104">
                  <c:v>2.3150161986474305</c:v>
                </c:pt>
                <c:pt idx="105">
                  <c:v>2.2552383466055201</c:v>
                </c:pt>
                <c:pt idx="106">
                  <c:v>2.3860637040950943</c:v>
                </c:pt>
                <c:pt idx="107">
                  <c:v>2.3193102422918757</c:v>
                </c:pt>
                <c:pt idx="108">
                  <c:v>2.2552383466055201</c:v>
                </c:pt>
                <c:pt idx="109">
                  <c:v>2.3404700382615458</c:v>
                </c:pt>
                <c:pt idx="110">
                  <c:v>2.3084626919229168</c:v>
                </c:pt>
                <c:pt idx="111">
                  <c:v>2.308246087400561</c:v>
                </c:pt>
                <c:pt idx="112">
                  <c:v>2.3138712150852303</c:v>
                </c:pt>
                <c:pt idx="113">
                  <c:v>2.2840534144367117</c:v>
                </c:pt>
                <c:pt idx="114">
                  <c:v>2.276532450899833</c:v>
                </c:pt>
                <c:pt idx="115">
                  <c:v>2.327101201065394</c:v>
                </c:pt>
                <c:pt idx="116">
                  <c:v>2.3424132854814497</c:v>
                </c:pt>
                <c:pt idx="117">
                  <c:v>2.3780033641691931</c:v>
                </c:pt>
                <c:pt idx="118">
                  <c:v>2.4041630560342613</c:v>
                </c:pt>
                <c:pt idx="119">
                  <c:v>2.3259406699226011</c:v>
                </c:pt>
                <c:pt idx="120">
                  <c:v>2.3786130412490385</c:v>
                </c:pt>
                <c:pt idx="121">
                  <c:v>2.2622555116520329</c:v>
                </c:pt>
                <c:pt idx="122">
                  <c:v>2.3360008561642269</c:v>
                </c:pt>
                <c:pt idx="123">
                  <c:v>2.2466196829904255</c:v>
                </c:pt>
                <c:pt idx="124">
                  <c:v>2.300195643852931</c:v>
                </c:pt>
                <c:pt idx="125">
                  <c:v>2.2812277396174192</c:v>
                </c:pt>
                <c:pt idx="126">
                  <c:v>2.2177466041006579</c:v>
                </c:pt>
                <c:pt idx="127">
                  <c:v>2.2240728405337808</c:v>
                </c:pt>
                <c:pt idx="128">
                  <c:v>2.3700210969525148</c:v>
                </c:pt>
                <c:pt idx="129">
                  <c:v>2.3762154784446636</c:v>
                </c:pt>
                <c:pt idx="130">
                  <c:v>2.3541665191740364</c:v>
                </c:pt>
                <c:pt idx="131">
                  <c:v>2.3167218218853987</c:v>
                </c:pt>
                <c:pt idx="132">
                  <c:v>2.2461745257214543</c:v>
                </c:pt>
                <c:pt idx="133">
                  <c:v>2.3952035404115453</c:v>
                </c:pt>
                <c:pt idx="134">
                  <c:v>2.26947130407062</c:v>
                </c:pt>
                <c:pt idx="135">
                  <c:v>2.236604569431083</c:v>
                </c:pt>
                <c:pt idx="136">
                  <c:v>2.3546761985462035</c:v>
                </c:pt>
                <c:pt idx="137">
                  <c:v>2.3576471322061749</c:v>
                </c:pt>
                <c:pt idx="138">
                  <c:v>2.3082460874005615</c:v>
                </c:pt>
                <c:pt idx="139">
                  <c:v>2.3375414434828743</c:v>
                </c:pt>
                <c:pt idx="140">
                  <c:v>2.2182200071228282</c:v>
                </c:pt>
                <c:pt idx="141">
                  <c:v>2.2542404485768595</c:v>
                </c:pt>
                <c:pt idx="142">
                  <c:v>2.3300643767930533</c:v>
                </c:pt>
                <c:pt idx="143">
                  <c:v>2.2624102192131295</c:v>
                </c:pt>
                <c:pt idx="144">
                  <c:v>2.3255106965997814</c:v>
                </c:pt>
                <c:pt idx="145">
                  <c:v>2.2905894437895236</c:v>
                </c:pt>
                <c:pt idx="146">
                  <c:v>2.2184003245582167</c:v>
                </c:pt>
                <c:pt idx="147">
                  <c:v>2.263117319097709</c:v>
                </c:pt>
                <c:pt idx="148">
                  <c:v>2.3702320561497769</c:v>
                </c:pt>
                <c:pt idx="149">
                  <c:v>2.3331095130747723</c:v>
                </c:pt>
                <c:pt idx="150">
                  <c:v>2.2929675095822879</c:v>
                </c:pt>
                <c:pt idx="151">
                  <c:v>2.2729716232280595</c:v>
                </c:pt>
                <c:pt idx="152">
                  <c:v>2.2107012462112561</c:v>
                </c:pt>
                <c:pt idx="153">
                  <c:v>2.3692192806914263</c:v>
                </c:pt>
                <c:pt idx="154">
                  <c:v>2.2123742902140227</c:v>
                </c:pt>
                <c:pt idx="155">
                  <c:v>2.2727076362788066</c:v>
                </c:pt>
                <c:pt idx="156">
                  <c:v>2.2673773395709853</c:v>
                </c:pt>
                <c:pt idx="157">
                  <c:v>2.283527972239447</c:v>
                </c:pt>
                <c:pt idx="158">
                  <c:v>2.300825938657681</c:v>
                </c:pt>
                <c:pt idx="159">
                  <c:v>2.3008259386576815</c:v>
                </c:pt>
                <c:pt idx="160">
                  <c:v>2.2673773395709858</c:v>
                </c:pt>
                <c:pt idx="161">
                  <c:v>2.2303362975121037</c:v>
                </c:pt>
                <c:pt idx="162">
                  <c:v>2.220022522408275</c:v>
                </c:pt>
                <c:pt idx="163">
                  <c:v>2.2029071700822982</c:v>
                </c:pt>
                <c:pt idx="164">
                  <c:v>2.3512762491889379</c:v>
                </c:pt>
                <c:pt idx="165">
                  <c:v>2.2466196829904255</c:v>
                </c:pt>
                <c:pt idx="166">
                  <c:v>2.2636474990598692</c:v>
                </c:pt>
                <c:pt idx="167">
                  <c:v>2.2196396103872353</c:v>
                </c:pt>
                <c:pt idx="168">
                  <c:v>2.2800219297190978</c:v>
                </c:pt>
                <c:pt idx="169">
                  <c:v>2.2202927734873166</c:v>
                </c:pt>
                <c:pt idx="170">
                  <c:v>2.1253235047869774</c:v>
                </c:pt>
                <c:pt idx="171">
                  <c:v>2.1087437018281761</c:v>
                </c:pt>
                <c:pt idx="172">
                  <c:v>2.2536193112413638</c:v>
                </c:pt>
                <c:pt idx="173">
                  <c:v>2.1741205118392126</c:v>
                </c:pt>
                <c:pt idx="174">
                  <c:v>2.2410934831014973</c:v>
                </c:pt>
                <c:pt idx="175">
                  <c:v>2.2853664913969487</c:v>
                </c:pt>
                <c:pt idx="176">
                  <c:v>2.194288039433292</c:v>
                </c:pt>
                <c:pt idx="177">
                  <c:v>2.1609257275528928</c:v>
                </c:pt>
                <c:pt idx="178">
                  <c:v>2.2981731875557161</c:v>
                </c:pt>
                <c:pt idx="179">
                  <c:v>2.1349004660639332</c:v>
                </c:pt>
                <c:pt idx="180">
                  <c:v>2.1947665023869853</c:v>
                </c:pt>
                <c:pt idx="181">
                  <c:v>2.2071927872299693</c:v>
                </c:pt>
                <c:pt idx="182">
                  <c:v>2.2205629916757599</c:v>
                </c:pt>
                <c:pt idx="183">
                  <c:v>2.2271281956816047</c:v>
                </c:pt>
                <c:pt idx="184">
                  <c:v>2.2165288177689004</c:v>
                </c:pt>
                <c:pt idx="185">
                  <c:v>2.2585393509965686</c:v>
                </c:pt>
                <c:pt idx="186">
                  <c:v>2.2503777460684242</c:v>
                </c:pt>
                <c:pt idx="187">
                  <c:v>2.2407588000496617</c:v>
                </c:pt>
                <c:pt idx="188">
                  <c:v>2.2484883811129643</c:v>
                </c:pt>
                <c:pt idx="189">
                  <c:v>2.2077137495608441</c:v>
                </c:pt>
                <c:pt idx="190">
                  <c:v>2.1600462958001621</c:v>
                </c:pt>
                <c:pt idx="191">
                  <c:v>2.2585393509965681</c:v>
                </c:pt>
                <c:pt idx="192">
                  <c:v>2.2155134844996991</c:v>
                </c:pt>
                <c:pt idx="193">
                  <c:v>2.2318154045529837</c:v>
                </c:pt>
                <c:pt idx="194">
                  <c:v>2.1708293346092407</c:v>
                </c:pt>
                <c:pt idx="195">
                  <c:v>2.3020860105565126</c:v>
                </c:pt>
                <c:pt idx="273">
                  <c:v>2.4833847869389873</c:v>
                </c:pt>
                <c:pt idx="274">
                  <c:v>2.5379716310471241</c:v>
                </c:pt>
                <c:pt idx="275">
                  <c:v>2.4387701818744629</c:v>
                </c:pt>
                <c:pt idx="276">
                  <c:v>2.4357750306627248</c:v>
                </c:pt>
                <c:pt idx="277">
                  <c:v>2.4477336456403909</c:v>
                </c:pt>
                <c:pt idx="278">
                  <c:v>2.4175400720567182</c:v>
                </c:pt>
                <c:pt idx="279">
                  <c:v>2.4437675830569483</c:v>
                </c:pt>
                <c:pt idx="280">
                  <c:v>2.4118250351134511</c:v>
                </c:pt>
                <c:pt idx="281">
                  <c:v>2.419462750281558</c:v>
                </c:pt>
                <c:pt idx="282">
                  <c:v>2.4239018131929355</c:v>
                </c:pt>
                <c:pt idx="283">
                  <c:v>2.5119912420229493</c:v>
                </c:pt>
                <c:pt idx="284">
                  <c:v>2.4613004692641653</c:v>
                </c:pt>
                <c:pt idx="285">
                  <c:v>2.4920072231034966</c:v>
                </c:pt>
                <c:pt idx="286">
                  <c:v>2.3854978516024699</c:v>
                </c:pt>
                <c:pt idx="287">
                  <c:v>2.4424782496472717</c:v>
                </c:pt>
                <c:pt idx="288">
                  <c:v>2.4709512338368804</c:v>
                </c:pt>
                <c:pt idx="289">
                  <c:v>2.4186773244895652</c:v>
                </c:pt>
                <c:pt idx="290">
                  <c:v>2.3671290628100534</c:v>
                </c:pt>
                <c:pt idx="291">
                  <c:v>2.426272861819132</c:v>
                </c:pt>
                <c:pt idx="292">
                  <c:v>2.4831028975860021</c:v>
                </c:pt>
                <c:pt idx="293">
                  <c:v>2.4257163890281981</c:v>
                </c:pt>
                <c:pt idx="294">
                  <c:v>2.4581497106563708</c:v>
                </c:pt>
                <c:pt idx="295">
                  <c:v>2.5092827660508887</c:v>
                </c:pt>
                <c:pt idx="296">
                  <c:v>2.517935662402834</c:v>
                </c:pt>
                <c:pt idx="297">
                  <c:v>2.4147256572952549</c:v>
                </c:pt>
                <c:pt idx="298">
                  <c:v>2.4604471138392712</c:v>
                </c:pt>
                <c:pt idx="299">
                  <c:v>2.3977697971239862</c:v>
                </c:pt>
                <c:pt idx="300">
                  <c:v>2.4804031930313264</c:v>
                </c:pt>
                <c:pt idx="301">
                  <c:v>2.5019192632856884</c:v>
                </c:pt>
                <c:pt idx="302">
                  <c:v>2.4973586046060743</c:v>
                </c:pt>
                <c:pt idx="303">
                  <c:v>2.4020824298928627</c:v>
                </c:pt>
                <c:pt idx="304">
                  <c:v>2.4689471440271866</c:v>
                </c:pt>
                <c:pt idx="305">
                  <c:v>2.429897117163605</c:v>
                </c:pt>
                <c:pt idx="306">
                  <c:v>2.491304878974069</c:v>
                </c:pt>
                <c:pt idx="307">
                  <c:v>2.4686838598735159</c:v>
                </c:pt>
                <c:pt idx="308">
                  <c:v>2.4633310780323461</c:v>
                </c:pt>
                <c:pt idx="309">
                  <c:v>2.4341733709824367</c:v>
                </c:pt>
                <c:pt idx="310">
                  <c:v>2.4352823244954576</c:v>
                </c:pt>
                <c:pt idx="311">
                  <c:v>2.4166091947189146</c:v>
                </c:pt>
                <c:pt idx="312">
                  <c:v>2.4078413569004082</c:v>
                </c:pt>
                <c:pt idx="313">
                  <c:v>2.3409613409879286</c:v>
                </c:pt>
                <c:pt idx="314">
                  <c:v>2.4274472187876714</c:v>
                </c:pt>
                <c:pt idx="315">
                  <c:v>2.4473863609981974</c:v>
                </c:pt>
                <c:pt idx="316">
                  <c:v>2.5241434190631882</c:v>
                </c:pt>
                <c:pt idx="317">
                  <c:v>2.49899979991996</c:v>
                </c:pt>
                <c:pt idx="318">
                  <c:v>2.4440130932546169</c:v>
                </c:pt>
                <c:pt idx="319">
                  <c:v>2.4869660230891775</c:v>
                </c:pt>
                <c:pt idx="320">
                  <c:v>2.5019192632856884</c:v>
                </c:pt>
                <c:pt idx="321">
                  <c:v>2.4795160818191921</c:v>
                </c:pt>
                <c:pt idx="322">
                  <c:v>2.470080970332754</c:v>
                </c:pt>
                <c:pt idx="323">
                  <c:v>2.4689471440271866</c:v>
                </c:pt>
                <c:pt idx="324">
                  <c:v>2.43232399157678</c:v>
                </c:pt>
                <c:pt idx="325">
                  <c:v>2.3930106560565085</c:v>
                </c:pt>
                <c:pt idx="326">
                  <c:v>2.4147256572952549</c:v>
                </c:pt>
                <c:pt idx="327">
                  <c:v>2.3259406699226011</c:v>
                </c:pt>
                <c:pt idx="328">
                  <c:v>2.4226638231500468</c:v>
                </c:pt>
                <c:pt idx="329">
                  <c:v>2.4062626623043464</c:v>
                </c:pt>
                <c:pt idx="330">
                  <c:v>2.3837994882120435</c:v>
                </c:pt>
                <c:pt idx="331">
                  <c:v>2.4524681445433703</c:v>
                </c:pt>
                <c:pt idx="332">
                  <c:v>2.4645689278249048</c:v>
                </c:pt>
                <c:pt idx="333">
                  <c:v>2.4242318370980938</c:v>
                </c:pt>
                <c:pt idx="334">
                  <c:v>2.4880916381837705</c:v>
                </c:pt>
                <c:pt idx="335">
                  <c:v>2.3881373494839027</c:v>
                </c:pt>
                <c:pt idx="336">
                  <c:v>2.4018534509832192</c:v>
                </c:pt>
                <c:pt idx="337">
                  <c:v>2.4449948875202172</c:v>
                </c:pt>
                <c:pt idx="338">
                  <c:v>2.5147763320025107</c:v>
                </c:pt>
                <c:pt idx="339">
                  <c:v>2.4377243486497813</c:v>
                </c:pt>
                <c:pt idx="340">
                  <c:v>2.3537204591879641</c:v>
                </c:pt>
                <c:pt idx="341">
                  <c:v>2.4420483205702546</c:v>
                </c:pt>
                <c:pt idx="342">
                  <c:v>2.5026585863836881</c:v>
                </c:pt>
                <c:pt idx="343">
                  <c:v>2.3942639787625759</c:v>
                </c:pt>
                <c:pt idx="344">
                  <c:v>2.4973586046060747</c:v>
                </c:pt>
                <c:pt idx="345">
                  <c:v>2.3728674636397202</c:v>
                </c:pt>
                <c:pt idx="346">
                  <c:v>2.4105808428675441</c:v>
                </c:pt>
                <c:pt idx="347">
                  <c:v>2.3847222060441338</c:v>
                </c:pt>
                <c:pt idx="348">
                  <c:v>2.4520399670478454</c:v>
                </c:pt>
                <c:pt idx="349">
                  <c:v>2.4687648733729177</c:v>
                </c:pt>
                <c:pt idx="350">
                  <c:v>2.3713498265755728</c:v>
                </c:pt>
                <c:pt idx="351">
                  <c:v>2.4166091947189146</c:v>
                </c:pt>
                <c:pt idx="352">
                  <c:v>2.4798790293076798</c:v>
                </c:pt>
                <c:pt idx="353">
                  <c:v>2.4301646034785378</c:v>
                </c:pt>
                <c:pt idx="354">
                  <c:v>2.4439517180173591</c:v>
                </c:pt>
                <c:pt idx="355">
                  <c:v>2.3085276693165282</c:v>
                </c:pt>
                <c:pt idx="356">
                  <c:v>2.4644877763949244</c:v>
                </c:pt>
                <c:pt idx="357">
                  <c:v>2.3754157530840785</c:v>
                </c:pt>
                <c:pt idx="358">
                  <c:v>2.346912865872953</c:v>
                </c:pt>
                <c:pt idx="359">
                  <c:v>2.4500000000000002</c:v>
                </c:pt>
                <c:pt idx="360">
                  <c:v>2.4311519903124119</c:v>
                </c:pt>
                <c:pt idx="361">
                  <c:v>2.3120986138138657</c:v>
                </c:pt>
                <c:pt idx="362">
                  <c:v>2.3394016328967542</c:v>
                </c:pt>
                <c:pt idx="363">
                  <c:v>2.542380773999048</c:v>
                </c:pt>
                <c:pt idx="364">
                  <c:v>2.4085265205099984</c:v>
                </c:pt>
                <c:pt idx="365">
                  <c:v>2.4008540147205952</c:v>
                </c:pt>
                <c:pt idx="366">
                  <c:v>2.5249158401816092</c:v>
                </c:pt>
                <c:pt idx="367">
                  <c:v>2.3914012628582433</c:v>
                </c:pt>
                <c:pt idx="368">
                  <c:v>2.4212806528777282</c:v>
                </c:pt>
                <c:pt idx="369">
                  <c:v>2.4480400323524125</c:v>
                </c:pt>
                <c:pt idx="370">
                  <c:v>2.5145377308761945</c:v>
                </c:pt>
                <c:pt idx="371">
                  <c:v>2.358664876577425</c:v>
                </c:pt>
                <c:pt idx="372">
                  <c:v>2.3995416228938393</c:v>
                </c:pt>
                <c:pt idx="373">
                  <c:v>2.4318717071424638</c:v>
                </c:pt>
                <c:pt idx="374">
                  <c:v>2.3120553626589482</c:v>
                </c:pt>
                <c:pt idx="375">
                  <c:v>2.3653540961133075</c:v>
                </c:pt>
                <c:pt idx="376">
                  <c:v>2.2998478210525151</c:v>
                </c:pt>
                <c:pt idx="377">
                  <c:v>2.3769728648009427</c:v>
                </c:pt>
                <c:pt idx="378">
                  <c:v>2.3097185975785015</c:v>
                </c:pt>
                <c:pt idx="379">
                  <c:v>2.2821262015935928</c:v>
                </c:pt>
                <c:pt idx="380">
                  <c:v>2.4206197553519222</c:v>
                </c:pt>
                <c:pt idx="381">
                  <c:v>2.3097185975785015</c:v>
                </c:pt>
                <c:pt idx="382">
                  <c:v>2.4340295807569801</c:v>
                </c:pt>
                <c:pt idx="383">
                  <c:v>2.3564804263986581</c:v>
                </c:pt>
                <c:pt idx="384">
                  <c:v>2.4047037239543672</c:v>
                </c:pt>
                <c:pt idx="385">
                  <c:v>2.4422940035957996</c:v>
                </c:pt>
                <c:pt idx="386">
                  <c:v>2.2722015755649854</c:v>
                </c:pt>
                <c:pt idx="387">
                  <c:v>2.3415593095200471</c:v>
                </c:pt>
                <c:pt idx="388">
                  <c:v>2.3569683918118209</c:v>
                </c:pt>
                <c:pt idx="389">
                  <c:v>2.3355513267749011</c:v>
                </c:pt>
                <c:pt idx="390">
                  <c:v>2.3152537657889685</c:v>
                </c:pt>
                <c:pt idx="391">
                  <c:v>2.3566925976885487</c:v>
                </c:pt>
                <c:pt idx="392">
                  <c:v>2.3759208741033442</c:v>
                </c:pt>
                <c:pt idx="393">
                  <c:v>2.3815961034566713</c:v>
                </c:pt>
                <c:pt idx="473">
                  <c:v>2.5494509212769718</c:v>
                </c:pt>
                <c:pt idx="474">
                  <c:v>2.5147763320025103</c:v>
                </c:pt>
                <c:pt idx="475">
                  <c:v>2.5601953050499877</c:v>
                </c:pt>
                <c:pt idx="476">
                  <c:v>2.6670020622414223</c:v>
                </c:pt>
                <c:pt idx="477">
                  <c:v>2.6532432983049259</c:v>
                </c:pt>
                <c:pt idx="478">
                  <c:v>2.5188290930509756</c:v>
                </c:pt>
                <c:pt idx="479">
                  <c:v>2.5292291315734921</c:v>
                </c:pt>
                <c:pt idx="480">
                  <c:v>2.5059928172283334</c:v>
                </c:pt>
                <c:pt idx="481">
                  <c:v>2.5536836139193126</c:v>
                </c:pt>
                <c:pt idx="482">
                  <c:v>2.6016341018675164</c:v>
                </c:pt>
                <c:pt idx="483">
                  <c:v>2.6564638149238924</c:v>
                </c:pt>
                <c:pt idx="484">
                  <c:v>2.6513770007299979</c:v>
                </c:pt>
                <c:pt idx="485">
                  <c:v>2.5895559464896678</c:v>
                </c:pt>
                <c:pt idx="486">
                  <c:v>2.7220764133286188</c:v>
                </c:pt>
                <c:pt idx="487">
                  <c:v>2.5437374078312405</c:v>
                </c:pt>
                <c:pt idx="488">
                  <c:v>2.6102107194630859</c:v>
                </c:pt>
                <c:pt idx="489">
                  <c:v>2.5935689695861184</c:v>
                </c:pt>
                <c:pt idx="490">
                  <c:v>2.5457808232446091</c:v>
                </c:pt>
                <c:pt idx="491">
                  <c:v>2.5352711886502401</c:v>
                </c:pt>
                <c:pt idx="492">
                  <c:v>2.6172504656604798</c:v>
                </c:pt>
                <c:pt idx="493">
                  <c:v>2.6629307163349178</c:v>
                </c:pt>
                <c:pt idx="494">
                  <c:v>2.5079872407968904</c:v>
                </c:pt>
                <c:pt idx="495">
                  <c:v>2.6102107194630859</c:v>
                </c:pt>
                <c:pt idx="496">
                  <c:v>2.5515681452785071</c:v>
                </c:pt>
                <c:pt idx="497">
                  <c:v>2.5026585863836881</c:v>
                </c:pt>
                <c:pt idx="498">
                  <c:v>2.6332679316772909</c:v>
                </c:pt>
                <c:pt idx="499">
                  <c:v>2.5516269319788893</c:v>
                </c:pt>
                <c:pt idx="500">
                  <c:v>2.5899034731047412</c:v>
                </c:pt>
                <c:pt idx="501">
                  <c:v>2.5073093147834791</c:v>
                </c:pt>
                <c:pt idx="502">
                  <c:v>2.5949373788205374</c:v>
                </c:pt>
                <c:pt idx="503">
                  <c:v>2.6840454541605663</c:v>
                </c:pt>
                <c:pt idx="504">
                  <c:v>2.619255619446105</c:v>
                </c:pt>
                <c:pt idx="505">
                  <c:v>2.5428330656966063</c:v>
                </c:pt>
                <c:pt idx="506">
                  <c:v>2.6046496885377888</c:v>
                </c:pt>
                <c:pt idx="507">
                  <c:v>2.5267568145747621</c:v>
                </c:pt>
                <c:pt idx="508">
                  <c:v>2.4709512338368804</c:v>
                </c:pt>
                <c:pt idx="509">
                  <c:v>2.6043233286210836</c:v>
                </c:pt>
                <c:pt idx="510">
                  <c:v>2.5451522547776979</c:v>
                </c:pt>
                <c:pt idx="511">
                  <c:v>2.581259382549534</c:v>
                </c:pt>
                <c:pt idx="512">
                  <c:v>2.5280031645549816</c:v>
                </c:pt>
                <c:pt idx="513">
                  <c:v>2.6565579233286067</c:v>
                </c:pt>
                <c:pt idx="514">
                  <c:v>2.6225560051217207</c:v>
                </c:pt>
                <c:pt idx="515">
                  <c:v>2.5515681452785071</c:v>
                </c:pt>
                <c:pt idx="516">
                  <c:v>2.5347583711273156</c:v>
                </c:pt>
                <c:pt idx="517">
                  <c:v>2.5341073379002714</c:v>
                </c:pt>
                <c:pt idx="518">
                  <c:v>2.5350542400508909</c:v>
                </c:pt>
                <c:pt idx="519">
                  <c:v>2.5536836139193126</c:v>
                </c:pt>
                <c:pt idx="520">
                  <c:v>2.4560537453402764</c:v>
                </c:pt>
                <c:pt idx="521">
                  <c:v>2.6050911692299756</c:v>
                </c:pt>
                <c:pt idx="522">
                  <c:v>2.5179356624028344</c:v>
                </c:pt>
                <c:pt idx="523">
                  <c:v>2.6239092972128439</c:v>
                </c:pt>
                <c:pt idx="524">
                  <c:v>2.522320360303187</c:v>
                </c:pt>
                <c:pt idx="525">
                  <c:v>2.6153584840323516</c:v>
                </c:pt>
                <c:pt idx="526">
                  <c:v>2.5556603843233945</c:v>
                </c:pt>
                <c:pt idx="527">
                  <c:v>2.5133443854752575</c:v>
                </c:pt>
                <c:pt idx="528">
                  <c:v>2.6436716891475007</c:v>
                </c:pt>
                <c:pt idx="529">
                  <c:v>2.5366316248127161</c:v>
                </c:pt>
                <c:pt idx="530">
                  <c:v>2.6109385285755007</c:v>
                </c:pt>
                <c:pt idx="531">
                  <c:v>2.5988074187980916</c:v>
                </c:pt>
                <c:pt idx="532">
                  <c:v>2.5283393759541064</c:v>
                </c:pt>
                <c:pt idx="533">
                  <c:v>2.5292291315734921</c:v>
                </c:pt>
                <c:pt idx="534">
                  <c:v>2.4720234626718254</c:v>
                </c:pt>
                <c:pt idx="535">
                  <c:v>2.5741989045137905</c:v>
                </c:pt>
                <c:pt idx="536">
                  <c:v>2.5800775182152957</c:v>
                </c:pt>
                <c:pt idx="537">
                  <c:v>2.5524889813670106</c:v>
                </c:pt>
                <c:pt idx="538">
                  <c:v>2.6330400680582131</c:v>
                </c:pt>
                <c:pt idx="539">
                  <c:v>2.4605893602956184</c:v>
                </c:pt>
                <c:pt idx="540">
                  <c:v>2.5916982849089516</c:v>
                </c:pt>
                <c:pt idx="541">
                  <c:v>2.5292291315734921</c:v>
                </c:pt>
                <c:pt idx="542">
                  <c:v>2.6284025566872358</c:v>
                </c:pt>
                <c:pt idx="543">
                  <c:v>2.5316002844051031</c:v>
                </c:pt>
                <c:pt idx="544">
                  <c:v>2.5537815098398688</c:v>
                </c:pt>
                <c:pt idx="545">
                  <c:v>2.4935316320431955</c:v>
                </c:pt>
                <c:pt idx="546">
                  <c:v>2.5633766793040778</c:v>
                </c:pt>
                <c:pt idx="547">
                  <c:v>2.4742675683927153</c:v>
                </c:pt>
                <c:pt idx="548">
                  <c:v>2.5294465797877606</c:v>
                </c:pt>
                <c:pt idx="549">
                  <c:v>2.5556603843233945</c:v>
                </c:pt>
                <c:pt idx="550">
                  <c:v>2.4696963376091401</c:v>
                </c:pt>
                <c:pt idx="551">
                  <c:v>2.5879142180528318</c:v>
                </c:pt>
                <c:pt idx="552">
                  <c:v>2.5694357357209774</c:v>
                </c:pt>
                <c:pt idx="553">
                  <c:v>2.4404302899283969</c:v>
                </c:pt>
                <c:pt idx="554">
                  <c:v>2.4520399670478459</c:v>
                </c:pt>
                <c:pt idx="555">
                  <c:v>2.6035744659986202</c:v>
                </c:pt>
                <c:pt idx="556">
                  <c:v>2.5656188337319321</c:v>
                </c:pt>
                <c:pt idx="557">
                  <c:v>2.5526456863419176</c:v>
                </c:pt>
                <c:pt idx="558">
                  <c:v>2.4742675683927149</c:v>
                </c:pt>
                <c:pt idx="559">
                  <c:v>2.5026585863836881</c:v>
                </c:pt>
                <c:pt idx="560">
                  <c:v>2.5794766911139164</c:v>
                </c:pt>
                <c:pt idx="561">
                  <c:v>2.5849564793241684</c:v>
                </c:pt>
                <c:pt idx="562">
                  <c:v>2.5107767722360346</c:v>
                </c:pt>
                <c:pt idx="563">
                  <c:v>2.4992999019725506</c:v>
                </c:pt>
                <c:pt idx="564">
                  <c:v>2.5156311335328949</c:v>
                </c:pt>
                <c:pt idx="565">
                  <c:v>2.5347583711273152</c:v>
                </c:pt>
                <c:pt idx="566">
                  <c:v>2.6076809620810595</c:v>
                </c:pt>
                <c:pt idx="567">
                  <c:v>2.5452701231892854</c:v>
                </c:pt>
                <c:pt idx="568">
                  <c:v>2.6034592372457075</c:v>
                </c:pt>
                <c:pt idx="569">
                  <c:v>2.6102107194630855</c:v>
                </c:pt>
                <c:pt idx="570">
                  <c:v>2.5715753926338616</c:v>
                </c:pt>
                <c:pt idx="571">
                  <c:v>2.5020391683584813</c:v>
                </c:pt>
                <c:pt idx="572">
                  <c:v>2.4285386552410482</c:v>
                </c:pt>
                <c:pt idx="573">
                  <c:v>2.5489213404889526</c:v>
                </c:pt>
                <c:pt idx="574">
                  <c:v>2.4577225229874915</c:v>
                </c:pt>
                <c:pt idx="575">
                  <c:v>2.5489213404889526</c:v>
                </c:pt>
                <c:pt idx="576">
                  <c:v>2.4987396823198691</c:v>
                </c:pt>
                <c:pt idx="577">
                  <c:v>2.5536836139193122</c:v>
                </c:pt>
                <c:pt idx="578">
                  <c:v>2.5599414055794325</c:v>
                </c:pt>
                <c:pt idx="579">
                  <c:v>2.4602845363900494</c:v>
                </c:pt>
                <c:pt idx="580">
                  <c:v>2.5439536159293472</c:v>
                </c:pt>
                <c:pt idx="581">
                  <c:v>2.5366316248127165</c:v>
                </c:pt>
                <c:pt idx="582">
                  <c:v>2.520495982936692</c:v>
                </c:pt>
                <c:pt idx="583">
                  <c:v>2.4920874784003875</c:v>
                </c:pt>
                <c:pt idx="584">
                  <c:v>2.5992498917957079</c:v>
                </c:pt>
                <c:pt idx="585">
                  <c:v>2.5072694310743713</c:v>
                </c:pt>
                <c:pt idx="586">
                  <c:v>2.5451522547776979</c:v>
                </c:pt>
                <c:pt idx="587">
                  <c:v>2.411514047232568</c:v>
                </c:pt>
                <c:pt idx="588">
                  <c:v>2.4935917869611295</c:v>
                </c:pt>
                <c:pt idx="589">
                  <c:v>2.4541597340026584</c:v>
                </c:pt>
                <c:pt idx="590">
                  <c:v>2.4581497106563708</c:v>
                </c:pt>
                <c:pt idx="591">
                  <c:v>2.4473863609981974</c:v>
                </c:pt>
                <c:pt idx="592">
                  <c:v>2.4214252001662162</c:v>
                </c:pt>
                <c:pt idx="593">
                  <c:v>2.5266974492408067</c:v>
                </c:pt>
                <c:pt idx="594">
                  <c:v>2.3434376458527764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E5-48FD-9832-41FA25841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976176"/>
        <c:axId val="300975784"/>
      </c:scatterChart>
      <c:valAx>
        <c:axId val="300976176"/>
        <c:scaling>
          <c:orientation val="minMax"/>
          <c:max val="1.4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THORAX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75784"/>
        <c:crosses val="autoZero"/>
        <c:crossBetween val="midCat"/>
        <c:majorUnit val="0.1"/>
      </c:valAx>
      <c:valAx>
        <c:axId val="300975784"/>
        <c:scaling>
          <c:orientation val="minMax"/>
          <c:max val="3.1"/>
          <c:min val="1.7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WING</a:t>
                </a:r>
                <a:r>
                  <a:rPr lang="en-US" sz="2000" b="1" baseline="0"/>
                  <a:t> </a:t>
                </a:r>
                <a:r>
                  <a:rPr lang="en-US" sz="2000" b="1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76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WING LENGTH VS THORAX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959413214743155"/>
          <c:y val="6.1460541594815316E-2"/>
          <c:w val="0.56989691596365177"/>
          <c:h val="0.71694041787804497"/>
        </c:manualLayout>
      </c:layout>
      <c:scatterChart>
        <c:scatterStyle val="lineMarker"/>
        <c:varyColors val="0"/>
        <c:ser>
          <c:idx val="20"/>
          <c:order val="0"/>
          <c:tx>
            <c:strRef>
              <c:f>'HT 2017-07-05 BIG JIM'!$P$1</c:f>
              <c:strCache>
                <c:ptCount val="1"/>
                <c:pt idx="0">
                  <c:v>wild-m</c:v>
                </c:pt>
              </c:strCache>
            </c:strRef>
          </c:tx>
          <c:spPr>
            <a:ln w="19050" cap="rnd" cmpd="sng" algn="ctr">
              <a:noFill/>
              <a:prstDash val="dash"/>
              <a:round/>
            </a:ln>
          </c:spPr>
          <c:marker>
            <c:symbol val="circle"/>
            <c:size val="3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JIM'!$P$2:$P$1205</c:f>
              <c:numCache>
                <c:formatCode>General</c:formatCode>
                <c:ptCount val="1204"/>
                <c:pt idx="680">
                  <c:v>1.9636954957426571</c:v>
                </c:pt>
                <c:pt idx="681">
                  <c:v>1.94982050455933</c:v>
                </c:pt>
                <c:pt idx="682">
                  <c:v>2.0385534086699812</c:v>
                </c:pt>
                <c:pt idx="683">
                  <c:v>2.0255616505058542</c:v>
                </c:pt>
                <c:pt idx="684">
                  <c:v>2.0392400545301181</c:v>
                </c:pt>
                <c:pt idx="685">
                  <c:v>2.0620620747203513</c:v>
                </c:pt>
                <c:pt idx="686">
                  <c:v>1.9697715603592212</c:v>
                </c:pt>
                <c:pt idx="687">
                  <c:v>1.9720294115453754</c:v>
                </c:pt>
                <c:pt idx="688">
                  <c:v>1.9469976887505542</c:v>
                </c:pt>
                <c:pt idx="689">
                  <c:v>1.9921094347449892</c:v>
                </c:pt>
                <c:pt idx="690">
                  <c:v>1.9720294115453754</c:v>
                </c:pt>
                <c:pt idx="691">
                  <c:v>2.0615528128088298</c:v>
                </c:pt>
                <c:pt idx="692">
                  <c:v>1.9725364381932211</c:v>
                </c:pt>
                <c:pt idx="693">
                  <c:v>1.9588772294352701</c:v>
                </c:pt>
                <c:pt idx="694">
                  <c:v>2.0498048687619024</c:v>
                </c:pt>
                <c:pt idx="695">
                  <c:v>2.0448227307030797</c:v>
                </c:pt>
                <c:pt idx="696">
                  <c:v>1.9473315074737534</c:v>
                </c:pt>
                <c:pt idx="697">
                  <c:v>2.0357062656483622</c:v>
                </c:pt>
                <c:pt idx="698">
                  <c:v>2.0171762441591463</c:v>
                </c:pt>
                <c:pt idx="699">
                  <c:v>2.0235859260234048</c:v>
                </c:pt>
                <c:pt idx="700">
                  <c:v>1.9961963831246663</c:v>
                </c:pt>
                <c:pt idx="701">
                  <c:v>1.915097908724251</c:v>
                </c:pt>
                <c:pt idx="702">
                  <c:v>2.0706762180505187</c:v>
                </c:pt>
                <c:pt idx="703">
                  <c:v>1.9089525923919639</c:v>
                </c:pt>
                <c:pt idx="704">
                  <c:v>1.9664434901618708</c:v>
                </c:pt>
                <c:pt idx="705">
                  <c:v>2.0412986062798359</c:v>
                </c:pt>
                <c:pt idx="706">
                  <c:v>1.9991248085099642</c:v>
                </c:pt>
                <c:pt idx="707">
                  <c:v>1.9620907216538179</c:v>
                </c:pt>
                <c:pt idx="708">
                  <c:v>1.9960210419732554</c:v>
                </c:pt>
                <c:pt idx="709">
                  <c:v>1.969771560359221</c:v>
                </c:pt>
                <c:pt idx="710">
                  <c:v>1.9789138435010252</c:v>
                </c:pt>
                <c:pt idx="711">
                  <c:v>2.0155644370746373</c:v>
                </c:pt>
                <c:pt idx="712">
                  <c:v>2.049414550548522</c:v>
                </c:pt>
                <c:pt idx="713">
                  <c:v>2.0264747716169573</c:v>
                </c:pt>
                <c:pt idx="714">
                  <c:v>2.0317726250739767</c:v>
                </c:pt>
                <c:pt idx="715">
                  <c:v>2.005243127403757</c:v>
                </c:pt>
                <c:pt idx="716">
                  <c:v>1.9448650338776725</c:v>
                </c:pt>
                <c:pt idx="717">
                  <c:v>2.006389792637512</c:v>
                </c:pt>
                <c:pt idx="718">
                  <c:v>1.9190883252211188</c:v>
                </c:pt>
                <c:pt idx="719">
                  <c:v>1.9824479816630751</c:v>
                </c:pt>
                <c:pt idx="720">
                  <c:v>1.9490510511528425</c:v>
                </c:pt>
                <c:pt idx="721">
                  <c:v>2.078701517774979</c:v>
                </c:pt>
                <c:pt idx="722">
                  <c:v>2.0172506041639942</c:v>
                </c:pt>
                <c:pt idx="723">
                  <c:v>2.0185390756683406</c:v>
                </c:pt>
                <c:pt idx="724">
                  <c:v>2.0135789033459801</c:v>
                </c:pt>
                <c:pt idx="725">
                  <c:v>2.0931316251014889</c:v>
                </c:pt>
                <c:pt idx="726">
                  <c:v>2.0140506448448607</c:v>
                </c:pt>
                <c:pt idx="727">
                  <c:v>1.9729419656948861</c:v>
                </c:pt>
                <c:pt idx="728">
                  <c:v>2.0110942295178513</c:v>
                </c:pt>
                <c:pt idx="729">
                  <c:v>1.9924858845171274</c:v>
                </c:pt>
                <c:pt idx="730">
                  <c:v>1.9592090240706836</c:v>
                </c:pt>
                <c:pt idx="731">
                  <c:v>1.9455076458343721</c:v>
                </c:pt>
                <c:pt idx="732">
                  <c:v>1.9688829320200831</c:v>
                </c:pt>
                <c:pt idx="733">
                  <c:v>2.0353869410998984</c:v>
                </c:pt>
                <c:pt idx="734">
                  <c:v>2.0024235316236174</c:v>
                </c:pt>
                <c:pt idx="735">
                  <c:v>2.0573040611440985</c:v>
                </c:pt>
                <c:pt idx="736">
                  <c:v>1.9184629264074926</c:v>
                </c:pt>
                <c:pt idx="737">
                  <c:v>2.0483407919582133</c:v>
                </c:pt>
                <c:pt idx="738">
                  <c:v>1.9784084512557059</c:v>
                </c:pt>
                <c:pt idx="739">
                  <c:v>1.9921094347449895</c:v>
                </c:pt>
                <c:pt idx="740">
                  <c:v>1.9577793542685038</c:v>
                </c:pt>
                <c:pt idx="741">
                  <c:v>1.9642046736529264</c:v>
                </c:pt>
                <c:pt idx="742">
                  <c:v>1.9808079159777203</c:v>
                </c:pt>
                <c:pt idx="743">
                  <c:v>1.9444536507718562</c:v>
                </c:pt>
                <c:pt idx="744">
                  <c:v>1.9990497742677644</c:v>
                </c:pt>
                <c:pt idx="745">
                  <c:v>1.927200041511</c:v>
                </c:pt>
                <c:pt idx="746">
                  <c:v>1.9581624038878902</c:v>
                </c:pt>
                <c:pt idx="747">
                  <c:v>1.9928873525616042</c:v>
                </c:pt>
                <c:pt idx="748">
                  <c:v>1.9991248085099638</c:v>
                </c:pt>
                <c:pt idx="749">
                  <c:v>1.9642046736529262</c:v>
                </c:pt>
                <c:pt idx="750">
                  <c:v>2.0125854019146616</c:v>
                </c:pt>
                <c:pt idx="751">
                  <c:v>2.0169531476958014</c:v>
                </c:pt>
                <c:pt idx="752">
                  <c:v>1.9859506539690257</c:v>
                </c:pt>
                <c:pt idx="753">
                  <c:v>1.9747404892795408</c:v>
                </c:pt>
                <c:pt idx="754">
                  <c:v>1.9588006534611941</c:v>
                </c:pt>
                <c:pt idx="755">
                  <c:v>2.0035218990567585</c:v>
                </c:pt>
                <c:pt idx="756">
                  <c:v>1.9617339269126179</c:v>
                </c:pt>
                <c:pt idx="757">
                  <c:v>1.9777259668619414</c:v>
                </c:pt>
                <c:pt idx="758">
                  <c:v>1.9394071259021404</c:v>
                </c:pt>
                <c:pt idx="759">
                  <c:v>1.9384787850270633</c:v>
                </c:pt>
                <c:pt idx="760">
                  <c:v>1.9359752064528102</c:v>
                </c:pt>
                <c:pt idx="761">
                  <c:v>1.8983413813115912</c:v>
                </c:pt>
                <c:pt idx="762">
                  <c:v>1.8601075237738274</c:v>
                </c:pt>
                <c:pt idx="763">
                  <c:v>1.9578048932414078</c:v>
                </c:pt>
                <c:pt idx="764">
                  <c:v>1.8993156662334989</c:v>
                </c:pt>
                <c:pt idx="765">
                  <c:v>1.954328529188478</c:v>
                </c:pt>
                <c:pt idx="766">
                  <c:v>1.9453791404248171</c:v>
                </c:pt>
                <c:pt idx="767">
                  <c:v>1.9003157632351526</c:v>
                </c:pt>
                <c:pt idx="768">
                  <c:v>1.9577793542685038</c:v>
                </c:pt>
                <c:pt idx="769">
                  <c:v>1.9192967462067974</c:v>
                </c:pt>
                <c:pt idx="770">
                  <c:v>2.0024235316236174</c:v>
                </c:pt>
                <c:pt idx="771">
                  <c:v>1.9043371550227128</c:v>
                </c:pt>
                <c:pt idx="772">
                  <c:v>1.8693581786270921</c:v>
                </c:pt>
                <c:pt idx="773">
                  <c:v>1.9374467734624348</c:v>
                </c:pt>
                <c:pt idx="774">
                  <c:v>1.946535383701</c:v>
                </c:pt>
                <c:pt idx="775">
                  <c:v>1.8656098198712399</c:v>
                </c:pt>
                <c:pt idx="776">
                  <c:v>1.9544052803858265</c:v>
                </c:pt>
                <c:pt idx="777">
                  <c:v>1.9553260597659921</c:v>
                </c:pt>
                <c:pt idx="778">
                  <c:v>1.9018412131405713</c:v>
                </c:pt>
                <c:pt idx="779">
                  <c:v>1.9365174928205531</c:v>
                </c:pt>
                <c:pt idx="780">
                  <c:v>1.9876870981117727</c:v>
                </c:pt>
                <c:pt idx="781">
                  <c:v>1.8493782739072071</c:v>
                </c:pt>
                <c:pt idx="782">
                  <c:v>1.9293781381574737</c:v>
                </c:pt>
                <c:pt idx="783">
                  <c:v>1.8783237207680681</c:v>
                </c:pt>
                <c:pt idx="784">
                  <c:v>1.9312690128513945</c:v>
                </c:pt>
                <c:pt idx="785">
                  <c:v>1.9112822920751398</c:v>
                </c:pt>
                <c:pt idx="786">
                  <c:v>1.8917980864775183</c:v>
                </c:pt>
                <c:pt idx="787">
                  <c:v>1.8874321179846445</c:v>
                </c:pt>
                <c:pt idx="788">
                  <c:v>1.9544052803858265</c:v>
                </c:pt>
                <c:pt idx="789">
                  <c:v>1.800999722376436</c:v>
                </c:pt>
                <c:pt idx="790">
                  <c:v>1.8383960400305477</c:v>
                </c:pt>
                <c:pt idx="791">
                  <c:v>1.9166898549321951</c:v>
                </c:pt>
                <c:pt idx="792">
                  <c:v>1.9159592897553954</c:v>
                </c:pt>
                <c:pt idx="793">
                  <c:v>1.9119100397246727</c:v>
                </c:pt>
                <c:pt idx="794">
                  <c:v>1.8788294228055935</c:v>
                </c:pt>
                <c:pt idx="795">
                  <c:v>1.9436306233438494</c:v>
                </c:pt>
                <c:pt idx="796">
                  <c:v>1.8213182039391143</c:v>
                </c:pt>
                <c:pt idx="797">
                  <c:v>1.8828170383762728</c:v>
                </c:pt>
                <c:pt idx="879">
                  <c:v>2.2135265979879257</c:v>
                </c:pt>
                <c:pt idx="880">
                  <c:v>2.0795432190748042</c:v>
                </c:pt>
                <c:pt idx="881">
                  <c:v>2.1023082552280483</c:v>
                </c:pt>
                <c:pt idx="882">
                  <c:v>2.15188289644209</c:v>
                </c:pt>
                <c:pt idx="883">
                  <c:v>2.1645322820415496</c:v>
                </c:pt>
                <c:pt idx="884">
                  <c:v>2.1078899402008635</c:v>
                </c:pt>
                <c:pt idx="885">
                  <c:v>2.1137644144984558</c:v>
                </c:pt>
                <c:pt idx="886">
                  <c:v>2.106181378704123</c:v>
                </c:pt>
                <c:pt idx="887">
                  <c:v>2.1849027438309467</c:v>
                </c:pt>
                <c:pt idx="888">
                  <c:v>2.0565261972559452</c:v>
                </c:pt>
                <c:pt idx="889">
                  <c:v>2.0863365021012314</c:v>
                </c:pt>
                <c:pt idx="890">
                  <c:v>2.182773465112676</c:v>
                </c:pt>
                <c:pt idx="891">
                  <c:v>2.1198348992315417</c:v>
                </c:pt>
                <c:pt idx="892">
                  <c:v>2.167879147923149</c:v>
                </c:pt>
                <c:pt idx="893">
                  <c:v>2.1751321798916035</c:v>
                </c:pt>
                <c:pt idx="894">
                  <c:v>2.0930360723121808</c:v>
                </c:pt>
                <c:pt idx="895">
                  <c:v>2.1720497231877545</c:v>
                </c:pt>
                <c:pt idx="896">
                  <c:v>2.1330025785263365</c:v>
                </c:pt>
                <c:pt idx="897">
                  <c:v>2.0977368757782755</c:v>
                </c:pt>
                <c:pt idx="898">
                  <c:v>2.1079136604709405</c:v>
                </c:pt>
                <c:pt idx="899">
                  <c:v>2.1969296757065302</c:v>
                </c:pt>
                <c:pt idx="900">
                  <c:v>2.0443580899636933</c:v>
                </c:pt>
                <c:pt idx="901">
                  <c:v>2.097474672075923</c:v>
                </c:pt>
                <c:pt idx="902">
                  <c:v>2.008706051168264</c:v>
                </c:pt>
                <c:pt idx="903">
                  <c:v>2.1341274563624357</c:v>
                </c:pt>
                <c:pt idx="904">
                  <c:v>2.1513948963405114</c:v>
                </c:pt>
                <c:pt idx="905">
                  <c:v>2.1783020910791966</c:v>
                </c:pt>
                <c:pt idx="906">
                  <c:v>2.1799541279577421</c:v>
                </c:pt>
                <c:pt idx="907">
                  <c:v>2.1428252378577213</c:v>
                </c:pt>
                <c:pt idx="908">
                  <c:v>2.11322029140362</c:v>
                </c:pt>
                <c:pt idx="909">
                  <c:v>2.0670752284326763</c:v>
                </c:pt>
                <c:pt idx="910">
                  <c:v>2.1289668856043766</c:v>
                </c:pt>
                <c:pt idx="911">
                  <c:v>2.0554804791094465</c:v>
                </c:pt>
                <c:pt idx="912">
                  <c:v>1.9954197553397128</c:v>
                </c:pt>
                <c:pt idx="913">
                  <c:v>2.1385976713725285</c:v>
                </c:pt>
                <c:pt idx="914">
                  <c:v>2.1587033144922905</c:v>
                </c:pt>
                <c:pt idx="915">
                  <c:v>2.0750903594783532</c:v>
                </c:pt>
                <c:pt idx="916">
                  <c:v>2.1736835096213984</c:v>
                </c:pt>
                <c:pt idx="917">
                  <c:v>2.1437350582569668</c:v>
                </c:pt>
                <c:pt idx="918">
                  <c:v>2.0930838492521033</c:v>
                </c:pt>
                <c:pt idx="919">
                  <c:v>2.0439422692434341</c:v>
                </c:pt>
                <c:pt idx="920">
                  <c:v>2.0944211610848473</c:v>
                </c:pt>
                <c:pt idx="921">
                  <c:v>2.2132555207205513</c:v>
                </c:pt>
                <c:pt idx="922">
                  <c:v>2.1484878403193255</c:v>
                </c:pt>
                <c:pt idx="923">
                  <c:v>2.125323504786977</c:v>
                </c:pt>
                <c:pt idx="924">
                  <c:v>2.1455302374937526</c:v>
                </c:pt>
                <c:pt idx="925">
                  <c:v>2.105445321066306</c:v>
                </c:pt>
                <c:pt idx="926">
                  <c:v>2.1440615662802225</c:v>
                </c:pt>
                <c:pt idx="927">
                  <c:v>2.1881956036881167</c:v>
                </c:pt>
                <c:pt idx="928">
                  <c:v>2.1294130646729865</c:v>
                </c:pt>
                <c:pt idx="929">
                  <c:v>2.0796634343085421</c:v>
                </c:pt>
                <c:pt idx="930">
                  <c:v>2.1734764779035451</c:v>
                </c:pt>
                <c:pt idx="931">
                  <c:v>2.1262408142070832</c:v>
                </c:pt>
                <c:pt idx="932">
                  <c:v>2.112557691519926</c:v>
                </c:pt>
                <c:pt idx="933">
                  <c:v>2.0706037766796426</c:v>
                </c:pt>
                <c:pt idx="934">
                  <c:v>2.0925104539762756</c:v>
                </c:pt>
                <c:pt idx="935">
                  <c:v>2.0803124765284662</c:v>
                </c:pt>
                <c:pt idx="936">
                  <c:v>2.0752349264601344</c:v>
                </c:pt>
                <c:pt idx="937">
                  <c:v>2.1446211786700236</c:v>
                </c:pt>
                <c:pt idx="938">
                  <c:v>2.0940391591371923</c:v>
                </c:pt>
                <c:pt idx="939">
                  <c:v>2.1476731594914531</c:v>
                </c:pt>
                <c:pt idx="940">
                  <c:v>2.1378493866500512</c:v>
                </c:pt>
                <c:pt idx="941">
                  <c:v>2.1576144233852355</c:v>
                </c:pt>
                <c:pt idx="942">
                  <c:v>2.1213203435596424</c:v>
                </c:pt>
                <c:pt idx="943">
                  <c:v>2.128497122384712</c:v>
                </c:pt>
                <c:pt idx="944">
                  <c:v>2.1111608181282637</c:v>
                </c:pt>
                <c:pt idx="945">
                  <c:v>2.173131381210073</c:v>
                </c:pt>
                <c:pt idx="946">
                  <c:v>2.0715453169071631</c:v>
                </c:pt>
                <c:pt idx="947">
                  <c:v>2.15188289644209</c:v>
                </c:pt>
                <c:pt idx="948">
                  <c:v>2.139088590965788</c:v>
                </c:pt>
                <c:pt idx="949">
                  <c:v>2.1117765033260505</c:v>
                </c:pt>
                <c:pt idx="950">
                  <c:v>2.1458098704218882</c:v>
                </c:pt>
                <c:pt idx="951">
                  <c:v>2.0854256160314133</c:v>
                </c:pt>
                <c:pt idx="952">
                  <c:v>2.1335416564951339</c:v>
                </c:pt>
                <c:pt idx="953">
                  <c:v>2.1337759957408839</c:v>
                </c:pt>
                <c:pt idx="954">
                  <c:v>2.1660101569475612</c:v>
                </c:pt>
                <c:pt idx="955">
                  <c:v>2.1800917411888889</c:v>
                </c:pt>
                <c:pt idx="956">
                  <c:v>2.097474672075923</c:v>
                </c:pt>
                <c:pt idx="957">
                  <c:v>2.110923968313402</c:v>
                </c:pt>
                <c:pt idx="958">
                  <c:v>2.0086064821163951</c:v>
                </c:pt>
                <c:pt idx="959">
                  <c:v>2.0808652046684815</c:v>
                </c:pt>
                <c:pt idx="960">
                  <c:v>2.1242645786248002</c:v>
                </c:pt>
                <c:pt idx="961">
                  <c:v>2.0155644370746373</c:v>
                </c:pt>
                <c:pt idx="962">
                  <c:v>2.1850400453996262</c:v>
                </c:pt>
                <c:pt idx="963">
                  <c:v>2.1128653530218151</c:v>
                </c:pt>
                <c:pt idx="964">
                  <c:v>2.09995238041247</c:v>
                </c:pt>
                <c:pt idx="965">
                  <c:v>2.1148285982556603</c:v>
                </c:pt>
                <c:pt idx="966">
                  <c:v>2.1272752525237535</c:v>
                </c:pt>
                <c:pt idx="967">
                  <c:v>2.011591409804685</c:v>
                </c:pt>
                <c:pt idx="968">
                  <c:v>2.0961870145576231</c:v>
                </c:pt>
                <c:pt idx="969">
                  <c:v>2.0803124765284662</c:v>
                </c:pt>
                <c:pt idx="970">
                  <c:v>2.1600462958001616</c:v>
                </c:pt>
                <c:pt idx="971">
                  <c:v>2.063904067538024</c:v>
                </c:pt>
                <c:pt idx="972">
                  <c:v>2.063904067538024</c:v>
                </c:pt>
                <c:pt idx="973">
                  <c:v>2.0006249023742555</c:v>
                </c:pt>
                <c:pt idx="974">
                  <c:v>2.0944211610848473</c:v>
                </c:pt>
                <c:pt idx="975">
                  <c:v>1.9658077220318368</c:v>
                </c:pt>
                <c:pt idx="976">
                  <c:v>2.0622802913280243</c:v>
                </c:pt>
                <c:pt idx="977">
                  <c:v>2.0701932276963904</c:v>
                </c:pt>
                <c:pt idx="978">
                  <c:v>2.066615590766701</c:v>
                </c:pt>
                <c:pt idx="979">
                  <c:v>2.04</c:v>
                </c:pt>
                <c:pt idx="980">
                  <c:v>2.1019038988498027</c:v>
                </c:pt>
                <c:pt idx="981">
                  <c:v>2.0562587385832551</c:v>
                </c:pt>
                <c:pt idx="982">
                  <c:v>2.0226715007632849</c:v>
                </c:pt>
                <c:pt idx="983">
                  <c:v>2.0738611332488008</c:v>
                </c:pt>
                <c:pt idx="984">
                  <c:v>2.0768485741623053</c:v>
                </c:pt>
                <c:pt idx="985">
                  <c:v>2.0768485741623048</c:v>
                </c:pt>
                <c:pt idx="986">
                  <c:v>2.0957099035887579</c:v>
                </c:pt>
                <c:pt idx="987">
                  <c:v>2.048243149628481</c:v>
                </c:pt>
                <c:pt idx="988">
                  <c:v>2.0107958623390889</c:v>
                </c:pt>
                <c:pt idx="989">
                  <c:v>2.0894257584322062</c:v>
                </c:pt>
                <c:pt idx="990">
                  <c:v>2.0484140206510988</c:v>
                </c:pt>
                <c:pt idx="991">
                  <c:v>2.0099751242241783</c:v>
                </c:pt>
                <c:pt idx="992">
                  <c:v>2.0172506041639942</c:v>
                </c:pt>
                <c:pt idx="993">
                  <c:v>2.1261467494037185</c:v>
                </c:pt>
                <c:pt idx="994">
                  <c:v>2.056428943581567</c:v>
                </c:pt>
                <c:pt idx="995">
                  <c:v>2.0488289338058463</c:v>
                </c:pt>
                <c:pt idx="996">
                  <c:v>2.0580087463370997</c:v>
                </c:pt>
                <c:pt idx="997">
                  <c:v>2.1086725682286476</c:v>
                </c:pt>
                <c:pt idx="998">
                  <c:v>2.0666155907667005</c:v>
                </c:pt>
                <c:pt idx="1083">
                  <c:v>2.2227910383119687</c:v>
                </c:pt>
                <c:pt idx="1084">
                  <c:v>2.2624102192131295</c:v>
                </c:pt>
                <c:pt idx="1085">
                  <c:v>2.2587828580897278</c:v>
                </c:pt>
                <c:pt idx="1086">
                  <c:v>2.2316137658654109</c:v>
                </c:pt>
                <c:pt idx="1087">
                  <c:v>2.3157288269570766</c:v>
                </c:pt>
                <c:pt idx="1088">
                  <c:v>2.240089283934906</c:v>
                </c:pt>
                <c:pt idx="1089">
                  <c:v>2.3256181973832248</c:v>
                </c:pt>
                <c:pt idx="1090">
                  <c:v>2.2537524265100637</c:v>
                </c:pt>
                <c:pt idx="1091">
                  <c:v>2.295778734982969</c:v>
                </c:pt>
                <c:pt idx="1092">
                  <c:v>2.2155134844996995</c:v>
                </c:pt>
                <c:pt idx="1093">
                  <c:v>2.3343735776434755</c:v>
                </c:pt>
                <c:pt idx="1094">
                  <c:v>2.2897379762758883</c:v>
                </c:pt>
                <c:pt idx="1095">
                  <c:v>2.26503863101714</c:v>
                </c:pt>
                <c:pt idx="1096">
                  <c:v>2.2737853900489378</c:v>
                </c:pt>
                <c:pt idx="1097">
                  <c:v>2.2724656213021133</c:v>
                </c:pt>
                <c:pt idx="1098">
                  <c:v>2.2316137658654109</c:v>
                </c:pt>
                <c:pt idx="1099">
                  <c:v>2.2226560687609767</c:v>
                </c:pt>
                <c:pt idx="1100">
                  <c:v>2.245551157288562</c:v>
                </c:pt>
                <c:pt idx="1101">
                  <c:v>2.3706539182259396</c:v>
                </c:pt>
                <c:pt idx="1102">
                  <c:v>2.3132660893204657</c:v>
                </c:pt>
                <c:pt idx="1103">
                  <c:v>2.2811400658442702</c:v>
                </c:pt>
                <c:pt idx="1104">
                  <c:v>2.3122499864850257</c:v>
                </c:pt>
                <c:pt idx="1105">
                  <c:v>2.2071927872299693</c:v>
                </c:pt>
                <c:pt idx="1106">
                  <c:v>2.2760711763914592</c:v>
                </c:pt>
                <c:pt idx="1107">
                  <c:v>2.2588713996153036</c:v>
                </c:pt>
                <c:pt idx="1108">
                  <c:v>2.2299103120977759</c:v>
                </c:pt>
                <c:pt idx="1109">
                  <c:v>2.2301569451498251</c:v>
                </c:pt>
                <c:pt idx="1110">
                  <c:v>2.2219135896789504</c:v>
                </c:pt>
                <c:pt idx="1111">
                  <c:v>2.1110187114282053</c:v>
                </c:pt>
                <c:pt idx="1112">
                  <c:v>2.3212496634356246</c:v>
                </c:pt>
                <c:pt idx="1113">
                  <c:v>2.2896506283710623</c:v>
                </c:pt>
                <c:pt idx="1114">
                  <c:v>2.2418296099391672</c:v>
                </c:pt>
                <c:pt idx="1115">
                  <c:v>2.2545953073667122</c:v>
                </c:pt>
                <c:pt idx="1116">
                  <c:v>2.1695391215647621</c:v>
                </c:pt>
                <c:pt idx="1117">
                  <c:v>2.1971344974762013</c:v>
                </c:pt>
                <c:pt idx="1118">
                  <c:v>2.1863439802556228</c:v>
                </c:pt>
                <c:pt idx="1119">
                  <c:v>2.2242751628339512</c:v>
                </c:pt>
                <c:pt idx="1120">
                  <c:v>2.211628359376864</c:v>
                </c:pt>
                <c:pt idx="1121">
                  <c:v>2.1827734651126764</c:v>
                </c:pt>
                <c:pt idx="1122">
                  <c:v>2.2141589825484527</c:v>
                </c:pt>
                <c:pt idx="1123">
                  <c:v>2.2808112591795053</c:v>
                </c:pt>
                <c:pt idx="1124">
                  <c:v>2.2246797522340152</c:v>
                </c:pt>
                <c:pt idx="1125">
                  <c:v>2.1747873459260334</c:v>
                </c:pt>
                <c:pt idx="1126">
                  <c:v>2.1749482752470231</c:v>
                </c:pt>
                <c:pt idx="1127">
                  <c:v>2.3753947040439409</c:v>
                </c:pt>
                <c:pt idx="1128">
                  <c:v>2.2726416347501868</c:v>
                </c:pt>
                <c:pt idx="1129">
                  <c:v>2.2983907413666635</c:v>
                </c:pt>
                <c:pt idx="1130">
                  <c:v>2.2552383466055201</c:v>
                </c:pt>
                <c:pt idx="1131">
                  <c:v>2.1678099547700209</c:v>
                </c:pt>
                <c:pt idx="1132">
                  <c:v>2.170023041352326</c:v>
                </c:pt>
                <c:pt idx="1133">
                  <c:v>2.2339650847763934</c:v>
                </c:pt>
                <c:pt idx="1134">
                  <c:v>2.2945587811167534</c:v>
                </c:pt>
                <c:pt idx="1135">
                  <c:v>2.2205629916757594</c:v>
                </c:pt>
                <c:pt idx="1136">
                  <c:v>2.20476756144497</c:v>
                </c:pt>
                <c:pt idx="1137">
                  <c:v>2.2580744009000231</c:v>
                </c:pt>
                <c:pt idx="1138">
                  <c:v>2.2737853900489382</c:v>
                </c:pt>
                <c:pt idx="1139">
                  <c:v>2.2660317738284252</c:v>
                </c:pt>
                <c:pt idx="1140">
                  <c:v>2.1661486560252508</c:v>
                </c:pt>
                <c:pt idx="1141">
                  <c:v>2.2629184695874485</c:v>
                </c:pt>
                <c:pt idx="1142">
                  <c:v>2.2367163432138639</c:v>
                </c:pt>
                <c:pt idx="1143">
                  <c:v>2.266384786394402</c:v>
                </c:pt>
                <c:pt idx="1144">
                  <c:v>2.2934035841953335</c:v>
                </c:pt>
                <c:pt idx="1145">
                  <c:v>2.2760711763914592</c:v>
                </c:pt>
                <c:pt idx="1146">
                  <c:v>2.2411827234743713</c:v>
                </c:pt>
                <c:pt idx="1147">
                  <c:v>2.1513251730038396</c:v>
                </c:pt>
                <c:pt idx="1148">
                  <c:v>2.228744040934266</c:v>
                </c:pt>
                <c:pt idx="1149">
                  <c:v>2.1854976549975982</c:v>
                </c:pt>
                <c:pt idx="1150">
                  <c:v>2.0838665984174711</c:v>
                </c:pt>
                <c:pt idx="1151">
                  <c:v>2.1742354978244651</c:v>
                </c:pt>
                <c:pt idx="1152">
                  <c:v>2.21054291973714</c:v>
                </c:pt>
                <c:pt idx="1153">
                  <c:v>2.3104112188093273</c:v>
                </c:pt>
                <c:pt idx="1154">
                  <c:v>2.2875751353780709</c:v>
                </c:pt>
                <c:pt idx="1155">
                  <c:v>2.2865257488163127</c:v>
                </c:pt>
                <c:pt idx="1156">
                  <c:v>2.2945587811167534</c:v>
                </c:pt>
                <c:pt idx="1157">
                  <c:v>2.3122499864850257</c:v>
                </c:pt>
                <c:pt idx="1158">
                  <c:v>2.3129418496797536</c:v>
                </c:pt>
                <c:pt idx="1159">
                  <c:v>2.204835594777987</c:v>
                </c:pt>
                <c:pt idx="1160">
                  <c:v>2.1854976549975982</c:v>
                </c:pt>
                <c:pt idx="1161">
                  <c:v>2.1799541279577421</c:v>
                </c:pt>
                <c:pt idx="1162">
                  <c:v>2.2155134844996995</c:v>
                </c:pt>
                <c:pt idx="1163">
                  <c:v>2.1791053209975879</c:v>
                </c:pt>
                <c:pt idx="1164">
                  <c:v>2.2297085011274453</c:v>
                </c:pt>
                <c:pt idx="1165">
                  <c:v>2.2466196829904255</c:v>
                </c:pt>
                <c:pt idx="1166">
                  <c:v>2.17846276075585</c:v>
                </c:pt>
                <c:pt idx="1167">
                  <c:v>2.1109239683134016</c:v>
                </c:pt>
                <c:pt idx="1168">
                  <c:v>2.1742354978244651</c:v>
                </c:pt>
                <c:pt idx="1169">
                  <c:v>2.2723776094654689</c:v>
                </c:pt>
                <c:pt idx="1170">
                  <c:v>2.1242645786248002</c:v>
                </c:pt>
                <c:pt idx="1171">
                  <c:v>2.2408257406590097</c:v>
                </c:pt>
                <c:pt idx="1172">
                  <c:v>2.1850400453996257</c:v>
                </c:pt>
                <c:pt idx="1173">
                  <c:v>2.1172859986312664</c:v>
                </c:pt>
                <c:pt idx="1174">
                  <c:v>2.1601157376399995</c:v>
                </c:pt>
                <c:pt idx="1175">
                  <c:v>2.2370739817896057</c:v>
                </c:pt>
                <c:pt idx="1176">
                  <c:v>2.116317556511782</c:v>
                </c:pt>
                <c:pt idx="1177">
                  <c:v>2.1574522010927613</c:v>
                </c:pt>
                <c:pt idx="1178">
                  <c:v>2.2411827234743709</c:v>
                </c:pt>
                <c:pt idx="1179">
                  <c:v>2.3170886905770356</c:v>
                </c:pt>
                <c:pt idx="1180">
                  <c:v>2.2360679774997898</c:v>
                </c:pt>
                <c:pt idx="1181">
                  <c:v>2.1517667159801501</c:v>
                </c:pt>
                <c:pt idx="1182">
                  <c:v>2.1953131895016709</c:v>
                </c:pt>
                <c:pt idx="1183">
                  <c:v>2.1868927728629037</c:v>
                </c:pt>
                <c:pt idx="1184">
                  <c:v>2.2063997824510411</c:v>
                </c:pt>
                <c:pt idx="1185">
                  <c:v>2.1883555469804259</c:v>
                </c:pt>
                <c:pt idx="1186">
                  <c:v>2.1535552001283831</c:v>
                </c:pt>
                <c:pt idx="1187">
                  <c:v>2.2163483480716657</c:v>
                </c:pt>
                <c:pt idx="1188">
                  <c:v>2.1446211786700236</c:v>
                </c:pt>
                <c:pt idx="1189">
                  <c:v>2.2629184695874485</c:v>
                </c:pt>
                <c:pt idx="1190">
                  <c:v>2.2354417907876734</c:v>
                </c:pt>
                <c:pt idx="1191">
                  <c:v>2.16453228204155</c:v>
                </c:pt>
                <c:pt idx="1192">
                  <c:v>2.1868927728629037</c:v>
                </c:pt>
                <c:pt idx="1193">
                  <c:v>2.2027482833950867</c:v>
                </c:pt>
                <c:pt idx="1194">
                  <c:v>2.1064187617850347</c:v>
                </c:pt>
                <c:pt idx="1195">
                  <c:v>2.1805733191066978</c:v>
                </c:pt>
                <c:pt idx="1196">
                  <c:v>2.125323504786977</c:v>
                </c:pt>
                <c:pt idx="1197">
                  <c:v>2.1523243250030886</c:v>
                </c:pt>
                <c:pt idx="1198">
                  <c:v>2.1965882636488794</c:v>
                </c:pt>
                <c:pt idx="1199">
                  <c:v>2.2140009033421828</c:v>
                </c:pt>
                <c:pt idx="1200">
                  <c:v>2.2437914341578185</c:v>
                </c:pt>
                <c:pt idx="1201">
                  <c:v>2.1623135757794243</c:v>
                </c:pt>
                <c:pt idx="1202">
                  <c:v>2.1923731434224423</c:v>
                </c:pt>
                <c:pt idx="1203">
                  <c:v>2.1333776037073231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E0F-42E2-BAE7-FA24B464A11F}"/>
            </c:ext>
          </c:extLst>
        </c:ser>
        <c:ser>
          <c:idx val="1"/>
          <c:order val="1"/>
          <c:tx>
            <c:strRef>
              <c:f>'HT 2017-07-05 BIG JIM'!$J$1</c:f>
              <c:strCache>
                <c:ptCount val="1"/>
                <c:pt idx="0">
                  <c:v>sel-m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C0000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JIM'!$J$2:$J$1205</c:f>
              <c:numCache>
                <c:formatCode>General</c:formatCode>
                <c:ptCount val="1204"/>
                <c:pt idx="595">
                  <c:v>1.9672569735548024</c:v>
                </c:pt>
                <c:pt idx="596">
                  <c:v>2.0416659863944449</c:v>
                </c:pt>
                <c:pt idx="597">
                  <c:v>1.9241881404893857</c:v>
                </c:pt>
                <c:pt idx="598">
                  <c:v>2.0225231766286389</c:v>
                </c:pt>
                <c:pt idx="599">
                  <c:v>1.9604081207748556</c:v>
                </c:pt>
                <c:pt idx="600">
                  <c:v>1.9918082237002634</c:v>
                </c:pt>
                <c:pt idx="601">
                  <c:v>2.0368603290358425</c:v>
                </c:pt>
                <c:pt idx="602">
                  <c:v>1.895521036549054</c:v>
                </c:pt>
                <c:pt idx="603">
                  <c:v>2.0368603290358425</c:v>
                </c:pt>
                <c:pt idx="604">
                  <c:v>2.0525106577067995</c:v>
                </c:pt>
                <c:pt idx="605">
                  <c:v>1.9887936041731427</c:v>
                </c:pt>
                <c:pt idx="606">
                  <c:v>2.0169779374103229</c:v>
                </c:pt>
                <c:pt idx="607">
                  <c:v>1.946175737183053</c:v>
                </c:pt>
                <c:pt idx="608">
                  <c:v>1.9856485086741811</c:v>
                </c:pt>
                <c:pt idx="609">
                  <c:v>1.9895728184713419</c:v>
                </c:pt>
                <c:pt idx="610">
                  <c:v>2.0193315725754397</c:v>
                </c:pt>
                <c:pt idx="611">
                  <c:v>1.9996499693696395</c:v>
                </c:pt>
                <c:pt idx="612">
                  <c:v>2.0064396327824068</c:v>
                </c:pt>
                <c:pt idx="613">
                  <c:v>2.0008498194517248</c:v>
                </c:pt>
                <c:pt idx="614">
                  <c:v>1.8989734068701436</c:v>
                </c:pt>
                <c:pt idx="615">
                  <c:v>2.0183656754909403</c:v>
                </c:pt>
                <c:pt idx="616">
                  <c:v>1.960229578391266</c:v>
                </c:pt>
                <c:pt idx="617">
                  <c:v>1.9018412131405713</c:v>
                </c:pt>
                <c:pt idx="618">
                  <c:v>1.8917980864775186</c:v>
                </c:pt>
                <c:pt idx="619">
                  <c:v>1.9119100397246727</c:v>
                </c:pt>
                <c:pt idx="620">
                  <c:v>1.9833809518093088</c:v>
                </c:pt>
                <c:pt idx="621">
                  <c:v>1.9601020381602585</c:v>
                </c:pt>
                <c:pt idx="622">
                  <c:v>2.0392400545301181</c:v>
                </c:pt>
                <c:pt idx="623">
                  <c:v>1.9190883252211191</c:v>
                </c:pt>
                <c:pt idx="624">
                  <c:v>1.9739554199626697</c:v>
                </c:pt>
                <c:pt idx="625">
                  <c:v>1.966443490161871</c:v>
                </c:pt>
                <c:pt idx="626">
                  <c:v>2.04</c:v>
                </c:pt>
                <c:pt idx="627">
                  <c:v>1.9550959055759898</c:v>
                </c:pt>
                <c:pt idx="628">
                  <c:v>1.9458931111445972</c:v>
                </c:pt>
                <c:pt idx="629">
                  <c:v>1.924811679100062</c:v>
                </c:pt>
                <c:pt idx="630">
                  <c:v>2.0056171120131583</c:v>
                </c:pt>
                <c:pt idx="631">
                  <c:v>1.9299999999999997</c:v>
                </c:pt>
                <c:pt idx="632">
                  <c:v>1.9602295783912658</c:v>
                </c:pt>
                <c:pt idx="633">
                  <c:v>1.9465096968677038</c:v>
                </c:pt>
                <c:pt idx="634">
                  <c:v>1.9553260597659921</c:v>
                </c:pt>
                <c:pt idx="635">
                  <c:v>1.9791412279066898</c:v>
                </c:pt>
                <c:pt idx="636">
                  <c:v>1.9723082923316018</c:v>
                </c:pt>
                <c:pt idx="637">
                  <c:v>1.9795959183631389</c:v>
                </c:pt>
                <c:pt idx="638">
                  <c:v>2.0374493858744072</c:v>
                </c:pt>
                <c:pt idx="639">
                  <c:v>2.005243127403757</c:v>
                </c:pt>
                <c:pt idx="640">
                  <c:v>2.0289159667172023</c:v>
                </c:pt>
                <c:pt idx="641">
                  <c:v>2.0088305055429641</c:v>
                </c:pt>
                <c:pt idx="642">
                  <c:v>2.0207176942858696</c:v>
                </c:pt>
                <c:pt idx="643">
                  <c:v>2.0400980368599937</c:v>
                </c:pt>
                <c:pt idx="644">
                  <c:v>1.9949185447030162</c:v>
                </c:pt>
                <c:pt idx="645">
                  <c:v>1.9553260597659921</c:v>
                </c:pt>
                <c:pt idx="646">
                  <c:v>1.9999999999999998</c:v>
                </c:pt>
                <c:pt idx="647">
                  <c:v>1.9420092687729378</c:v>
                </c:pt>
                <c:pt idx="648">
                  <c:v>1.9677398201998149</c:v>
                </c:pt>
                <c:pt idx="649">
                  <c:v>1.9751708786836644</c:v>
                </c:pt>
                <c:pt idx="650">
                  <c:v>2.0026232796010337</c:v>
                </c:pt>
                <c:pt idx="651">
                  <c:v>1.9694669329541941</c:v>
                </c:pt>
                <c:pt idx="652">
                  <c:v>1.9665706191235541</c:v>
                </c:pt>
                <c:pt idx="653">
                  <c:v>2.0171762441591463</c:v>
                </c:pt>
                <c:pt idx="654">
                  <c:v>2.0026232796010337</c:v>
                </c:pt>
                <c:pt idx="655">
                  <c:v>1.9764867821465439</c:v>
                </c:pt>
                <c:pt idx="656">
                  <c:v>1.9946177578674065</c:v>
                </c:pt>
                <c:pt idx="657">
                  <c:v>2.0092784774639876</c:v>
                </c:pt>
                <c:pt idx="658">
                  <c:v>2.0129580224137809</c:v>
                </c:pt>
                <c:pt idx="659">
                  <c:v>1.9610456394485061</c:v>
                </c:pt>
                <c:pt idx="660">
                  <c:v>1.9729419656948859</c:v>
                </c:pt>
                <c:pt idx="661">
                  <c:v>1.8930662957223656</c:v>
                </c:pt>
                <c:pt idx="662">
                  <c:v>2.0255616505058542</c:v>
                </c:pt>
                <c:pt idx="663">
                  <c:v>2.0205444810743467</c:v>
                </c:pt>
                <c:pt idx="664">
                  <c:v>1.9458931111445974</c:v>
                </c:pt>
                <c:pt idx="665">
                  <c:v>1.9523319389898841</c:v>
                </c:pt>
                <c:pt idx="666">
                  <c:v>2.0441624201613728</c:v>
                </c:pt>
                <c:pt idx="667">
                  <c:v>1.9553260597659918</c:v>
                </c:pt>
                <c:pt idx="668">
                  <c:v>2.0116162655934158</c:v>
                </c:pt>
                <c:pt idx="669">
                  <c:v>1.9513328778042971</c:v>
                </c:pt>
                <c:pt idx="670">
                  <c:v>1.9425756098540929</c:v>
                </c:pt>
                <c:pt idx="671">
                  <c:v>1.8921152184790442</c:v>
                </c:pt>
                <c:pt idx="672">
                  <c:v>1.9142622599842478</c:v>
                </c:pt>
                <c:pt idx="673">
                  <c:v>1.9485892332659542</c:v>
                </c:pt>
                <c:pt idx="674">
                  <c:v>1.9504102132628407</c:v>
                </c:pt>
                <c:pt idx="675">
                  <c:v>1.9949185447030164</c:v>
                </c:pt>
                <c:pt idx="676">
                  <c:v>1.9557607215607946</c:v>
                </c:pt>
                <c:pt idx="677">
                  <c:v>1.9398195792392652</c:v>
                </c:pt>
                <c:pt idx="678">
                  <c:v>1.9918082237002634</c:v>
                </c:pt>
                <c:pt idx="679">
                  <c:v>1.9695684806576286</c:v>
                </c:pt>
                <c:pt idx="798">
                  <c:v>2.1253235047869774</c:v>
                </c:pt>
                <c:pt idx="799">
                  <c:v>2.0582759776084449</c:v>
                </c:pt>
                <c:pt idx="800">
                  <c:v>2.1211553455605276</c:v>
                </c:pt>
                <c:pt idx="801">
                  <c:v>2.155736533067063</c:v>
                </c:pt>
                <c:pt idx="802">
                  <c:v>2.0927493877672023</c:v>
                </c:pt>
                <c:pt idx="803">
                  <c:v>2.1137644144984558</c:v>
                </c:pt>
                <c:pt idx="804">
                  <c:v>2.1332135383031861</c:v>
                </c:pt>
                <c:pt idx="805">
                  <c:v>2.0932271735289505</c:v>
                </c:pt>
                <c:pt idx="806">
                  <c:v>2.1428252378577213</c:v>
                </c:pt>
                <c:pt idx="807">
                  <c:v>2.0787015177749786</c:v>
                </c:pt>
                <c:pt idx="808">
                  <c:v>2.1876242821837577</c:v>
                </c:pt>
                <c:pt idx="809">
                  <c:v>2.1020228352708257</c:v>
                </c:pt>
                <c:pt idx="810">
                  <c:v>2.1660332407421636</c:v>
                </c:pt>
                <c:pt idx="811">
                  <c:v>2.0929644048573781</c:v>
                </c:pt>
                <c:pt idx="812">
                  <c:v>2.168893727225933</c:v>
                </c:pt>
                <c:pt idx="813">
                  <c:v>2.1079373804740973</c:v>
                </c:pt>
                <c:pt idx="814">
                  <c:v>2.1109239683134016</c:v>
                </c:pt>
                <c:pt idx="815">
                  <c:v>2.0894257584322062</c:v>
                </c:pt>
                <c:pt idx="816">
                  <c:v>2.0915305400591215</c:v>
                </c:pt>
                <c:pt idx="817">
                  <c:v>2.1577998053572998</c:v>
                </c:pt>
                <c:pt idx="818">
                  <c:v>2.1377558326431951</c:v>
                </c:pt>
                <c:pt idx="819">
                  <c:v>2.1080085388821366</c:v>
                </c:pt>
                <c:pt idx="820">
                  <c:v>2.110094784600919</c:v>
                </c:pt>
                <c:pt idx="821">
                  <c:v>2.1414014102918677</c:v>
                </c:pt>
                <c:pt idx="822">
                  <c:v>2.0981182044870588</c:v>
                </c:pt>
                <c:pt idx="823">
                  <c:v>2.0447249203743767</c:v>
                </c:pt>
                <c:pt idx="824">
                  <c:v>2.1247352776287216</c:v>
                </c:pt>
                <c:pt idx="825">
                  <c:v>2.0840585404445817</c:v>
                </c:pt>
                <c:pt idx="826">
                  <c:v>2.1023796041628637</c:v>
                </c:pt>
                <c:pt idx="827">
                  <c:v>2.1086725682286476</c:v>
                </c:pt>
                <c:pt idx="828">
                  <c:v>2.1050890717496968</c:v>
                </c:pt>
                <c:pt idx="829">
                  <c:v>2.1332838535928595</c:v>
                </c:pt>
                <c:pt idx="830">
                  <c:v>2.1435018077902339</c:v>
                </c:pt>
                <c:pt idx="831">
                  <c:v>2.0930838492521029</c:v>
                </c:pt>
                <c:pt idx="832">
                  <c:v>2.1574522010927613</c:v>
                </c:pt>
                <c:pt idx="833">
                  <c:v>2.1376856644511606</c:v>
                </c:pt>
                <c:pt idx="834">
                  <c:v>2.0709901013766339</c:v>
                </c:pt>
                <c:pt idx="835">
                  <c:v>2.0443580899636933</c:v>
                </c:pt>
                <c:pt idx="836">
                  <c:v>2.1287555049840741</c:v>
                </c:pt>
                <c:pt idx="837">
                  <c:v>2.0706037766796426</c:v>
                </c:pt>
                <c:pt idx="838">
                  <c:v>2.1466252583997982</c:v>
                </c:pt>
                <c:pt idx="839">
                  <c:v>2.087773934122179</c:v>
                </c:pt>
                <c:pt idx="840">
                  <c:v>2.1856349191939626</c:v>
                </c:pt>
                <c:pt idx="841">
                  <c:v>2.1128653530218151</c:v>
                </c:pt>
                <c:pt idx="842">
                  <c:v>2.154483696851754</c:v>
                </c:pt>
                <c:pt idx="843">
                  <c:v>2.1692625475031835</c:v>
                </c:pt>
                <c:pt idx="844">
                  <c:v>2.1495348334000077</c:v>
                </c:pt>
                <c:pt idx="845">
                  <c:v>2.1338462924962518</c:v>
                </c:pt>
                <c:pt idx="846">
                  <c:v>2.1337759957408839</c:v>
                </c:pt>
                <c:pt idx="847">
                  <c:v>2.1122736565132842</c:v>
                </c:pt>
                <c:pt idx="848">
                  <c:v>2.221823575354263</c:v>
                </c:pt>
                <c:pt idx="849">
                  <c:v>2.16453228204155</c:v>
                </c:pt>
                <c:pt idx="850">
                  <c:v>2.0416659863944444</c:v>
                </c:pt>
                <c:pt idx="851">
                  <c:v>2.110852908186641</c:v>
                </c:pt>
                <c:pt idx="852">
                  <c:v>2.110923968313402</c:v>
                </c:pt>
                <c:pt idx="853">
                  <c:v>2.1660332407421636</c:v>
                </c:pt>
                <c:pt idx="854">
                  <c:v>2.1560380330597142</c:v>
                </c:pt>
                <c:pt idx="855">
                  <c:v>2.1301643129110959</c:v>
                </c:pt>
                <c:pt idx="856">
                  <c:v>2.0607280266934791</c:v>
                </c:pt>
                <c:pt idx="857">
                  <c:v>2.1120606051910538</c:v>
                </c:pt>
                <c:pt idx="858">
                  <c:v>2.1115397225721324</c:v>
                </c:pt>
                <c:pt idx="859">
                  <c:v>2.1751321798916039</c:v>
                </c:pt>
                <c:pt idx="860">
                  <c:v>2.097474672075923</c:v>
                </c:pt>
                <c:pt idx="861">
                  <c:v>2.1351580737734621</c:v>
                </c:pt>
                <c:pt idx="862">
                  <c:v>2.1421717951648978</c:v>
                </c:pt>
                <c:pt idx="863">
                  <c:v>2.1252999788265186</c:v>
                </c:pt>
                <c:pt idx="864">
                  <c:v>2.1511159894343215</c:v>
                </c:pt>
                <c:pt idx="865">
                  <c:v>2.1476731594914531</c:v>
                </c:pt>
                <c:pt idx="866">
                  <c:v>2.1428252378577217</c:v>
                </c:pt>
                <c:pt idx="867">
                  <c:v>2.1211553455605272</c:v>
                </c:pt>
                <c:pt idx="868">
                  <c:v>2.1577998053572998</c:v>
                </c:pt>
                <c:pt idx="869">
                  <c:v>2.1066086489901248</c:v>
                </c:pt>
                <c:pt idx="870">
                  <c:v>2.0977368757782755</c:v>
                </c:pt>
                <c:pt idx="871">
                  <c:v>2.1174040710265958</c:v>
                </c:pt>
                <c:pt idx="872">
                  <c:v>2.1923731434224423</c:v>
                </c:pt>
                <c:pt idx="873">
                  <c:v>2.1497209121185938</c:v>
                </c:pt>
                <c:pt idx="874">
                  <c:v>2.087773934122179</c:v>
                </c:pt>
                <c:pt idx="875">
                  <c:v>2.125323504786977</c:v>
                </c:pt>
                <c:pt idx="876">
                  <c:v>2.0701932276963904</c:v>
                </c:pt>
                <c:pt idx="877">
                  <c:v>2.1107818456676188</c:v>
                </c:pt>
                <c:pt idx="878">
                  <c:v>2.1594675269612185</c:v>
                </c:pt>
                <c:pt idx="999">
                  <c:v>2.2532199182503247</c:v>
                </c:pt>
                <c:pt idx="1000">
                  <c:v>2.2585393509965681</c:v>
                </c:pt>
                <c:pt idx="1001">
                  <c:v>2.3068810112357334</c:v>
                </c:pt>
                <c:pt idx="1002">
                  <c:v>2.2631835983852482</c:v>
                </c:pt>
                <c:pt idx="1003">
                  <c:v>2.2631173190977085</c:v>
                </c:pt>
                <c:pt idx="1004">
                  <c:v>2.3020860105565126</c:v>
                </c:pt>
                <c:pt idx="1005">
                  <c:v>2.2981731875557156</c:v>
                </c:pt>
                <c:pt idx="1006">
                  <c:v>2.3576471322061749</c:v>
                </c:pt>
                <c:pt idx="1007">
                  <c:v>2.2461522655421202</c:v>
                </c:pt>
                <c:pt idx="1008">
                  <c:v>2.2475764725588316</c:v>
                </c:pt>
                <c:pt idx="1009">
                  <c:v>2.2770595073471398</c:v>
                </c:pt>
                <c:pt idx="1010">
                  <c:v>2.3400213674238106</c:v>
                </c:pt>
                <c:pt idx="1011">
                  <c:v>2.3194827009486407</c:v>
                </c:pt>
                <c:pt idx="1012">
                  <c:v>2.2405579662218069</c:v>
                </c:pt>
                <c:pt idx="1013">
                  <c:v>2.2494888308235717</c:v>
                </c:pt>
                <c:pt idx="1014">
                  <c:v>2.3034105148670307</c:v>
                </c:pt>
                <c:pt idx="1015">
                  <c:v>2.2514439810930225</c:v>
                </c:pt>
                <c:pt idx="1016">
                  <c:v>2.2624102192131295</c:v>
                </c:pt>
                <c:pt idx="1017">
                  <c:v>2.2953213282675695</c:v>
                </c:pt>
                <c:pt idx="1018">
                  <c:v>2.3119256043393785</c:v>
                </c:pt>
                <c:pt idx="1019">
                  <c:v>2.1840558600914948</c:v>
                </c:pt>
                <c:pt idx="1020">
                  <c:v>2.1849027438309467</c:v>
                </c:pt>
                <c:pt idx="1021">
                  <c:v>2.2411827234743713</c:v>
                </c:pt>
                <c:pt idx="1022">
                  <c:v>2.2276669409945464</c:v>
                </c:pt>
                <c:pt idx="1023">
                  <c:v>2.1918029108475974</c:v>
                </c:pt>
                <c:pt idx="1024">
                  <c:v>2.1741205118392126</c:v>
                </c:pt>
                <c:pt idx="1025">
                  <c:v>2.1958369702689677</c:v>
                </c:pt>
                <c:pt idx="1026">
                  <c:v>2.2323530186778258</c:v>
                </c:pt>
                <c:pt idx="1027">
                  <c:v>2.2633824246026122</c:v>
                </c:pt>
                <c:pt idx="1028">
                  <c:v>2.18929212303886</c:v>
                </c:pt>
                <c:pt idx="1029">
                  <c:v>2.1742354978244651</c:v>
                </c:pt>
                <c:pt idx="1030">
                  <c:v>2.1708293346092411</c:v>
                </c:pt>
                <c:pt idx="1031">
                  <c:v>2.1964744478368057</c:v>
                </c:pt>
                <c:pt idx="1032">
                  <c:v>2.22784649381415</c:v>
                </c:pt>
                <c:pt idx="1033">
                  <c:v>2.2472205054244228</c:v>
                </c:pt>
                <c:pt idx="1034">
                  <c:v>2.2900873345791855</c:v>
                </c:pt>
                <c:pt idx="1035">
                  <c:v>2.1741205118392126</c:v>
                </c:pt>
                <c:pt idx="1036">
                  <c:v>2.2587828580897278</c:v>
                </c:pt>
                <c:pt idx="1037">
                  <c:v>2.2226560687609771</c:v>
                </c:pt>
                <c:pt idx="1038">
                  <c:v>2.211628359376864</c:v>
                </c:pt>
                <c:pt idx="1039">
                  <c:v>2.2643321311150446</c:v>
                </c:pt>
                <c:pt idx="1040">
                  <c:v>2.2717834403833477</c:v>
                </c:pt>
                <c:pt idx="1041">
                  <c:v>2.2458851261807671</c:v>
                </c:pt>
                <c:pt idx="1042">
                  <c:v>2.2714973035423132</c:v>
                </c:pt>
                <c:pt idx="1043">
                  <c:v>2.2775864418282792</c:v>
                </c:pt>
                <c:pt idx="1044">
                  <c:v>2.2228135324403619</c:v>
                </c:pt>
                <c:pt idx="1045">
                  <c:v>2.3078344827998389</c:v>
                </c:pt>
                <c:pt idx="1046">
                  <c:v>2.2141589825484527</c:v>
                </c:pt>
                <c:pt idx="1047">
                  <c:v>2.271079038695043</c:v>
                </c:pt>
                <c:pt idx="1048">
                  <c:v>2.2370739817896053</c:v>
                </c:pt>
                <c:pt idx="1049">
                  <c:v>2.315728826957077</c:v>
                </c:pt>
                <c:pt idx="1050">
                  <c:v>2.2194819215303379</c:v>
                </c:pt>
                <c:pt idx="1051">
                  <c:v>2.205311769342376</c:v>
                </c:pt>
                <c:pt idx="1052">
                  <c:v>2.2579636843846713</c:v>
                </c:pt>
                <c:pt idx="1053">
                  <c:v>2.2724656213021133</c:v>
                </c:pt>
                <c:pt idx="1054">
                  <c:v>2.2189411889457547</c:v>
                </c:pt>
                <c:pt idx="1055">
                  <c:v>2.2329352879114071</c:v>
                </c:pt>
                <c:pt idx="1056">
                  <c:v>2.2569448376068033</c:v>
                </c:pt>
                <c:pt idx="1057">
                  <c:v>2.3216588896735026</c:v>
                </c:pt>
                <c:pt idx="1058">
                  <c:v>2.2135040094836058</c:v>
                </c:pt>
                <c:pt idx="1059">
                  <c:v>2.2165288177689004</c:v>
                </c:pt>
                <c:pt idx="1060">
                  <c:v>2.173683509621398</c:v>
                </c:pt>
                <c:pt idx="1061">
                  <c:v>2.2346588106464931</c:v>
                </c:pt>
                <c:pt idx="1062">
                  <c:v>2.2983907413666635</c:v>
                </c:pt>
                <c:pt idx="1063">
                  <c:v>2.2005681084665389</c:v>
                </c:pt>
                <c:pt idx="1064">
                  <c:v>2.2994347131414714</c:v>
                </c:pt>
                <c:pt idx="1065">
                  <c:v>2.28177562437677</c:v>
                </c:pt>
                <c:pt idx="1066">
                  <c:v>2.2368057582186256</c:v>
                </c:pt>
                <c:pt idx="1067">
                  <c:v>2.2260727750906981</c:v>
                </c:pt>
                <c:pt idx="1068">
                  <c:v>2.3307724041613334</c:v>
                </c:pt>
                <c:pt idx="1069">
                  <c:v>2.2541739063346466</c:v>
                </c:pt>
                <c:pt idx="1070">
                  <c:v>2.2662965384079814</c:v>
                </c:pt>
                <c:pt idx="1071">
                  <c:v>2.2135265979879257</c:v>
                </c:pt>
                <c:pt idx="1072">
                  <c:v>2.2214634815814551</c:v>
                </c:pt>
                <c:pt idx="1073">
                  <c:v>2.2629184695874485</c:v>
                </c:pt>
                <c:pt idx="1074">
                  <c:v>2.2214634815814551</c:v>
                </c:pt>
                <c:pt idx="1075">
                  <c:v>2.2748186740925087</c:v>
                </c:pt>
                <c:pt idx="1076">
                  <c:v>2.2280035906613795</c:v>
                </c:pt>
                <c:pt idx="1077">
                  <c:v>2.2257582977493309</c:v>
                </c:pt>
                <c:pt idx="1078">
                  <c:v>2.2022942582679548</c:v>
                </c:pt>
                <c:pt idx="1079">
                  <c:v>2.2418073066166948</c:v>
                </c:pt>
                <c:pt idx="1080">
                  <c:v>2.2510886255321005</c:v>
                </c:pt>
                <c:pt idx="1081">
                  <c:v>2.3108656386730928</c:v>
                </c:pt>
                <c:pt idx="1082">
                  <c:v>2.2610838109190028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0F-42E2-BAE7-FA24B464A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507528"/>
        <c:axId val="301507920"/>
      </c:scatterChart>
      <c:valAx>
        <c:axId val="301507528"/>
        <c:scaling>
          <c:orientation val="minMax"/>
          <c:max val="1.3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THORAX</a:t>
                </a:r>
              </a:p>
            </c:rich>
          </c:tx>
          <c:layout>
            <c:manualLayout>
              <c:xMode val="edge"/>
              <c:yMode val="edge"/>
              <c:x val="0.4588569878643034"/>
              <c:y val="0.843624372305115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07920"/>
        <c:crosses val="autoZero"/>
        <c:crossBetween val="midCat"/>
        <c:majorUnit val="0.1"/>
      </c:valAx>
      <c:valAx>
        <c:axId val="301507920"/>
        <c:scaling>
          <c:orientation val="minMax"/>
          <c:max val="2.6"/>
          <c:min val="1.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WING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07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WING LENGTH VS THORAX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420335341638465"/>
          <c:y val="7.8012906893210318E-2"/>
          <c:w val="0.58549321192709147"/>
          <c:h val="0.71694041787804497"/>
        </c:manualLayout>
      </c:layout>
      <c:scatterChart>
        <c:scatterStyle val="lineMarker"/>
        <c:varyColors val="0"/>
        <c:ser>
          <c:idx val="3"/>
          <c:order val="0"/>
          <c:tx>
            <c:strRef>
              <c:f>'HT 2017-07-05 BIG JIM'!$L$1</c:f>
              <c:strCache>
                <c:ptCount val="1"/>
                <c:pt idx="0">
                  <c:v>sel-f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C0000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JIM'!$L$2:$L$1205</c:f>
              <c:numCache>
                <c:formatCode>General</c:formatCode>
                <c:ptCount val="1204"/>
                <c:pt idx="0">
                  <c:v>2.2461077445216202</c:v>
                </c:pt>
                <c:pt idx="1">
                  <c:v>2.2774766738651788</c:v>
                </c:pt>
                <c:pt idx="2">
                  <c:v>2.3032585612562047</c:v>
                </c:pt>
                <c:pt idx="3">
                  <c:v>2.2529092303064493</c:v>
                </c:pt>
                <c:pt idx="4">
                  <c:v>2.2821262015935928</c:v>
                </c:pt>
                <c:pt idx="5">
                  <c:v>2.2067623342806995</c:v>
                </c:pt>
                <c:pt idx="6">
                  <c:v>2.156965461012299</c:v>
                </c:pt>
                <c:pt idx="7">
                  <c:v>2.2314345161801188</c:v>
                </c:pt>
                <c:pt idx="8">
                  <c:v>2.2022942582679548</c:v>
                </c:pt>
                <c:pt idx="9">
                  <c:v>2.235732542143626</c:v>
                </c:pt>
                <c:pt idx="10">
                  <c:v>2.2949074055394916</c:v>
                </c:pt>
                <c:pt idx="11">
                  <c:v>2.2079175709251468</c:v>
                </c:pt>
                <c:pt idx="12">
                  <c:v>2.2041778512633687</c:v>
                </c:pt>
                <c:pt idx="13">
                  <c:v>2.3277671704876326</c:v>
                </c:pt>
                <c:pt idx="14">
                  <c:v>2.2181523843054607</c:v>
                </c:pt>
                <c:pt idx="15">
                  <c:v>2.2861539755668248</c:v>
                </c:pt>
                <c:pt idx="16">
                  <c:v>2.2184679398179274</c:v>
                </c:pt>
                <c:pt idx="17">
                  <c:v>2.2552383466055201</c:v>
                </c:pt>
                <c:pt idx="18">
                  <c:v>2.2049489790015553</c:v>
                </c:pt>
                <c:pt idx="19">
                  <c:v>2.2238030488332368</c:v>
                </c:pt>
                <c:pt idx="20">
                  <c:v>2.2604866732630828</c:v>
                </c:pt>
                <c:pt idx="21">
                  <c:v>2.2405579662218069</c:v>
                </c:pt>
                <c:pt idx="22">
                  <c:v>2.2226560687609771</c:v>
                </c:pt>
                <c:pt idx="23">
                  <c:v>2.2316361710637334</c:v>
                </c:pt>
                <c:pt idx="24">
                  <c:v>2.2192341021172148</c:v>
                </c:pt>
                <c:pt idx="25">
                  <c:v>2.2085742007005331</c:v>
                </c:pt>
                <c:pt idx="26">
                  <c:v>2.2514439810930229</c:v>
                </c:pt>
                <c:pt idx="27">
                  <c:v>2.2051077071199949</c:v>
                </c:pt>
                <c:pt idx="28">
                  <c:v>2.1991361940543839</c:v>
                </c:pt>
                <c:pt idx="29">
                  <c:v>2.1912781658201226</c:v>
                </c:pt>
                <c:pt idx="30">
                  <c:v>2.2747747141200598</c:v>
                </c:pt>
                <c:pt idx="31">
                  <c:v>2.2107012462112561</c:v>
                </c:pt>
                <c:pt idx="32">
                  <c:v>2.2689424849475581</c:v>
                </c:pt>
                <c:pt idx="33">
                  <c:v>2.229102958591191</c:v>
                </c:pt>
                <c:pt idx="34">
                  <c:v>2.1800000000000002</c:v>
                </c:pt>
                <c:pt idx="35">
                  <c:v>2.1669563908856126</c:v>
                </c:pt>
                <c:pt idx="36">
                  <c:v>2.2029071700822982</c:v>
                </c:pt>
                <c:pt idx="37">
                  <c:v>2.2228135324403619</c:v>
                </c:pt>
                <c:pt idx="38">
                  <c:v>2.2415396494374127</c:v>
                </c:pt>
                <c:pt idx="39">
                  <c:v>2.3097185975785015</c:v>
                </c:pt>
                <c:pt idx="40">
                  <c:v>2.2542404485768595</c:v>
                </c:pt>
                <c:pt idx="41">
                  <c:v>2.2029298672449835</c:v>
                </c:pt>
                <c:pt idx="42">
                  <c:v>2.2228360263411244</c:v>
                </c:pt>
                <c:pt idx="43">
                  <c:v>2.2588713996153036</c:v>
                </c:pt>
                <c:pt idx="44">
                  <c:v>2.291244203484212</c:v>
                </c:pt>
                <c:pt idx="45">
                  <c:v>2.2961271741782947</c:v>
                </c:pt>
                <c:pt idx="46">
                  <c:v>2.2777181564012703</c:v>
                </c:pt>
                <c:pt idx="47">
                  <c:v>2.2503777460684242</c:v>
                </c:pt>
                <c:pt idx="48">
                  <c:v>2.3505318547086316</c:v>
                </c:pt>
                <c:pt idx="49">
                  <c:v>2.26101747007846</c:v>
                </c:pt>
                <c:pt idx="50">
                  <c:v>2.2988910370002316</c:v>
                </c:pt>
                <c:pt idx="51">
                  <c:v>2.2689424849475577</c:v>
                </c:pt>
                <c:pt idx="52">
                  <c:v>2.2586943130932968</c:v>
                </c:pt>
                <c:pt idx="53">
                  <c:v>2.2812277396174192</c:v>
                </c:pt>
                <c:pt idx="54">
                  <c:v>2.3505318547086316</c:v>
                </c:pt>
                <c:pt idx="55">
                  <c:v>2.1883326986543885</c:v>
                </c:pt>
                <c:pt idx="56">
                  <c:v>2.3078344827998389</c:v>
                </c:pt>
                <c:pt idx="57">
                  <c:v>2.2398660674245678</c:v>
                </c:pt>
                <c:pt idx="58">
                  <c:v>2.2786399452304877</c:v>
                </c:pt>
                <c:pt idx="59">
                  <c:v>2.1954498400100149</c:v>
                </c:pt>
                <c:pt idx="60">
                  <c:v>2.2297085011274458</c:v>
                </c:pt>
                <c:pt idx="61">
                  <c:v>2.1827734651126764</c:v>
                </c:pt>
                <c:pt idx="62">
                  <c:v>2.2005681084665389</c:v>
                </c:pt>
                <c:pt idx="63">
                  <c:v>2.2252415599210797</c:v>
                </c:pt>
                <c:pt idx="64">
                  <c:v>2.2655021518418383</c:v>
                </c:pt>
                <c:pt idx="65">
                  <c:v>2.2214634815814551</c:v>
                </c:pt>
                <c:pt idx="66">
                  <c:v>2.2500222221124839</c:v>
                </c:pt>
                <c:pt idx="67">
                  <c:v>2.2621449997734451</c:v>
                </c:pt>
                <c:pt idx="68">
                  <c:v>2.2723776094654689</c:v>
                </c:pt>
                <c:pt idx="69">
                  <c:v>2.2107012462112556</c:v>
                </c:pt>
                <c:pt idx="70">
                  <c:v>2.1774526401279091</c:v>
                </c:pt>
                <c:pt idx="71">
                  <c:v>2.1832544515012446</c:v>
                </c:pt>
                <c:pt idx="72">
                  <c:v>2.2716073604388591</c:v>
                </c:pt>
                <c:pt idx="73">
                  <c:v>2.2561028345356955</c:v>
                </c:pt>
                <c:pt idx="74">
                  <c:v>2.2743130831088321</c:v>
                </c:pt>
                <c:pt idx="75">
                  <c:v>2.1411445537375564</c:v>
                </c:pt>
                <c:pt idx="76">
                  <c:v>2.2092758994747577</c:v>
                </c:pt>
                <c:pt idx="77">
                  <c:v>2.2230159693533467</c:v>
                </c:pt>
                <c:pt idx="78">
                  <c:v>2.2539742678211745</c:v>
                </c:pt>
                <c:pt idx="196">
                  <c:v>2.3749736840647309</c:v>
                </c:pt>
                <c:pt idx="197">
                  <c:v>2.3970815588961503</c:v>
                </c:pt>
                <c:pt idx="198">
                  <c:v>2.3645718428502018</c:v>
                </c:pt>
                <c:pt idx="199">
                  <c:v>2.414560001325293</c:v>
                </c:pt>
                <c:pt idx="200">
                  <c:v>2.4175400720567177</c:v>
                </c:pt>
                <c:pt idx="201">
                  <c:v>2.4358981916328113</c:v>
                </c:pt>
                <c:pt idx="202">
                  <c:v>2.3977489443225704</c:v>
                </c:pt>
                <c:pt idx="203">
                  <c:v>2.4423349483639631</c:v>
                </c:pt>
                <c:pt idx="204">
                  <c:v>2.3864827675891567</c:v>
                </c:pt>
                <c:pt idx="205">
                  <c:v>2.3843028331149552</c:v>
                </c:pt>
                <c:pt idx="206">
                  <c:v>2.3795167576632026</c:v>
                </c:pt>
                <c:pt idx="207">
                  <c:v>2.411514047232568</c:v>
                </c:pt>
                <c:pt idx="208">
                  <c:v>2.3703375287076733</c:v>
                </c:pt>
                <c:pt idx="209">
                  <c:v>2.346422809299296</c:v>
                </c:pt>
                <c:pt idx="210">
                  <c:v>2.3853720883753127</c:v>
                </c:pt>
                <c:pt idx="211">
                  <c:v>2.3544001359157285</c:v>
                </c:pt>
                <c:pt idx="212">
                  <c:v>2.3796848530845423</c:v>
                </c:pt>
                <c:pt idx="213">
                  <c:v>2.3910248848558644</c:v>
                </c:pt>
                <c:pt idx="214">
                  <c:v>2.4185326129701044</c:v>
                </c:pt>
                <c:pt idx="215">
                  <c:v>2.4039342753078756</c:v>
                </c:pt>
                <c:pt idx="216">
                  <c:v>2.4285386552410482</c:v>
                </c:pt>
                <c:pt idx="217">
                  <c:v>2.4137315509393336</c:v>
                </c:pt>
                <c:pt idx="218">
                  <c:v>2.4560130292814004</c:v>
                </c:pt>
                <c:pt idx="219">
                  <c:v>2.3535717537394101</c:v>
                </c:pt>
                <c:pt idx="220">
                  <c:v>2.4686838598735159</c:v>
                </c:pt>
                <c:pt idx="221">
                  <c:v>2.4215697388264501</c:v>
                </c:pt>
                <c:pt idx="222">
                  <c:v>2.3571593073019055</c:v>
                </c:pt>
                <c:pt idx="223">
                  <c:v>2.3576471322061749</c:v>
                </c:pt>
                <c:pt idx="224">
                  <c:v>2.4063665556186575</c:v>
                </c:pt>
                <c:pt idx="225">
                  <c:v>2.4147877753541822</c:v>
                </c:pt>
                <c:pt idx="226">
                  <c:v>2.4575801105966009</c:v>
                </c:pt>
                <c:pt idx="227">
                  <c:v>2.4252834885843759</c:v>
                </c:pt>
                <c:pt idx="228">
                  <c:v>2.4288680491125905</c:v>
                </c:pt>
                <c:pt idx="229">
                  <c:v>2.4164643593481783</c:v>
                </c:pt>
                <c:pt idx="230">
                  <c:v>2.4166091947189146</c:v>
                </c:pt>
                <c:pt idx="231">
                  <c:v>2.395850579648072</c:v>
                </c:pt>
                <c:pt idx="232">
                  <c:v>2.4301646034785382</c:v>
                </c:pt>
                <c:pt idx="233">
                  <c:v>2.3925091431382244</c:v>
                </c:pt>
                <c:pt idx="234">
                  <c:v>2.4157193545608724</c:v>
                </c:pt>
                <c:pt idx="235">
                  <c:v>2.4200206610688264</c:v>
                </c:pt>
                <c:pt idx="236">
                  <c:v>2.4021656895393373</c:v>
                </c:pt>
                <c:pt idx="237">
                  <c:v>2.4407375934335915</c:v>
                </c:pt>
                <c:pt idx="238">
                  <c:v>2.4226019070412703</c:v>
                </c:pt>
                <c:pt idx="239">
                  <c:v>2.4078621222985337</c:v>
                </c:pt>
                <c:pt idx="240">
                  <c:v>2.4541597340026584</c:v>
                </c:pt>
                <c:pt idx="241">
                  <c:v>2.4732367456432471</c:v>
                </c:pt>
                <c:pt idx="242">
                  <c:v>2.3634931774811623</c:v>
                </c:pt>
                <c:pt idx="243">
                  <c:v>2.4750959577357805</c:v>
                </c:pt>
                <c:pt idx="244">
                  <c:v>2.3972692798265278</c:v>
                </c:pt>
                <c:pt idx="245">
                  <c:v>2.4075921581530375</c:v>
                </c:pt>
                <c:pt idx="246">
                  <c:v>2.4528350943347172</c:v>
                </c:pt>
                <c:pt idx="247">
                  <c:v>2.4181397809059755</c:v>
                </c:pt>
                <c:pt idx="248">
                  <c:v>2.4358981916328113</c:v>
                </c:pt>
                <c:pt idx="249">
                  <c:v>2.4185326129701044</c:v>
                </c:pt>
                <c:pt idx="250">
                  <c:v>2.3961009995407125</c:v>
                </c:pt>
                <c:pt idx="251">
                  <c:v>2.3852253562294696</c:v>
                </c:pt>
                <c:pt idx="252">
                  <c:v>2.4284357104934853</c:v>
                </c:pt>
                <c:pt idx="253">
                  <c:v>2.4164643593481783</c:v>
                </c:pt>
                <c:pt idx="254">
                  <c:v>2.3644872594285635</c:v>
                </c:pt>
                <c:pt idx="255">
                  <c:v>2.4106845500811596</c:v>
                </c:pt>
                <c:pt idx="256">
                  <c:v>2.4175400720567182</c:v>
                </c:pt>
                <c:pt idx="257">
                  <c:v>2.426705585768492</c:v>
                </c:pt>
                <c:pt idx="258">
                  <c:v>2.4560537453402764</c:v>
                </c:pt>
                <c:pt idx="259">
                  <c:v>2.4661711213944582</c:v>
                </c:pt>
                <c:pt idx="260">
                  <c:v>2.4273648263085632</c:v>
                </c:pt>
                <c:pt idx="261">
                  <c:v>2.4629250902128552</c:v>
                </c:pt>
                <c:pt idx="262">
                  <c:v>2.4358366119261774</c:v>
                </c:pt>
                <c:pt idx="263">
                  <c:v>2.4629453911932355</c:v>
                </c:pt>
                <c:pt idx="264">
                  <c:v>2.4323856602109788</c:v>
                </c:pt>
                <c:pt idx="265">
                  <c:v>2.4041006634498476</c:v>
                </c:pt>
                <c:pt idx="266">
                  <c:v>2.4311519903124119</c:v>
                </c:pt>
                <c:pt idx="267">
                  <c:v>2.3603813251252435</c:v>
                </c:pt>
                <c:pt idx="268">
                  <c:v>2.4475497952033582</c:v>
                </c:pt>
                <c:pt idx="269">
                  <c:v>2.4390571949013413</c:v>
                </c:pt>
                <c:pt idx="270">
                  <c:v>2.352296749987127</c:v>
                </c:pt>
                <c:pt idx="271">
                  <c:v>2.3769728648009427</c:v>
                </c:pt>
                <c:pt idx="272">
                  <c:v>2.4323856602109788</c:v>
                </c:pt>
                <c:pt idx="394">
                  <c:v>2.5166843266488548</c:v>
                </c:pt>
                <c:pt idx="395">
                  <c:v>2.5787787807409925</c:v>
                </c:pt>
                <c:pt idx="396">
                  <c:v>2.5405511213120664</c:v>
                </c:pt>
                <c:pt idx="397">
                  <c:v>2.5556603843233945</c:v>
                </c:pt>
                <c:pt idx="398">
                  <c:v>2.54939208439973</c:v>
                </c:pt>
                <c:pt idx="399">
                  <c:v>2.4906224121692957</c:v>
                </c:pt>
                <c:pt idx="400">
                  <c:v>2.49897979183506</c:v>
                </c:pt>
                <c:pt idx="401">
                  <c:v>2.5111352014576998</c:v>
                </c:pt>
                <c:pt idx="402">
                  <c:v>2.5770137756713685</c:v>
                </c:pt>
                <c:pt idx="403">
                  <c:v>2.5379716310471241</c:v>
                </c:pt>
                <c:pt idx="404">
                  <c:v>2.5880108191427635</c:v>
                </c:pt>
                <c:pt idx="405">
                  <c:v>2.5111352014576998</c:v>
                </c:pt>
                <c:pt idx="406">
                  <c:v>2.5347583711273152</c:v>
                </c:pt>
                <c:pt idx="407">
                  <c:v>2.5609568524284043</c:v>
                </c:pt>
                <c:pt idx="408">
                  <c:v>2.5331403435261928</c:v>
                </c:pt>
                <c:pt idx="409">
                  <c:v>2.5133443854752575</c:v>
                </c:pt>
                <c:pt idx="410">
                  <c:v>2.610785322465254</c:v>
                </c:pt>
                <c:pt idx="411">
                  <c:v>2.5244801445050031</c:v>
                </c:pt>
                <c:pt idx="412">
                  <c:v>2.4819548746905129</c:v>
                </c:pt>
                <c:pt idx="413">
                  <c:v>2.5143587651725441</c:v>
                </c:pt>
                <c:pt idx="414">
                  <c:v>2.449693858423946</c:v>
                </c:pt>
                <c:pt idx="415">
                  <c:v>2.4684408034222738</c:v>
                </c:pt>
                <c:pt idx="416">
                  <c:v>2.4906424873915567</c:v>
                </c:pt>
                <c:pt idx="417">
                  <c:v>2.4933912649241394</c:v>
                </c:pt>
                <c:pt idx="418">
                  <c:v>2.4528350943347172</c:v>
                </c:pt>
                <c:pt idx="419">
                  <c:v>2.5044959572736389</c:v>
                </c:pt>
                <c:pt idx="420">
                  <c:v>2.4520399670478459</c:v>
                </c:pt>
                <c:pt idx="421">
                  <c:v>2.5026585863836881</c:v>
                </c:pt>
                <c:pt idx="422">
                  <c:v>2.5572641631243336</c:v>
                </c:pt>
                <c:pt idx="423">
                  <c:v>2.4850955716028307</c:v>
                </c:pt>
                <c:pt idx="424">
                  <c:v>2.5314027731674784</c:v>
                </c:pt>
                <c:pt idx="425">
                  <c:v>2.5184916120567085</c:v>
                </c:pt>
                <c:pt idx="426">
                  <c:v>2.5183526361492743</c:v>
                </c:pt>
                <c:pt idx="427">
                  <c:v>2.5253910588263357</c:v>
                </c:pt>
                <c:pt idx="428">
                  <c:v>2.5158895047279004</c:v>
                </c:pt>
                <c:pt idx="429">
                  <c:v>2.5128469909646309</c:v>
                </c:pt>
                <c:pt idx="430">
                  <c:v>2.4370679104202249</c:v>
                </c:pt>
                <c:pt idx="431">
                  <c:v>2.4911041728518697</c:v>
                </c:pt>
                <c:pt idx="432">
                  <c:v>2.5824213443975403</c:v>
                </c:pt>
                <c:pt idx="433">
                  <c:v>2.5072694310743713</c:v>
                </c:pt>
                <c:pt idx="434">
                  <c:v>2.5433245958783943</c:v>
                </c:pt>
                <c:pt idx="435">
                  <c:v>2.5238858928247923</c:v>
                </c:pt>
                <c:pt idx="436">
                  <c:v>2.5471749056552833</c:v>
                </c:pt>
                <c:pt idx="437">
                  <c:v>2.5962472917655592</c:v>
                </c:pt>
                <c:pt idx="438">
                  <c:v>2.5460754112948027</c:v>
                </c:pt>
                <c:pt idx="439">
                  <c:v>2.5460754112948027</c:v>
                </c:pt>
                <c:pt idx="440">
                  <c:v>2.5674306222369476</c:v>
                </c:pt>
                <c:pt idx="441">
                  <c:v>2.5211505310076192</c:v>
                </c:pt>
                <c:pt idx="442">
                  <c:v>2.4989797918350605</c:v>
                </c:pt>
                <c:pt idx="443">
                  <c:v>2.5726639889422018</c:v>
                </c:pt>
                <c:pt idx="444">
                  <c:v>2.5690854403853525</c:v>
                </c:pt>
                <c:pt idx="445">
                  <c:v>2.5355867171130235</c:v>
                </c:pt>
                <c:pt idx="446">
                  <c:v>2.5599414055794325</c:v>
                </c:pt>
                <c:pt idx="447">
                  <c:v>2.5711087102648928</c:v>
                </c:pt>
                <c:pt idx="448">
                  <c:v>2.5879142180528318</c:v>
                </c:pt>
                <c:pt idx="449">
                  <c:v>2.5748980562344599</c:v>
                </c:pt>
                <c:pt idx="450">
                  <c:v>2.5547798339583001</c:v>
                </c:pt>
                <c:pt idx="451">
                  <c:v>2.5006399181009651</c:v>
                </c:pt>
                <c:pt idx="452">
                  <c:v>2.5193848455525805</c:v>
                </c:pt>
                <c:pt idx="453">
                  <c:v>2.5439536159293472</c:v>
                </c:pt>
                <c:pt idx="454">
                  <c:v>2.5547798339583001</c:v>
                </c:pt>
                <c:pt idx="455">
                  <c:v>2.5312447530809821</c:v>
                </c:pt>
                <c:pt idx="456">
                  <c:v>2.5001799935204669</c:v>
                </c:pt>
                <c:pt idx="457">
                  <c:v>2.5853626438084079</c:v>
                </c:pt>
                <c:pt idx="458">
                  <c:v>2.584027863626861</c:v>
                </c:pt>
                <c:pt idx="459">
                  <c:v>2.6299239532731744</c:v>
                </c:pt>
                <c:pt idx="460">
                  <c:v>2.5707780923292467</c:v>
                </c:pt>
                <c:pt idx="461">
                  <c:v>2.5039169315294783</c:v>
                </c:pt>
                <c:pt idx="462">
                  <c:v>2.5518032839543099</c:v>
                </c:pt>
                <c:pt idx="463">
                  <c:v>2.6224606765402605</c:v>
                </c:pt>
                <c:pt idx="464">
                  <c:v>2.5403149411047439</c:v>
                </c:pt>
                <c:pt idx="465">
                  <c:v>2.5045957757690163</c:v>
                </c:pt>
                <c:pt idx="466">
                  <c:v>2.5092827660508887</c:v>
                </c:pt>
                <c:pt idx="467">
                  <c:v>2.5897104085206131</c:v>
                </c:pt>
                <c:pt idx="468">
                  <c:v>2.5144581921360314</c:v>
                </c:pt>
                <c:pt idx="469">
                  <c:v>2.4465894629054543</c:v>
                </c:pt>
                <c:pt idx="470">
                  <c:v>2.5147763320025103</c:v>
                </c:pt>
                <c:pt idx="471">
                  <c:v>2.4200206610688264</c:v>
                </c:pt>
                <c:pt idx="472">
                  <c:v>2.510019920239678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CF-4CFC-B878-A19C9D92B9F2}"/>
            </c:ext>
          </c:extLst>
        </c:ser>
        <c:ser>
          <c:idx val="22"/>
          <c:order val="1"/>
          <c:tx>
            <c:strRef>
              <c:f>'HT 2017-07-05 BIG JIM'!$S$1</c:f>
              <c:strCache>
                <c:ptCount val="1"/>
                <c:pt idx="0">
                  <c:v>wild-f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JIM'!$S$2:$S$1205</c:f>
              <c:numCache>
                <c:formatCode>General</c:formatCode>
                <c:ptCount val="1204"/>
                <c:pt idx="79">
                  <c:v>2.2495555116511352</c:v>
                </c:pt>
                <c:pt idx="80">
                  <c:v>2.3333452380648687</c:v>
                </c:pt>
                <c:pt idx="81">
                  <c:v>2.3120553626589482</c:v>
                </c:pt>
                <c:pt idx="82">
                  <c:v>2.3413671220037235</c:v>
                </c:pt>
                <c:pt idx="83">
                  <c:v>2.3686494041964079</c:v>
                </c:pt>
                <c:pt idx="84">
                  <c:v>2.2982819670353765</c:v>
                </c:pt>
                <c:pt idx="85">
                  <c:v>2.3908366736354032</c:v>
                </c:pt>
                <c:pt idx="86">
                  <c:v>2.310086578464106</c:v>
                </c:pt>
                <c:pt idx="87">
                  <c:v>2.3872997298202838</c:v>
                </c:pt>
                <c:pt idx="88">
                  <c:v>2.3360008561642269</c:v>
                </c:pt>
                <c:pt idx="89">
                  <c:v>2.3331738040703267</c:v>
                </c:pt>
                <c:pt idx="90">
                  <c:v>2.2881652038259825</c:v>
                </c:pt>
                <c:pt idx="91">
                  <c:v>2.3992707225321612</c:v>
                </c:pt>
                <c:pt idx="92">
                  <c:v>2.2940139493908926</c:v>
                </c:pt>
                <c:pt idx="93">
                  <c:v>2.3638104830971538</c:v>
                </c:pt>
                <c:pt idx="94">
                  <c:v>2.2812277396174192</c:v>
                </c:pt>
                <c:pt idx="95">
                  <c:v>2.3160742647851342</c:v>
                </c:pt>
                <c:pt idx="96">
                  <c:v>2.327101201065394</c:v>
                </c:pt>
                <c:pt idx="97">
                  <c:v>2.3122499864850257</c:v>
                </c:pt>
                <c:pt idx="98">
                  <c:v>2.2594247055390002</c:v>
                </c:pt>
                <c:pt idx="99">
                  <c:v>2.2472205054244232</c:v>
                </c:pt>
                <c:pt idx="100">
                  <c:v>2.2203603311174516</c:v>
                </c:pt>
                <c:pt idx="101">
                  <c:v>2.3307724041613329</c:v>
                </c:pt>
                <c:pt idx="102">
                  <c:v>2.2826519664635692</c:v>
                </c:pt>
                <c:pt idx="103">
                  <c:v>2.2313448859376268</c:v>
                </c:pt>
                <c:pt idx="104">
                  <c:v>2.3150161986474305</c:v>
                </c:pt>
                <c:pt idx="105">
                  <c:v>2.2552383466055201</c:v>
                </c:pt>
                <c:pt idx="106">
                  <c:v>2.3860637040950943</c:v>
                </c:pt>
                <c:pt idx="107">
                  <c:v>2.3193102422918757</c:v>
                </c:pt>
                <c:pt idx="108">
                  <c:v>2.2552383466055201</c:v>
                </c:pt>
                <c:pt idx="109">
                  <c:v>2.3404700382615458</c:v>
                </c:pt>
                <c:pt idx="110">
                  <c:v>2.3084626919229168</c:v>
                </c:pt>
                <c:pt idx="111">
                  <c:v>2.308246087400561</c:v>
                </c:pt>
                <c:pt idx="112">
                  <c:v>2.3138712150852303</c:v>
                </c:pt>
                <c:pt idx="113">
                  <c:v>2.2840534144367117</c:v>
                </c:pt>
                <c:pt idx="114">
                  <c:v>2.276532450899833</c:v>
                </c:pt>
                <c:pt idx="115">
                  <c:v>2.327101201065394</c:v>
                </c:pt>
                <c:pt idx="116">
                  <c:v>2.3424132854814497</c:v>
                </c:pt>
                <c:pt idx="117">
                  <c:v>2.3780033641691931</c:v>
                </c:pt>
                <c:pt idx="118">
                  <c:v>2.4041630560342613</c:v>
                </c:pt>
                <c:pt idx="119">
                  <c:v>2.3259406699226011</c:v>
                </c:pt>
                <c:pt idx="120">
                  <c:v>2.3786130412490385</c:v>
                </c:pt>
                <c:pt idx="121">
                  <c:v>2.2622555116520329</c:v>
                </c:pt>
                <c:pt idx="122">
                  <c:v>2.3360008561642269</c:v>
                </c:pt>
                <c:pt idx="123">
                  <c:v>2.2466196829904255</c:v>
                </c:pt>
                <c:pt idx="124">
                  <c:v>2.300195643852931</c:v>
                </c:pt>
                <c:pt idx="125">
                  <c:v>2.2812277396174192</c:v>
                </c:pt>
                <c:pt idx="126">
                  <c:v>2.2177466041006579</c:v>
                </c:pt>
                <c:pt idx="127">
                  <c:v>2.2240728405337808</c:v>
                </c:pt>
                <c:pt idx="128">
                  <c:v>2.3700210969525148</c:v>
                </c:pt>
                <c:pt idx="129">
                  <c:v>2.3762154784446636</c:v>
                </c:pt>
                <c:pt idx="130">
                  <c:v>2.3541665191740364</c:v>
                </c:pt>
                <c:pt idx="131">
                  <c:v>2.3167218218853987</c:v>
                </c:pt>
                <c:pt idx="132">
                  <c:v>2.2461745257214543</c:v>
                </c:pt>
                <c:pt idx="133">
                  <c:v>2.3952035404115453</c:v>
                </c:pt>
                <c:pt idx="134">
                  <c:v>2.26947130407062</c:v>
                </c:pt>
                <c:pt idx="135">
                  <c:v>2.236604569431083</c:v>
                </c:pt>
                <c:pt idx="136">
                  <c:v>2.3546761985462035</c:v>
                </c:pt>
                <c:pt idx="137">
                  <c:v>2.3576471322061749</c:v>
                </c:pt>
                <c:pt idx="138">
                  <c:v>2.3082460874005615</c:v>
                </c:pt>
                <c:pt idx="139">
                  <c:v>2.3375414434828743</c:v>
                </c:pt>
                <c:pt idx="140">
                  <c:v>2.2182200071228282</c:v>
                </c:pt>
                <c:pt idx="141">
                  <c:v>2.2542404485768595</c:v>
                </c:pt>
                <c:pt idx="142">
                  <c:v>2.3300643767930533</c:v>
                </c:pt>
                <c:pt idx="143">
                  <c:v>2.2624102192131295</c:v>
                </c:pt>
                <c:pt idx="144">
                  <c:v>2.3255106965997814</c:v>
                </c:pt>
                <c:pt idx="145">
                  <c:v>2.2905894437895236</c:v>
                </c:pt>
                <c:pt idx="146">
                  <c:v>2.2184003245582167</c:v>
                </c:pt>
                <c:pt idx="147">
                  <c:v>2.263117319097709</c:v>
                </c:pt>
                <c:pt idx="148">
                  <c:v>2.3702320561497769</c:v>
                </c:pt>
                <c:pt idx="149">
                  <c:v>2.3331095130747723</c:v>
                </c:pt>
                <c:pt idx="150">
                  <c:v>2.2929675095822879</c:v>
                </c:pt>
                <c:pt idx="151">
                  <c:v>2.2729716232280595</c:v>
                </c:pt>
                <c:pt idx="152">
                  <c:v>2.2107012462112561</c:v>
                </c:pt>
                <c:pt idx="153">
                  <c:v>2.3692192806914263</c:v>
                </c:pt>
                <c:pt idx="154">
                  <c:v>2.2123742902140227</c:v>
                </c:pt>
                <c:pt idx="155">
                  <c:v>2.2727076362788066</c:v>
                </c:pt>
                <c:pt idx="156">
                  <c:v>2.2673773395709853</c:v>
                </c:pt>
                <c:pt idx="157">
                  <c:v>2.283527972239447</c:v>
                </c:pt>
                <c:pt idx="158">
                  <c:v>2.300825938657681</c:v>
                </c:pt>
                <c:pt idx="159">
                  <c:v>2.3008259386576815</c:v>
                </c:pt>
                <c:pt idx="160">
                  <c:v>2.2673773395709858</c:v>
                </c:pt>
                <c:pt idx="161">
                  <c:v>2.2303362975121037</c:v>
                </c:pt>
                <c:pt idx="162">
                  <c:v>2.220022522408275</c:v>
                </c:pt>
                <c:pt idx="163">
                  <c:v>2.2029071700822982</c:v>
                </c:pt>
                <c:pt idx="164">
                  <c:v>2.3512762491889379</c:v>
                </c:pt>
                <c:pt idx="165">
                  <c:v>2.2466196829904255</c:v>
                </c:pt>
                <c:pt idx="166">
                  <c:v>2.2636474990598692</c:v>
                </c:pt>
                <c:pt idx="167">
                  <c:v>2.2196396103872353</c:v>
                </c:pt>
                <c:pt idx="168">
                  <c:v>2.2800219297190978</c:v>
                </c:pt>
                <c:pt idx="169">
                  <c:v>2.2202927734873166</c:v>
                </c:pt>
                <c:pt idx="170">
                  <c:v>2.1253235047869774</c:v>
                </c:pt>
                <c:pt idx="171">
                  <c:v>2.1087437018281761</c:v>
                </c:pt>
                <c:pt idx="172">
                  <c:v>2.2536193112413638</c:v>
                </c:pt>
                <c:pt idx="173">
                  <c:v>2.1741205118392126</c:v>
                </c:pt>
                <c:pt idx="174">
                  <c:v>2.2410934831014973</c:v>
                </c:pt>
                <c:pt idx="175">
                  <c:v>2.2853664913969487</c:v>
                </c:pt>
                <c:pt idx="176">
                  <c:v>2.194288039433292</c:v>
                </c:pt>
                <c:pt idx="177">
                  <c:v>2.1609257275528928</c:v>
                </c:pt>
                <c:pt idx="178">
                  <c:v>2.2981731875557161</c:v>
                </c:pt>
                <c:pt idx="179">
                  <c:v>2.1349004660639332</c:v>
                </c:pt>
                <c:pt idx="180">
                  <c:v>2.1947665023869853</c:v>
                </c:pt>
                <c:pt idx="181">
                  <c:v>2.2071927872299693</c:v>
                </c:pt>
                <c:pt idx="182">
                  <c:v>2.2205629916757599</c:v>
                </c:pt>
                <c:pt idx="183">
                  <c:v>2.2271281956816047</c:v>
                </c:pt>
                <c:pt idx="184">
                  <c:v>2.2165288177689004</c:v>
                </c:pt>
                <c:pt idx="185">
                  <c:v>2.2585393509965686</c:v>
                </c:pt>
                <c:pt idx="186">
                  <c:v>2.2503777460684242</c:v>
                </c:pt>
                <c:pt idx="187">
                  <c:v>2.2407588000496617</c:v>
                </c:pt>
                <c:pt idx="188">
                  <c:v>2.2484883811129643</c:v>
                </c:pt>
                <c:pt idx="189">
                  <c:v>2.2077137495608441</c:v>
                </c:pt>
                <c:pt idx="190">
                  <c:v>2.1600462958001621</c:v>
                </c:pt>
                <c:pt idx="191">
                  <c:v>2.2585393509965681</c:v>
                </c:pt>
                <c:pt idx="192">
                  <c:v>2.2155134844996991</c:v>
                </c:pt>
                <c:pt idx="193">
                  <c:v>2.2318154045529837</c:v>
                </c:pt>
                <c:pt idx="194">
                  <c:v>2.1708293346092407</c:v>
                </c:pt>
                <c:pt idx="195">
                  <c:v>2.3020860105565126</c:v>
                </c:pt>
                <c:pt idx="273">
                  <c:v>2.4833847869389873</c:v>
                </c:pt>
                <c:pt idx="274">
                  <c:v>2.5379716310471241</c:v>
                </c:pt>
                <c:pt idx="275">
                  <c:v>2.4387701818744629</c:v>
                </c:pt>
                <c:pt idx="276">
                  <c:v>2.4357750306627248</c:v>
                </c:pt>
                <c:pt idx="277">
                  <c:v>2.4477336456403909</c:v>
                </c:pt>
                <c:pt idx="278">
                  <c:v>2.4175400720567182</c:v>
                </c:pt>
                <c:pt idx="279">
                  <c:v>2.4437675830569483</c:v>
                </c:pt>
                <c:pt idx="280">
                  <c:v>2.4118250351134511</c:v>
                </c:pt>
                <c:pt idx="281">
                  <c:v>2.419462750281558</c:v>
                </c:pt>
                <c:pt idx="282">
                  <c:v>2.4239018131929355</c:v>
                </c:pt>
                <c:pt idx="283">
                  <c:v>2.5119912420229493</c:v>
                </c:pt>
                <c:pt idx="284">
                  <c:v>2.4613004692641653</c:v>
                </c:pt>
                <c:pt idx="285">
                  <c:v>2.4920072231034966</c:v>
                </c:pt>
                <c:pt idx="286">
                  <c:v>2.3854978516024699</c:v>
                </c:pt>
                <c:pt idx="287">
                  <c:v>2.4424782496472717</c:v>
                </c:pt>
                <c:pt idx="288">
                  <c:v>2.4709512338368804</c:v>
                </c:pt>
                <c:pt idx="289">
                  <c:v>2.4186773244895652</c:v>
                </c:pt>
                <c:pt idx="290">
                  <c:v>2.3671290628100534</c:v>
                </c:pt>
                <c:pt idx="291">
                  <c:v>2.426272861819132</c:v>
                </c:pt>
                <c:pt idx="292">
                  <c:v>2.4831028975860021</c:v>
                </c:pt>
                <c:pt idx="293">
                  <c:v>2.4257163890281981</c:v>
                </c:pt>
                <c:pt idx="294">
                  <c:v>2.4581497106563708</c:v>
                </c:pt>
                <c:pt idx="295">
                  <c:v>2.5092827660508887</c:v>
                </c:pt>
                <c:pt idx="296">
                  <c:v>2.517935662402834</c:v>
                </c:pt>
                <c:pt idx="297">
                  <c:v>2.4147256572952549</c:v>
                </c:pt>
                <c:pt idx="298">
                  <c:v>2.4604471138392712</c:v>
                </c:pt>
                <c:pt idx="299">
                  <c:v>2.3977697971239862</c:v>
                </c:pt>
                <c:pt idx="300">
                  <c:v>2.4804031930313264</c:v>
                </c:pt>
                <c:pt idx="301">
                  <c:v>2.5019192632856884</c:v>
                </c:pt>
                <c:pt idx="302">
                  <c:v>2.4973586046060743</c:v>
                </c:pt>
                <c:pt idx="303">
                  <c:v>2.4020824298928627</c:v>
                </c:pt>
                <c:pt idx="304">
                  <c:v>2.4689471440271866</c:v>
                </c:pt>
                <c:pt idx="305">
                  <c:v>2.429897117163605</c:v>
                </c:pt>
                <c:pt idx="306">
                  <c:v>2.491304878974069</c:v>
                </c:pt>
                <c:pt idx="307">
                  <c:v>2.4686838598735159</c:v>
                </c:pt>
                <c:pt idx="308">
                  <c:v>2.4633310780323461</c:v>
                </c:pt>
                <c:pt idx="309">
                  <c:v>2.4341733709824367</c:v>
                </c:pt>
                <c:pt idx="310">
                  <c:v>2.4352823244954576</c:v>
                </c:pt>
                <c:pt idx="311">
                  <c:v>2.4166091947189146</c:v>
                </c:pt>
                <c:pt idx="312">
                  <c:v>2.4078413569004082</c:v>
                </c:pt>
                <c:pt idx="313">
                  <c:v>2.3409613409879286</c:v>
                </c:pt>
                <c:pt idx="314">
                  <c:v>2.4274472187876714</c:v>
                </c:pt>
                <c:pt idx="315">
                  <c:v>2.4473863609981974</c:v>
                </c:pt>
                <c:pt idx="316">
                  <c:v>2.5241434190631882</c:v>
                </c:pt>
                <c:pt idx="317">
                  <c:v>2.49899979991996</c:v>
                </c:pt>
                <c:pt idx="318">
                  <c:v>2.4440130932546169</c:v>
                </c:pt>
                <c:pt idx="319">
                  <c:v>2.4869660230891775</c:v>
                </c:pt>
                <c:pt idx="320">
                  <c:v>2.5019192632856884</c:v>
                </c:pt>
                <c:pt idx="321">
                  <c:v>2.4795160818191921</c:v>
                </c:pt>
                <c:pt idx="322">
                  <c:v>2.470080970332754</c:v>
                </c:pt>
                <c:pt idx="323">
                  <c:v>2.4689471440271866</c:v>
                </c:pt>
                <c:pt idx="324">
                  <c:v>2.43232399157678</c:v>
                </c:pt>
                <c:pt idx="325">
                  <c:v>2.3930106560565085</c:v>
                </c:pt>
                <c:pt idx="326">
                  <c:v>2.4147256572952549</c:v>
                </c:pt>
                <c:pt idx="327">
                  <c:v>2.3259406699226011</c:v>
                </c:pt>
                <c:pt idx="328">
                  <c:v>2.4226638231500468</c:v>
                </c:pt>
                <c:pt idx="329">
                  <c:v>2.4062626623043464</c:v>
                </c:pt>
                <c:pt idx="330">
                  <c:v>2.3837994882120435</c:v>
                </c:pt>
                <c:pt idx="331">
                  <c:v>2.4524681445433703</c:v>
                </c:pt>
                <c:pt idx="332">
                  <c:v>2.4645689278249048</c:v>
                </c:pt>
                <c:pt idx="333">
                  <c:v>2.4242318370980938</c:v>
                </c:pt>
                <c:pt idx="334">
                  <c:v>2.4880916381837705</c:v>
                </c:pt>
                <c:pt idx="335">
                  <c:v>2.3881373494839027</c:v>
                </c:pt>
                <c:pt idx="336">
                  <c:v>2.4018534509832192</c:v>
                </c:pt>
                <c:pt idx="337">
                  <c:v>2.4449948875202172</c:v>
                </c:pt>
                <c:pt idx="338">
                  <c:v>2.5147763320025107</c:v>
                </c:pt>
                <c:pt idx="339">
                  <c:v>2.4377243486497813</c:v>
                </c:pt>
                <c:pt idx="340">
                  <c:v>2.3537204591879641</c:v>
                </c:pt>
                <c:pt idx="341">
                  <c:v>2.4420483205702546</c:v>
                </c:pt>
                <c:pt idx="342">
                  <c:v>2.5026585863836881</c:v>
                </c:pt>
                <c:pt idx="343">
                  <c:v>2.3942639787625759</c:v>
                </c:pt>
                <c:pt idx="344">
                  <c:v>2.4973586046060747</c:v>
                </c:pt>
                <c:pt idx="345">
                  <c:v>2.3728674636397202</c:v>
                </c:pt>
                <c:pt idx="346">
                  <c:v>2.4105808428675441</c:v>
                </c:pt>
                <c:pt idx="347">
                  <c:v>2.3847222060441338</c:v>
                </c:pt>
                <c:pt idx="348">
                  <c:v>2.4520399670478454</c:v>
                </c:pt>
                <c:pt idx="349">
                  <c:v>2.4687648733729177</c:v>
                </c:pt>
                <c:pt idx="350">
                  <c:v>2.3713498265755728</c:v>
                </c:pt>
                <c:pt idx="351">
                  <c:v>2.4166091947189146</c:v>
                </c:pt>
                <c:pt idx="352">
                  <c:v>2.4798790293076798</c:v>
                </c:pt>
                <c:pt idx="353">
                  <c:v>2.4301646034785378</c:v>
                </c:pt>
                <c:pt idx="354">
                  <c:v>2.4439517180173591</c:v>
                </c:pt>
                <c:pt idx="355">
                  <c:v>2.3085276693165282</c:v>
                </c:pt>
                <c:pt idx="356">
                  <c:v>2.4644877763949244</c:v>
                </c:pt>
                <c:pt idx="357">
                  <c:v>2.3754157530840785</c:v>
                </c:pt>
                <c:pt idx="358">
                  <c:v>2.346912865872953</c:v>
                </c:pt>
                <c:pt idx="359">
                  <c:v>2.4500000000000002</c:v>
                </c:pt>
                <c:pt idx="360">
                  <c:v>2.4311519903124119</c:v>
                </c:pt>
                <c:pt idx="361">
                  <c:v>2.3120986138138657</c:v>
                </c:pt>
                <c:pt idx="362">
                  <c:v>2.3394016328967542</c:v>
                </c:pt>
                <c:pt idx="363">
                  <c:v>2.542380773999048</c:v>
                </c:pt>
                <c:pt idx="364">
                  <c:v>2.4085265205099984</c:v>
                </c:pt>
                <c:pt idx="365">
                  <c:v>2.4008540147205952</c:v>
                </c:pt>
                <c:pt idx="366">
                  <c:v>2.5249158401816092</c:v>
                </c:pt>
                <c:pt idx="367">
                  <c:v>2.3914012628582433</c:v>
                </c:pt>
                <c:pt idx="368">
                  <c:v>2.4212806528777282</c:v>
                </c:pt>
                <c:pt idx="369">
                  <c:v>2.4480400323524125</c:v>
                </c:pt>
                <c:pt idx="370">
                  <c:v>2.5145377308761945</c:v>
                </c:pt>
                <c:pt idx="371">
                  <c:v>2.358664876577425</c:v>
                </c:pt>
                <c:pt idx="372">
                  <c:v>2.3995416228938393</c:v>
                </c:pt>
                <c:pt idx="373">
                  <c:v>2.4318717071424638</c:v>
                </c:pt>
                <c:pt idx="374">
                  <c:v>2.3120553626589482</c:v>
                </c:pt>
                <c:pt idx="375">
                  <c:v>2.3653540961133075</c:v>
                </c:pt>
                <c:pt idx="376">
                  <c:v>2.2998478210525151</c:v>
                </c:pt>
                <c:pt idx="377">
                  <c:v>2.3769728648009427</c:v>
                </c:pt>
                <c:pt idx="378">
                  <c:v>2.3097185975785015</c:v>
                </c:pt>
                <c:pt idx="379">
                  <c:v>2.2821262015935928</c:v>
                </c:pt>
                <c:pt idx="380">
                  <c:v>2.4206197553519222</c:v>
                </c:pt>
                <c:pt idx="381">
                  <c:v>2.3097185975785015</c:v>
                </c:pt>
                <c:pt idx="382">
                  <c:v>2.4340295807569801</c:v>
                </c:pt>
                <c:pt idx="383">
                  <c:v>2.3564804263986581</c:v>
                </c:pt>
                <c:pt idx="384">
                  <c:v>2.4047037239543672</c:v>
                </c:pt>
                <c:pt idx="385">
                  <c:v>2.4422940035957996</c:v>
                </c:pt>
                <c:pt idx="386">
                  <c:v>2.2722015755649854</c:v>
                </c:pt>
                <c:pt idx="387">
                  <c:v>2.3415593095200471</c:v>
                </c:pt>
                <c:pt idx="388">
                  <c:v>2.3569683918118209</c:v>
                </c:pt>
                <c:pt idx="389">
                  <c:v>2.3355513267749011</c:v>
                </c:pt>
                <c:pt idx="390">
                  <c:v>2.3152537657889685</c:v>
                </c:pt>
                <c:pt idx="391">
                  <c:v>2.3566925976885487</c:v>
                </c:pt>
                <c:pt idx="392">
                  <c:v>2.3759208741033442</c:v>
                </c:pt>
                <c:pt idx="393">
                  <c:v>2.3815961034566713</c:v>
                </c:pt>
                <c:pt idx="473">
                  <c:v>2.5494509212769718</c:v>
                </c:pt>
                <c:pt idx="474">
                  <c:v>2.5147763320025103</c:v>
                </c:pt>
                <c:pt idx="475">
                  <c:v>2.5601953050499877</c:v>
                </c:pt>
                <c:pt idx="476">
                  <c:v>2.6670020622414223</c:v>
                </c:pt>
                <c:pt idx="477">
                  <c:v>2.6532432983049259</c:v>
                </c:pt>
                <c:pt idx="478">
                  <c:v>2.5188290930509756</c:v>
                </c:pt>
                <c:pt idx="479">
                  <c:v>2.5292291315734921</c:v>
                </c:pt>
                <c:pt idx="480">
                  <c:v>2.5059928172283334</c:v>
                </c:pt>
                <c:pt idx="481">
                  <c:v>2.5536836139193126</c:v>
                </c:pt>
                <c:pt idx="482">
                  <c:v>2.6016341018675164</c:v>
                </c:pt>
                <c:pt idx="483">
                  <c:v>2.6564638149238924</c:v>
                </c:pt>
                <c:pt idx="484">
                  <c:v>2.6513770007299979</c:v>
                </c:pt>
                <c:pt idx="485">
                  <c:v>2.5895559464896678</c:v>
                </c:pt>
                <c:pt idx="486">
                  <c:v>2.7220764133286188</c:v>
                </c:pt>
                <c:pt idx="487">
                  <c:v>2.5437374078312405</c:v>
                </c:pt>
                <c:pt idx="488">
                  <c:v>2.6102107194630859</c:v>
                </c:pt>
                <c:pt idx="489">
                  <c:v>2.5935689695861184</c:v>
                </c:pt>
                <c:pt idx="490">
                  <c:v>2.5457808232446091</c:v>
                </c:pt>
                <c:pt idx="491">
                  <c:v>2.5352711886502401</c:v>
                </c:pt>
                <c:pt idx="492">
                  <c:v>2.6172504656604798</c:v>
                </c:pt>
                <c:pt idx="493">
                  <c:v>2.6629307163349178</c:v>
                </c:pt>
                <c:pt idx="494">
                  <c:v>2.5079872407968904</c:v>
                </c:pt>
                <c:pt idx="495">
                  <c:v>2.6102107194630859</c:v>
                </c:pt>
                <c:pt idx="496">
                  <c:v>2.5515681452785071</c:v>
                </c:pt>
                <c:pt idx="497">
                  <c:v>2.5026585863836881</c:v>
                </c:pt>
                <c:pt idx="498">
                  <c:v>2.6332679316772909</c:v>
                </c:pt>
                <c:pt idx="499">
                  <c:v>2.5516269319788893</c:v>
                </c:pt>
                <c:pt idx="500">
                  <c:v>2.5899034731047412</c:v>
                </c:pt>
                <c:pt idx="501">
                  <c:v>2.5073093147834791</c:v>
                </c:pt>
                <c:pt idx="502">
                  <c:v>2.5949373788205374</c:v>
                </c:pt>
                <c:pt idx="503">
                  <c:v>2.6840454541605663</c:v>
                </c:pt>
                <c:pt idx="504">
                  <c:v>2.619255619446105</c:v>
                </c:pt>
                <c:pt idx="505">
                  <c:v>2.5428330656966063</c:v>
                </c:pt>
                <c:pt idx="506">
                  <c:v>2.6046496885377888</c:v>
                </c:pt>
                <c:pt idx="507">
                  <c:v>2.5267568145747621</c:v>
                </c:pt>
                <c:pt idx="508">
                  <c:v>2.4709512338368804</c:v>
                </c:pt>
                <c:pt idx="509">
                  <c:v>2.6043233286210836</c:v>
                </c:pt>
                <c:pt idx="510">
                  <c:v>2.5451522547776979</c:v>
                </c:pt>
                <c:pt idx="511">
                  <c:v>2.581259382549534</c:v>
                </c:pt>
                <c:pt idx="512">
                  <c:v>2.5280031645549816</c:v>
                </c:pt>
                <c:pt idx="513">
                  <c:v>2.6565579233286067</c:v>
                </c:pt>
                <c:pt idx="514">
                  <c:v>2.6225560051217207</c:v>
                </c:pt>
                <c:pt idx="515">
                  <c:v>2.5515681452785071</c:v>
                </c:pt>
                <c:pt idx="516">
                  <c:v>2.5347583711273156</c:v>
                </c:pt>
                <c:pt idx="517">
                  <c:v>2.5341073379002714</c:v>
                </c:pt>
                <c:pt idx="518">
                  <c:v>2.5350542400508909</c:v>
                </c:pt>
                <c:pt idx="519">
                  <c:v>2.5536836139193126</c:v>
                </c:pt>
                <c:pt idx="520">
                  <c:v>2.4560537453402764</c:v>
                </c:pt>
                <c:pt idx="521">
                  <c:v>2.6050911692299756</c:v>
                </c:pt>
                <c:pt idx="522">
                  <c:v>2.5179356624028344</c:v>
                </c:pt>
                <c:pt idx="523">
                  <c:v>2.6239092972128439</c:v>
                </c:pt>
                <c:pt idx="524">
                  <c:v>2.522320360303187</c:v>
                </c:pt>
                <c:pt idx="525">
                  <c:v>2.6153584840323516</c:v>
                </c:pt>
                <c:pt idx="526">
                  <c:v>2.5556603843233945</c:v>
                </c:pt>
                <c:pt idx="527">
                  <c:v>2.5133443854752575</c:v>
                </c:pt>
                <c:pt idx="528">
                  <c:v>2.6436716891475007</c:v>
                </c:pt>
                <c:pt idx="529">
                  <c:v>2.5366316248127161</c:v>
                </c:pt>
                <c:pt idx="530">
                  <c:v>2.6109385285755007</c:v>
                </c:pt>
                <c:pt idx="531">
                  <c:v>2.5988074187980916</c:v>
                </c:pt>
                <c:pt idx="532">
                  <c:v>2.5283393759541064</c:v>
                </c:pt>
                <c:pt idx="533">
                  <c:v>2.5292291315734921</c:v>
                </c:pt>
                <c:pt idx="534">
                  <c:v>2.4720234626718254</c:v>
                </c:pt>
                <c:pt idx="535">
                  <c:v>2.5741989045137905</c:v>
                </c:pt>
                <c:pt idx="536">
                  <c:v>2.5800775182152957</c:v>
                </c:pt>
                <c:pt idx="537">
                  <c:v>2.5524889813670106</c:v>
                </c:pt>
                <c:pt idx="538">
                  <c:v>2.6330400680582131</c:v>
                </c:pt>
                <c:pt idx="539">
                  <c:v>2.4605893602956184</c:v>
                </c:pt>
                <c:pt idx="540">
                  <c:v>2.5916982849089516</c:v>
                </c:pt>
                <c:pt idx="541">
                  <c:v>2.5292291315734921</c:v>
                </c:pt>
                <c:pt idx="542">
                  <c:v>2.6284025566872358</c:v>
                </c:pt>
                <c:pt idx="543">
                  <c:v>2.5316002844051031</c:v>
                </c:pt>
                <c:pt idx="544">
                  <c:v>2.5537815098398688</c:v>
                </c:pt>
                <c:pt idx="545">
                  <c:v>2.4935316320431955</c:v>
                </c:pt>
                <c:pt idx="546">
                  <c:v>2.5633766793040778</c:v>
                </c:pt>
                <c:pt idx="547">
                  <c:v>2.4742675683927153</c:v>
                </c:pt>
                <c:pt idx="548">
                  <c:v>2.5294465797877606</c:v>
                </c:pt>
                <c:pt idx="549">
                  <c:v>2.5556603843233945</c:v>
                </c:pt>
                <c:pt idx="550">
                  <c:v>2.4696963376091401</c:v>
                </c:pt>
                <c:pt idx="551">
                  <c:v>2.5879142180528318</c:v>
                </c:pt>
                <c:pt idx="552">
                  <c:v>2.5694357357209774</c:v>
                </c:pt>
                <c:pt idx="553">
                  <c:v>2.4404302899283969</c:v>
                </c:pt>
                <c:pt idx="554">
                  <c:v>2.4520399670478459</c:v>
                </c:pt>
                <c:pt idx="555">
                  <c:v>2.6035744659986202</c:v>
                </c:pt>
                <c:pt idx="556">
                  <c:v>2.5656188337319321</c:v>
                </c:pt>
                <c:pt idx="557">
                  <c:v>2.5526456863419176</c:v>
                </c:pt>
                <c:pt idx="558">
                  <c:v>2.4742675683927149</c:v>
                </c:pt>
                <c:pt idx="559">
                  <c:v>2.5026585863836881</c:v>
                </c:pt>
                <c:pt idx="560">
                  <c:v>2.5794766911139164</c:v>
                </c:pt>
                <c:pt idx="561">
                  <c:v>2.5849564793241684</c:v>
                </c:pt>
                <c:pt idx="562">
                  <c:v>2.5107767722360346</c:v>
                </c:pt>
                <c:pt idx="563">
                  <c:v>2.4992999019725506</c:v>
                </c:pt>
                <c:pt idx="564">
                  <c:v>2.5156311335328949</c:v>
                </c:pt>
                <c:pt idx="565">
                  <c:v>2.5347583711273152</c:v>
                </c:pt>
                <c:pt idx="566">
                  <c:v>2.6076809620810595</c:v>
                </c:pt>
                <c:pt idx="567">
                  <c:v>2.5452701231892854</c:v>
                </c:pt>
                <c:pt idx="568">
                  <c:v>2.6034592372457075</c:v>
                </c:pt>
                <c:pt idx="569">
                  <c:v>2.6102107194630855</c:v>
                </c:pt>
                <c:pt idx="570">
                  <c:v>2.5715753926338616</c:v>
                </c:pt>
                <c:pt idx="571">
                  <c:v>2.5020391683584813</c:v>
                </c:pt>
                <c:pt idx="572">
                  <c:v>2.4285386552410482</c:v>
                </c:pt>
                <c:pt idx="573">
                  <c:v>2.5489213404889526</c:v>
                </c:pt>
                <c:pt idx="574">
                  <c:v>2.4577225229874915</c:v>
                </c:pt>
                <c:pt idx="575">
                  <c:v>2.5489213404889526</c:v>
                </c:pt>
                <c:pt idx="576">
                  <c:v>2.4987396823198691</c:v>
                </c:pt>
                <c:pt idx="577">
                  <c:v>2.5536836139193122</c:v>
                </c:pt>
                <c:pt idx="578">
                  <c:v>2.5599414055794325</c:v>
                </c:pt>
                <c:pt idx="579">
                  <c:v>2.4602845363900494</c:v>
                </c:pt>
                <c:pt idx="580">
                  <c:v>2.5439536159293472</c:v>
                </c:pt>
                <c:pt idx="581">
                  <c:v>2.5366316248127165</c:v>
                </c:pt>
                <c:pt idx="582">
                  <c:v>2.520495982936692</c:v>
                </c:pt>
                <c:pt idx="583">
                  <c:v>2.4920874784003875</c:v>
                </c:pt>
                <c:pt idx="584">
                  <c:v>2.5992498917957079</c:v>
                </c:pt>
                <c:pt idx="585">
                  <c:v>2.5072694310743713</c:v>
                </c:pt>
                <c:pt idx="586">
                  <c:v>2.5451522547776979</c:v>
                </c:pt>
                <c:pt idx="587">
                  <c:v>2.411514047232568</c:v>
                </c:pt>
                <c:pt idx="588">
                  <c:v>2.4935917869611295</c:v>
                </c:pt>
                <c:pt idx="589">
                  <c:v>2.4541597340026584</c:v>
                </c:pt>
                <c:pt idx="590">
                  <c:v>2.4581497106563708</c:v>
                </c:pt>
                <c:pt idx="591">
                  <c:v>2.4473863609981974</c:v>
                </c:pt>
                <c:pt idx="592">
                  <c:v>2.4214252001662162</c:v>
                </c:pt>
                <c:pt idx="593">
                  <c:v>2.5266974492408067</c:v>
                </c:pt>
                <c:pt idx="594">
                  <c:v>2.3434376458527764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CF-4CFC-B878-A19C9D92B9F2}"/>
            </c:ext>
          </c:extLst>
        </c:ser>
        <c:ser>
          <c:idx val="21"/>
          <c:order val="2"/>
          <c:tx>
            <c:strRef>
              <c:f>'HT 2017-07-05 BIG JIM'!$BY$1</c:f>
              <c:strCache>
                <c:ptCount val="1"/>
                <c:pt idx="0">
                  <c:v>wild-fx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</c:spPr>
          </c:marker>
          <c:xVal>
            <c:numRef>
              <c:f>'HT 2017-07-05 BIG JIM'!$G$287:$G$715</c:f>
              <c:numCache>
                <c:formatCode>General</c:formatCode>
                <c:ptCount val="429"/>
                <c:pt idx="0">
                  <c:v>2.4920072231034966</c:v>
                </c:pt>
                <c:pt idx="1">
                  <c:v>2.3854978516024699</c:v>
                </c:pt>
                <c:pt idx="2">
                  <c:v>2.4424782496472717</c:v>
                </c:pt>
                <c:pt idx="3">
                  <c:v>2.4709512338368804</c:v>
                </c:pt>
                <c:pt idx="4">
                  <c:v>2.4186773244895652</c:v>
                </c:pt>
                <c:pt idx="5">
                  <c:v>2.3671290628100534</c:v>
                </c:pt>
                <c:pt idx="6">
                  <c:v>2.426272861819132</c:v>
                </c:pt>
                <c:pt idx="7">
                  <c:v>2.4831028975860021</c:v>
                </c:pt>
                <c:pt idx="8">
                  <c:v>2.4257163890281981</c:v>
                </c:pt>
                <c:pt idx="9">
                  <c:v>2.4581497106563708</c:v>
                </c:pt>
                <c:pt idx="10">
                  <c:v>2.5092827660508887</c:v>
                </c:pt>
                <c:pt idx="11">
                  <c:v>2.517935662402834</c:v>
                </c:pt>
                <c:pt idx="12">
                  <c:v>2.4147256572952549</c:v>
                </c:pt>
                <c:pt idx="13">
                  <c:v>2.4604471138392712</c:v>
                </c:pt>
                <c:pt idx="14">
                  <c:v>2.3977697971239862</c:v>
                </c:pt>
                <c:pt idx="15">
                  <c:v>2.4804031930313264</c:v>
                </c:pt>
                <c:pt idx="16">
                  <c:v>2.5019192632856884</c:v>
                </c:pt>
                <c:pt idx="17">
                  <c:v>2.4973586046060743</c:v>
                </c:pt>
                <c:pt idx="18">
                  <c:v>2.4020824298928627</c:v>
                </c:pt>
                <c:pt idx="19">
                  <c:v>2.4689471440271866</c:v>
                </c:pt>
                <c:pt idx="20">
                  <c:v>2.429897117163605</c:v>
                </c:pt>
                <c:pt idx="21">
                  <c:v>2.491304878974069</c:v>
                </c:pt>
                <c:pt idx="22">
                  <c:v>2.4686838598735159</c:v>
                </c:pt>
                <c:pt idx="23">
                  <c:v>2.4633310780323461</c:v>
                </c:pt>
                <c:pt idx="24">
                  <c:v>2.4341733709824367</c:v>
                </c:pt>
                <c:pt idx="25">
                  <c:v>2.4352823244954576</c:v>
                </c:pt>
                <c:pt idx="26">
                  <c:v>2.4166091947189146</c:v>
                </c:pt>
                <c:pt idx="27">
                  <c:v>2.4078413569004082</c:v>
                </c:pt>
                <c:pt idx="28">
                  <c:v>2.3409613409879286</c:v>
                </c:pt>
                <c:pt idx="29">
                  <c:v>2.4274472187876714</c:v>
                </c:pt>
                <c:pt idx="30">
                  <c:v>2.4473863609981974</c:v>
                </c:pt>
                <c:pt idx="31">
                  <c:v>2.5241434190631882</c:v>
                </c:pt>
                <c:pt idx="32">
                  <c:v>2.49899979991996</c:v>
                </c:pt>
                <c:pt idx="33">
                  <c:v>2.4440130932546169</c:v>
                </c:pt>
                <c:pt idx="34">
                  <c:v>2.4869660230891775</c:v>
                </c:pt>
                <c:pt idx="35">
                  <c:v>2.5019192632856884</c:v>
                </c:pt>
                <c:pt idx="36">
                  <c:v>2.4795160818191921</c:v>
                </c:pt>
                <c:pt idx="37">
                  <c:v>2.470080970332754</c:v>
                </c:pt>
                <c:pt idx="38">
                  <c:v>2.4689471440271866</c:v>
                </c:pt>
                <c:pt idx="39">
                  <c:v>2.43232399157678</c:v>
                </c:pt>
                <c:pt idx="40">
                  <c:v>2.3930106560565085</c:v>
                </c:pt>
                <c:pt idx="41">
                  <c:v>2.4147256572952549</c:v>
                </c:pt>
                <c:pt idx="42">
                  <c:v>2.3259406699226011</c:v>
                </c:pt>
                <c:pt idx="43">
                  <c:v>2.4226638231500468</c:v>
                </c:pt>
                <c:pt idx="44">
                  <c:v>2.4062626623043464</c:v>
                </c:pt>
                <c:pt idx="45">
                  <c:v>2.3837994882120435</c:v>
                </c:pt>
                <c:pt idx="46">
                  <c:v>2.4524681445433703</c:v>
                </c:pt>
                <c:pt idx="47">
                  <c:v>2.4645689278249048</c:v>
                </c:pt>
                <c:pt idx="48">
                  <c:v>2.4242318370980938</c:v>
                </c:pt>
                <c:pt idx="49">
                  <c:v>2.4880916381837705</c:v>
                </c:pt>
                <c:pt idx="50">
                  <c:v>2.3881373494839027</c:v>
                </c:pt>
                <c:pt idx="51">
                  <c:v>2.4018534509832192</c:v>
                </c:pt>
                <c:pt idx="52">
                  <c:v>2.4449948875202172</c:v>
                </c:pt>
                <c:pt idx="53">
                  <c:v>2.5147763320025107</c:v>
                </c:pt>
                <c:pt idx="54">
                  <c:v>2.4377243486497813</c:v>
                </c:pt>
                <c:pt idx="55">
                  <c:v>2.3537204591879641</c:v>
                </c:pt>
                <c:pt idx="56">
                  <c:v>2.4420483205702546</c:v>
                </c:pt>
                <c:pt idx="57">
                  <c:v>2.5026585863836881</c:v>
                </c:pt>
                <c:pt idx="58">
                  <c:v>2.3942639787625759</c:v>
                </c:pt>
                <c:pt idx="59">
                  <c:v>2.4973586046060747</c:v>
                </c:pt>
                <c:pt idx="60">
                  <c:v>2.3728674636397202</c:v>
                </c:pt>
                <c:pt idx="61">
                  <c:v>2.4105808428675441</c:v>
                </c:pt>
                <c:pt idx="62">
                  <c:v>2.3847222060441338</c:v>
                </c:pt>
                <c:pt idx="63">
                  <c:v>2.4520399670478454</c:v>
                </c:pt>
                <c:pt idx="64">
                  <c:v>2.4687648733729177</c:v>
                </c:pt>
                <c:pt idx="65">
                  <c:v>2.3713498265755728</c:v>
                </c:pt>
                <c:pt idx="66">
                  <c:v>2.4166091947189146</c:v>
                </c:pt>
                <c:pt idx="67">
                  <c:v>2.4798790293076798</c:v>
                </c:pt>
                <c:pt idx="68">
                  <c:v>2.4301646034785378</c:v>
                </c:pt>
                <c:pt idx="69">
                  <c:v>2.4439517180173591</c:v>
                </c:pt>
                <c:pt idx="70">
                  <c:v>2.3085276693165282</c:v>
                </c:pt>
                <c:pt idx="71">
                  <c:v>2.4644877763949244</c:v>
                </c:pt>
                <c:pt idx="72">
                  <c:v>2.3754157530840785</c:v>
                </c:pt>
                <c:pt idx="73">
                  <c:v>2.346912865872953</c:v>
                </c:pt>
                <c:pt idx="74">
                  <c:v>2.4500000000000002</c:v>
                </c:pt>
                <c:pt idx="75">
                  <c:v>2.4311519903124119</c:v>
                </c:pt>
                <c:pt idx="76">
                  <c:v>2.3120986138138657</c:v>
                </c:pt>
                <c:pt idx="77">
                  <c:v>2.3394016328967542</c:v>
                </c:pt>
                <c:pt idx="78">
                  <c:v>2.542380773999048</c:v>
                </c:pt>
                <c:pt idx="79">
                  <c:v>2.4085265205099984</c:v>
                </c:pt>
                <c:pt idx="80">
                  <c:v>2.4008540147205952</c:v>
                </c:pt>
                <c:pt idx="81">
                  <c:v>2.5249158401816092</c:v>
                </c:pt>
                <c:pt idx="82">
                  <c:v>2.3914012628582433</c:v>
                </c:pt>
                <c:pt idx="83">
                  <c:v>2.4212806528777282</c:v>
                </c:pt>
                <c:pt idx="84">
                  <c:v>2.4480400323524125</c:v>
                </c:pt>
                <c:pt idx="85">
                  <c:v>2.5145377308761945</c:v>
                </c:pt>
                <c:pt idx="86">
                  <c:v>2.358664876577425</c:v>
                </c:pt>
                <c:pt idx="87">
                  <c:v>2.3995416228938393</c:v>
                </c:pt>
                <c:pt idx="88">
                  <c:v>2.4318717071424638</c:v>
                </c:pt>
                <c:pt idx="89">
                  <c:v>2.3120553626589482</c:v>
                </c:pt>
                <c:pt idx="90">
                  <c:v>2.3653540961133075</c:v>
                </c:pt>
                <c:pt idx="91">
                  <c:v>2.2998478210525151</c:v>
                </c:pt>
                <c:pt idx="92">
                  <c:v>2.3769728648009427</c:v>
                </c:pt>
                <c:pt idx="93">
                  <c:v>2.3097185975785015</c:v>
                </c:pt>
                <c:pt idx="94">
                  <c:v>2.2821262015935928</c:v>
                </c:pt>
                <c:pt idx="95">
                  <c:v>2.4206197553519222</c:v>
                </c:pt>
                <c:pt idx="96">
                  <c:v>2.3097185975785015</c:v>
                </c:pt>
                <c:pt idx="97">
                  <c:v>2.4340295807569801</c:v>
                </c:pt>
                <c:pt idx="98">
                  <c:v>2.3564804263986581</c:v>
                </c:pt>
                <c:pt idx="99">
                  <c:v>2.4047037239543672</c:v>
                </c:pt>
                <c:pt idx="100">
                  <c:v>2.4422940035957996</c:v>
                </c:pt>
                <c:pt idx="101">
                  <c:v>2.2722015755649854</c:v>
                </c:pt>
                <c:pt idx="102">
                  <c:v>2.3415593095200471</c:v>
                </c:pt>
                <c:pt idx="103">
                  <c:v>2.3569683918118209</c:v>
                </c:pt>
                <c:pt idx="104">
                  <c:v>2.3355513267749011</c:v>
                </c:pt>
                <c:pt idx="105">
                  <c:v>2.3152537657889685</c:v>
                </c:pt>
                <c:pt idx="106">
                  <c:v>2.3566925976885487</c:v>
                </c:pt>
                <c:pt idx="107">
                  <c:v>2.3759208741033442</c:v>
                </c:pt>
                <c:pt idx="108">
                  <c:v>2.3815961034566713</c:v>
                </c:pt>
                <c:pt idx="109">
                  <c:v>2.5166843266488548</c:v>
                </c:pt>
                <c:pt idx="110">
                  <c:v>2.5787787807409925</c:v>
                </c:pt>
                <c:pt idx="111">
                  <c:v>2.5405511213120664</c:v>
                </c:pt>
                <c:pt idx="112">
                  <c:v>2.5556603843233945</c:v>
                </c:pt>
                <c:pt idx="113">
                  <c:v>2.54939208439973</c:v>
                </c:pt>
                <c:pt idx="114">
                  <c:v>2.4906224121692957</c:v>
                </c:pt>
                <c:pt idx="115">
                  <c:v>2.49897979183506</c:v>
                </c:pt>
                <c:pt idx="116">
                  <c:v>2.5111352014576998</c:v>
                </c:pt>
                <c:pt idx="117">
                  <c:v>2.5770137756713685</c:v>
                </c:pt>
                <c:pt idx="118">
                  <c:v>2.5379716310471241</c:v>
                </c:pt>
                <c:pt idx="119">
                  <c:v>2.5880108191427635</c:v>
                </c:pt>
                <c:pt idx="120">
                  <c:v>2.5111352014576998</c:v>
                </c:pt>
                <c:pt idx="121">
                  <c:v>2.5347583711273152</c:v>
                </c:pt>
                <c:pt idx="122">
                  <c:v>2.5609568524284043</c:v>
                </c:pt>
                <c:pt idx="123">
                  <c:v>2.5331403435261928</c:v>
                </c:pt>
                <c:pt idx="124">
                  <c:v>2.5133443854752575</c:v>
                </c:pt>
                <c:pt idx="125">
                  <c:v>2.610785322465254</c:v>
                </c:pt>
                <c:pt idx="126">
                  <c:v>2.5244801445050031</c:v>
                </c:pt>
                <c:pt idx="127">
                  <c:v>2.4819548746905129</c:v>
                </c:pt>
                <c:pt idx="128">
                  <c:v>2.5143587651725441</c:v>
                </c:pt>
                <c:pt idx="129">
                  <c:v>2.449693858423946</c:v>
                </c:pt>
                <c:pt idx="130">
                  <c:v>2.4684408034222738</c:v>
                </c:pt>
                <c:pt idx="131">
                  <c:v>2.4906424873915567</c:v>
                </c:pt>
                <c:pt idx="132">
                  <c:v>2.4933912649241394</c:v>
                </c:pt>
                <c:pt idx="133">
                  <c:v>2.4528350943347172</c:v>
                </c:pt>
                <c:pt idx="134">
                  <c:v>2.5044959572736389</c:v>
                </c:pt>
                <c:pt idx="135">
                  <c:v>2.4520399670478459</c:v>
                </c:pt>
                <c:pt idx="136">
                  <c:v>2.5026585863836881</c:v>
                </c:pt>
                <c:pt idx="137">
                  <c:v>2.5572641631243336</c:v>
                </c:pt>
                <c:pt idx="138">
                  <c:v>2.4850955716028307</c:v>
                </c:pt>
                <c:pt idx="139">
                  <c:v>2.5314027731674784</c:v>
                </c:pt>
                <c:pt idx="140">
                  <c:v>2.5184916120567085</c:v>
                </c:pt>
                <c:pt idx="141">
                  <c:v>2.5183526361492743</c:v>
                </c:pt>
                <c:pt idx="142">
                  <c:v>2.5253910588263357</c:v>
                </c:pt>
                <c:pt idx="143">
                  <c:v>2.5158895047279004</c:v>
                </c:pt>
                <c:pt idx="144">
                  <c:v>2.5128469909646309</c:v>
                </c:pt>
                <c:pt idx="145">
                  <c:v>2.4370679104202249</c:v>
                </c:pt>
                <c:pt idx="146">
                  <c:v>2.4911041728518697</c:v>
                </c:pt>
                <c:pt idx="147">
                  <c:v>2.5824213443975403</c:v>
                </c:pt>
                <c:pt idx="148">
                  <c:v>2.5072694310743713</c:v>
                </c:pt>
                <c:pt idx="149">
                  <c:v>2.5433245958783943</c:v>
                </c:pt>
                <c:pt idx="150">
                  <c:v>2.5238858928247923</c:v>
                </c:pt>
                <c:pt idx="151">
                  <c:v>2.5471749056552833</c:v>
                </c:pt>
                <c:pt idx="152">
                  <c:v>2.5962472917655592</c:v>
                </c:pt>
                <c:pt idx="153">
                  <c:v>2.5460754112948027</c:v>
                </c:pt>
                <c:pt idx="154">
                  <c:v>2.5460754112948027</c:v>
                </c:pt>
                <c:pt idx="155">
                  <c:v>2.5674306222369476</c:v>
                </c:pt>
                <c:pt idx="156">
                  <c:v>2.5211505310076192</c:v>
                </c:pt>
                <c:pt idx="157">
                  <c:v>2.4989797918350605</c:v>
                </c:pt>
                <c:pt idx="158">
                  <c:v>2.5726639889422018</c:v>
                </c:pt>
                <c:pt idx="159">
                  <c:v>2.5690854403853525</c:v>
                </c:pt>
                <c:pt idx="160">
                  <c:v>2.5355867171130235</c:v>
                </c:pt>
                <c:pt idx="161">
                  <c:v>2.5599414055794325</c:v>
                </c:pt>
                <c:pt idx="162">
                  <c:v>2.5711087102648928</c:v>
                </c:pt>
                <c:pt idx="163">
                  <c:v>2.5879142180528318</c:v>
                </c:pt>
                <c:pt idx="164">
                  <c:v>2.5748980562344599</c:v>
                </c:pt>
                <c:pt idx="165">
                  <c:v>2.5547798339583001</c:v>
                </c:pt>
                <c:pt idx="166">
                  <c:v>2.5006399181009651</c:v>
                </c:pt>
                <c:pt idx="167">
                  <c:v>2.5193848455525805</c:v>
                </c:pt>
                <c:pt idx="168">
                  <c:v>2.5439536159293472</c:v>
                </c:pt>
                <c:pt idx="169">
                  <c:v>2.5547798339583001</c:v>
                </c:pt>
                <c:pt idx="170">
                  <c:v>2.5312447530809821</c:v>
                </c:pt>
                <c:pt idx="171">
                  <c:v>2.5001799935204669</c:v>
                </c:pt>
                <c:pt idx="172">
                  <c:v>2.5853626438084079</c:v>
                </c:pt>
                <c:pt idx="173">
                  <c:v>2.584027863626861</c:v>
                </c:pt>
                <c:pt idx="174">
                  <c:v>2.6299239532731744</c:v>
                </c:pt>
                <c:pt idx="175">
                  <c:v>2.5707780923292467</c:v>
                </c:pt>
                <c:pt idx="176">
                  <c:v>2.5039169315294783</c:v>
                </c:pt>
                <c:pt idx="177">
                  <c:v>2.5518032839543099</c:v>
                </c:pt>
                <c:pt idx="178">
                  <c:v>2.6224606765402605</c:v>
                </c:pt>
                <c:pt idx="179">
                  <c:v>2.5403149411047439</c:v>
                </c:pt>
                <c:pt idx="180">
                  <c:v>2.5045957757690163</c:v>
                </c:pt>
                <c:pt idx="181">
                  <c:v>2.5092827660508887</c:v>
                </c:pt>
                <c:pt idx="182">
                  <c:v>2.5897104085206131</c:v>
                </c:pt>
                <c:pt idx="183">
                  <c:v>2.5144581921360314</c:v>
                </c:pt>
                <c:pt idx="184">
                  <c:v>2.4465894629054543</c:v>
                </c:pt>
                <c:pt idx="185">
                  <c:v>2.5147763320025103</c:v>
                </c:pt>
                <c:pt idx="186">
                  <c:v>2.4200206610688264</c:v>
                </c:pt>
                <c:pt idx="187">
                  <c:v>2.510019920239678</c:v>
                </c:pt>
                <c:pt idx="188">
                  <c:v>2.5494509212769718</c:v>
                </c:pt>
                <c:pt idx="189">
                  <c:v>2.5147763320025103</c:v>
                </c:pt>
                <c:pt idx="190">
                  <c:v>2.5601953050499877</c:v>
                </c:pt>
                <c:pt idx="191">
                  <c:v>2.6670020622414223</c:v>
                </c:pt>
                <c:pt idx="192">
                  <c:v>2.6532432983049259</c:v>
                </c:pt>
                <c:pt idx="193">
                  <c:v>2.5188290930509756</c:v>
                </c:pt>
                <c:pt idx="194">
                  <c:v>2.5292291315734921</c:v>
                </c:pt>
                <c:pt idx="195">
                  <c:v>2.5059928172283334</c:v>
                </c:pt>
                <c:pt idx="196">
                  <c:v>2.5536836139193126</c:v>
                </c:pt>
                <c:pt idx="197">
                  <c:v>2.6016341018675164</c:v>
                </c:pt>
                <c:pt idx="198">
                  <c:v>2.6564638149238924</c:v>
                </c:pt>
                <c:pt idx="199">
                  <c:v>2.6513770007299979</c:v>
                </c:pt>
                <c:pt idx="200">
                  <c:v>2.5895559464896678</c:v>
                </c:pt>
                <c:pt idx="201">
                  <c:v>2.7220764133286188</c:v>
                </c:pt>
                <c:pt idx="202">
                  <c:v>2.5437374078312405</c:v>
                </c:pt>
                <c:pt idx="203">
                  <c:v>2.6102107194630859</c:v>
                </c:pt>
                <c:pt idx="204">
                  <c:v>2.5935689695861184</c:v>
                </c:pt>
                <c:pt idx="205">
                  <c:v>2.5457808232446091</c:v>
                </c:pt>
                <c:pt idx="206">
                  <c:v>2.5352711886502401</c:v>
                </c:pt>
                <c:pt idx="207">
                  <c:v>2.6172504656604798</c:v>
                </c:pt>
                <c:pt idx="208">
                  <c:v>2.6629307163349178</c:v>
                </c:pt>
                <c:pt idx="209">
                  <c:v>2.5079872407968904</c:v>
                </c:pt>
                <c:pt idx="210">
                  <c:v>2.6102107194630859</c:v>
                </c:pt>
                <c:pt idx="211">
                  <c:v>2.5515681452785071</c:v>
                </c:pt>
                <c:pt idx="212">
                  <c:v>2.5026585863836881</c:v>
                </c:pt>
                <c:pt idx="213">
                  <c:v>2.6332679316772909</c:v>
                </c:pt>
                <c:pt idx="214">
                  <c:v>2.5516269319788893</c:v>
                </c:pt>
                <c:pt idx="215">
                  <c:v>2.5899034731047412</c:v>
                </c:pt>
                <c:pt idx="216">
                  <c:v>2.5073093147834791</c:v>
                </c:pt>
                <c:pt idx="217">
                  <c:v>2.5949373788205374</c:v>
                </c:pt>
                <c:pt idx="218">
                  <c:v>2.6840454541605663</c:v>
                </c:pt>
                <c:pt idx="219">
                  <c:v>2.619255619446105</c:v>
                </c:pt>
                <c:pt idx="220">
                  <c:v>2.5428330656966063</c:v>
                </c:pt>
                <c:pt idx="221">
                  <c:v>2.6046496885377888</c:v>
                </c:pt>
                <c:pt idx="222">
                  <c:v>2.5267568145747621</c:v>
                </c:pt>
                <c:pt idx="223">
                  <c:v>2.4709512338368804</c:v>
                </c:pt>
                <c:pt idx="224">
                  <c:v>2.6043233286210836</c:v>
                </c:pt>
                <c:pt idx="225">
                  <c:v>2.5451522547776979</c:v>
                </c:pt>
                <c:pt idx="226">
                  <c:v>2.581259382549534</c:v>
                </c:pt>
                <c:pt idx="227">
                  <c:v>2.5280031645549816</c:v>
                </c:pt>
                <c:pt idx="228">
                  <c:v>2.6565579233286067</c:v>
                </c:pt>
                <c:pt idx="229">
                  <c:v>2.6225560051217207</c:v>
                </c:pt>
                <c:pt idx="230">
                  <c:v>2.5515681452785071</c:v>
                </c:pt>
                <c:pt idx="231">
                  <c:v>2.5347583711273156</c:v>
                </c:pt>
                <c:pt idx="232">
                  <c:v>2.5341073379002714</c:v>
                </c:pt>
                <c:pt idx="233">
                  <c:v>2.5350542400508909</c:v>
                </c:pt>
                <c:pt idx="234">
                  <c:v>2.5536836139193126</c:v>
                </c:pt>
                <c:pt idx="235">
                  <c:v>2.4560537453402764</c:v>
                </c:pt>
                <c:pt idx="236">
                  <c:v>2.6050911692299756</c:v>
                </c:pt>
                <c:pt idx="237">
                  <c:v>2.5179356624028344</c:v>
                </c:pt>
                <c:pt idx="238">
                  <c:v>2.6239092972128439</c:v>
                </c:pt>
                <c:pt idx="239">
                  <c:v>2.522320360303187</c:v>
                </c:pt>
                <c:pt idx="240">
                  <c:v>2.6153584840323516</c:v>
                </c:pt>
                <c:pt idx="241">
                  <c:v>2.5556603843233945</c:v>
                </c:pt>
                <c:pt idx="242">
                  <c:v>2.5133443854752575</c:v>
                </c:pt>
                <c:pt idx="243">
                  <c:v>2.6436716891475007</c:v>
                </c:pt>
                <c:pt idx="244">
                  <c:v>2.5366316248127161</c:v>
                </c:pt>
                <c:pt idx="245">
                  <c:v>2.6109385285755007</c:v>
                </c:pt>
                <c:pt idx="246">
                  <c:v>2.5988074187980916</c:v>
                </c:pt>
                <c:pt idx="247">
                  <c:v>2.5283393759541064</c:v>
                </c:pt>
                <c:pt idx="248">
                  <c:v>2.5292291315734921</c:v>
                </c:pt>
                <c:pt idx="249">
                  <c:v>2.4720234626718254</c:v>
                </c:pt>
                <c:pt idx="250">
                  <c:v>2.5741989045137905</c:v>
                </c:pt>
                <c:pt idx="251">
                  <c:v>2.5800775182152957</c:v>
                </c:pt>
                <c:pt idx="252">
                  <c:v>2.5524889813670106</c:v>
                </c:pt>
                <c:pt idx="253">
                  <c:v>2.6330400680582131</c:v>
                </c:pt>
                <c:pt idx="254">
                  <c:v>2.4605893602956184</c:v>
                </c:pt>
                <c:pt idx="255">
                  <c:v>2.5916982849089516</c:v>
                </c:pt>
                <c:pt idx="256">
                  <c:v>2.5292291315734921</c:v>
                </c:pt>
                <c:pt idx="257">
                  <c:v>2.6284025566872358</c:v>
                </c:pt>
                <c:pt idx="258">
                  <c:v>2.5316002844051031</c:v>
                </c:pt>
                <c:pt idx="259">
                  <c:v>2.5537815098398688</c:v>
                </c:pt>
                <c:pt idx="260">
                  <c:v>2.4935316320431955</c:v>
                </c:pt>
                <c:pt idx="261">
                  <c:v>2.5633766793040778</c:v>
                </c:pt>
                <c:pt idx="262">
                  <c:v>2.4742675683927153</c:v>
                </c:pt>
                <c:pt idx="263">
                  <c:v>2.5294465797877606</c:v>
                </c:pt>
                <c:pt idx="264">
                  <c:v>2.5556603843233945</c:v>
                </c:pt>
                <c:pt idx="265">
                  <c:v>2.4696963376091401</c:v>
                </c:pt>
                <c:pt idx="266">
                  <c:v>2.5879142180528318</c:v>
                </c:pt>
                <c:pt idx="267">
                  <c:v>2.5694357357209774</c:v>
                </c:pt>
                <c:pt idx="268">
                  <c:v>2.4404302899283969</c:v>
                </c:pt>
                <c:pt idx="269">
                  <c:v>2.4520399670478459</c:v>
                </c:pt>
                <c:pt idx="270">
                  <c:v>2.6035744659986202</c:v>
                </c:pt>
                <c:pt idx="271">
                  <c:v>2.5656188337319321</c:v>
                </c:pt>
                <c:pt idx="272">
                  <c:v>2.5526456863419176</c:v>
                </c:pt>
                <c:pt idx="273">
                  <c:v>2.4742675683927149</c:v>
                </c:pt>
                <c:pt idx="274">
                  <c:v>2.5026585863836881</c:v>
                </c:pt>
                <c:pt idx="275">
                  <c:v>2.5794766911139164</c:v>
                </c:pt>
                <c:pt idx="276">
                  <c:v>2.5849564793241684</c:v>
                </c:pt>
                <c:pt idx="277">
                  <c:v>2.5107767722360346</c:v>
                </c:pt>
                <c:pt idx="278">
                  <c:v>2.4992999019725506</c:v>
                </c:pt>
                <c:pt idx="279">
                  <c:v>2.5156311335328949</c:v>
                </c:pt>
                <c:pt idx="280">
                  <c:v>2.5347583711273152</c:v>
                </c:pt>
                <c:pt idx="281">
                  <c:v>2.6076809620810595</c:v>
                </c:pt>
                <c:pt idx="282">
                  <c:v>2.5452701231892854</c:v>
                </c:pt>
                <c:pt idx="283">
                  <c:v>2.6034592372457075</c:v>
                </c:pt>
                <c:pt idx="284">
                  <c:v>2.6102107194630855</c:v>
                </c:pt>
                <c:pt idx="285">
                  <c:v>2.5715753926338616</c:v>
                </c:pt>
                <c:pt idx="286">
                  <c:v>2.5020391683584813</c:v>
                </c:pt>
                <c:pt idx="287">
                  <c:v>2.4285386552410482</c:v>
                </c:pt>
                <c:pt idx="288">
                  <c:v>2.5489213404889526</c:v>
                </c:pt>
                <c:pt idx="289">
                  <c:v>2.4577225229874915</c:v>
                </c:pt>
                <c:pt idx="290">
                  <c:v>2.5489213404889526</c:v>
                </c:pt>
                <c:pt idx="291">
                  <c:v>2.4987396823198691</c:v>
                </c:pt>
                <c:pt idx="292">
                  <c:v>2.5536836139193122</c:v>
                </c:pt>
                <c:pt idx="293">
                  <c:v>2.5599414055794325</c:v>
                </c:pt>
                <c:pt idx="294">
                  <c:v>2.4602845363900494</c:v>
                </c:pt>
                <c:pt idx="295">
                  <c:v>2.5439536159293472</c:v>
                </c:pt>
                <c:pt idx="296">
                  <c:v>2.5366316248127165</c:v>
                </c:pt>
                <c:pt idx="297">
                  <c:v>2.520495982936692</c:v>
                </c:pt>
                <c:pt idx="298">
                  <c:v>2.4920874784003875</c:v>
                </c:pt>
                <c:pt idx="299">
                  <c:v>2.5992498917957079</c:v>
                </c:pt>
                <c:pt idx="300">
                  <c:v>2.5072694310743713</c:v>
                </c:pt>
                <c:pt idx="301">
                  <c:v>2.5451522547776979</c:v>
                </c:pt>
                <c:pt idx="302">
                  <c:v>2.411514047232568</c:v>
                </c:pt>
                <c:pt idx="303">
                  <c:v>2.4935917869611295</c:v>
                </c:pt>
                <c:pt idx="304">
                  <c:v>2.4541597340026584</c:v>
                </c:pt>
                <c:pt idx="305">
                  <c:v>2.4581497106563708</c:v>
                </c:pt>
                <c:pt idx="306">
                  <c:v>2.4473863609981974</c:v>
                </c:pt>
                <c:pt idx="307">
                  <c:v>2.4214252001662162</c:v>
                </c:pt>
                <c:pt idx="308">
                  <c:v>2.5266974492408067</c:v>
                </c:pt>
                <c:pt idx="309">
                  <c:v>2.3434376458527764</c:v>
                </c:pt>
                <c:pt idx="310">
                  <c:v>1.9672569735548024</c:v>
                </c:pt>
                <c:pt idx="311">
                  <c:v>2.0416659863944449</c:v>
                </c:pt>
                <c:pt idx="312">
                  <c:v>1.9241881404893857</c:v>
                </c:pt>
                <c:pt idx="313">
                  <c:v>2.0225231766286389</c:v>
                </c:pt>
                <c:pt idx="314">
                  <c:v>1.9604081207748556</c:v>
                </c:pt>
                <c:pt idx="315">
                  <c:v>1.9918082237002634</c:v>
                </c:pt>
                <c:pt idx="316">
                  <c:v>2.0368603290358425</c:v>
                </c:pt>
                <c:pt idx="317">
                  <c:v>1.895521036549054</c:v>
                </c:pt>
                <c:pt idx="318">
                  <c:v>2.0368603290358425</c:v>
                </c:pt>
                <c:pt idx="319">
                  <c:v>2.0525106577067995</c:v>
                </c:pt>
                <c:pt idx="320">
                  <c:v>1.9887936041731427</c:v>
                </c:pt>
                <c:pt idx="321">
                  <c:v>2.0169779374103229</c:v>
                </c:pt>
                <c:pt idx="322">
                  <c:v>1.946175737183053</c:v>
                </c:pt>
                <c:pt idx="323">
                  <c:v>1.9856485086741811</c:v>
                </c:pt>
                <c:pt idx="324">
                  <c:v>1.9895728184713419</c:v>
                </c:pt>
                <c:pt idx="325">
                  <c:v>2.0193315725754397</c:v>
                </c:pt>
                <c:pt idx="326">
                  <c:v>1.9996499693696395</c:v>
                </c:pt>
                <c:pt idx="327">
                  <c:v>2.0064396327824068</c:v>
                </c:pt>
                <c:pt idx="328">
                  <c:v>2.0008498194517248</c:v>
                </c:pt>
                <c:pt idx="329">
                  <c:v>1.8989734068701436</c:v>
                </c:pt>
                <c:pt idx="330">
                  <c:v>2.0183656754909403</c:v>
                </c:pt>
                <c:pt idx="331">
                  <c:v>1.960229578391266</c:v>
                </c:pt>
                <c:pt idx="332">
                  <c:v>1.9018412131405713</c:v>
                </c:pt>
                <c:pt idx="333">
                  <c:v>1.8917980864775186</c:v>
                </c:pt>
                <c:pt idx="334">
                  <c:v>1.9119100397246727</c:v>
                </c:pt>
                <c:pt idx="335">
                  <c:v>1.9833809518093088</c:v>
                </c:pt>
                <c:pt idx="336">
                  <c:v>1.9601020381602585</c:v>
                </c:pt>
                <c:pt idx="337">
                  <c:v>2.0392400545301181</c:v>
                </c:pt>
                <c:pt idx="338">
                  <c:v>1.9190883252211191</c:v>
                </c:pt>
                <c:pt idx="339">
                  <c:v>1.9739554199626697</c:v>
                </c:pt>
                <c:pt idx="340">
                  <c:v>1.966443490161871</c:v>
                </c:pt>
                <c:pt idx="341">
                  <c:v>2.04</c:v>
                </c:pt>
                <c:pt idx="342">
                  <c:v>1.9550959055759898</c:v>
                </c:pt>
                <c:pt idx="343">
                  <c:v>1.9458931111445972</c:v>
                </c:pt>
                <c:pt idx="344">
                  <c:v>1.924811679100062</c:v>
                </c:pt>
                <c:pt idx="345">
                  <c:v>2.0056171120131583</c:v>
                </c:pt>
                <c:pt idx="346">
                  <c:v>1.9299999999999997</c:v>
                </c:pt>
                <c:pt idx="347">
                  <c:v>1.9602295783912658</c:v>
                </c:pt>
                <c:pt idx="348">
                  <c:v>1.9465096968677038</c:v>
                </c:pt>
                <c:pt idx="349">
                  <c:v>1.9553260597659921</c:v>
                </c:pt>
                <c:pt idx="350">
                  <c:v>1.9791412279066898</c:v>
                </c:pt>
                <c:pt idx="351">
                  <c:v>1.9723082923316018</c:v>
                </c:pt>
                <c:pt idx="352">
                  <c:v>1.9795959183631389</c:v>
                </c:pt>
                <c:pt idx="353">
                  <c:v>2.0374493858744072</c:v>
                </c:pt>
                <c:pt idx="354">
                  <c:v>2.005243127403757</c:v>
                </c:pt>
                <c:pt idx="355">
                  <c:v>2.0289159667172023</c:v>
                </c:pt>
                <c:pt idx="356">
                  <c:v>2.0088305055429641</c:v>
                </c:pt>
                <c:pt idx="357">
                  <c:v>2.0207176942858696</c:v>
                </c:pt>
                <c:pt idx="358">
                  <c:v>2.0400980368599937</c:v>
                </c:pt>
                <c:pt idx="359">
                  <c:v>1.9949185447030162</c:v>
                </c:pt>
                <c:pt idx="360">
                  <c:v>1.9553260597659921</c:v>
                </c:pt>
                <c:pt idx="361">
                  <c:v>1.9999999999999998</c:v>
                </c:pt>
                <c:pt idx="362">
                  <c:v>1.9420092687729378</c:v>
                </c:pt>
                <c:pt idx="363">
                  <c:v>1.9677398201998149</c:v>
                </c:pt>
                <c:pt idx="364">
                  <c:v>1.9751708786836644</c:v>
                </c:pt>
                <c:pt idx="365">
                  <c:v>2.0026232796010337</c:v>
                </c:pt>
                <c:pt idx="366">
                  <c:v>1.9694669329541941</c:v>
                </c:pt>
                <c:pt idx="367">
                  <c:v>1.9665706191235541</c:v>
                </c:pt>
                <c:pt idx="368">
                  <c:v>2.0171762441591463</c:v>
                </c:pt>
                <c:pt idx="369">
                  <c:v>2.0026232796010337</c:v>
                </c:pt>
                <c:pt idx="370">
                  <c:v>1.9764867821465439</c:v>
                </c:pt>
                <c:pt idx="371">
                  <c:v>1.9946177578674065</c:v>
                </c:pt>
                <c:pt idx="372">
                  <c:v>2.0092784774639876</c:v>
                </c:pt>
                <c:pt idx="373">
                  <c:v>2.0129580224137809</c:v>
                </c:pt>
                <c:pt idx="374">
                  <c:v>1.9610456394485061</c:v>
                </c:pt>
                <c:pt idx="375">
                  <c:v>1.9729419656948859</c:v>
                </c:pt>
                <c:pt idx="376">
                  <c:v>1.8930662957223656</c:v>
                </c:pt>
                <c:pt idx="377">
                  <c:v>2.0255616505058542</c:v>
                </c:pt>
                <c:pt idx="378">
                  <c:v>2.0205444810743467</c:v>
                </c:pt>
                <c:pt idx="379">
                  <c:v>1.9458931111445974</c:v>
                </c:pt>
                <c:pt idx="380">
                  <c:v>1.9523319389898841</c:v>
                </c:pt>
                <c:pt idx="381">
                  <c:v>2.0441624201613728</c:v>
                </c:pt>
                <c:pt idx="382">
                  <c:v>1.9553260597659918</c:v>
                </c:pt>
                <c:pt idx="383">
                  <c:v>2.0116162655934158</c:v>
                </c:pt>
                <c:pt idx="384">
                  <c:v>1.9513328778042971</c:v>
                </c:pt>
                <c:pt idx="385">
                  <c:v>1.9425756098540929</c:v>
                </c:pt>
                <c:pt idx="386">
                  <c:v>1.8921152184790442</c:v>
                </c:pt>
                <c:pt idx="387">
                  <c:v>1.9142622599842478</c:v>
                </c:pt>
                <c:pt idx="388">
                  <c:v>1.9485892332659542</c:v>
                </c:pt>
                <c:pt idx="389">
                  <c:v>1.9504102132628407</c:v>
                </c:pt>
                <c:pt idx="390">
                  <c:v>1.9949185447030164</c:v>
                </c:pt>
                <c:pt idx="391">
                  <c:v>1.9557607215607946</c:v>
                </c:pt>
                <c:pt idx="392">
                  <c:v>1.9398195792392652</c:v>
                </c:pt>
                <c:pt idx="393">
                  <c:v>1.9918082237002634</c:v>
                </c:pt>
                <c:pt idx="394">
                  <c:v>1.9695684806576286</c:v>
                </c:pt>
                <c:pt idx="395">
                  <c:v>1.9636954957426571</c:v>
                </c:pt>
                <c:pt idx="396">
                  <c:v>1.94982050455933</c:v>
                </c:pt>
                <c:pt idx="397">
                  <c:v>2.0385534086699812</c:v>
                </c:pt>
                <c:pt idx="398">
                  <c:v>2.0255616505058542</c:v>
                </c:pt>
                <c:pt idx="399">
                  <c:v>2.0392400545301181</c:v>
                </c:pt>
                <c:pt idx="400">
                  <c:v>2.0620620747203513</c:v>
                </c:pt>
                <c:pt idx="401">
                  <c:v>1.9697715603592212</c:v>
                </c:pt>
                <c:pt idx="402">
                  <c:v>1.9720294115453754</c:v>
                </c:pt>
                <c:pt idx="403">
                  <c:v>1.9469976887505542</c:v>
                </c:pt>
                <c:pt idx="404">
                  <c:v>1.9921094347449892</c:v>
                </c:pt>
                <c:pt idx="405">
                  <c:v>1.9720294115453754</c:v>
                </c:pt>
                <c:pt idx="406">
                  <c:v>2.0615528128088298</c:v>
                </c:pt>
                <c:pt idx="407">
                  <c:v>1.9725364381932211</c:v>
                </c:pt>
                <c:pt idx="408">
                  <c:v>1.9588772294352701</c:v>
                </c:pt>
                <c:pt idx="409">
                  <c:v>2.0498048687619024</c:v>
                </c:pt>
                <c:pt idx="410">
                  <c:v>2.0448227307030797</c:v>
                </c:pt>
                <c:pt idx="411">
                  <c:v>1.9473315074737534</c:v>
                </c:pt>
                <c:pt idx="412">
                  <c:v>2.0357062656483622</c:v>
                </c:pt>
                <c:pt idx="413">
                  <c:v>2.0171762441591463</c:v>
                </c:pt>
                <c:pt idx="414">
                  <c:v>2.0235859260234048</c:v>
                </c:pt>
                <c:pt idx="415">
                  <c:v>1.9961963831246663</c:v>
                </c:pt>
                <c:pt idx="416">
                  <c:v>1.915097908724251</c:v>
                </c:pt>
                <c:pt idx="417">
                  <c:v>2.0706762180505187</c:v>
                </c:pt>
                <c:pt idx="418">
                  <c:v>1.9089525923919639</c:v>
                </c:pt>
                <c:pt idx="419">
                  <c:v>1.9664434901618708</c:v>
                </c:pt>
                <c:pt idx="420">
                  <c:v>2.0412986062798359</c:v>
                </c:pt>
                <c:pt idx="421">
                  <c:v>1.9991248085099642</c:v>
                </c:pt>
                <c:pt idx="422">
                  <c:v>1.9620907216538179</c:v>
                </c:pt>
                <c:pt idx="423">
                  <c:v>1.9960210419732554</c:v>
                </c:pt>
                <c:pt idx="424">
                  <c:v>1.969771560359221</c:v>
                </c:pt>
                <c:pt idx="425">
                  <c:v>1.9789138435010252</c:v>
                </c:pt>
                <c:pt idx="426">
                  <c:v>2.0155644370746373</c:v>
                </c:pt>
                <c:pt idx="427">
                  <c:v>2.049414550548522</c:v>
                </c:pt>
                <c:pt idx="428">
                  <c:v>2.0264747716169573</c:v>
                </c:pt>
              </c:numCache>
            </c:numRef>
          </c:xVal>
          <c:yVal>
            <c:numRef>
              <c:f>'HT 2017-07-05 BIG JIM'!$BY$287:$BY$715</c:f>
              <c:numCache>
                <c:formatCode>General</c:formatCode>
                <c:ptCount val="42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CF-4CFC-B878-A19C9D92B9F2}"/>
            </c:ext>
          </c:extLst>
        </c:ser>
        <c:ser>
          <c:idx val="2"/>
          <c:order val="3"/>
          <c:tx>
            <c:strRef>
              <c:f>'HT 2017-07-05 BIG JIM'!#REF!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JIM'!$G$329:$G$715</c:f>
              <c:numCache>
                <c:formatCode>General</c:formatCode>
                <c:ptCount val="387"/>
                <c:pt idx="0">
                  <c:v>2.3259406699226011</c:v>
                </c:pt>
                <c:pt idx="1">
                  <c:v>2.4226638231500468</c:v>
                </c:pt>
                <c:pt idx="2">
                  <c:v>2.4062626623043464</c:v>
                </c:pt>
                <c:pt idx="3">
                  <c:v>2.3837994882120435</c:v>
                </c:pt>
                <c:pt idx="4">
                  <c:v>2.4524681445433703</c:v>
                </c:pt>
                <c:pt idx="5">
                  <c:v>2.4645689278249048</c:v>
                </c:pt>
                <c:pt idx="6">
                  <c:v>2.4242318370980938</c:v>
                </c:pt>
                <c:pt idx="7">
                  <c:v>2.4880916381837705</c:v>
                </c:pt>
                <c:pt idx="8">
                  <c:v>2.3881373494839027</c:v>
                </c:pt>
                <c:pt idx="9">
                  <c:v>2.4018534509832192</c:v>
                </c:pt>
                <c:pt idx="10">
                  <c:v>2.4449948875202172</c:v>
                </c:pt>
                <c:pt idx="11">
                  <c:v>2.5147763320025107</c:v>
                </c:pt>
                <c:pt idx="12">
                  <c:v>2.4377243486497813</c:v>
                </c:pt>
                <c:pt idx="13">
                  <c:v>2.3537204591879641</c:v>
                </c:pt>
                <c:pt idx="14">
                  <c:v>2.4420483205702546</c:v>
                </c:pt>
                <c:pt idx="15">
                  <c:v>2.5026585863836881</c:v>
                </c:pt>
                <c:pt idx="16">
                  <c:v>2.3942639787625759</c:v>
                </c:pt>
                <c:pt idx="17">
                  <c:v>2.4973586046060747</c:v>
                </c:pt>
                <c:pt idx="18">
                  <c:v>2.3728674636397202</c:v>
                </c:pt>
                <c:pt idx="19">
                  <c:v>2.4105808428675441</c:v>
                </c:pt>
                <c:pt idx="20">
                  <c:v>2.3847222060441338</c:v>
                </c:pt>
                <c:pt idx="21">
                  <c:v>2.4520399670478454</c:v>
                </c:pt>
                <c:pt idx="22">
                  <c:v>2.4687648733729177</c:v>
                </c:pt>
                <c:pt idx="23">
                  <c:v>2.3713498265755728</c:v>
                </c:pt>
                <c:pt idx="24">
                  <c:v>2.4166091947189146</c:v>
                </c:pt>
                <c:pt idx="25">
                  <c:v>2.4798790293076798</c:v>
                </c:pt>
                <c:pt idx="26">
                  <c:v>2.4301646034785378</c:v>
                </c:pt>
                <c:pt idx="27">
                  <c:v>2.4439517180173591</c:v>
                </c:pt>
                <c:pt idx="28">
                  <c:v>2.3085276693165282</c:v>
                </c:pt>
                <c:pt idx="29">
                  <c:v>2.4644877763949244</c:v>
                </c:pt>
                <c:pt idx="30">
                  <c:v>2.3754157530840785</c:v>
                </c:pt>
                <c:pt idx="31">
                  <c:v>2.346912865872953</c:v>
                </c:pt>
                <c:pt idx="32">
                  <c:v>2.4500000000000002</c:v>
                </c:pt>
                <c:pt idx="33">
                  <c:v>2.4311519903124119</c:v>
                </c:pt>
                <c:pt idx="34">
                  <c:v>2.3120986138138657</c:v>
                </c:pt>
                <c:pt idx="35">
                  <c:v>2.3394016328967542</c:v>
                </c:pt>
                <c:pt idx="36">
                  <c:v>2.542380773999048</c:v>
                </c:pt>
                <c:pt idx="37">
                  <c:v>2.4085265205099984</c:v>
                </c:pt>
                <c:pt idx="38">
                  <c:v>2.4008540147205952</c:v>
                </c:pt>
                <c:pt idx="39">
                  <c:v>2.5249158401816092</c:v>
                </c:pt>
                <c:pt idx="40">
                  <c:v>2.3914012628582433</c:v>
                </c:pt>
                <c:pt idx="41">
                  <c:v>2.4212806528777282</c:v>
                </c:pt>
                <c:pt idx="42">
                  <c:v>2.4480400323524125</c:v>
                </c:pt>
                <c:pt idx="43">
                  <c:v>2.5145377308761945</c:v>
                </c:pt>
                <c:pt idx="44">
                  <c:v>2.358664876577425</c:v>
                </c:pt>
                <c:pt idx="45">
                  <c:v>2.3995416228938393</c:v>
                </c:pt>
                <c:pt idx="46">
                  <c:v>2.4318717071424638</c:v>
                </c:pt>
                <c:pt idx="47">
                  <c:v>2.3120553626589482</c:v>
                </c:pt>
                <c:pt idx="48">
                  <c:v>2.3653540961133075</c:v>
                </c:pt>
                <c:pt idx="49">
                  <c:v>2.2998478210525151</c:v>
                </c:pt>
                <c:pt idx="50">
                  <c:v>2.3769728648009427</c:v>
                </c:pt>
                <c:pt idx="51">
                  <c:v>2.3097185975785015</c:v>
                </c:pt>
                <c:pt idx="52">
                  <c:v>2.2821262015935928</c:v>
                </c:pt>
                <c:pt idx="53">
                  <c:v>2.4206197553519222</c:v>
                </c:pt>
                <c:pt idx="54">
                  <c:v>2.3097185975785015</c:v>
                </c:pt>
                <c:pt idx="55">
                  <c:v>2.4340295807569801</c:v>
                </c:pt>
                <c:pt idx="56">
                  <c:v>2.3564804263986581</c:v>
                </c:pt>
                <c:pt idx="57">
                  <c:v>2.4047037239543672</c:v>
                </c:pt>
                <c:pt idx="58">
                  <c:v>2.4422940035957996</c:v>
                </c:pt>
                <c:pt idx="59">
                  <c:v>2.2722015755649854</c:v>
                </c:pt>
                <c:pt idx="60">
                  <c:v>2.3415593095200471</c:v>
                </c:pt>
                <c:pt idx="61">
                  <c:v>2.3569683918118209</c:v>
                </c:pt>
                <c:pt idx="62">
                  <c:v>2.3355513267749011</c:v>
                </c:pt>
                <c:pt idx="63">
                  <c:v>2.3152537657889685</c:v>
                </c:pt>
                <c:pt idx="64">
                  <c:v>2.3566925976885487</c:v>
                </c:pt>
                <c:pt idx="65">
                  <c:v>2.3759208741033442</c:v>
                </c:pt>
                <c:pt idx="66">
                  <c:v>2.3815961034566713</c:v>
                </c:pt>
                <c:pt idx="67">
                  <c:v>2.5166843266488548</c:v>
                </c:pt>
                <c:pt idx="68">
                  <c:v>2.5787787807409925</c:v>
                </c:pt>
                <c:pt idx="69">
                  <c:v>2.5405511213120664</c:v>
                </c:pt>
                <c:pt idx="70">
                  <c:v>2.5556603843233945</c:v>
                </c:pt>
                <c:pt idx="71">
                  <c:v>2.54939208439973</c:v>
                </c:pt>
                <c:pt idx="72">
                  <c:v>2.4906224121692957</c:v>
                </c:pt>
                <c:pt idx="73">
                  <c:v>2.49897979183506</c:v>
                </c:pt>
                <c:pt idx="74">
                  <c:v>2.5111352014576998</c:v>
                </c:pt>
                <c:pt idx="75">
                  <c:v>2.5770137756713685</c:v>
                </c:pt>
                <c:pt idx="76">
                  <c:v>2.5379716310471241</c:v>
                </c:pt>
                <c:pt idx="77">
                  <c:v>2.5880108191427635</c:v>
                </c:pt>
                <c:pt idx="78">
                  <c:v>2.5111352014576998</c:v>
                </c:pt>
                <c:pt idx="79">
                  <c:v>2.5347583711273152</c:v>
                </c:pt>
                <c:pt idx="80">
                  <c:v>2.5609568524284043</c:v>
                </c:pt>
                <c:pt idx="81">
                  <c:v>2.5331403435261928</c:v>
                </c:pt>
                <c:pt idx="82">
                  <c:v>2.5133443854752575</c:v>
                </c:pt>
                <c:pt idx="83">
                  <c:v>2.610785322465254</c:v>
                </c:pt>
                <c:pt idx="84">
                  <c:v>2.5244801445050031</c:v>
                </c:pt>
                <c:pt idx="85">
                  <c:v>2.4819548746905129</c:v>
                </c:pt>
                <c:pt idx="86">
                  <c:v>2.5143587651725441</c:v>
                </c:pt>
                <c:pt idx="87">
                  <c:v>2.449693858423946</c:v>
                </c:pt>
                <c:pt idx="88">
                  <c:v>2.4684408034222738</c:v>
                </c:pt>
                <c:pt idx="89">
                  <c:v>2.4906424873915567</c:v>
                </c:pt>
                <c:pt idx="90">
                  <c:v>2.4933912649241394</c:v>
                </c:pt>
                <c:pt idx="91">
                  <c:v>2.4528350943347172</c:v>
                </c:pt>
                <c:pt idx="92">
                  <c:v>2.5044959572736389</c:v>
                </c:pt>
                <c:pt idx="93">
                  <c:v>2.4520399670478459</c:v>
                </c:pt>
                <c:pt idx="94">
                  <c:v>2.5026585863836881</c:v>
                </c:pt>
                <c:pt idx="95">
                  <c:v>2.5572641631243336</c:v>
                </c:pt>
                <c:pt idx="96">
                  <c:v>2.4850955716028307</c:v>
                </c:pt>
                <c:pt idx="97">
                  <c:v>2.5314027731674784</c:v>
                </c:pt>
                <c:pt idx="98">
                  <c:v>2.5184916120567085</c:v>
                </c:pt>
                <c:pt idx="99">
                  <c:v>2.5183526361492743</c:v>
                </c:pt>
                <c:pt idx="100">
                  <c:v>2.5253910588263357</c:v>
                </c:pt>
                <c:pt idx="101">
                  <c:v>2.5158895047279004</c:v>
                </c:pt>
                <c:pt idx="102">
                  <c:v>2.5128469909646309</c:v>
                </c:pt>
                <c:pt idx="103">
                  <c:v>2.4370679104202249</c:v>
                </c:pt>
                <c:pt idx="104">
                  <c:v>2.4911041728518697</c:v>
                </c:pt>
                <c:pt idx="105">
                  <c:v>2.5824213443975403</c:v>
                </c:pt>
                <c:pt idx="106">
                  <c:v>2.5072694310743713</c:v>
                </c:pt>
                <c:pt idx="107">
                  <c:v>2.5433245958783943</c:v>
                </c:pt>
                <c:pt idx="108">
                  <c:v>2.5238858928247923</c:v>
                </c:pt>
                <c:pt idx="109">
                  <c:v>2.5471749056552833</c:v>
                </c:pt>
                <c:pt idx="110">
                  <c:v>2.5962472917655592</c:v>
                </c:pt>
                <c:pt idx="111">
                  <c:v>2.5460754112948027</c:v>
                </c:pt>
                <c:pt idx="112">
                  <c:v>2.5460754112948027</c:v>
                </c:pt>
                <c:pt idx="113">
                  <c:v>2.5674306222369476</c:v>
                </c:pt>
                <c:pt idx="114">
                  <c:v>2.5211505310076192</c:v>
                </c:pt>
                <c:pt idx="115">
                  <c:v>2.4989797918350605</c:v>
                </c:pt>
                <c:pt idx="116">
                  <c:v>2.5726639889422018</c:v>
                </c:pt>
                <c:pt idx="117">
                  <c:v>2.5690854403853525</c:v>
                </c:pt>
                <c:pt idx="118">
                  <c:v>2.5355867171130235</c:v>
                </c:pt>
                <c:pt idx="119">
                  <c:v>2.5599414055794325</c:v>
                </c:pt>
                <c:pt idx="120">
                  <c:v>2.5711087102648928</c:v>
                </c:pt>
                <c:pt idx="121">
                  <c:v>2.5879142180528318</c:v>
                </c:pt>
                <c:pt idx="122">
                  <c:v>2.5748980562344599</c:v>
                </c:pt>
                <c:pt idx="123">
                  <c:v>2.5547798339583001</c:v>
                </c:pt>
                <c:pt idx="124">
                  <c:v>2.5006399181009651</c:v>
                </c:pt>
                <c:pt idx="125">
                  <c:v>2.5193848455525805</c:v>
                </c:pt>
                <c:pt idx="126">
                  <c:v>2.5439536159293472</c:v>
                </c:pt>
                <c:pt idx="127">
                  <c:v>2.5547798339583001</c:v>
                </c:pt>
                <c:pt idx="128">
                  <c:v>2.5312447530809821</c:v>
                </c:pt>
                <c:pt idx="129">
                  <c:v>2.5001799935204669</c:v>
                </c:pt>
                <c:pt idx="130">
                  <c:v>2.5853626438084079</c:v>
                </c:pt>
                <c:pt idx="131">
                  <c:v>2.584027863626861</c:v>
                </c:pt>
                <c:pt idx="132">
                  <c:v>2.6299239532731744</c:v>
                </c:pt>
                <c:pt idx="133">
                  <c:v>2.5707780923292467</c:v>
                </c:pt>
                <c:pt idx="134">
                  <c:v>2.5039169315294783</c:v>
                </c:pt>
                <c:pt idx="135">
                  <c:v>2.5518032839543099</c:v>
                </c:pt>
                <c:pt idx="136">
                  <c:v>2.6224606765402605</c:v>
                </c:pt>
                <c:pt idx="137">
                  <c:v>2.5403149411047439</c:v>
                </c:pt>
                <c:pt idx="138">
                  <c:v>2.5045957757690163</c:v>
                </c:pt>
                <c:pt idx="139">
                  <c:v>2.5092827660508887</c:v>
                </c:pt>
                <c:pt idx="140">
                  <c:v>2.5897104085206131</c:v>
                </c:pt>
                <c:pt idx="141">
                  <c:v>2.5144581921360314</c:v>
                </c:pt>
                <c:pt idx="142">
                  <c:v>2.4465894629054543</c:v>
                </c:pt>
                <c:pt idx="143">
                  <c:v>2.5147763320025103</c:v>
                </c:pt>
                <c:pt idx="144">
                  <c:v>2.4200206610688264</c:v>
                </c:pt>
                <c:pt idx="145">
                  <c:v>2.510019920239678</c:v>
                </c:pt>
                <c:pt idx="146">
                  <c:v>2.5494509212769718</c:v>
                </c:pt>
                <c:pt idx="147">
                  <c:v>2.5147763320025103</c:v>
                </c:pt>
                <c:pt idx="148">
                  <c:v>2.5601953050499877</c:v>
                </c:pt>
                <c:pt idx="149">
                  <c:v>2.6670020622414223</c:v>
                </c:pt>
                <c:pt idx="150">
                  <c:v>2.6532432983049259</c:v>
                </c:pt>
                <c:pt idx="151">
                  <c:v>2.5188290930509756</c:v>
                </c:pt>
                <c:pt idx="152">
                  <c:v>2.5292291315734921</c:v>
                </c:pt>
                <c:pt idx="153">
                  <c:v>2.5059928172283334</c:v>
                </c:pt>
                <c:pt idx="154">
                  <c:v>2.5536836139193126</c:v>
                </c:pt>
                <c:pt idx="155">
                  <c:v>2.6016341018675164</c:v>
                </c:pt>
                <c:pt idx="156">
                  <c:v>2.6564638149238924</c:v>
                </c:pt>
                <c:pt idx="157">
                  <c:v>2.6513770007299979</c:v>
                </c:pt>
                <c:pt idx="158">
                  <c:v>2.5895559464896678</c:v>
                </c:pt>
                <c:pt idx="159">
                  <c:v>2.7220764133286188</c:v>
                </c:pt>
                <c:pt idx="160">
                  <c:v>2.5437374078312405</c:v>
                </c:pt>
                <c:pt idx="161">
                  <c:v>2.6102107194630859</c:v>
                </c:pt>
                <c:pt idx="162">
                  <c:v>2.5935689695861184</c:v>
                </c:pt>
                <c:pt idx="163">
                  <c:v>2.5457808232446091</c:v>
                </c:pt>
                <c:pt idx="164">
                  <c:v>2.5352711886502401</c:v>
                </c:pt>
                <c:pt idx="165">
                  <c:v>2.6172504656604798</c:v>
                </c:pt>
                <c:pt idx="166">
                  <c:v>2.6629307163349178</c:v>
                </c:pt>
                <c:pt idx="167">
                  <c:v>2.5079872407968904</c:v>
                </c:pt>
                <c:pt idx="168">
                  <c:v>2.6102107194630859</c:v>
                </c:pt>
                <c:pt idx="169">
                  <c:v>2.5515681452785071</c:v>
                </c:pt>
                <c:pt idx="170">
                  <c:v>2.5026585863836881</c:v>
                </c:pt>
                <c:pt idx="171">
                  <c:v>2.6332679316772909</c:v>
                </c:pt>
                <c:pt idx="172">
                  <c:v>2.5516269319788893</c:v>
                </c:pt>
                <c:pt idx="173">
                  <c:v>2.5899034731047412</c:v>
                </c:pt>
                <c:pt idx="174">
                  <c:v>2.5073093147834791</c:v>
                </c:pt>
                <c:pt idx="175">
                  <c:v>2.5949373788205374</c:v>
                </c:pt>
                <c:pt idx="176">
                  <c:v>2.6840454541605663</c:v>
                </c:pt>
                <c:pt idx="177">
                  <c:v>2.619255619446105</c:v>
                </c:pt>
                <c:pt idx="178">
                  <c:v>2.5428330656966063</c:v>
                </c:pt>
                <c:pt idx="179">
                  <c:v>2.6046496885377888</c:v>
                </c:pt>
                <c:pt idx="180">
                  <c:v>2.5267568145747621</c:v>
                </c:pt>
                <c:pt idx="181">
                  <c:v>2.4709512338368804</c:v>
                </c:pt>
                <c:pt idx="182">
                  <c:v>2.6043233286210836</c:v>
                </c:pt>
                <c:pt idx="183">
                  <c:v>2.5451522547776979</c:v>
                </c:pt>
                <c:pt idx="184">
                  <c:v>2.581259382549534</c:v>
                </c:pt>
                <c:pt idx="185">
                  <c:v>2.5280031645549816</c:v>
                </c:pt>
                <c:pt idx="186">
                  <c:v>2.6565579233286067</c:v>
                </c:pt>
                <c:pt idx="187">
                  <c:v>2.6225560051217207</c:v>
                </c:pt>
                <c:pt idx="188">
                  <c:v>2.5515681452785071</c:v>
                </c:pt>
                <c:pt idx="189">
                  <c:v>2.5347583711273156</c:v>
                </c:pt>
                <c:pt idx="190">
                  <c:v>2.5341073379002714</c:v>
                </c:pt>
                <c:pt idx="191">
                  <c:v>2.5350542400508909</c:v>
                </c:pt>
                <c:pt idx="192">
                  <c:v>2.5536836139193126</c:v>
                </c:pt>
                <c:pt idx="193">
                  <c:v>2.4560537453402764</c:v>
                </c:pt>
                <c:pt idx="194">
                  <c:v>2.6050911692299756</c:v>
                </c:pt>
                <c:pt idx="195">
                  <c:v>2.5179356624028344</c:v>
                </c:pt>
                <c:pt idx="196">
                  <c:v>2.6239092972128439</c:v>
                </c:pt>
                <c:pt idx="197">
                  <c:v>2.522320360303187</c:v>
                </c:pt>
                <c:pt idx="198">
                  <c:v>2.6153584840323516</c:v>
                </c:pt>
                <c:pt idx="199">
                  <c:v>2.5556603843233945</c:v>
                </c:pt>
                <c:pt idx="200">
                  <c:v>2.5133443854752575</c:v>
                </c:pt>
                <c:pt idx="201">
                  <c:v>2.6436716891475007</c:v>
                </c:pt>
                <c:pt idx="202">
                  <c:v>2.5366316248127161</c:v>
                </c:pt>
                <c:pt idx="203">
                  <c:v>2.6109385285755007</c:v>
                </c:pt>
                <c:pt idx="204">
                  <c:v>2.5988074187980916</c:v>
                </c:pt>
                <c:pt idx="205">
                  <c:v>2.5283393759541064</c:v>
                </c:pt>
                <c:pt idx="206">
                  <c:v>2.5292291315734921</c:v>
                </c:pt>
                <c:pt idx="207">
                  <c:v>2.4720234626718254</c:v>
                </c:pt>
                <c:pt idx="208">
                  <c:v>2.5741989045137905</c:v>
                </c:pt>
                <c:pt idx="209">
                  <c:v>2.5800775182152957</c:v>
                </c:pt>
                <c:pt idx="210">
                  <c:v>2.5524889813670106</c:v>
                </c:pt>
                <c:pt idx="211">
                  <c:v>2.6330400680582131</c:v>
                </c:pt>
                <c:pt idx="212">
                  <c:v>2.4605893602956184</c:v>
                </c:pt>
                <c:pt idx="213">
                  <c:v>2.5916982849089516</c:v>
                </c:pt>
                <c:pt idx="214">
                  <c:v>2.5292291315734921</c:v>
                </c:pt>
                <c:pt idx="215">
                  <c:v>2.6284025566872358</c:v>
                </c:pt>
                <c:pt idx="216">
                  <c:v>2.5316002844051031</c:v>
                </c:pt>
                <c:pt idx="217">
                  <c:v>2.5537815098398688</c:v>
                </c:pt>
                <c:pt idx="218">
                  <c:v>2.4935316320431955</c:v>
                </c:pt>
                <c:pt idx="219">
                  <c:v>2.5633766793040778</c:v>
                </c:pt>
                <c:pt idx="220">
                  <c:v>2.4742675683927153</c:v>
                </c:pt>
                <c:pt idx="221">
                  <c:v>2.5294465797877606</c:v>
                </c:pt>
                <c:pt idx="222">
                  <c:v>2.5556603843233945</c:v>
                </c:pt>
                <c:pt idx="223">
                  <c:v>2.4696963376091401</c:v>
                </c:pt>
                <c:pt idx="224">
                  <c:v>2.5879142180528318</c:v>
                </c:pt>
                <c:pt idx="225">
                  <c:v>2.5694357357209774</c:v>
                </c:pt>
                <c:pt idx="226">
                  <c:v>2.4404302899283969</c:v>
                </c:pt>
                <c:pt idx="227">
                  <c:v>2.4520399670478459</c:v>
                </c:pt>
                <c:pt idx="228">
                  <c:v>2.6035744659986202</c:v>
                </c:pt>
                <c:pt idx="229">
                  <c:v>2.5656188337319321</c:v>
                </c:pt>
                <c:pt idx="230">
                  <c:v>2.5526456863419176</c:v>
                </c:pt>
                <c:pt idx="231">
                  <c:v>2.4742675683927149</c:v>
                </c:pt>
                <c:pt idx="232">
                  <c:v>2.5026585863836881</c:v>
                </c:pt>
                <c:pt idx="233">
                  <c:v>2.5794766911139164</c:v>
                </c:pt>
                <c:pt idx="234">
                  <c:v>2.5849564793241684</c:v>
                </c:pt>
                <c:pt idx="235">
                  <c:v>2.5107767722360346</c:v>
                </c:pt>
                <c:pt idx="236">
                  <c:v>2.4992999019725506</c:v>
                </c:pt>
                <c:pt idx="237">
                  <c:v>2.5156311335328949</c:v>
                </c:pt>
                <c:pt idx="238">
                  <c:v>2.5347583711273152</c:v>
                </c:pt>
                <c:pt idx="239">
                  <c:v>2.6076809620810595</c:v>
                </c:pt>
                <c:pt idx="240">
                  <c:v>2.5452701231892854</c:v>
                </c:pt>
                <c:pt idx="241">
                  <c:v>2.6034592372457075</c:v>
                </c:pt>
                <c:pt idx="242">
                  <c:v>2.6102107194630855</c:v>
                </c:pt>
                <c:pt idx="243">
                  <c:v>2.5715753926338616</c:v>
                </c:pt>
                <c:pt idx="244">
                  <c:v>2.5020391683584813</c:v>
                </c:pt>
                <c:pt idx="245">
                  <c:v>2.4285386552410482</c:v>
                </c:pt>
                <c:pt idx="246">
                  <c:v>2.5489213404889526</c:v>
                </c:pt>
                <c:pt idx="247">
                  <c:v>2.4577225229874915</c:v>
                </c:pt>
                <c:pt idx="248">
                  <c:v>2.5489213404889526</c:v>
                </c:pt>
                <c:pt idx="249">
                  <c:v>2.4987396823198691</c:v>
                </c:pt>
                <c:pt idx="250">
                  <c:v>2.5536836139193122</c:v>
                </c:pt>
                <c:pt idx="251">
                  <c:v>2.5599414055794325</c:v>
                </c:pt>
                <c:pt idx="252">
                  <c:v>2.4602845363900494</c:v>
                </c:pt>
                <c:pt idx="253">
                  <c:v>2.5439536159293472</c:v>
                </c:pt>
                <c:pt idx="254">
                  <c:v>2.5366316248127165</c:v>
                </c:pt>
                <c:pt idx="255">
                  <c:v>2.520495982936692</c:v>
                </c:pt>
                <c:pt idx="256">
                  <c:v>2.4920874784003875</c:v>
                </c:pt>
                <c:pt idx="257">
                  <c:v>2.5992498917957079</c:v>
                </c:pt>
                <c:pt idx="258">
                  <c:v>2.5072694310743713</c:v>
                </c:pt>
                <c:pt idx="259">
                  <c:v>2.5451522547776979</c:v>
                </c:pt>
                <c:pt idx="260">
                  <c:v>2.411514047232568</c:v>
                </c:pt>
                <c:pt idx="261">
                  <c:v>2.4935917869611295</c:v>
                </c:pt>
                <c:pt idx="262">
                  <c:v>2.4541597340026584</c:v>
                </c:pt>
                <c:pt idx="263">
                  <c:v>2.4581497106563708</c:v>
                </c:pt>
                <c:pt idx="264">
                  <c:v>2.4473863609981974</c:v>
                </c:pt>
                <c:pt idx="265">
                  <c:v>2.4214252001662162</c:v>
                </c:pt>
                <c:pt idx="266">
                  <c:v>2.5266974492408067</c:v>
                </c:pt>
                <c:pt idx="267">
                  <c:v>2.3434376458527764</c:v>
                </c:pt>
                <c:pt idx="268">
                  <c:v>1.9672569735548024</c:v>
                </c:pt>
                <c:pt idx="269">
                  <c:v>2.0416659863944449</c:v>
                </c:pt>
                <c:pt idx="270">
                  <c:v>1.9241881404893857</c:v>
                </c:pt>
                <c:pt idx="271">
                  <c:v>2.0225231766286389</c:v>
                </c:pt>
                <c:pt idx="272">
                  <c:v>1.9604081207748556</c:v>
                </c:pt>
                <c:pt idx="273">
                  <c:v>1.9918082237002634</c:v>
                </c:pt>
                <c:pt idx="274">
                  <c:v>2.0368603290358425</c:v>
                </c:pt>
                <c:pt idx="275">
                  <c:v>1.895521036549054</c:v>
                </c:pt>
                <c:pt idx="276">
                  <c:v>2.0368603290358425</c:v>
                </c:pt>
                <c:pt idx="277">
                  <c:v>2.0525106577067995</c:v>
                </c:pt>
                <c:pt idx="278">
                  <c:v>1.9887936041731427</c:v>
                </c:pt>
                <c:pt idx="279">
                  <c:v>2.0169779374103229</c:v>
                </c:pt>
                <c:pt idx="280">
                  <c:v>1.946175737183053</c:v>
                </c:pt>
                <c:pt idx="281">
                  <c:v>1.9856485086741811</c:v>
                </c:pt>
                <c:pt idx="282">
                  <c:v>1.9895728184713419</c:v>
                </c:pt>
                <c:pt idx="283">
                  <c:v>2.0193315725754397</c:v>
                </c:pt>
                <c:pt idx="284">
                  <c:v>1.9996499693696395</c:v>
                </c:pt>
                <c:pt idx="285">
                  <c:v>2.0064396327824068</c:v>
                </c:pt>
                <c:pt idx="286">
                  <c:v>2.0008498194517248</c:v>
                </c:pt>
                <c:pt idx="287">
                  <c:v>1.8989734068701436</c:v>
                </c:pt>
                <c:pt idx="288">
                  <c:v>2.0183656754909403</c:v>
                </c:pt>
                <c:pt idx="289">
                  <c:v>1.960229578391266</c:v>
                </c:pt>
                <c:pt idx="290">
                  <c:v>1.9018412131405713</c:v>
                </c:pt>
                <c:pt idx="291">
                  <c:v>1.8917980864775186</c:v>
                </c:pt>
                <c:pt idx="292">
                  <c:v>1.9119100397246727</c:v>
                </c:pt>
                <c:pt idx="293">
                  <c:v>1.9833809518093088</c:v>
                </c:pt>
                <c:pt idx="294">
                  <c:v>1.9601020381602585</c:v>
                </c:pt>
                <c:pt idx="295">
                  <c:v>2.0392400545301181</c:v>
                </c:pt>
                <c:pt idx="296">
                  <c:v>1.9190883252211191</c:v>
                </c:pt>
                <c:pt idx="297">
                  <c:v>1.9739554199626697</c:v>
                </c:pt>
                <c:pt idx="298">
                  <c:v>1.966443490161871</c:v>
                </c:pt>
                <c:pt idx="299">
                  <c:v>2.04</c:v>
                </c:pt>
                <c:pt idx="300">
                  <c:v>1.9550959055759898</c:v>
                </c:pt>
                <c:pt idx="301">
                  <c:v>1.9458931111445972</c:v>
                </c:pt>
                <c:pt idx="302">
                  <c:v>1.924811679100062</c:v>
                </c:pt>
                <c:pt idx="303">
                  <c:v>2.0056171120131583</c:v>
                </c:pt>
                <c:pt idx="304">
                  <c:v>1.9299999999999997</c:v>
                </c:pt>
                <c:pt idx="305">
                  <c:v>1.9602295783912658</c:v>
                </c:pt>
                <c:pt idx="306">
                  <c:v>1.9465096968677038</c:v>
                </c:pt>
                <c:pt idx="307">
                  <c:v>1.9553260597659921</c:v>
                </c:pt>
                <c:pt idx="308">
                  <c:v>1.9791412279066898</c:v>
                </c:pt>
                <c:pt idx="309">
                  <c:v>1.9723082923316018</c:v>
                </c:pt>
                <c:pt idx="310">
                  <c:v>1.9795959183631389</c:v>
                </c:pt>
                <c:pt idx="311">
                  <c:v>2.0374493858744072</c:v>
                </c:pt>
                <c:pt idx="312">
                  <c:v>2.005243127403757</c:v>
                </c:pt>
                <c:pt idx="313">
                  <c:v>2.0289159667172023</c:v>
                </c:pt>
                <c:pt idx="314">
                  <c:v>2.0088305055429641</c:v>
                </c:pt>
                <c:pt idx="315">
                  <c:v>2.0207176942858696</c:v>
                </c:pt>
                <c:pt idx="316">
                  <c:v>2.0400980368599937</c:v>
                </c:pt>
                <c:pt idx="317">
                  <c:v>1.9949185447030162</c:v>
                </c:pt>
                <c:pt idx="318">
                  <c:v>1.9553260597659921</c:v>
                </c:pt>
                <c:pt idx="319">
                  <c:v>1.9999999999999998</c:v>
                </c:pt>
                <c:pt idx="320">
                  <c:v>1.9420092687729378</c:v>
                </c:pt>
                <c:pt idx="321">
                  <c:v>1.9677398201998149</c:v>
                </c:pt>
                <c:pt idx="322">
                  <c:v>1.9751708786836644</c:v>
                </c:pt>
                <c:pt idx="323">
                  <c:v>2.0026232796010337</c:v>
                </c:pt>
                <c:pt idx="324">
                  <c:v>1.9694669329541941</c:v>
                </c:pt>
                <c:pt idx="325">
                  <c:v>1.9665706191235541</c:v>
                </c:pt>
                <c:pt idx="326">
                  <c:v>2.0171762441591463</c:v>
                </c:pt>
                <c:pt idx="327">
                  <c:v>2.0026232796010337</c:v>
                </c:pt>
                <c:pt idx="328">
                  <c:v>1.9764867821465439</c:v>
                </c:pt>
                <c:pt idx="329">
                  <c:v>1.9946177578674065</c:v>
                </c:pt>
                <c:pt idx="330">
                  <c:v>2.0092784774639876</c:v>
                </c:pt>
                <c:pt idx="331">
                  <c:v>2.0129580224137809</c:v>
                </c:pt>
                <c:pt idx="332">
                  <c:v>1.9610456394485061</c:v>
                </c:pt>
                <c:pt idx="333">
                  <c:v>1.9729419656948859</c:v>
                </c:pt>
                <c:pt idx="334">
                  <c:v>1.8930662957223656</c:v>
                </c:pt>
                <c:pt idx="335">
                  <c:v>2.0255616505058542</c:v>
                </c:pt>
                <c:pt idx="336">
                  <c:v>2.0205444810743467</c:v>
                </c:pt>
                <c:pt idx="337">
                  <c:v>1.9458931111445974</c:v>
                </c:pt>
                <c:pt idx="338">
                  <c:v>1.9523319389898841</c:v>
                </c:pt>
                <c:pt idx="339">
                  <c:v>2.0441624201613728</c:v>
                </c:pt>
                <c:pt idx="340">
                  <c:v>1.9553260597659918</c:v>
                </c:pt>
                <c:pt idx="341">
                  <c:v>2.0116162655934158</c:v>
                </c:pt>
                <c:pt idx="342">
                  <c:v>1.9513328778042971</c:v>
                </c:pt>
                <c:pt idx="343">
                  <c:v>1.9425756098540929</c:v>
                </c:pt>
                <c:pt idx="344">
                  <c:v>1.8921152184790442</c:v>
                </c:pt>
                <c:pt idx="345">
                  <c:v>1.9142622599842478</c:v>
                </c:pt>
                <c:pt idx="346">
                  <c:v>1.9485892332659542</c:v>
                </c:pt>
                <c:pt idx="347">
                  <c:v>1.9504102132628407</c:v>
                </c:pt>
                <c:pt idx="348">
                  <c:v>1.9949185447030164</c:v>
                </c:pt>
                <c:pt idx="349">
                  <c:v>1.9557607215607946</c:v>
                </c:pt>
                <c:pt idx="350">
                  <c:v>1.9398195792392652</c:v>
                </c:pt>
                <c:pt idx="351">
                  <c:v>1.9918082237002634</c:v>
                </c:pt>
                <c:pt idx="352">
                  <c:v>1.9695684806576286</c:v>
                </c:pt>
                <c:pt idx="353">
                  <c:v>1.9636954957426571</c:v>
                </c:pt>
                <c:pt idx="354">
                  <c:v>1.94982050455933</c:v>
                </c:pt>
                <c:pt idx="355">
                  <c:v>2.0385534086699812</c:v>
                </c:pt>
                <c:pt idx="356">
                  <c:v>2.0255616505058542</c:v>
                </c:pt>
                <c:pt idx="357">
                  <c:v>2.0392400545301181</c:v>
                </c:pt>
                <c:pt idx="358">
                  <c:v>2.0620620747203513</c:v>
                </c:pt>
                <c:pt idx="359">
                  <c:v>1.9697715603592212</c:v>
                </c:pt>
                <c:pt idx="360">
                  <c:v>1.9720294115453754</c:v>
                </c:pt>
                <c:pt idx="361">
                  <c:v>1.9469976887505542</c:v>
                </c:pt>
                <c:pt idx="362">
                  <c:v>1.9921094347449892</c:v>
                </c:pt>
                <c:pt idx="363">
                  <c:v>1.9720294115453754</c:v>
                </c:pt>
                <c:pt idx="364">
                  <c:v>2.0615528128088298</c:v>
                </c:pt>
                <c:pt idx="365">
                  <c:v>1.9725364381932211</c:v>
                </c:pt>
                <c:pt idx="366">
                  <c:v>1.9588772294352701</c:v>
                </c:pt>
                <c:pt idx="367">
                  <c:v>2.0498048687619024</c:v>
                </c:pt>
                <c:pt idx="368">
                  <c:v>2.0448227307030797</c:v>
                </c:pt>
                <c:pt idx="369">
                  <c:v>1.9473315074737534</c:v>
                </c:pt>
                <c:pt idx="370">
                  <c:v>2.0357062656483622</c:v>
                </c:pt>
                <c:pt idx="371">
                  <c:v>2.0171762441591463</c:v>
                </c:pt>
                <c:pt idx="372">
                  <c:v>2.0235859260234048</c:v>
                </c:pt>
                <c:pt idx="373">
                  <c:v>1.9961963831246663</c:v>
                </c:pt>
                <c:pt idx="374">
                  <c:v>1.915097908724251</c:v>
                </c:pt>
                <c:pt idx="375">
                  <c:v>2.0706762180505187</c:v>
                </c:pt>
                <c:pt idx="376">
                  <c:v>1.9089525923919639</c:v>
                </c:pt>
                <c:pt idx="377">
                  <c:v>1.9664434901618708</c:v>
                </c:pt>
                <c:pt idx="378">
                  <c:v>2.0412986062798359</c:v>
                </c:pt>
                <c:pt idx="379">
                  <c:v>1.9991248085099642</c:v>
                </c:pt>
                <c:pt idx="380">
                  <c:v>1.9620907216538179</c:v>
                </c:pt>
                <c:pt idx="381">
                  <c:v>1.9960210419732554</c:v>
                </c:pt>
                <c:pt idx="382">
                  <c:v>1.969771560359221</c:v>
                </c:pt>
                <c:pt idx="383">
                  <c:v>1.9789138435010252</c:v>
                </c:pt>
                <c:pt idx="384">
                  <c:v>2.0155644370746373</c:v>
                </c:pt>
                <c:pt idx="385">
                  <c:v>2.049414550548522</c:v>
                </c:pt>
                <c:pt idx="386">
                  <c:v>2.0264747716169573</c:v>
                </c:pt>
              </c:numCache>
            </c:numRef>
          </c:xVal>
          <c:yVal>
            <c:numRef>
              <c:f>'HT 2017-07-05 BIG JIM'!#REF!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CF-4CFC-B878-A19C9D92B9F2}"/>
            </c:ext>
          </c:extLst>
        </c:ser>
        <c:ser>
          <c:idx val="0"/>
          <c:order val="4"/>
          <c:tx>
            <c:strRef>
              <c:f>'HT 2017-07-05 BIG JIM'!$AJ$1</c:f>
              <c:strCache>
                <c:ptCount val="1"/>
                <c:pt idx="0">
                  <c:v>xk4a-f</c:v>
                </c:pt>
              </c:strCache>
            </c:strRef>
          </c:tx>
          <c:spPr>
            <a:ln w="6350" cap="rnd" cmpd="sng" algn="ctr">
              <a:solidFill>
                <a:schemeClr val="accent1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JIM'!$AJ$1208:$AJ$1214</c:f>
              <c:numCache>
                <c:formatCode>General</c:formatCode>
                <c:ptCount val="7"/>
                <c:pt idx="0">
                  <c:v>1.8011493330186747</c:v>
                </c:pt>
                <c:pt idx="1">
                  <c:v>2.0664156427830749</c:v>
                </c:pt>
                <c:pt idx="2">
                  <c:v>2.3326444696434905</c:v>
                </c:pt>
                <c:pt idx="3">
                  <c:v>2.5997313316745378</c:v>
                </c:pt>
                <c:pt idx="4">
                  <c:v>2.8675924885754869</c:v>
                </c:pt>
                <c:pt idx="5">
                  <c:v>3.1361592950042221</c:v>
                </c:pt>
                <c:pt idx="6">
                  <c:v>3.4053744383186886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CF-4CFC-B878-A19C9D92B9F2}"/>
            </c:ext>
          </c:extLst>
        </c:ser>
        <c:ser>
          <c:idx val="1"/>
          <c:order val="5"/>
          <c:tx>
            <c:strRef>
              <c:f>'HT 2017-07-05 BIG JIM'!$AK$1</c:f>
              <c:strCache>
                <c:ptCount val="1"/>
                <c:pt idx="0">
                  <c:v>xk4b-f</c:v>
                </c:pt>
              </c:strCache>
            </c:strRef>
          </c:tx>
          <c:spPr>
            <a:ln w="6350" cap="rnd" cmpd="sng" algn="ctr">
              <a:solidFill>
                <a:schemeClr val="accent2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JIM'!$AK$1208:$AK$1214</c:f>
              <c:numCache>
                <c:formatCode>General</c:formatCode>
                <c:ptCount val="7"/>
                <c:pt idx="0">
                  <c:v>1.4966091307706131</c:v>
                </c:pt>
                <c:pt idx="1">
                  <c:v>1.8819399698986568</c:v>
                </c:pt>
                <c:pt idx="2">
                  <c:v>2.3033963343158748</c:v>
                </c:pt>
                <c:pt idx="3">
                  <c:v>2.7597850977026877</c:v>
                </c:pt>
                <c:pt idx="4">
                  <c:v>3.2500730155119801</c:v>
                </c:pt>
                <c:pt idx="5">
                  <c:v>3.7733521487543515</c:v>
                </c:pt>
                <c:pt idx="6">
                  <c:v>4.3288151255727962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CF-4CFC-B878-A19C9D92B9F2}"/>
            </c:ext>
          </c:extLst>
        </c:ser>
        <c:ser>
          <c:idx val="4"/>
          <c:order val="6"/>
          <c:tx>
            <c:strRef>
              <c:f>'HT 2017-07-05 BIG JIM'!$AL$1</c:f>
              <c:strCache>
                <c:ptCount val="1"/>
                <c:pt idx="0">
                  <c:v>yk4a-f</c:v>
                </c:pt>
              </c:strCache>
            </c:strRef>
          </c:tx>
          <c:spPr>
            <a:ln w="6350" cap="rnd" cmpd="sng" algn="ctr">
              <a:solidFill>
                <a:schemeClr val="accent5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JIM'!$AL$1208:$AL$1214</c:f>
              <c:numCache>
                <c:formatCode>General</c:formatCode>
                <c:ptCount val="7"/>
                <c:pt idx="0">
                  <c:v>1.9065787466860222</c:v>
                </c:pt>
                <c:pt idx="1">
                  <c:v>2.155937719914411</c:v>
                </c:pt>
                <c:pt idx="2">
                  <c:v>2.4028242077631305</c:v>
                </c:pt>
                <c:pt idx="3">
                  <c:v>2.6475347621869014</c:v>
                </c:pt>
                <c:pt idx="4">
                  <c:v>2.8903041700445442</c:v>
                </c:pt>
                <c:pt idx="5">
                  <c:v>3.1313227921955313</c:v>
                </c:pt>
                <c:pt idx="6">
                  <c:v>3.3707479865663168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CF-4CFC-B878-A19C9D92B9F2}"/>
            </c:ext>
          </c:extLst>
        </c:ser>
        <c:ser>
          <c:idx val="5"/>
          <c:order val="7"/>
          <c:tx>
            <c:strRef>
              <c:f>'HT 2017-07-05 BIG JIM'!$AM$1</c:f>
              <c:strCache>
                <c:ptCount val="1"/>
                <c:pt idx="0">
                  <c:v>yk4b-f</c:v>
                </c:pt>
              </c:strCache>
            </c:strRef>
          </c:tx>
          <c:spPr>
            <a:ln w="6350" cap="rnd" cmpd="sng" algn="ctr">
              <a:solidFill>
                <a:schemeClr val="accent6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JIM'!$AM$1208:$AM$1214</c:f>
              <c:numCache>
                <c:formatCode>General</c:formatCode>
                <c:ptCount val="7"/>
                <c:pt idx="0">
                  <c:v>1.947756820933304</c:v>
                </c:pt>
                <c:pt idx="1">
                  <c:v>2.1853303413493745</c:v>
                </c:pt>
                <c:pt idx="2">
                  <c:v>2.4188261943519143</c:v>
                </c:pt>
                <c:pt idx="3">
                  <c:v>2.6487583336146692</c:v>
                </c:pt>
                <c:pt idx="4">
                  <c:v>2.8755309800081936</c:v>
                </c:pt>
                <c:pt idx="5">
                  <c:v>3.0994699259072833</c:v>
                </c:pt>
                <c:pt idx="6">
                  <c:v>3.3208430330634275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9CF-4CFC-B878-A19C9D92B9F2}"/>
            </c:ext>
          </c:extLst>
        </c:ser>
        <c:ser>
          <c:idx val="6"/>
          <c:order val="8"/>
          <c:tx>
            <c:strRef>
              <c:f>'HT 2017-07-05 BIG JIM'!$AN$1</c:f>
              <c:strCache>
                <c:ptCount val="1"/>
                <c:pt idx="0">
                  <c:v>zk4a-f</c:v>
                </c:pt>
              </c:strCache>
            </c:strRef>
          </c:tx>
          <c:spPr>
            <a:ln w="6350" cap="rnd" cmpd="sng" algn="ctr">
              <a:solidFill>
                <a:schemeClr val="accent1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JIM'!$AN$1208:$AN$1214</c:f>
              <c:numCache>
                <c:formatCode>General</c:formatCode>
                <c:ptCount val="7"/>
                <c:pt idx="0">
                  <c:v>1.8782189787613814</c:v>
                </c:pt>
                <c:pt idx="1">
                  <c:v>2.1801696953282805</c:v>
                </c:pt>
                <c:pt idx="2">
                  <c:v>2.4865581451291856</c:v>
                </c:pt>
                <c:pt idx="3">
                  <c:v>2.7969438812057064</c:v>
                </c:pt>
                <c:pt idx="4">
                  <c:v>3.1109703865241243</c:v>
                </c:pt>
                <c:pt idx="5">
                  <c:v>3.4283428059595598</c:v>
                </c:pt>
                <c:pt idx="6">
                  <c:v>3.7488129738952249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9CF-4CFC-B878-A19C9D92B9F2}"/>
            </c:ext>
          </c:extLst>
        </c:ser>
        <c:ser>
          <c:idx val="7"/>
          <c:order val="9"/>
          <c:tx>
            <c:strRef>
              <c:f>'HT 2017-07-05 BIG JIM'!$AO$1</c:f>
              <c:strCache>
                <c:ptCount val="1"/>
                <c:pt idx="0">
                  <c:v>zk4b-f</c:v>
                </c:pt>
              </c:strCache>
            </c:strRef>
          </c:tx>
          <c:spPr>
            <a:ln w="6350" cap="rnd" cmpd="sng" algn="ctr">
              <a:solidFill>
                <a:schemeClr val="accent2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Pt>
            <c:idx val="5"/>
            <c:bubble3D val="0"/>
            <c:spPr>
              <a:ln w="6350" cap="rnd" cmpd="sng" algn="ctr">
                <a:solidFill>
                  <a:srgbClr val="FE5F34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A-B9CF-4CFC-B878-A19C9D92B9F2}"/>
              </c:ext>
            </c:extLst>
          </c:dPt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JIM'!$AO$1208:$AO$1214</c:f>
              <c:numCache>
                <c:formatCode>General</c:formatCode>
                <c:ptCount val="7"/>
                <c:pt idx="0">
                  <c:v>1.8713529170722589</c:v>
                </c:pt>
                <c:pt idx="1">
                  <c:v>2.16733885578804</c:v>
                </c:pt>
                <c:pt idx="2">
                  <c:v>2.4670441978199</c:v>
                </c:pt>
                <c:pt idx="3">
                  <c:v>2.7700931337608159</c:v>
                </c:pt>
                <c:pt idx="4">
                  <c:v>3.0761820427646325</c:v>
                </c:pt>
                <c:pt idx="5">
                  <c:v>3.3850602435986854</c:v>
                </c:pt>
                <c:pt idx="6">
                  <c:v>3.6965170747368612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9CF-4CFC-B878-A19C9D92B9F2}"/>
            </c:ext>
          </c:extLst>
        </c:ser>
        <c:ser>
          <c:idx val="8"/>
          <c:order val="10"/>
          <c:tx>
            <c:strRef>
              <c:f>'HT 2017-07-05 BIG JIM'!$AP$1</c:f>
              <c:strCache>
                <c:ptCount val="1"/>
                <c:pt idx="0">
                  <c:v>xl4a-f</c:v>
                </c:pt>
              </c:strCache>
            </c:strRef>
          </c:tx>
          <c:spPr>
            <a:ln w="6350" cap="rnd" cmpd="sng" algn="ctr">
              <a:solidFill>
                <a:schemeClr val="accent3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JIM'!$AP$1208:$AP$1214</c:f>
              <c:numCache>
                <c:formatCode>General</c:formatCode>
                <c:ptCount val="7"/>
                <c:pt idx="0">
                  <c:v>1.4122849398993029</c:v>
                </c:pt>
                <c:pt idx="1">
                  <c:v>1.8512216075786558</c:v>
                </c:pt>
                <c:pt idx="2">
                  <c:v>2.3503502359648616</c:v>
                </c:pt>
                <c:pt idx="3">
                  <c:v>2.9098613138277889</c:v>
                </c:pt>
                <c:pt idx="4">
                  <c:v>3.5299256719057661</c:v>
                </c:pt>
                <c:pt idx="5">
                  <c:v>4.2106982103817323</c:v>
                </c:pt>
                <c:pt idx="6">
                  <c:v>4.9523206528571029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9CF-4CFC-B878-A19C9D92B9F2}"/>
            </c:ext>
          </c:extLst>
        </c:ser>
        <c:ser>
          <c:idx val="9"/>
          <c:order val="11"/>
          <c:tx>
            <c:strRef>
              <c:f>'HT 2017-07-05 BIG JIM'!$AQ$1</c:f>
              <c:strCache>
                <c:ptCount val="1"/>
                <c:pt idx="0">
                  <c:v>xl4b-f</c:v>
                </c:pt>
              </c:strCache>
            </c:strRef>
          </c:tx>
          <c:spPr>
            <a:ln w="6350" cap="rnd" cmpd="sng" algn="ctr">
              <a:solidFill>
                <a:schemeClr val="accent4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JIM'!$AQ$1208:$AQ$1214</c:f>
              <c:numCache>
                <c:formatCode>General</c:formatCode>
                <c:ptCount val="7"/>
                <c:pt idx="0">
                  <c:v>1.8270471156249426</c:v>
                </c:pt>
                <c:pt idx="1">
                  <c:v>2.0585531052107471</c:v>
                </c:pt>
                <c:pt idx="2">
                  <c:v>2.2869874817518339</c:v>
                </c:pt>
                <c:pt idx="3">
                  <c:v>2.51272732253718</c:v>
                </c:pt>
                <c:pt idx="4">
                  <c:v>2.7360702562731616</c:v>
                </c:pt>
                <c:pt idx="5">
                  <c:v>2.9572569335843513</c:v>
                </c:pt>
                <c:pt idx="6">
                  <c:v>3.1764857890106377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9CF-4CFC-B878-A19C9D92B9F2}"/>
            </c:ext>
          </c:extLst>
        </c:ser>
        <c:ser>
          <c:idx val="10"/>
          <c:order val="12"/>
          <c:tx>
            <c:strRef>
              <c:f>'HT 2017-07-05 BIG JIM'!$AR$1</c:f>
              <c:strCache>
                <c:ptCount val="1"/>
                <c:pt idx="0">
                  <c:v>yl4a-f</c:v>
                </c:pt>
              </c:strCache>
            </c:strRef>
          </c:tx>
          <c:spPr>
            <a:ln w="6350" cap="rnd" cmpd="sng" algn="ctr">
              <a:solidFill>
                <a:schemeClr val="accent5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JIM'!$AR$1208:$AR$1214</c:f>
              <c:numCache>
                <c:formatCode>General</c:formatCode>
                <c:ptCount val="7"/>
                <c:pt idx="0">
                  <c:v>1.8240573300430722</c:v>
                </c:pt>
                <c:pt idx="1">
                  <c:v>2.1115294507295603</c:v>
                </c:pt>
                <c:pt idx="2">
                  <c:v>2.4024804022542758</c:v>
                </c:pt>
                <c:pt idx="3">
                  <c:v>2.6965573246586563</c:v>
                </c:pt>
                <c:pt idx="4">
                  <c:v>2.9934752561389857</c:v>
                </c:pt>
                <c:pt idx="5">
                  <c:v>3.2929990084079872</c:v>
                </c:pt>
                <c:pt idx="6">
                  <c:v>3.5949310060579536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9CF-4CFC-B878-A19C9D92B9F2}"/>
            </c:ext>
          </c:extLst>
        </c:ser>
        <c:ser>
          <c:idx val="11"/>
          <c:order val="13"/>
          <c:tx>
            <c:strRef>
              <c:f>'HT 2017-07-05 BIG JIM'!$AS$1</c:f>
              <c:strCache>
                <c:ptCount val="1"/>
                <c:pt idx="0">
                  <c:v>yl4b-f</c:v>
                </c:pt>
              </c:strCache>
            </c:strRef>
          </c:tx>
          <c:spPr>
            <a:ln w="6350" cap="rnd" cmpd="sng" algn="ctr">
              <a:solidFill>
                <a:schemeClr val="accent6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JIM'!$AS$1208:$AS$1214</c:f>
              <c:numCache>
                <c:formatCode>General</c:formatCode>
                <c:ptCount val="7"/>
                <c:pt idx="0">
                  <c:v>1.8374231204480533</c:v>
                </c:pt>
                <c:pt idx="1">
                  <c:v>2.1270493203025187</c:v>
                </c:pt>
                <c:pt idx="2">
                  <c:v>2.4201865771665716</c:v>
                </c:pt>
                <c:pt idx="3">
                  <c:v>2.7164788250818557</c:v>
                </c:pt>
                <c:pt idx="4">
                  <c:v>3.015638507706166</c:v>
                </c:pt>
                <c:pt idx="5">
                  <c:v>3.3174282913629543</c:v>
                </c:pt>
                <c:pt idx="6">
                  <c:v>3.6216487952880501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9CF-4CFC-B878-A19C9D92B9F2}"/>
            </c:ext>
          </c:extLst>
        </c:ser>
        <c:ser>
          <c:idx val="12"/>
          <c:order val="14"/>
          <c:tx>
            <c:strRef>
              <c:f>'HT 2017-07-05 BIG JIM'!$AT$1</c:f>
              <c:strCache>
                <c:ptCount val="1"/>
                <c:pt idx="0">
                  <c:v>zl4a-f</c:v>
                </c:pt>
              </c:strCache>
            </c:strRef>
          </c:tx>
          <c:spPr>
            <a:ln w="6350" cap="rnd" cmpd="sng" algn="ctr">
              <a:solidFill>
                <a:schemeClr val="accent1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JIM'!$AT$1208:$AT$1214</c:f>
              <c:numCache>
                <c:formatCode>General</c:formatCode>
                <c:ptCount val="7"/>
                <c:pt idx="0">
                  <c:v>1.7989746637712867</c:v>
                </c:pt>
                <c:pt idx="1">
                  <c:v>2.1384104236264005</c:v>
                </c:pt>
                <c:pt idx="2">
                  <c:v>2.4905999852933585</c:v>
                </c:pt>
                <c:pt idx="3">
                  <c:v>2.8545223982666017</c:v>
                </c:pt>
                <c:pt idx="4">
                  <c:v>3.2293344944057281</c:v>
                </c:pt>
                <c:pt idx="5">
                  <c:v>3.6143262551074162</c:v>
                </c:pt>
                <c:pt idx="6">
                  <c:v>4.0088902414173644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9CF-4CFC-B878-A19C9D92B9F2}"/>
            </c:ext>
          </c:extLst>
        </c:ser>
        <c:ser>
          <c:idx val="13"/>
          <c:order val="15"/>
          <c:tx>
            <c:strRef>
              <c:f>'HT 2017-07-05 BIG JIM'!$AU$1</c:f>
              <c:strCache>
                <c:ptCount val="1"/>
                <c:pt idx="0">
                  <c:v>zl4b-f</c:v>
                </c:pt>
              </c:strCache>
            </c:strRef>
          </c:tx>
          <c:spPr>
            <a:ln w="6350" cap="rnd" cmpd="sng" algn="ctr">
              <a:solidFill>
                <a:schemeClr val="accent2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JIM'!$AU$1208:$AU$1214</c:f>
              <c:numCache>
                <c:formatCode>General</c:formatCode>
                <c:ptCount val="7"/>
                <c:pt idx="0">
                  <c:v>1.9303270358695668</c:v>
                </c:pt>
                <c:pt idx="1">
                  <c:v>2.2012719466442059</c:v>
                </c:pt>
                <c:pt idx="2">
                  <c:v>2.4716616505018352</c:v>
                </c:pt>
                <c:pt idx="3">
                  <c:v>2.7415590658149647</c:v>
                </c:pt>
                <c:pt idx="4">
                  <c:v>3.0110143632151729</c:v>
                </c:pt>
                <c:pt idx="5">
                  <c:v>3.2800684813451748</c:v>
                </c:pt>
                <c:pt idx="6">
                  <c:v>3.5487554583246279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9CF-4CFC-B878-A19C9D92B9F2}"/>
            </c:ext>
          </c:extLst>
        </c:ser>
        <c:ser>
          <c:idx val="14"/>
          <c:order val="16"/>
          <c:tx>
            <c:strRef>
              <c:f>'HT 2017-07-05 BIG JIM'!$AV$1</c:f>
              <c:strCache>
                <c:ptCount val="1"/>
                <c:pt idx="0">
                  <c:v>xn6a-f</c:v>
                </c:pt>
              </c:strCache>
            </c:strRef>
          </c:tx>
          <c:spPr>
            <a:ln w="6350" cap="rnd" cmpd="sng" algn="ctr">
              <a:solidFill>
                <a:schemeClr val="accent3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JIM'!$AV$1208:$AV$1214</c:f>
              <c:numCache>
                <c:formatCode>General</c:formatCode>
                <c:ptCount val="7"/>
                <c:pt idx="0">
                  <c:v>1.6695484593932106</c:v>
                </c:pt>
                <c:pt idx="1">
                  <c:v>1.9797816878249139</c:v>
                </c:pt>
                <c:pt idx="2">
                  <c:v>2.3009439913007856</c:v>
                </c:pt>
                <c:pt idx="3">
                  <c:v>2.6321389959670589</c:v>
                </c:pt>
                <c:pt idx="4">
                  <c:v>2.9726279242449007</c:v>
                </c:pt>
                <c:pt idx="5">
                  <c:v>3.3217897997752366</c:v>
                </c:pt>
                <c:pt idx="6">
                  <c:v>3.6790942420834827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9CF-4CFC-B878-A19C9D92B9F2}"/>
            </c:ext>
          </c:extLst>
        </c:ser>
        <c:ser>
          <c:idx val="15"/>
          <c:order val="17"/>
          <c:tx>
            <c:strRef>
              <c:f>'HT 2017-07-05 BIG JIM'!$AW$1</c:f>
              <c:strCache>
                <c:ptCount val="1"/>
                <c:pt idx="0">
                  <c:v>xn6b-f</c:v>
                </c:pt>
              </c:strCache>
            </c:strRef>
          </c:tx>
          <c:spPr>
            <a:ln w="6350" cap="rnd" cmpd="sng" algn="ctr">
              <a:solidFill>
                <a:schemeClr val="accent4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JIM'!$AW$1208:$AW$1214</c:f>
              <c:numCache>
                <c:formatCode>General</c:formatCode>
                <c:ptCount val="7"/>
                <c:pt idx="0">
                  <c:v>1.7063843104606133</c:v>
                </c:pt>
                <c:pt idx="1">
                  <c:v>1.9951523305623531</c:v>
                </c:pt>
                <c:pt idx="2">
                  <c:v>2.2901683478851895</c:v>
                </c:pt>
                <c:pt idx="3">
                  <c:v>2.5908486569478901</c:v>
                </c:pt>
                <c:pt idx="4">
                  <c:v>2.8967178701850687</c:v>
                </c:pt>
                <c:pt idx="5">
                  <c:v>3.2073806487287317</c:v>
                </c:pt>
                <c:pt idx="6">
                  <c:v>3.5225025871808375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9CF-4CFC-B878-A19C9D92B9F2}"/>
            </c:ext>
          </c:extLst>
        </c:ser>
        <c:ser>
          <c:idx val="16"/>
          <c:order val="18"/>
          <c:tx>
            <c:strRef>
              <c:f>'HT 2017-07-05 BIG JIM'!$AX$1</c:f>
              <c:strCache>
                <c:ptCount val="1"/>
                <c:pt idx="0">
                  <c:v>yn6a-f</c:v>
                </c:pt>
              </c:strCache>
            </c:strRef>
          </c:tx>
          <c:spPr>
            <a:ln w="6350" cap="rnd" cmpd="sng" algn="ctr">
              <a:solidFill>
                <a:schemeClr val="accent5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JIM'!$AX$1208:$AX$1214</c:f>
              <c:numCache>
                <c:formatCode>General</c:formatCode>
                <c:ptCount val="7"/>
                <c:pt idx="0">
                  <c:v>1.7795825506538487</c:v>
                </c:pt>
                <c:pt idx="1">
                  <c:v>2.0805262307047983</c:v>
                </c:pt>
                <c:pt idx="2">
                  <c:v>2.3879520262885197</c:v>
                </c:pt>
                <c:pt idx="3">
                  <c:v>2.7012538296812076</c:v>
                </c:pt>
                <c:pt idx="4">
                  <c:v>3.0199380506660489</c:v>
                </c:pt>
                <c:pt idx="5">
                  <c:v>3.3435942444485489</c:v>
                </c:pt>
                <c:pt idx="6">
                  <c:v>3.671875252258451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9CF-4CFC-B878-A19C9D92B9F2}"/>
            </c:ext>
          </c:extLst>
        </c:ser>
        <c:ser>
          <c:idx val="17"/>
          <c:order val="19"/>
          <c:tx>
            <c:strRef>
              <c:f>'HT 2017-07-05 BIG JIM'!$AY$1</c:f>
              <c:strCache>
                <c:ptCount val="1"/>
                <c:pt idx="0">
                  <c:v>yn6b-f</c:v>
                </c:pt>
              </c:strCache>
            </c:strRef>
          </c:tx>
          <c:spPr>
            <a:ln w="6350" cap="rnd" cmpd="sng" algn="ctr">
              <a:solidFill>
                <a:schemeClr val="accent6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JIM'!$AY$1208:$AY$1214</c:f>
              <c:numCache>
                <c:formatCode>General</c:formatCode>
                <c:ptCount val="7"/>
                <c:pt idx="0">
                  <c:v>1.8311966076366655</c:v>
                </c:pt>
                <c:pt idx="1">
                  <c:v>2.0853747889606842</c:v>
                </c:pt>
                <c:pt idx="2">
                  <c:v>2.3387068753494904</c:v>
                </c:pt>
                <c:pt idx="3">
                  <c:v>2.5912896602896818</c:v>
                </c:pt>
                <c:pt idx="4">
                  <c:v>2.8432002369344533</c:v>
                </c:pt>
                <c:pt idx="5">
                  <c:v>3.0945014471369738</c:v>
                </c:pt>
                <c:pt idx="6">
                  <c:v>3.3452454911206808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9CF-4CFC-B878-A19C9D92B9F2}"/>
            </c:ext>
          </c:extLst>
        </c:ser>
        <c:ser>
          <c:idx val="18"/>
          <c:order val="20"/>
          <c:tx>
            <c:strRef>
              <c:f>'HT 2017-07-05 BIG JIM'!$AZ$1</c:f>
              <c:strCache>
                <c:ptCount val="1"/>
                <c:pt idx="0">
                  <c:v>zn6a-f</c:v>
                </c:pt>
              </c:strCache>
            </c:strRef>
          </c:tx>
          <c:spPr>
            <a:ln w="6350" cap="rnd" cmpd="sng" algn="ctr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JIM'!$AZ$1208:$AZ$1214</c:f>
              <c:numCache>
                <c:formatCode>General</c:formatCode>
                <c:ptCount val="7"/>
                <c:pt idx="0">
                  <c:v>1.7977143134823723</c:v>
                </c:pt>
                <c:pt idx="1">
                  <c:v>2.1043185952274377</c:v>
                </c:pt>
                <c:pt idx="2">
                  <c:v>2.4178896067988713</c:v>
                </c:pt>
                <c:pt idx="3">
                  <c:v>2.7377828452237916</c:v>
                </c:pt>
                <c:pt idx="4">
                  <c:v>3.0634729051459142</c:v>
                </c:pt>
                <c:pt idx="5">
                  <c:v>3.3945224769403821</c:v>
                </c:pt>
                <c:pt idx="6">
                  <c:v>3.7305613652251348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9CF-4CFC-B878-A19C9D92B9F2}"/>
            </c:ext>
          </c:extLst>
        </c:ser>
        <c:ser>
          <c:idx val="19"/>
          <c:order val="21"/>
          <c:tx>
            <c:strRef>
              <c:f>'HT 2017-07-05 BIG JIM'!$BA$1</c:f>
              <c:strCache>
                <c:ptCount val="1"/>
                <c:pt idx="0">
                  <c:v>zn6b-f</c:v>
                </c:pt>
              </c:strCache>
            </c:strRef>
          </c:tx>
          <c:spPr>
            <a:ln w="635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JIM'!$BA$1208:$BA$1214</c:f>
              <c:numCache>
                <c:formatCode>General</c:formatCode>
                <c:ptCount val="7"/>
                <c:pt idx="0">
                  <c:v>1.7172057968737153</c:v>
                </c:pt>
                <c:pt idx="1">
                  <c:v>2.0599457555334255</c:v>
                </c:pt>
                <c:pt idx="2">
                  <c:v>2.4186232170701505</c:v>
                </c:pt>
                <c:pt idx="3">
                  <c:v>2.7920816472464995</c:v>
                </c:pt>
                <c:pt idx="4">
                  <c:v>3.1793585074726209</c:v>
                </c:pt>
                <c:pt idx="5">
                  <c:v>3.5796376283662856</c:v>
                </c:pt>
                <c:pt idx="6">
                  <c:v>3.9922163570962885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9CF-4CFC-B878-A19C9D92B9F2}"/>
            </c:ext>
          </c:extLst>
        </c:ser>
        <c:ser>
          <c:idx val="20"/>
          <c:order val="22"/>
          <c:tx>
            <c:strRef>
              <c:f>'HT 2017-07-05 BIG JIM'!$AH$1</c:f>
              <c:strCache>
                <c:ptCount val="1"/>
                <c:pt idx="0">
                  <c:v>fitwild-f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dash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JIM'!$AH$1208:$AH$1214</c:f>
              <c:numCache>
                <c:formatCode>General</c:formatCode>
                <c:ptCount val="7"/>
                <c:pt idx="0">
                  <c:v>0.73478870778085714</c:v>
                </c:pt>
                <c:pt idx="1">
                  <c:v>1.346216773969716</c:v>
                </c:pt>
                <c:pt idx="2">
                  <c:v>2.2964424257893161</c:v>
                </c:pt>
                <c:pt idx="3">
                  <c:v>3.7028273787956851</c:v>
                </c:pt>
                <c:pt idx="4">
                  <c:v>5.7045325278758483</c:v>
                </c:pt>
                <c:pt idx="5">
                  <c:v>8.4637825545646681</c:v>
                </c:pt>
                <c:pt idx="6">
                  <c:v>12.167072593932847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9CF-4CFC-B878-A19C9D92B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976176"/>
        <c:axId val="300975784"/>
      </c:scatterChart>
      <c:valAx>
        <c:axId val="300976176"/>
        <c:scaling>
          <c:orientation val="minMax"/>
          <c:max val="1.4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THORAX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75784"/>
        <c:crosses val="autoZero"/>
        <c:crossBetween val="midCat"/>
        <c:majorUnit val="0.1"/>
      </c:valAx>
      <c:valAx>
        <c:axId val="300975784"/>
        <c:scaling>
          <c:orientation val="minMax"/>
          <c:max val="3.1"/>
          <c:min val="1.7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WING</a:t>
                </a:r>
                <a:r>
                  <a:rPr lang="en-US" sz="2000" b="1" baseline="0"/>
                  <a:t> </a:t>
                </a:r>
                <a:r>
                  <a:rPr lang="en-US" sz="2000" b="1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76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WING LENGTH VS THORAX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420335341638465"/>
          <c:y val="7.8012906893210318E-2"/>
          <c:w val="0.58549321192709147"/>
          <c:h val="0.71694041787804497"/>
        </c:manualLayout>
      </c:layout>
      <c:scatterChart>
        <c:scatterStyle val="lineMarker"/>
        <c:varyColors val="0"/>
        <c:ser>
          <c:idx val="3"/>
          <c:order val="0"/>
          <c:tx>
            <c:strRef>
              <c:f>'HT 2017-07-05 BIG JIM'!$Y$1</c:f>
              <c:strCache>
                <c:ptCount val="1"/>
                <c:pt idx="0">
                  <c:v>sel-fx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C0000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JIM'!$Y$2:$Y$1205</c:f>
              <c:numCache>
                <c:formatCode>General</c:formatCode>
                <c:ptCount val="1204"/>
                <c:pt idx="0">
                  <c:v>2.2461077445216202</c:v>
                </c:pt>
                <c:pt idx="1">
                  <c:v>2.2774766738651788</c:v>
                </c:pt>
                <c:pt idx="2">
                  <c:v>2.3032585612562047</c:v>
                </c:pt>
                <c:pt idx="3">
                  <c:v>2.2529092303064493</c:v>
                </c:pt>
                <c:pt idx="4">
                  <c:v>2.2821262015935928</c:v>
                </c:pt>
                <c:pt idx="5">
                  <c:v>2.2067623342806995</c:v>
                </c:pt>
                <c:pt idx="6">
                  <c:v>2.156965461012299</c:v>
                </c:pt>
                <c:pt idx="7">
                  <c:v>2.2314345161801188</c:v>
                </c:pt>
                <c:pt idx="8">
                  <c:v>2.2022942582679548</c:v>
                </c:pt>
                <c:pt idx="9">
                  <c:v>2.235732542143626</c:v>
                </c:pt>
                <c:pt idx="10">
                  <c:v>2.2949074055394916</c:v>
                </c:pt>
                <c:pt idx="11">
                  <c:v>2.2079175709251468</c:v>
                </c:pt>
                <c:pt idx="12">
                  <c:v>2.2041778512633687</c:v>
                </c:pt>
                <c:pt idx="13">
                  <c:v>2.3277671704876326</c:v>
                </c:pt>
                <c:pt idx="14">
                  <c:v>2.2181523843054607</c:v>
                </c:pt>
                <c:pt idx="15">
                  <c:v>2.2861539755668248</c:v>
                </c:pt>
                <c:pt idx="16">
                  <c:v>2.2184679398179274</c:v>
                </c:pt>
                <c:pt idx="17">
                  <c:v>2.2552383466055201</c:v>
                </c:pt>
                <c:pt idx="18">
                  <c:v>2.2049489790015553</c:v>
                </c:pt>
                <c:pt idx="19">
                  <c:v>2.2238030488332368</c:v>
                </c:pt>
                <c:pt idx="20">
                  <c:v>2.2604866732630828</c:v>
                </c:pt>
                <c:pt idx="21">
                  <c:v>2.2405579662218069</c:v>
                </c:pt>
                <c:pt idx="22">
                  <c:v>2.2226560687609771</c:v>
                </c:pt>
                <c:pt idx="23">
                  <c:v>2.2316361710637334</c:v>
                </c:pt>
                <c:pt idx="24">
                  <c:v>2.2192341021172148</c:v>
                </c:pt>
                <c:pt idx="25">
                  <c:v>2.2085742007005331</c:v>
                </c:pt>
                <c:pt idx="26">
                  <c:v>2.2514439810930229</c:v>
                </c:pt>
                <c:pt idx="27">
                  <c:v>2.2051077071199949</c:v>
                </c:pt>
                <c:pt idx="28">
                  <c:v>2.1991361940543839</c:v>
                </c:pt>
                <c:pt idx="29">
                  <c:v>2.1912781658201226</c:v>
                </c:pt>
                <c:pt idx="30">
                  <c:v>2.2747747141200598</c:v>
                </c:pt>
                <c:pt idx="31">
                  <c:v>2.2107012462112561</c:v>
                </c:pt>
                <c:pt idx="32">
                  <c:v>2.2689424849475581</c:v>
                </c:pt>
                <c:pt idx="33">
                  <c:v>2.229102958591191</c:v>
                </c:pt>
                <c:pt idx="34">
                  <c:v>2.1800000000000002</c:v>
                </c:pt>
                <c:pt idx="35">
                  <c:v>2.1669563908856126</c:v>
                </c:pt>
                <c:pt idx="36">
                  <c:v>2.2029071700822982</c:v>
                </c:pt>
                <c:pt idx="37">
                  <c:v>2.2228135324403619</c:v>
                </c:pt>
                <c:pt idx="38">
                  <c:v>2.2415396494374127</c:v>
                </c:pt>
                <c:pt idx="39">
                  <c:v>2.3097185975785015</c:v>
                </c:pt>
                <c:pt idx="40">
                  <c:v>2.2542404485768595</c:v>
                </c:pt>
                <c:pt idx="41">
                  <c:v>2.2029298672449835</c:v>
                </c:pt>
                <c:pt idx="42">
                  <c:v>2.2228360263411244</c:v>
                </c:pt>
                <c:pt idx="43">
                  <c:v>2.2588713996153036</c:v>
                </c:pt>
                <c:pt idx="44">
                  <c:v>2.291244203484212</c:v>
                </c:pt>
                <c:pt idx="45">
                  <c:v>2.2961271741782947</c:v>
                </c:pt>
                <c:pt idx="46">
                  <c:v>2.2777181564012703</c:v>
                </c:pt>
                <c:pt idx="47">
                  <c:v>2.2503777460684242</c:v>
                </c:pt>
                <c:pt idx="48">
                  <c:v>2.3505318547086316</c:v>
                </c:pt>
                <c:pt idx="49">
                  <c:v>2.26101747007846</c:v>
                </c:pt>
                <c:pt idx="50">
                  <c:v>2.2988910370002316</c:v>
                </c:pt>
                <c:pt idx="51">
                  <c:v>2.2689424849475577</c:v>
                </c:pt>
                <c:pt idx="52">
                  <c:v>2.2586943130932968</c:v>
                </c:pt>
                <c:pt idx="53">
                  <c:v>2.2812277396174192</c:v>
                </c:pt>
                <c:pt idx="54">
                  <c:v>2.3505318547086316</c:v>
                </c:pt>
                <c:pt idx="55">
                  <c:v>2.1883326986543885</c:v>
                </c:pt>
                <c:pt idx="56">
                  <c:v>2.3078344827998389</c:v>
                </c:pt>
                <c:pt idx="57">
                  <c:v>2.2398660674245678</c:v>
                </c:pt>
                <c:pt idx="58">
                  <c:v>2.2786399452304877</c:v>
                </c:pt>
                <c:pt idx="59">
                  <c:v>2.1954498400100149</c:v>
                </c:pt>
                <c:pt idx="60">
                  <c:v>2.2297085011274458</c:v>
                </c:pt>
                <c:pt idx="61">
                  <c:v>2.1827734651126764</c:v>
                </c:pt>
                <c:pt idx="62">
                  <c:v>2.2005681084665389</c:v>
                </c:pt>
                <c:pt idx="63">
                  <c:v>2.2252415599210797</c:v>
                </c:pt>
                <c:pt idx="64">
                  <c:v>2.2655021518418383</c:v>
                </c:pt>
                <c:pt idx="65">
                  <c:v>2.2214634815814551</c:v>
                </c:pt>
                <c:pt idx="66">
                  <c:v>2.2500222221124839</c:v>
                </c:pt>
                <c:pt idx="67">
                  <c:v>2.2621449997734451</c:v>
                </c:pt>
                <c:pt idx="68">
                  <c:v>2.2723776094654689</c:v>
                </c:pt>
                <c:pt idx="69">
                  <c:v>2.2107012462112556</c:v>
                </c:pt>
                <c:pt idx="70">
                  <c:v>2.1774526401279091</c:v>
                </c:pt>
                <c:pt idx="71">
                  <c:v>2.1832544515012446</c:v>
                </c:pt>
                <c:pt idx="72">
                  <c:v>2.2716073604388591</c:v>
                </c:pt>
                <c:pt idx="73">
                  <c:v>2.2561028345356955</c:v>
                </c:pt>
                <c:pt idx="74">
                  <c:v>2.2743130831088321</c:v>
                </c:pt>
                <c:pt idx="75">
                  <c:v>2.1411445537375564</c:v>
                </c:pt>
                <c:pt idx="76">
                  <c:v>2.2092758994747577</c:v>
                </c:pt>
                <c:pt idx="77">
                  <c:v>2.2230159693533467</c:v>
                </c:pt>
                <c:pt idx="78">
                  <c:v>2.2539742678211745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95-4565-89B1-F949CBE04E1C}"/>
            </c:ext>
          </c:extLst>
        </c:ser>
        <c:ser>
          <c:idx val="22"/>
          <c:order val="1"/>
          <c:tx>
            <c:strRef>
              <c:f>'HT 2017-07-05 BIG JIM'!$W$1</c:f>
              <c:strCache>
                <c:ptCount val="1"/>
                <c:pt idx="0">
                  <c:v>wild-fx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JIM'!$W$2:$W$1205</c:f>
              <c:numCache>
                <c:formatCode>General</c:formatCode>
                <c:ptCount val="1204"/>
                <c:pt idx="79">
                  <c:v>2.2495555116511352</c:v>
                </c:pt>
                <c:pt idx="80">
                  <c:v>2.3333452380648687</c:v>
                </c:pt>
                <c:pt idx="81">
                  <c:v>2.3120553626589482</c:v>
                </c:pt>
                <c:pt idx="82">
                  <c:v>2.3413671220037235</c:v>
                </c:pt>
                <c:pt idx="83">
                  <c:v>2.3686494041964079</c:v>
                </c:pt>
                <c:pt idx="84">
                  <c:v>2.2982819670353765</c:v>
                </c:pt>
                <c:pt idx="85">
                  <c:v>2.3908366736354032</c:v>
                </c:pt>
                <c:pt idx="86">
                  <c:v>2.310086578464106</c:v>
                </c:pt>
                <c:pt idx="87">
                  <c:v>2.3872997298202838</c:v>
                </c:pt>
                <c:pt idx="88">
                  <c:v>2.3360008561642269</c:v>
                </c:pt>
                <c:pt idx="89">
                  <c:v>2.3331738040703267</c:v>
                </c:pt>
                <c:pt idx="90">
                  <c:v>2.2881652038259825</c:v>
                </c:pt>
                <c:pt idx="91">
                  <c:v>2.3992707225321612</c:v>
                </c:pt>
                <c:pt idx="92">
                  <c:v>2.2940139493908926</c:v>
                </c:pt>
                <c:pt idx="93">
                  <c:v>2.3638104830971538</c:v>
                </c:pt>
                <c:pt idx="94">
                  <c:v>2.2812277396174192</c:v>
                </c:pt>
                <c:pt idx="95">
                  <c:v>2.3160742647851342</c:v>
                </c:pt>
                <c:pt idx="96">
                  <c:v>2.327101201065394</c:v>
                </c:pt>
                <c:pt idx="97">
                  <c:v>2.3122499864850257</c:v>
                </c:pt>
                <c:pt idx="98">
                  <c:v>2.2594247055390002</c:v>
                </c:pt>
                <c:pt idx="99">
                  <c:v>2.2472205054244232</c:v>
                </c:pt>
                <c:pt idx="100">
                  <c:v>2.2203603311174516</c:v>
                </c:pt>
                <c:pt idx="101">
                  <c:v>2.3307724041613329</c:v>
                </c:pt>
                <c:pt idx="102">
                  <c:v>2.2826519664635692</c:v>
                </c:pt>
                <c:pt idx="103">
                  <c:v>2.2313448859376268</c:v>
                </c:pt>
                <c:pt idx="104">
                  <c:v>2.3150161986474305</c:v>
                </c:pt>
                <c:pt idx="105">
                  <c:v>2.2552383466055201</c:v>
                </c:pt>
                <c:pt idx="106">
                  <c:v>2.3860637040950943</c:v>
                </c:pt>
                <c:pt idx="107">
                  <c:v>2.3193102422918757</c:v>
                </c:pt>
                <c:pt idx="108">
                  <c:v>2.2552383466055201</c:v>
                </c:pt>
                <c:pt idx="109">
                  <c:v>2.3404700382615458</c:v>
                </c:pt>
                <c:pt idx="110">
                  <c:v>2.3084626919229168</c:v>
                </c:pt>
                <c:pt idx="111">
                  <c:v>2.308246087400561</c:v>
                </c:pt>
                <c:pt idx="112">
                  <c:v>2.3138712150852303</c:v>
                </c:pt>
                <c:pt idx="113">
                  <c:v>2.2840534144367117</c:v>
                </c:pt>
                <c:pt idx="114">
                  <c:v>2.276532450899833</c:v>
                </c:pt>
                <c:pt idx="115">
                  <c:v>2.327101201065394</c:v>
                </c:pt>
                <c:pt idx="116">
                  <c:v>2.3424132854814497</c:v>
                </c:pt>
                <c:pt idx="117">
                  <c:v>2.3780033641691931</c:v>
                </c:pt>
                <c:pt idx="118">
                  <c:v>2.4041630560342613</c:v>
                </c:pt>
                <c:pt idx="119">
                  <c:v>2.3259406699226011</c:v>
                </c:pt>
                <c:pt idx="120">
                  <c:v>2.3786130412490385</c:v>
                </c:pt>
                <c:pt idx="121">
                  <c:v>2.2622555116520329</c:v>
                </c:pt>
                <c:pt idx="122">
                  <c:v>2.3360008561642269</c:v>
                </c:pt>
                <c:pt idx="123">
                  <c:v>2.2466196829904255</c:v>
                </c:pt>
                <c:pt idx="124">
                  <c:v>2.300195643852931</c:v>
                </c:pt>
                <c:pt idx="125">
                  <c:v>2.2812277396174192</c:v>
                </c:pt>
                <c:pt idx="126">
                  <c:v>2.2177466041006579</c:v>
                </c:pt>
                <c:pt idx="127">
                  <c:v>2.2240728405337808</c:v>
                </c:pt>
                <c:pt idx="128">
                  <c:v>2.3700210969525148</c:v>
                </c:pt>
                <c:pt idx="129">
                  <c:v>2.3762154784446636</c:v>
                </c:pt>
                <c:pt idx="130">
                  <c:v>2.3541665191740364</c:v>
                </c:pt>
                <c:pt idx="131">
                  <c:v>2.3167218218853987</c:v>
                </c:pt>
                <c:pt idx="132">
                  <c:v>2.2461745257214543</c:v>
                </c:pt>
                <c:pt idx="133">
                  <c:v>2.3952035404115453</c:v>
                </c:pt>
                <c:pt idx="134">
                  <c:v>2.26947130407062</c:v>
                </c:pt>
                <c:pt idx="135">
                  <c:v>2.236604569431083</c:v>
                </c:pt>
                <c:pt idx="136">
                  <c:v>2.3546761985462035</c:v>
                </c:pt>
                <c:pt idx="137">
                  <c:v>2.3576471322061749</c:v>
                </c:pt>
                <c:pt idx="138">
                  <c:v>2.3082460874005615</c:v>
                </c:pt>
                <c:pt idx="139">
                  <c:v>2.3375414434828743</c:v>
                </c:pt>
                <c:pt idx="140">
                  <c:v>2.2182200071228282</c:v>
                </c:pt>
                <c:pt idx="141">
                  <c:v>2.2542404485768595</c:v>
                </c:pt>
                <c:pt idx="142">
                  <c:v>2.3300643767930533</c:v>
                </c:pt>
                <c:pt idx="143">
                  <c:v>2.2624102192131295</c:v>
                </c:pt>
                <c:pt idx="144">
                  <c:v>2.3255106965997814</c:v>
                </c:pt>
                <c:pt idx="145">
                  <c:v>2.2905894437895236</c:v>
                </c:pt>
                <c:pt idx="146">
                  <c:v>2.2184003245582167</c:v>
                </c:pt>
                <c:pt idx="147">
                  <c:v>2.263117319097709</c:v>
                </c:pt>
                <c:pt idx="148">
                  <c:v>2.3702320561497769</c:v>
                </c:pt>
                <c:pt idx="149">
                  <c:v>2.3331095130747723</c:v>
                </c:pt>
                <c:pt idx="150">
                  <c:v>2.2929675095822879</c:v>
                </c:pt>
                <c:pt idx="151">
                  <c:v>2.2729716232280595</c:v>
                </c:pt>
                <c:pt idx="152">
                  <c:v>2.2107012462112561</c:v>
                </c:pt>
                <c:pt idx="153">
                  <c:v>2.3692192806914263</c:v>
                </c:pt>
                <c:pt idx="154">
                  <c:v>2.2123742902140227</c:v>
                </c:pt>
                <c:pt idx="155">
                  <c:v>2.2727076362788066</c:v>
                </c:pt>
                <c:pt idx="156">
                  <c:v>2.2673773395709853</c:v>
                </c:pt>
                <c:pt idx="157">
                  <c:v>2.283527972239447</c:v>
                </c:pt>
                <c:pt idx="158">
                  <c:v>2.300825938657681</c:v>
                </c:pt>
                <c:pt idx="159">
                  <c:v>2.3008259386576815</c:v>
                </c:pt>
                <c:pt idx="160">
                  <c:v>2.2673773395709858</c:v>
                </c:pt>
                <c:pt idx="161">
                  <c:v>2.2303362975121037</c:v>
                </c:pt>
                <c:pt idx="162">
                  <c:v>2.220022522408275</c:v>
                </c:pt>
                <c:pt idx="163">
                  <c:v>2.2029071700822982</c:v>
                </c:pt>
                <c:pt idx="164">
                  <c:v>2.3512762491889379</c:v>
                </c:pt>
                <c:pt idx="165">
                  <c:v>2.2466196829904255</c:v>
                </c:pt>
                <c:pt idx="166">
                  <c:v>2.2636474990598692</c:v>
                </c:pt>
                <c:pt idx="167">
                  <c:v>2.2196396103872353</c:v>
                </c:pt>
                <c:pt idx="168">
                  <c:v>2.2800219297190978</c:v>
                </c:pt>
                <c:pt idx="169">
                  <c:v>2.2202927734873166</c:v>
                </c:pt>
                <c:pt idx="170">
                  <c:v>2.1253235047869774</c:v>
                </c:pt>
                <c:pt idx="171">
                  <c:v>2.1087437018281761</c:v>
                </c:pt>
                <c:pt idx="172">
                  <c:v>2.2536193112413638</c:v>
                </c:pt>
                <c:pt idx="173">
                  <c:v>2.1741205118392126</c:v>
                </c:pt>
                <c:pt idx="174">
                  <c:v>2.2410934831014973</c:v>
                </c:pt>
                <c:pt idx="175">
                  <c:v>2.2853664913969487</c:v>
                </c:pt>
                <c:pt idx="176">
                  <c:v>2.194288039433292</c:v>
                </c:pt>
                <c:pt idx="177">
                  <c:v>2.1609257275528928</c:v>
                </c:pt>
                <c:pt idx="178">
                  <c:v>2.2981731875557161</c:v>
                </c:pt>
                <c:pt idx="179">
                  <c:v>2.1349004660639332</c:v>
                </c:pt>
                <c:pt idx="180">
                  <c:v>2.1947665023869853</c:v>
                </c:pt>
                <c:pt idx="181">
                  <c:v>2.2071927872299693</c:v>
                </c:pt>
                <c:pt idx="182">
                  <c:v>2.2205629916757599</c:v>
                </c:pt>
                <c:pt idx="183">
                  <c:v>2.2271281956816047</c:v>
                </c:pt>
                <c:pt idx="184">
                  <c:v>2.2165288177689004</c:v>
                </c:pt>
                <c:pt idx="185">
                  <c:v>2.2585393509965686</c:v>
                </c:pt>
                <c:pt idx="186">
                  <c:v>2.2503777460684242</c:v>
                </c:pt>
                <c:pt idx="187">
                  <c:v>2.2407588000496617</c:v>
                </c:pt>
                <c:pt idx="188">
                  <c:v>2.2484883811129643</c:v>
                </c:pt>
                <c:pt idx="189">
                  <c:v>2.2077137495608441</c:v>
                </c:pt>
                <c:pt idx="190">
                  <c:v>2.1600462958001621</c:v>
                </c:pt>
                <c:pt idx="191">
                  <c:v>2.2585393509965681</c:v>
                </c:pt>
                <c:pt idx="192">
                  <c:v>2.2155134844996991</c:v>
                </c:pt>
                <c:pt idx="193">
                  <c:v>2.2318154045529837</c:v>
                </c:pt>
                <c:pt idx="194">
                  <c:v>2.1708293346092407</c:v>
                </c:pt>
                <c:pt idx="195">
                  <c:v>2.3020860105565126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95-4565-89B1-F949CBE04E1C}"/>
            </c:ext>
          </c:extLst>
        </c:ser>
        <c:ser>
          <c:idx val="21"/>
          <c:order val="2"/>
          <c:tx>
            <c:strRef>
              <c:f>'HT 2017-07-05 BIG JIM'!$BY$1</c:f>
              <c:strCache>
                <c:ptCount val="1"/>
                <c:pt idx="0">
                  <c:v>wild-fx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</c:spPr>
          </c:marker>
          <c:xVal>
            <c:numRef>
              <c:f>'HT 2017-07-05 BIG JIM'!$G$287:$G$715</c:f>
              <c:numCache>
                <c:formatCode>General</c:formatCode>
                <c:ptCount val="429"/>
                <c:pt idx="0">
                  <c:v>2.4920072231034966</c:v>
                </c:pt>
                <c:pt idx="1">
                  <c:v>2.3854978516024699</c:v>
                </c:pt>
                <c:pt idx="2">
                  <c:v>2.4424782496472717</c:v>
                </c:pt>
                <c:pt idx="3">
                  <c:v>2.4709512338368804</c:v>
                </c:pt>
                <c:pt idx="4">
                  <c:v>2.4186773244895652</c:v>
                </c:pt>
                <c:pt idx="5">
                  <c:v>2.3671290628100534</c:v>
                </c:pt>
                <c:pt idx="6">
                  <c:v>2.426272861819132</c:v>
                </c:pt>
                <c:pt idx="7">
                  <c:v>2.4831028975860021</c:v>
                </c:pt>
                <c:pt idx="8">
                  <c:v>2.4257163890281981</c:v>
                </c:pt>
                <c:pt idx="9">
                  <c:v>2.4581497106563708</c:v>
                </c:pt>
                <c:pt idx="10">
                  <c:v>2.5092827660508887</c:v>
                </c:pt>
                <c:pt idx="11">
                  <c:v>2.517935662402834</c:v>
                </c:pt>
                <c:pt idx="12">
                  <c:v>2.4147256572952549</c:v>
                </c:pt>
                <c:pt idx="13">
                  <c:v>2.4604471138392712</c:v>
                </c:pt>
                <c:pt idx="14">
                  <c:v>2.3977697971239862</c:v>
                </c:pt>
                <c:pt idx="15">
                  <c:v>2.4804031930313264</c:v>
                </c:pt>
                <c:pt idx="16">
                  <c:v>2.5019192632856884</c:v>
                </c:pt>
                <c:pt idx="17">
                  <c:v>2.4973586046060743</c:v>
                </c:pt>
                <c:pt idx="18">
                  <c:v>2.4020824298928627</c:v>
                </c:pt>
                <c:pt idx="19">
                  <c:v>2.4689471440271866</c:v>
                </c:pt>
                <c:pt idx="20">
                  <c:v>2.429897117163605</c:v>
                </c:pt>
                <c:pt idx="21">
                  <c:v>2.491304878974069</c:v>
                </c:pt>
                <c:pt idx="22">
                  <c:v>2.4686838598735159</c:v>
                </c:pt>
                <c:pt idx="23">
                  <c:v>2.4633310780323461</c:v>
                </c:pt>
                <c:pt idx="24">
                  <c:v>2.4341733709824367</c:v>
                </c:pt>
                <c:pt idx="25">
                  <c:v>2.4352823244954576</c:v>
                </c:pt>
                <c:pt idx="26">
                  <c:v>2.4166091947189146</c:v>
                </c:pt>
                <c:pt idx="27">
                  <c:v>2.4078413569004082</c:v>
                </c:pt>
                <c:pt idx="28">
                  <c:v>2.3409613409879286</c:v>
                </c:pt>
                <c:pt idx="29">
                  <c:v>2.4274472187876714</c:v>
                </c:pt>
                <c:pt idx="30">
                  <c:v>2.4473863609981974</c:v>
                </c:pt>
                <c:pt idx="31">
                  <c:v>2.5241434190631882</c:v>
                </c:pt>
                <c:pt idx="32">
                  <c:v>2.49899979991996</c:v>
                </c:pt>
                <c:pt idx="33">
                  <c:v>2.4440130932546169</c:v>
                </c:pt>
                <c:pt idx="34">
                  <c:v>2.4869660230891775</c:v>
                </c:pt>
                <c:pt idx="35">
                  <c:v>2.5019192632856884</c:v>
                </c:pt>
                <c:pt idx="36">
                  <c:v>2.4795160818191921</c:v>
                </c:pt>
                <c:pt idx="37">
                  <c:v>2.470080970332754</c:v>
                </c:pt>
                <c:pt idx="38">
                  <c:v>2.4689471440271866</c:v>
                </c:pt>
                <c:pt idx="39">
                  <c:v>2.43232399157678</c:v>
                </c:pt>
                <c:pt idx="40">
                  <c:v>2.3930106560565085</c:v>
                </c:pt>
                <c:pt idx="41">
                  <c:v>2.4147256572952549</c:v>
                </c:pt>
                <c:pt idx="42">
                  <c:v>2.3259406699226011</c:v>
                </c:pt>
                <c:pt idx="43">
                  <c:v>2.4226638231500468</c:v>
                </c:pt>
                <c:pt idx="44">
                  <c:v>2.4062626623043464</c:v>
                </c:pt>
                <c:pt idx="45">
                  <c:v>2.3837994882120435</c:v>
                </c:pt>
                <c:pt idx="46">
                  <c:v>2.4524681445433703</c:v>
                </c:pt>
                <c:pt idx="47">
                  <c:v>2.4645689278249048</c:v>
                </c:pt>
                <c:pt idx="48">
                  <c:v>2.4242318370980938</c:v>
                </c:pt>
                <c:pt idx="49">
                  <c:v>2.4880916381837705</c:v>
                </c:pt>
                <c:pt idx="50">
                  <c:v>2.3881373494839027</c:v>
                </c:pt>
                <c:pt idx="51">
                  <c:v>2.4018534509832192</c:v>
                </c:pt>
                <c:pt idx="52">
                  <c:v>2.4449948875202172</c:v>
                </c:pt>
                <c:pt idx="53">
                  <c:v>2.5147763320025107</c:v>
                </c:pt>
                <c:pt idx="54">
                  <c:v>2.4377243486497813</c:v>
                </c:pt>
                <c:pt idx="55">
                  <c:v>2.3537204591879641</c:v>
                </c:pt>
                <c:pt idx="56">
                  <c:v>2.4420483205702546</c:v>
                </c:pt>
                <c:pt idx="57">
                  <c:v>2.5026585863836881</c:v>
                </c:pt>
                <c:pt idx="58">
                  <c:v>2.3942639787625759</c:v>
                </c:pt>
                <c:pt idx="59">
                  <c:v>2.4973586046060747</c:v>
                </c:pt>
                <c:pt idx="60">
                  <c:v>2.3728674636397202</c:v>
                </c:pt>
                <c:pt idx="61">
                  <c:v>2.4105808428675441</c:v>
                </c:pt>
                <c:pt idx="62">
                  <c:v>2.3847222060441338</c:v>
                </c:pt>
                <c:pt idx="63">
                  <c:v>2.4520399670478454</c:v>
                </c:pt>
                <c:pt idx="64">
                  <c:v>2.4687648733729177</c:v>
                </c:pt>
                <c:pt idx="65">
                  <c:v>2.3713498265755728</c:v>
                </c:pt>
                <c:pt idx="66">
                  <c:v>2.4166091947189146</c:v>
                </c:pt>
                <c:pt idx="67">
                  <c:v>2.4798790293076798</c:v>
                </c:pt>
                <c:pt idx="68">
                  <c:v>2.4301646034785378</c:v>
                </c:pt>
                <c:pt idx="69">
                  <c:v>2.4439517180173591</c:v>
                </c:pt>
                <c:pt idx="70">
                  <c:v>2.3085276693165282</c:v>
                </c:pt>
                <c:pt idx="71">
                  <c:v>2.4644877763949244</c:v>
                </c:pt>
                <c:pt idx="72">
                  <c:v>2.3754157530840785</c:v>
                </c:pt>
                <c:pt idx="73">
                  <c:v>2.346912865872953</c:v>
                </c:pt>
                <c:pt idx="74">
                  <c:v>2.4500000000000002</c:v>
                </c:pt>
                <c:pt idx="75">
                  <c:v>2.4311519903124119</c:v>
                </c:pt>
                <c:pt idx="76">
                  <c:v>2.3120986138138657</c:v>
                </c:pt>
                <c:pt idx="77">
                  <c:v>2.3394016328967542</c:v>
                </c:pt>
                <c:pt idx="78">
                  <c:v>2.542380773999048</c:v>
                </c:pt>
                <c:pt idx="79">
                  <c:v>2.4085265205099984</c:v>
                </c:pt>
                <c:pt idx="80">
                  <c:v>2.4008540147205952</c:v>
                </c:pt>
                <c:pt idx="81">
                  <c:v>2.5249158401816092</c:v>
                </c:pt>
                <c:pt idx="82">
                  <c:v>2.3914012628582433</c:v>
                </c:pt>
                <c:pt idx="83">
                  <c:v>2.4212806528777282</c:v>
                </c:pt>
                <c:pt idx="84">
                  <c:v>2.4480400323524125</c:v>
                </c:pt>
                <c:pt idx="85">
                  <c:v>2.5145377308761945</c:v>
                </c:pt>
                <c:pt idx="86">
                  <c:v>2.358664876577425</c:v>
                </c:pt>
                <c:pt idx="87">
                  <c:v>2.3995416228938393</c:v>
                </c:pt>
                <c:pt idx="88">
                  <c:v>2.4318717071424638</c:v>
                </c:pt>
                <c:pt idx="89">
                  <c:v>2.3120553626589482</c:v>
                </c:pt>
                <c:pt idx="90">
                  <c:v>2.3653540961133075</c:v>
                </c:pt>
                <c:pt idx="91">
                  <c:v>2.2998478210525151</c:v>
                </c:pt>
                <c:pt idx="92">
                  <c:v>2.3769728648009427</c:v>
                </c:pt>
                <c:pt idx="93">
                  <c:v>2.3097185975785015</c:v>
                </c:pt>
                <c:pt idx="94">
                  <c:v>2.2821262015935928</c:v>
                </c:pt>
                <c:pt idx="95">
                  <c:v>2.4206197553519222</c:v>
                </c:pt>
                <c:pt idx="96">
                  <c:v>2.3097185975785015</c:v>
                </c:pt>
                <c:pt idx="97">
                  <c:v>2.4340295807569801</c:v>
                </c:pt>
                <c:pt idx="98">
                  <c:v>2.3564804263986581</c:v>
                </c:pt>
                <c:pt idx="99">
                  <c:v>2.4047037239543672</c:v>
                </c:pt>
                <c:pt idx="100">
                  <c:v>2.4422940035957996</c:v>
                </c:pt>
                <c:pt idx="101">
                  <c:v>2.2722015755649854</c:v>
                </c:pt>
                <c:pt idx="102">
                  <c:v>2.3415593095200471</c:v>
                </c:pt>
                <c:pt idx="103">
                  <c:v>2.3569683918118209</c:v>
                </c:pt>
                <c:pt idx="104">
                  <c:v>2.3355513267749011</c:v>
                </c:pt>
                <c:pt idx="105">
                  <c:v>2.3152537657889685</c:v>
                </c:pt>
                <c:pt idx="106">
                  <c:v>2.3566925976885487</c:v>
                </c:pt>
                <c:pt idx="107">
                  <c:v>2.3759208741033442</c:v>
                </c:pt>
                <c:pt idx="108">
                  <c:v>2.3815961034566713</c:v>
                </c:pt>
                <c:pt idx="109">
                  <c:v>2.5166843266488548</c:v>
                </c:pt>
                <c:pt idx="110">
                  <c:v>2.5787787807409925</c:v>
                </c:pt>
                <c:pt idx="111">
                  <c:v>2.5405511213120664</c:v>
                </c:pt>
                <c:pt idx="112">
                  <c:v>2.5556603843233945</c:v>
                </c:pt>
                <c:pt idx="113">
                  <c:v>2.54939208439973</c:v>
                </c:pt>
                <c:pt idx="114">
                  <c:v>2.4906224121692957</c:v>
                </c:pt>
                <c:pt idx="115">
                  <c:v>2.49897979183506</c:v>
                </c:pt>
                <c:pt idx="116">
                  <c:v>2.5111352014576998</c:v>
                </c:pt>
                <c:pt idx="117">
                  <c:v>2.5770137756713685</c:v>
                </c:pt>
                <c:pt idx="118">
                  <c:v>2.5379716310471241</c:v>
                </c:pt>
                <c:pt idx="119">
                  <c:v>2.5880108191427635</c:v>
                </c:pt>
                <c:pt idx="120">
                  <c:v>2.5111352014576998</c:v>
                </c:pt>
                <c:pt idx="121">
                  <c:v>2.5347583711273152</c:v>
                </c:pt>
                <c:pt idx="122">
                  <c:v>2.5609568524284043</c:v>
                </c:pt>
                <c:pt idx="123">
                  <c:v>2.5331403435261928</c:v>
                </c:pt>
                <c:pt idx="124">
                  <c:v>2.5133443854752575</c:v>
                </c:pt>
                <c:pt idx="125">
                  <c:v>2.610785322465254</c:v>
                </c:pt>
                <c:pt idx="126">
                  <c:v>2.5244801445050031</c:v>
                </c:pt>
                <c:pt idx="127">
                  <c:v>2.4819548746905129</c:v>
                </c:pt>
                <c:pt idx="128">
                  <c:v>2.5143587651725441</c:v>
                </c:pt>
                <c:pt idx="129">
                  <c:v>2.449693858423946</c:v>
                </c:pt>
                <c:pt idx="130">
                  <c:v>2.4684408034222738</c:v>
                </c:pt>
                <c:pt idx="131">
                  <c:v>2.4906424873915567</c:v>
                </c:pt>
                <c:pt idx="132">
                  <c:v>2.4933912649241394</c:v>
                </c:pt>
                <c:pt idx="133">
                  <c:v>2.4528350943347172</c:v>
                </c:pt>
                <c:pt idx="134">
                  <c:v>2.5044959572736389</c:v>
                </c:pt>
                <c:pt idx="135">
                  <c:v>2.4520399670478459</c:v>
                </c:pt>
                <c:pt idx="136">
                  <c:v>2.5026585863836881</c:v>
                </c:pt>
                <c:pt idx="137">
                  <c:v>2.5572641631243336</c:v>
                </c:pt>
                <c:pt idx="138">
                  <c:v>2.4850955716028307</c:v>
                </c:pt>
                <c:pt idx="139">
                  <c:v>2.5314027731674784</c:v>
                </c:pt>
                <c:pt idx="140">
                  <c:v>2.5184916120567085</c:v>
                </c:pt>
                <c:pt idx="141">
                  <c:v>2.5183526361492743</c:v>
                </c:pt>
                <c:pt idx="142">
                  <c:v>2.5253910588263357</c:v>
                </c:pt>
                <c:pt idx="143">
                  <c:v>2.5158895047279004</c:v>
                </c:pt>
                <c:pt idx="144">
                  <c:v>2.5128469909646309</c:v>
                </c:pt>
                <c:pt idx="145">
                  <c:v>2.4370679104202249</c:v>
                </c:pt>
                <c:pt idx="146">
                  <c:v>2.4911041728518697</c:v>
                </c:pt>
                <c:pt idx="147">
                  <c:v>2.5824213443975403</c:v>
                </c:pt>
                <c:pt idx="148">
                  <c:v>2.5072694310743713</c:v>
                </c:pt>
                <c:pt idx="149">
                  <c:v>2.5433245958783943</c:v>
                </c:pt>
                <c:pt idx="150">
                  <c:v>2.5238858928247923</c:v>
                </c:pt>
                <c:pt idx="151">
                  <c:v>2.5471749056552833</c:v>
                </c:pt>
                <c:pt idx="152">
                  <c:v>2.5962472917655592</c:v>
                </c:pt>
                <c:pt idx="153">
                  <c:v>2.5460754112948027</c:v>
                </c:pt>
                <c:pt idx="154">
                  <c:v>2.5460754112948027</c:v>
                </c:pt>
                <c:pt idx="155">
                  <c:v>2.5674306222369476</c:v>
                </c:pt>
                <c:pt idx="156">
                  <c:v>2.5211505310076192</c:v>
                </c:pt>
                <c:pt idx="157">
                  <c:v>2.4989797918350605</c:v>
                </c:pt>
                <c:pt idx="158">
                  <c:v>2.5726639889422018</c:v>
                </c:pt>
                <c:pt idx="159">
                  <c:v>2.5690854403853525</c:v>
                </c:pt>
                <c:pt idx="160">
                  <c:v>2.5355867171130235</c:v>
                </c:pt>
                <c:pt idx="161">
                  <c:v>2.5599414055794325</c:v>
                </c:pt>
                <c:pt idx="162">
                  <c:v>2.5711087102648928</c:v>
                </c:pt>
                <c:pt idx="163">
                  <c:v>2.5879142180528318</c:v>
                </c:pt>
                <c:pt idx="164">
                  <c:v>2.5748980562344599</c:v>
                </c:pt>
                <c:pt idx="165">
                  <c:v>2.5547798339583001</c:v>
                </c:pt>
                <c:pt idx="166">
                  <c:v>2.5006399181009651</c:v>
                </c:pt>
                <c:pt idx="167">
                  <c:v>2.5193848455525805</c:v>
                </c:pt>
                <c:pt idx="168">
                  <c:v>2.5439536159293472</c:v>
                </c:pt>
                <c:pt idx="169">
                  <c:v>2.5547798339583001</c:v>
                </c:pt>
                <c:pt idx="170">
                  <c:v>2.5312447530809821</c:v>
                </c:pt>
                <c:pt idx="171">
                  <c:v>2.5001799935204669</c:v>
                </c:pt>
                <c:pt idx="172">
                  <c:v>2.5853626438084079</c:v>
                </c:pt>
                <c:pt idx="173">
                  <c:v>2.584027863626861</c:v>
                </c:pt>
                <c:pt idx="174">
                  <c:v>2.6299239532731744</c:v>
                </c:pt>
                <c:pt idx="175">
                  <c:v>2.5707780923292467</c:v>
                </c:pt>
                <c:pt idx="176">
                  <c:v>2.5039169315294783</c:v>
                </c:pt>
                <c:pt idx="177">
                  <c:v>2.5518032839543099</c:v>
                </c:pt>
                <c:pt idx="178">
                  <c:v>2.6224606765402605</c:v>
                </c:pt>
                <c:pt idx="179">
                  <c:v>2.5403149411047439</c:v>
                </c:pt>
                <c:pt idx="180">
                  <c:v>2.5045957757690163</c:v>
                </c:pt>
                <c:pt idx="181">
                  <c:v>2.5092827660508887</c:v>
                </c:pt>
                <c:pt idx="182">
                  <c:v>2.5897104085206131</c:v>
                </c:pt>
                <c:pt idx="183">
                  <c:v>2.5144581921360314</c:v>
                </c:pt>
                <c:pt idx="184">
                  <c:v>2.4465894629054543</c:v>
                </c:pt>
                <c:pt idx="185">
                  <c:v>2.5147763320025103</c:v>
                </c:pt>
                <c:pt idx="186">
                  <c:v>2.4200206610688264</c:v>
                </c:pt>
                <c:pt idx="187">
                  <c:v>2.510019920239678</c:v>
                </c:pt>
                <c:pt idx="188">
                  <c:v>2.5494509212769718</c:v>
                </c:pt>
                <c:pt idx="189">
                  <c:v>2.5147763320025103</c:v>
                </c:pt>
                <c:pt idx="190">
                  <c:v>2.5601953050499877</c:v>
                </c:pt>
                <c:pt idx="191">
                  <c:v>2.6670020622414223</c:v>
                </c:pt>
                <c:pt idx="192">
                  <c:v>2.6532432983049259</c:v>
                </c:pt>
                <c:pt idx="193">
                  <c:v>2.5188290930509756</c:v>
                </c:pt>
                <c:pt idx="194">
                  <c:v>2.5292291315734921</c:v>
                </c:pt>
                <c:pt idx="195">
                  <c:v>2.5059928172283334</c:v>
                </c:pt>
                <c:pt idx="196">
                  <c:v>2.5536836139193126</c:v>
                </c:pt>
                <c:pt idx="197">
                  <c:v>2.6016341018675164</c:v>
                </c:pt>
                <c:pt idx="198">
                  <c:v>2.6564638149238924</c:v>
                </c:pt>
                <c:pt idx="199">
                  <c:v>2.6513770007299979</c:v>
                </c:pt>
                <c:pt idx="200">
                  <c:v>2.5895559464896678</c:v>
                </c:pt>
                <c:pt idx="201">
                  <c:v>2.7220764133286188</c:v>
                </c:pt>
                <c:pt idx="202">
                  <c:v>2.5437374078312405</c:v>
                </c:pt>
                <c:pt idx="203">
                  <c:v>2.6102107194630859</c:v>
                </c:pt>
                <c:pt idx="204">
                  <c:v>2.5935689695861184</c:v>
                </c:pt>
                <c:pt idx="205">
                  <c:v>2.5457808232446091</c:v>
                </c:pt>
                <c:pt idx="206">
                  <c:v>2.5352711886502401</c:v>
                </c:pt>
                <c:pt idx="207">
                  <c:v>2.6172504656604798</c:v>
                </c:pt>
                <c:pt idx="208">
                  <c:v>2.6629307163349178</c:v>
                </c:pt>
                <c:pt idx="209">
                  <c:v>2.5079872407968904</c:v>
                </c:pt>
                <c:pt idx="210">
                  <c:v>2.6102107194630859</c:v>
                </c:pt>
                <c:pt idx="211">
                  <c:v>2.5515681452785071</c:v>
                </c:pt>
                <c:pt idx="212">
                  <c:v>2.5026585863836881</c:v>
                </c:pt>
                <c:pt idx="213">
                  <c:v>2.6332679316772909</c:v>
                </c:pt>
                <c:pt idx="214">
                  <c:v>2.5516269319788893</c:v>
                </c:pt>
                <c:pt idx="215">
                  <c:v>2.5899034731047412</c:v>
                </c:pt>
                <c:pt idx="216">
                  <c:v>2.5073093147834791</c:v>
                </c:pt>
                <c:pt idx="217">
                  <c:v>2.5949373788205374</c:v>
                </c:pt>
                <c:pt idx="218">
                  <c:v>2.6840454541605663</c:v>
                </c:pt>
                <c:pt idx="219">
                  <c:v>2.619255619446105</c:v>
                </c:pt>
                <c:pt idx="220">
                  <c:v>2.5428330656966063</c:v>
                </c:pt>
                <c:pt idx="221">
                  <c:v>2.6046496885377888</c:v>
                </c:pt>
                <c:pt idx="222">
                  <c:v>2.5267568145747621</c:v>
                </c:pt>
                <c:pt idx="223">
                  <c:v>2.4709512338368804</c:v>
                </c:pt>
                <c:pt idx="224">
                  <c:v>2.6043233286210836</c:v>
                </c:pt>
                <c:pt idx="225">
                  <c:v>2.5451522547776979</c:v>
                </c:pt>
                <c:pt idx="226">
                  <c:v>2.581259382549534</c:v>
                </c:pt>
                <c:pt idx="227">
                  <c:v>2.5280031645549816</c:v>
                </c:pt>
                <c:pt idx="228">
                  <c:v>2.6565579233286067</c:v>
                </c:pt>
                <c:pt idx="229">
                  <c:v>2.6225560051217207</c:v>
                </c:pt>
                <c:pt idx="230">
                  <c:v>2.5515681452785071</c:v>
                </c:pt>
                <c:pt idx="231">
                  <c:v>2.5347583711273156</c:v>
                </c:pt>
                <c:pt idx="232">
                  <c:v>2.5341073379002714</c:v>
                </c:pt>
                <c:pt idx="233">
                  <c:v>2.5350542400508909</c:v>
                </c:pt>
                <c:pt idx="234">
                  <c:v>2.5536836139193126</c:v>
                </c:pt>
                <c:pt idx="235">
                  <c:v>2.4560537453402764</c:v>
                </c:pt>
                <c:pt idx="236">
                  <c:v>2.6050911692299756</c:v>
                </c:pt>
                <c:pt idx="237">
                  <c:v>2.5179356624028344</c:v>
                </c:pt>
                <c:pt idx="238">
                  <c:v>2.6239092972128439</c:v>
                </c:pt>
                <c:pt idx="239">
                  <c:v>2.522320360303187</c:v>
                </c:pt>
                <c:pt idx="240">
                  <c:v>2.6153584840323516</c:v>
                </c:pt>
                <c:pt idx="241">
                  <c:v>2.5556603843233945</c:v>
                </c:pt>
                <c:pt idx="242">
                  <c:v>2.5133443854752575</c:v>
                </c:pt>
                <c:pt idx="243">
                  <c:v>2.6436716891475007</c:v>
                </c:pt>
                <c:pt idx="244">
                  <c:v>2.5366316248127161</c:v>
                </c:pt>
                <c:pt idx="245">
                  <c:v>2.6109385285755007</c:v>
                </c:pt>
                <c:pt idx="246">
                  <c:v>2.5988074187980916</c:v>
                </c:pt>
                <c:pt idx="247">
                  <c:v>2.5283393759541064</c:v>
                </c:pt>
                <c:pt idx="248">
                  <c:v>2.5292291315734921</c:v>
                </c:pt>
                <c:pt idx="249">
                  <c:v>2.4720234626718254</c:v>
                </c:pt>
                <c:pt idx="250">
                  <c:v>2.5741989045137905</c:v>
                </c:pt>
                <c:pt idx="251">
                  <c:v>2.5800775182152957</c:v>
                </c:pt>
                <c:pt idx="252">
                  <c:v>2.5524889813670106</c:v>
                </c:pt>
                <c:pt idx="253">
                  <c:v>2.6330400680582131</c:v>
                </c:pt>
                <c:pt idx="254">
                  <c:v>2.4605893602956184</c:v>
                </c:pt>
                <c:pt idx="255">
                  <c:v>2.5916982849089516</c:v>
                </c:pt>
                <c:pt idx="256">
                  <c:v>2.5292291315734921</c:v>
                </c:pt>
                <c:pt idx="257">
                  <c:v>2.6284025566872358</c:v>
                </c:pt>
                <c:pt idx="258">
                  <c:v>2.5316002844051031</c:v>
                </c:pt>
                <c:pt idx="259">
                  <c:v>2.5537815098398688</c:v>
                </c:pt>
                <c:pt idx="260">
                  <c:v>2.4935316320431955</c:v>
                </c:pt>
                <c:pt idx="261">
                  <c:v>2.5633766793040778</c:v>
                </c:pt>
                <c:pt idx="262">
                  <c:v>2.4742675683927153</c:v>
                </c:pt>
                <c:pt idx="263">
                  <c:v>2.5294465797877606</c:v>
                </c:pt>
                <c:pt idx="264">
                  <c:v>2.5556603843233945</c:v>
                </c:pt>
                <c:pt idx="265">
                  <c:v>2.4696963376091401</c:v>
                </c:pt>
                <c:pt idx="266">
                  <c:v>2.5879142180528318</c:v>
                </c:pt>
                <c:pt idx="267">
                  <c:v>2.5694357357209774</c:v>
                </c:pt>
                <c:pt idx="268">
                  <c:v>2.4404302899283969</c:v>
                </c:pt>
                <c:pt idx="269">
                  <c:v>2.4520399670478459</c:v>
                </c:pt>
                <c:pt idx="270">
                  <c:v>2.6035744659986202</c:v>
                </c:pt>
                <c:pt idx="271">
                  <c:v>2.5656188337319321</c:v>
                </c:pt>
                <c:pt idx="272">
                  <c:v>2.5526456863419176</c:v>
                </c:pt>
                <c:pt idx="273">
                  <c:v>2.4742675683927149</c:v>
                </c:pt>
                <c:pt idx="274">
                  <c:v>2.5026585863836881</c:v>
                </c:pt>
                <c:pt idx="275">
                  <c:v>2.5794766911139164</c:v>
                </c:pt>
                <c:pt idx="276">
                  <c:v>2.5849564793241684</c:v>
                </c:pt>
                <c:pt idx="277">
                  <c:v>2.5107767722360346</c:v>
                </c:pt>
                <c:pt idx="278">
                  <c:v>2.4992999019725506</c:v>
                </c:pt>
                <c:pt idx="279">
                  <c:v>2.5156311335328949</c:v>
                </c:pt>
                <c:pt idx="280">
                  <c:v>2.5347583711273152</c:v>
                </c:pt>
                <c:pt idx="281">
                  <c:v>2.6076809620810595</c:v>
                </c:pt>
                <c:pt idx="282">
                  <c:v>2.5452701231892854</c:v>
                </c:pt>
                <c:pt idx="283">
                  <c:v>2.6034592372457075</c:v>
                </c:pt>
                <c:pt idx="284">
                  <c:v>2.6102107194630855</c:v>
                </c:pt>
                <c:pt idx="285">
                  <c:v>2.5715753926338616</c:v>
                </c:pt>
                <c:pt idx="286">
                  <c:v>2.5020391683584813</c:v>
                </c:pt>
                <c:pt idx="287">
                  <c:v>2.4285386552410482</c:v>
                </c:pt>
                <c:pt idx="288">
                  <c:v>2.5489213404889526</c:v>
                </c:pt>
                <c:pt idx="289">
                  <c:v>2.4577225229874915</c:v>
                </c:pt>
                <c:pt idx="290">
                  <c:v>2.5489213404889526</c:v>
                </c:pt>
                <c:pt idx="291">
                  <c:v>2.4987396823198691</c:v>
                </c:pt>
                <c:pt idx="292">
                  <c:v>2.5536836139193122</c:v>
                </c:pt>
                <c:pt idx="293">
                  <c:v>2.5599414055794325</c:v>
                </c:pt>
                <c:pt idx="294">
                  <c:v>2.4602845363900494</c:v>
                </c:pt>
                <c:pt idx="295">
                  <c:v>2.5439536159293472</c:v>
                </c:pt>
                <c:pt idx="296">
                  <c:v>2.5366316248127165</c:v>
                </c:pt>
                <c:pt idx="297">
                  <c:v>2.520495982936692</c:v>
                </c:pt>
                <c:pt idx="298">
                  <c:v>2.4920874784003875</c:v>
                </c:pt>
                <c:pt idx="299">
                  <c:v>2.5992498917957079</c:v>
                </c:pt>
                <c:pt idx="300">
                  <c:v>2.5072694310743713</c:v>
                </c:pt>
                <c:pt idx="301">
                  <c:v>2.5451522547776979</c:v>
                </c:pt>
                <c:pt idx="302">
                  <c:v>2.411514047232568</c:v>
                </c:pt>
                <c:pt idx="303">
                  <c:v>2.4935917869611295</c:v>
                </c:pt>
                <c:pt idx="304">
                  <c:v>2.4541597340026584</c:v>
                </c:pt>
                <c:pt idx="305">
                  <c:v>2.4581497106563708</c:v>
                </c:pt>
                <c:pt idx="306">
                  <c:v>2.4473863609981974</c:v>
                </c:pt>
                <c:pt idx="307">
                  <c:v>2.4214252001662162</c:v>
                </c:pt>
                <c:pt idx="308">
                  <c:v>2.5266974492408067</c:v>
                </c:pt>
                <c:pt idx="309">
                  <c:v>2.3434376458527764</c:v>
                </c:pt>
                <c:pt idx="310">
                  <c:v>1.9672569735548024</c:v>
                </c:pt>
                <c:pt idx="311">
                  <c:v>2.0416659863944449</c:v>
                </c:pt>
                <c:pt idx="312">
                  <c:v>1.9241881404893857</c:v>
                </c:pt>
                <c:pt idx="313">
                  <c:v>2.0225231766286389</c:v>
                </c:pt>
                <c:pt idx="314">
                  <c:v>1.9604081207748556</c:v>
                </c:pt>
                <c:pt idx="315">
                  <c:v>1.9918082237002634</c:v>
                </c:pt>
                <c:pt idx="316">
                  <c:v>2.0368603290358425</c:v>
                </c:pt>
                <c:pt idx="317">
                  <c:v>1.895521036549054</c:v>
                </c:pt>
                <c:pt idx="318">
                  <c:v>2.0368603290358425</c:v>
                </c:pt>
                <c:pt idx="319">
                  <c:v>2.0525106577067995</c:v>
                </c:pt>
                <c:pt idx="320">
                  <c:v>1.9887936041731427</c:v>
                </c:pt>
                <c:pt idx="321">
                  <c:v>2.0169779374103229</c:v>
                </c:pt>
                <c:pt idx="322">
                  <c:v>1.946175737183053</c:v>
                </c:pt>
                <c:pt idx="323">
                  <c:v>1.9856485086741811</c:v>
                </c:pt>
                <c:pt idx="324">
                  <c:v>1.9895728184713419</c:v>
                </c:pt>
                <c:pt idx="325">
                  <c:v>2.0193315725754397</c:v>
                </c:pt>
                <c:pt idx="326">
                  <c:v>1.9996499693696395</c:v>
                </c:pt>
                <c:pt idx="327">
                  <c:v>2.0064396327824068</c:v>
                </c:pt>
                <c:pt idx="328">
                  <c:v>2.0008498194517248</c:v>
                </c:pt>
                <c:pt idx="329">
                  <c:v>1.8989734068701436</c:v>
                </c:pt>
                <c:pt idx="330">
                  <c:v>2.0183656754909403</c:v>
                </c:pt>
                <c:pt idx="331">
                  <c:v>1.960229578391266</c:v>
                </c:pt>
                <c:pt idx="332">
                  <c:v>1.9018412131405713</c:v>
                </c:pt>
                <c:pt idx="333">
                  <c:v>1.8917980864775186</c:v>
                </c:pt>
                <c:pt idx="334">
                  <c:v>1.9119100397246727</c:v>
                </c:pt>
                <c:pt idx="335">
                  <c:v>1.9833809518093088</c:v>
                </c:pt>
                <c:pt idx="336">
                  <c:v>1.9601020381602585</c:v>
                </c:pt>
                <c:pt idx="337">
                  <c:v>2.0392400545301181</c:v>
                </c:pt>
                <c:pt idx="338">
                  <c:v>1.9190883252211191</c:v>
                </c:pt>
                <c:pt idx="339">
                  <c:v>1.9739554199626697</c:v>
                </c:pt>
                <c:pt idx="340">
                  <c:v>1.966443490161871</c:v>
                </c:pt>
                <c:pt idx="341">
                  <c:v>2.04</c:v>
                </c:pt>
                <c:pt idx="342">
                  <c:v>1.9550959055759898</c:v>
                </c:pt>
                <c:pt idx="343">
                  <c:v>1.9458931111445972</c:v>
                </c:pt>
                <c:pt idx="344">
                  <c:v>1.924811679100062</c:v>
                </c:pt>
                <c:pt idx="345">
                  <c:v>2.0056171120131583</c:v>
                </c:pt>
                <c:pt idx="346">
                  <c:v>1.9299999999999997</c:v>
                </c:pt>
                <c:pt idx="347">
                  <c:v>1.9602295783912658</c:v>
                </c:pt>
                <c:pt idx="348">
                  <c:v>1.9465096968677038</c:v>
                </c:pt>
                <c:pt idx="349">
                  <c:v>1.9553260597659921</c:v>
                </c:pt>
                <c:pt idx="350">
                  <c:v>1.9791412279066898</c:v>
                </c:pt>
                <c:pt idx="351">
                  <c:v>1.9723082923316018</c:v>
                </c:pt>
                <c:pt idx="352">
                  <c:v>1.9795959183631389</c:v>
                </c:pt>
                <c:pt idx="353">
                  <c:v>2.0374493858744072</c:v>
                </c:pt>
                <c:pt idx="354">
                  <c:v>2.005243127403757</c:v>
                </c:pt>
                <c:pt idx="355">
                  <c:v>2.0289159667172023</c:v>
                </c:pt>
                <c:pt idx="356">
                  <c:v>2.0088305055429641</c:v>
                </c:pt>
                <c:pt idx="357">
                  <c:v>2.0207176942858696</c:v>
                </c:pt>
                <c:pt idx="358">
                  <c:v>2.0400980368599937</c:v>
                </c:pt>
                <c:pt idx="359">
                  <c:v>1.9949185447030162</c:v>
                </c:pt>
                <c:pt idx="360">
                  <c:v>1.9553260597659921</c:v>
                </c:pt>
                <c:pt idx="361">
                  <c:v>1.9999999999999998</c:v>
                </c:pt>
                <c:pt idx="362">
                  <c:v>1.9420092687729378</c:v>
                </c:pt>
                <c:pt idx="363">
                  <c:v>1.9677398201998149</c:v>
                </c:pt>
                <c:pt idx="364">
                  <c:v>1.9751708786836644</c:v>
                </c:pt>
                <c:pt idx="365">
                  <c:v>2.0026232796010337</c:v>
                </c:pt>
                <c:pt idx="366">
                  <c:v>1.9694669329541941</c:v>
                </c:pt>
                <c:pt idx="367">
                  <c:v>1.9665706191235541</c:v>
                </c:pt>
                <c:pt idx="368">
                  <c:v>2.0171762441591463</c:v>
                </c:pt>
                <c:pt idx="369">
                  <c:v>2.0026232796010337</c:v>
                </c:pt>
                <c:pt idx="370">
                  <c:v>1.9764867821465439</c:v>
                </c:pt>
                <c:pt idx="371">
                  <c:v>1.9946177578674065</c:v>
                </c:pt>
                <c:pt idx="372">
                  <c:v>2.0092784774639876</c:v>
                </c:pt>
                <c:pt idx="373">
                  <c:v>2.0129580224137809</c:v>
                </c:pt>
                <c:pt idx="374">
                  <c:v>1.9610456394485061</c:v>
                </c:pt>
                <c:pt idx="375">
                  <c:v>1.9729419656948859</c:v>
                </c:pt>
                <c:pt idx="376">
                  <c:v>1.8930662957223656</c:v>
                </c:pt>
                <c:pt idx="377">
                  <c:v>2.0255616505058542</c:v>
                </c:pt>
                <c:pt idx="378">
                  <c:v>2.0205444810743467</c:v>
                </c:pt>
                <c:pt idx="379">
                  <c:v>1.9458931111445974</c:v>
                </c:pt>
                <c:pt idx="380">
                  <c:v>1.9523319389898841</c:v>
                </c:pt>
                <c:pt idx="381">
                  <c:v>2.0441624201613728</c:v>
                </c:pt>
                <c:pt idx="382">
                  <c:v>1.9553260597659918</c:v>
                </c:pt>
                <c:pt idx="383">
                  <c:v>2.0116162655934158</c:v>
                </c:pt>
                <c:pt idx="384">
                  <c:v>1.9513328778042971</c:v>
                </c:pt>
                <c:pt idx="385">
                  <c:v>1.9425756098540929</c:v>
                </c:pt>
                <c:pt idx="386">
                  <c:v>1.8921152184790442</c:v>
                </c:pt>
                <c:pt idx="387">
                  <c:v>1.9142622599842478</c:v>
                </c:pt>
                <c:pt idx="388">
                  <c:v>1.9485892332659542</c:v>
                </c:pt>
                <c:pt idx="389">
                  <c:v>1.9504102132628407</c:v>
                </c:pt>
                <c:pt idx="390">
                  <c:v>1.9949185447030164</c:v>
                </c:pt>
                <c:pt idx="391">
                  <c:v>1.9557607215607946</c:v>
                </c:pt>
                <c:pt idx="392">
                  <c:v>1.9398195792392652</c:v>
                </c:pt>
                <c:pt idx="393">
                  <c:v>1.9918082237002634</c:v>
                </c:pt>
                <c:pt idx="394">
                  <c:v>1.9695684806576286</c:v>
                </c:pt>
                <c:pt idx="395">
                  <c:v>1.9636954957426571</c:v>
                </c:pt>
                <c:pt idx="396">
                  <c:v>1.94982050455933</c:v>
                </c:pt>
                <c:pt idx="397">
                  <c:v>2.0385534086699812</c:v>
                </c:pt>
                <c:pt idx="398">
                  <c:v>2.0255616505058542</c:v>
                </c:pt>
                <c:pt idx="399">
                  <c:v>2.0392400545301181</c:v>
                </c:pt>
                <c:pt idx="400">
                  <c:v>2.0620620747203513</c:v>
                </c:pt>
                <c:pt idx="401">
                  <c:v>1.9697715603592212</c:v>
                </c:pt>
                <c:pt idx="402">
                  <c:v>1.9720294115453754</c:v>
                </c:pt>
                <c:pt idx="403">
                  <c:v>1.9469976887505542</c:v>
                </c:pt>
                <c:pt idx="404">
                  <c:v>1.9921094347449892</c:v>
                </c:pt>
                <c:pt idx="405">
                  <c:v>1.9720294115453754</c:v>
                </c:pt>
                <c:pt idx="406">
                  <c:v>2.0615528128088298</c:v>
                </c:pt>
                <c:pt idx="407">
                  <c:v>1.9725364381932211</c:v>
                </c:pt>
                <c:pt idx="408">
                  <c:v>1.9588772294352701</c:v>
                </c:pt>
                <c:pt idx="409">
                  <c:v>2.0498048687619024</c:v>
                </c:pt>
                <c:pt idx="410">
                  <c:v>2.0448227307030797</c:v>
                </c:pt>
                <c:pt idx="411">
                  <c:v>1.9473315074737534</c:v>
                </c:pt>
                <c:pt idx="412">
                  <c:v>2.0357062656483622</c:v>
                </c:pt>
                <c:pt idx="413">
                  <c:v>2.0171762441591463</c:v>
                </c:pt>
                <c:pt idx="414">
                  <c:v>2.0235859260234048</c:v>
                </c:pt>
                <c:pt idx="415">
                  <c:v>1.9961963831246663</c:v>
                </c:pt>
                <c:pt idx="416">
                  <c:v>1.915097908724251</c:v>
                </c:pt>
                <c:pt idx="417">
                  <c:v>2.0706762180505187</c:v>
                </c:pt>
                <c:pt idx="418">
                  <c:v>1.9089525923919639</c:v>
                </c:pt>
                <c:pt idx="419">
                  <c:v>1.9664434901618708</c:v>
                </c:pt>
                <c:pt idx="420">
                  <c:v>2.0412986062798359</c:v>
                </c:pt>
                <c:pt idx="421">
                  <c:v>1.9991248085099642</c:v>
                </c:pt>
                <c:pt idx="422">
                  <c:v>1.9620907216538179</c:v>
                </c:pt>
                <c:pt idx="423">
                  <c:v>1.9960210419732554</c:v>
                </c:pt>
                <c:pt idx="424">
                  <c:v>1.969771560359221</c:v>
                </c:pt>
                <c:pt idx="425">
                  <c:v>1.9789138435010252</c:v>
                </c:pt>
                <c:pt idx="426">
                  <c:v>2.0155644370746373</c:v>
                </c:pt>
                <c:pt idx="427">
                  <c:v>2.049414550548522</c:v>
                </c:pt>
                <c:pt idx="428">
                  <c:v>2.0264747716169573</c:v>
                </c:pt>
              </c:numCache>
            </c:numRef>
          </c:xVal>
          <c:yVal>
            <c:numRef>
              <c:f>'HT 2017-07-05 BIG JIM'!$BY$287:$BY$715</c:f>
              <c:numCache>
                <c:formatCode>General</c:formatCode>
                <c:ptCount val="42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95-4565-89B1-F949CBE04E1C}"/>
            </c:ext>
          </c:extLst>
        </c:ser>
        <c:ser>
          <c:idx val="2"/>
          <c:order val="3"/>
          <c:tx>
            <c:strRef>
              <c:f>'HT 2017-07-05 BIG JIM'!#REF!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JIM'!$G$329:$G$715</c:f>
              <c:numCache>
                <c:formatCode>General</c:formatCode>
                <c:ptCount val="387"/>
                <c:pt idx="0">
                  <c:v>2.3259406699226011</c:v>
                </c:pt>
                <c:pt idx="1">
                  <c:v>2.4226638231500468</c:v>
                </c:pt>
                <c:pt idx="2">
                  <c:v>2.4062626623043464</c:v>
                </c:pt>
                <c:pt idx="3">
                  <c:v>2.3837994882120435</c:v>
                </c:pt>
                <c:pt idx="4">
                  <c:v>2.4524681445433703</c:v>
                </c:pt>
                <c:pt idx="5">
                  <c:v>2.4645689278249048</c:v>
                </c:pt>
                <c:pt idx="6">
                  <c:v>2.4242318370980938</c:v>
                </c:pt>
                <c:pt idx="7">
                  <c:v>2.4880916381837705</c:v>
                </c:pt>
                <c:pt idx="8">
                  <c:v>2.3881373494839027</c:v>
                </c:pt>
                <c:pt idx="9">
                  <c:v>2.4018534509832192</c:v>
                </c:pt>
                <c:pt idx="10">
                  <c:v>2.4449948875202172</c:v>
                </c:pt>
                <c:pt idx="11">
                  <c:v>2.5147763320025107</c:v>
                </c:pt>
                <c:pt idx="12">
                  <c:v>2.4377243486497813</c:v>
                </c:pt>
                <c:pt idx="13">
                  <c:v>2.3537204591879641</c:v>
                </c:pt>
                <c:pt idx="14">
                  <c:v>2.4420483205702546</c:v>
                </c:pt>
                <c:pt idx="15">
                  <c:v>2.5026585863836881</c:v>
                </c:pt>
                <c:pt idx="16">
                  <c:v>2.3942639787625759</c:v>
                </c:pt>
                <c:pt idx="17">
                  <c:v>2.4973586046060747</c:v>
                </c:pt>
                <c:pt idx="18">
                  <c:v>2.3728674636397202</c:v>
                </c:pt>
                <c:pt idx="19">
                  <c:v>2.4105808428675441</c:v>
                </c:pt>
                <c:pt idx="20">
                  <c:v>2.3847222060441338</c:v>
                </c:pt>
                <c:pt idx="21">
                  <c:v>2.4520399670478454</c:v>
                </c:pt>
                <c:pt idx="22">
                  <c:v>2.4687648733729177</c:v>
                </c:pt>
                <c:pt idx="23">
                  <c:v>2.3713498265755728</c:v>
                </c:pt>
                <c:pt idx="24">
                  <c:v>2.4166091947189146</c:v>
                </c:pt>
                <c:pt idx="25">
                  <c:v>2.4798790293076798</c:v>
                </c:pt>
                <c:pt idx="26">
                  <c:v>2.4301646034785378</c:v>
                </c:pt>
                <c:pt idx="27">
                  <c:v>2.4439517180173591</c:v>
                </c:pt>
                <c:pt idx="28">
                  <c:v>2.3085276693165282</c:v>
                </c:pt>
                <c:pt idx="29">
                  <c:v>2.4644877763949244</c:v>
                </c:pt>
                <c:pt idx="30">
                  <c:v>2.3754157530840785</c:v>
                </c:pt>
                <c:pt idx="31">
                  <c:v>2.346912865872953</c:v>
                </c:pt>
                <c:pt idx="32">
                  <c:v>2.4500000000000002</c:v>
                </c:pt>
                <c:pt idx="33">
                  <c:v>2.4311519903124119</c:v>
                </c:pt>
                <c:pt idx="34">
                  <c:v>2.3120986138138657</c:v>
                </c:pt>
                <c:pt idx="35">
                  <c:v>2.3394016328967542</c:v>
                </c:pt>
                <c:pt idx="36">
                  <c:v>2.542380773999048</c:v>
                </c:pt>
                <c:pt idx="37">
                  <c:v>2.4085265205099984</c:v>
                </c:pt>
                <c:pt idx="38">
                  <c:v>2.4008540147205952</c:v>
                </c:pt>
                <c:pt idx="39">
                  <c:v>2.5249158401816092</c:v>
                </c:pt>
                <c:pt idx="40">
                  <c:v>2.3914012628582433</c:v>
                </c:pt>
                <c:pt idx="41">
                  <c:v>2.4212806528777282</c:v>
                </c:pt>
                <c:pt idx="42">
                  <c:v>2.4480400323524125</c:v>
                </c:pt>
                <c:pt idx="43">
                  <c:v>2.5145377308761945</c:v>
                </c:pt>
                <c:pt idx="44">
                  <c:v>2.358664876577425</c:v>
                </c:pt>
                <c:pt idx="45">
                  <c:v>2.3995416228938393</c:v>
                </c:pt>
                <c:pt idx="46">
                  <c:v>2.4318717071424638</c:v>
                </c:pt>
                <c:pt idx="47">
                  <c:v>2.3120553626589482</c:v>
                </c:pt>
                <c:pt idx="48">
                  <c:v>2.3653540961133075</c:v>
                </c:pt>
                <c:pt idx="49">
                  <c:v>2.2998478210525151</c:v>
                </c:pt>
                <c:pt idx="50">
                  <c:v>2.3769728648009427</c:v>
                </c:pt>
                <c:pt idx="51">
                  <c:v>2.3097185975785015</c:v>
                </c:pt>
                <c:pt idx="52">
                  <c:v>2.2821262015935928</c:v>
                </c:pt>
                <c:pt idx="53">
                  <c:v>2.4206197553519222</c:v>
                </c:pt>
                <c:pt idx="54">
                  <c:v>2.3097185975785015</c:v>
                </c:pt>
                <c:pt idx="55">
                  <c:v>2.4340295807569801</c:v>
                </c:pt>
                <c:pt idx="56">
                  <c:v>2.3564804263986581</c:v>
                </c:pt>
                <c:pt idx="57">
                  <c:v>2.4047037239543672</c:v>
                </c:pt>
                <c:pt idx="58">
                  <c:v>2.4422940035957996</c:v>
                </c:pt>
                <c:pt idx="59">
                  <c:v>2.2722015755649854</c:v>
                </c:pt>
                <c:pt idx="60">
                  <c:v>2.3415593095200471</c:v>
                </c:pt>
                <c:pt idx="61">
                  <c:v>2.3569683918118209</c:v>
                </c:pt>
                <c:pt idx="62">
                  <c:v>2.3355513267749011</c:v>
                </c:pt>
                <c:pt idx="63">
                  <c:v>2.3152537657889685</c:v>
                </c:pt>
                <c:pt idx="64">
                  <c:v>2.3566925976885487</c:v>
                </c:pt>
                <c:pt idx="65">
                  <c:v>2.3759208741033442</c:v>
                </c:pt>
                <c:pt idx="66">
                  <c:v>2.3815961034566713</c:v>
                </c:pt>
                <c:pt idx="67">
                  <c:v>2.5166843266488548</c:v>
                </c:pt>
                <c:pt idx="68">
                  <c:v>2.5787787807409925</c:v>
                </c:pt>
                <c:pt idx="69">
                  <c:v>2.5405511213120664</c:v>
                </c:pt>
                <c:pt idx="70">
                  <c:v>2.5556603843233945</c:v>
                </c:pt>
                <c:pt idx="71">
                  <c:v>2.54939208439973</c:v>
                </c:pt>
                <c:pt idx="72">
                  <c:v>2.4906224121692957</c:v>
                </c:pt>
                <c:pt idx="73">
                  <c:v>2.49897979183506</c:v>
                </c:pt>
                <c:pt idx="74">
                  <c:v>2.5111352014576998</c:v>
                </c:pt>
                <c:pt idx="75">
                  <c:v>2.5770137756713685</c:v>
                </c:pt>
                <c:pt idx="76">
                  <c:v>2.5379716310471241</c:v>
                </c:pt>
                <c:pt idx="77">
                  <c:v>2.5880108191427635</c:v>
                </c:pt>
                <c:pt idx="78">
                  <c:v>2.5111352014576998</c:v>
                </c:pt>
                <c:pt idx="79">
                  <c:v>2.5347583711273152</c:v>
                </c:pt>
                <c:pt idx="80">
                  <c:v>2.5609568524284043</c:v>
                </c:pt>
                <c:pt idx="81">
                  <c:v>2.5331403435261928</c:v>
                </c:pt>
                <c:pt idx="82">
                  <c:v>2.5133443854752575</c:v>
                </c:pt>
                <c:pt idx="83">
                  <c:v>2.610785322465254</c:v>
                </c:pt>
                <c:pt idx="84">
                  <c:v>2.5244801445050031</c:v>
                </c:pt>
                <c:pt idx="85">
                  <c:v>2.4819548746905129</c:v>
                </c:pt>
                <c:pt idx="86">
                  <c:v>2.5143587651725441</c:v>
                </c:pt>
                <c:pt idx="87">
                  <c:v>2.449693858423946</c:v>
                </c:pt>
                <c:pt idx="88">
                  <c:v>2.4684408034222738</c:v>
                </c:pt>
                <c:pt idx="89">
                  <c:v>2.4906424873915567</c:v>
                </c:pt>
                <c:pt idx="90">
                  <c:v>2.4933912649241394</c:v>
                </c:pt>
                <c:pt idx="91">
                  <c:v>2.4528350943347172</c:v>
                </c:pt>
                <c:pt idx="92">
                  <c:v>2.5044959572736389</c:v>
                </c:pt>
                <c:pt idx="93">
                  <c:v>2.4520399670478459</c:v>
                </c:pt>
                <c:pt idx="94">
                  <c:v>2.5026585863836881</c:v>
                </c:pt>
                <c:pt idx="95">
                  <c:v>2.5572641631243336</c:v>
                </c:pt>
                <c:pt idx="96">
                  <c:v>2.4850955716028307</c:v>
                </c:pt>
                <c:pt idx="97">
                  <c:v>2.5314027731674784</c:v>
                </c:pt>
                <c:pt idx="98">
                  <c:v>2.5184916120567085</c:v>
                </c:pt>
                <c:pt idx="99">
                  <c:v>2.5183526361492743</c:v>
                </c:pt>
                <c:pt idx="100">
                  <c:v>2.5253910588263357</c:v>
                </c:pt>
                <c:pt idx="101">
                  <c:v>2.5158895047279004</c:v>
                </c:pt>
                <c:pt idx="102">
                  <c:v>2.5128469909646309</c:v>
                </c:pt>
                <c:pt idx="103">
                  <c:v>2.4370679104202249</c:v>
                </c:pt>
                <c:pt idx="104">
                  <c:v>2.4911041728518697</c:v>
                </c:pt>
                <c:pt idx="105">
                  <c:v>2.5824213443975403</c:v>
                </c:pt>
                <c:pt idx="106">
                  <c:v>2.5072694310743713</c:v>
                </c:pt>
                <c:pt idx="107">
                  <c:v>2.5433245958783943</c:v>
                </c:pt>
                <c:pt idx="108">
                  <c:v>2.5238858928247923</c:v>
                </c:pt>
                <c:pt idx="109">
                  <c:v>2.5471749056552833</c:v>
                </c:pt>
                <c:pt idx="110">
                  <c:v>2.5962472917655592</c:v>
                </c:pt>
                <c:pt idx="111">
                  <c:v>2.5460754112948027</c:v>
                </c:pt>
                <c:pt idx="112">
                  <c:v>2.5460754112948027</c:v>
                </c:pt>
                <c:pt idx="113">
                  <c:v>2.5674306222369476</c:v>
                </c:pt>
                <c:pt idx="114">
                  <c:v>2.5211505310076192</c:v>
                </c:pt>
                <c:pt idx="115">
                  <c:v>2.4989797918350605</c:v>
                </c:pt>
                <c:pt idx="116">
                  <c:v>2.5726639889422018</c:v>
                </c:pt>
                <c:pt idx="117">
                  <c:v>2.5690854403853525</c:v>
                </c:pt>
                <c:pt idx="118">
                  <c:v>2.5355867171130235</c:v>
                </c:pt>
                <c:pt idx="119">
                  <c:v>2.5599414055794325</c:v>
                </c:pt>
                <c:pt idx="120">
                  <c:v>2.5711087102648928</c:v>
                </c:pt>
                <c:pt idx="121">
                  <c:v>2.5879142180528318</c:v>
                </c:pt>
                <c:pt idx="122">
                  <c:v>2.5748980562344599</c:v>
                </c:pt>
                <c:pt idx="123">
                  <c:v>2.5547798339583001</c:v>
                </c:pt>
                <c:pt idx="124">
                  <c:v>2.5006399181009651</c:v>
                </c:pt>
                <c:pt idx="125">
                  <c:v>2.5193848455525805</c:v>
                </c:pt>
                <c:pt idx="126">
                  <c:v>2.5439536159293472</c:v>
                </c:pt>
                <c:pt idx="127">
                  <c:v>2.5547798339583001</c:v>
                </c:pt>
                <c:pt idx="128">
                  <c:v>2.5312447530809821</c:v>
                </c:pt>
                <c:pt idx="129">
                  <c:v>2.5001799935204669</c:v>
                </c:pt>
                <c:pt idx="130">
                  <c:v>2.5853626438084079</c:v>
                </c:pt>
                <c:pt idx="131">
                  <c:v>2.584027863626861</c:v>
                </c:pt>
                <c:pt idx="132">
                  <c:v>2.6299239532731744</c:v>
                </c:pt>
                <c:pt idx="133">
                  <c:v>2.5707780923292467</c:v>
                </c:pt>
                <c:pt idx="134">
                  <c:v>2.5039169315294783</c:v>
                </c:pt>
                <c:pt idx="135">
                  <c:v>2.5518032839543099</c:v>
                </c:pt>
                <c:pt idx="136">
                  <c:v>2.6224606765402605</c:v>
                </c:pt>
                <c:pt idx="137">
                  <c:v>2.5403149411047439</c:v>
                </c:pt>
                <c:pt idx="138">
                  <c:v>2.5045957757690163</c:v>
                </c:pt>
                <c:pt idx="139">
                  <c:v>2.5092827660508887</c:v>
                </c:pt>
                <c:pt idx="140">
                  <c:v>2.5897104085206131</c:v>
                </c:pt>
                <c:pt idx="141">
                  <c:v>2.5144581921360314</c:v>
                </c:pt>
                <c:pt idx="142">
                  <c:v>2.4465894629054543</c:v>
                </c:pt>
                <c:pt idx="143">
                  <c:v>2.5147763320025103</c:v>
                </c:pt>
                <c:pt idx="144">
                  <c:v>2.4200206610688264</c:v>
                </c:pt>
                <c:pt idx="145">
                  <c:v>2.510019920239678</c:v>
                </c:pt>
                <c:pt idx="146">
                  <c:v>2.5494509212769718</c:v>
                </c:pt>
                <c:pt idx="147">
                  <c:v>2.5147763320025103</c:v>
                </c:pt>
                <c:pt idx="148">
                  <c:v>2.5601953050499877</c:v>
                </c:pt>
                <c:pt idx="149">
                  <c:v>2.6670020622414223</c:v>
                </c:pt>
                <c:pt idx="150">
                  <c:v>2.6532432983049259</c:v>
                </c:pt>
                <c:pt idx="151">
                  <c:v>2.5188290930509756</c:v>
                </c:pt>
                <c:pt idx="152">
                  <c:v>2.5292291315734921</c:v>
                </c:pt>
                <c:pt idx="153">
                  <c:v>2.5059928172283334</c:v>
                </c:pt>
                <c:pt idx="154">
                  <c:v>2.5536836139193126</c:v>
                </c:pt>
                <c:pt idx="155">
                  <c:v>2.6016341018675164</c:v>
                </c:pt>
                <c:pt idx="156">
                  <c:v>2.6564638149238924</c:v>
                </c:pt>
                <c:pt idx="157">
                  <c:v>2.6513770007299979</c:v>
                </c:pt>
                <c:pt idx="158">
                  <c:v>2.5895559464896678</c:v>
                </c:pt>
                <c:pt idx="159">
                  <c:v>2.7220764133286188</c:v>
                </c:pt>
                <c:pt idx="160">
                  <c:v>2.5437374078312405</c:v>
                </c:pt>
                <c:pt idx="161">
                  <c:v>2.6102107194630859</c:v>
                </c:pt>
                <c:pt idx="162">
                  <c:v>2.5935689695861184</c:v>
                </c:pt>
                <c:pt idx="163">
                  <c:v>2.5457808232446091</c:v>
                </c:pt>
                <c:pt idx="164">
                  <c:v>2.5352711886502401</c:v>
                </c:pt>
                <c:pt idx="165">
                  <c:v>2.6172504656604798</c:v>
                </c:pt>
                <c:pt idx="166">
                  <c:v>2.6629307163349178</c:v>
                </c:pt>
                <c:pt idx="167">
                  <c:v>2.5079872407968904</c:v>
                </c:pt>
                <c:pt idx="168">
                  <c:v>2.6102107194630859</c:v>
                </c:pt>
                <c:pt idx="169">
                  <c:v>2.5515681452785071</c:v>
                </c:pt>
                <c:pt idx="170">
                  <c:v>2.5026585863836881</c:v>
                </c:pt>
                <c:pt idx="171">
                  <c:v>2.6332679316772909</c:v>
                </c:pt>
                <c:pt idx="172">
                  <c:v>2.5516269319788893</c:v>
                </c:pt>
                <c:pt idx="173">
                  <c:v>2.5899034731047412</c:v>
                </c:pt>
                <c:pt idx="174">
                  <c:v>2.5073093147834791</c:v>
                </c:pt>
                <c:pt idx="175">
                  <c:v>2.5949373788205374</c:v>
                </c:pt>
                <c:pt idx="176">
                  <c:v>2.6840454541605663</c:v>
                </c:pt>
                <c:pt idx="177">
                  <c:v>2.619255619446105</c:v>
                </c:pt>
                <c:pt idx="178">
                  <c:v>2.5428330656966063</c:v>
                </c:pt>
                <c:pt idx="179">
                  <c:v>2.6046496885377888</c:v>
                </c:pt>
                <c:pt idx="180">
                  <c:v>2.5267568145747621</c:v>
                </c:pt>
                <c:pt idx="181">
                  <c:v>2.4709512338368804</c:v>
                </c:pt>
                <c:pt idx="182">
                  <c:v>2.6043233286210836</c:v>
                </c:pt>
                <c:pt idx="183">
                  <c:v>2.5451522547776979</c:v>
                </c:pt>
                <c:pt idx="184">
                  <c:v>2.581259382549534</c:v>
                </c:pt>
                <c:pt idx="185">
                  <c:v>2.5280031645549816</c:v>
                </c:pt>
                <c:pt idx="186">
                  <c:v>2.6565579233286067</c:v>
                </c:pt>
                <c:pt idx="187">
                  <c:v>2.6225560051217207</c:v>
                </c:pt>
                <c:pt idx="188">
                  <c:v>2.5515681452785071</c:v>
                </c:pt>
                <c:pt idx="189">
                  <c:v>2.5347583711273156</c:v>
                </c:pt>
                <c:pt idx="190">
                  <c:v>2.5341073379002714</c:v>
                </c:pt>
                <c:pt idx="191">
                  <c:v>2.5350542400508909</c:v>
                </c:pt>
                <c:pt idx="192">
                  <c:v>2.5536836139193126</c:v>
                </c:pt>
                <c:pt idx="193">
                  <c:v>2.4560537453402764</c:v>
                </c:pt>
                <c:pt idx="194">
                  <c:v>2.6050911692299756</c:v>
                </c:pt>
                <c:pt idx="195">
                  <c:v>2.5179356624028344</c:v>
                </c:pt>
                <c:pt idx="196">
                  <c:v>2.6239092972128439</c:v>
                </c:pt>
                <c:pt idx="197">
                  <c:v>2.522320360303187</c:v>
                </c:pt>
                <c:pt idx="198">
                  <c:v>2.6153584840323516</c:v>
                </c:pt>
                <c:pt idx="199">
                  <c:v>2.5556603843233945</c:v>
                </c:pt>
                <c:pt idx="200">
                  <c:v>2.5133443854752575</c:v>
                </c:pt>
                <c:pt idx="201">
                  <c:v>2.6436716891475007</c:v>
                </c:pt>
                <c:pt idx="202">
                  <c:v>2.5366316248127161</c:v>
                </c:pt>
                <c:pt idx="203">
                  <c:v>2.6109385285755007</c:v>
                </c:pt>
                <c:pt idx="204">
                  <c:v>2.5988074187980916</c:v>
                </c:pt>
                <c:pt idx="205">
                  <c:v>2.5283393759541064</c:v>
                </c:pt>
                <c:pt idx="206">
                  <c:v>2.5292291315734921</c:v>
                </c:pt>
                <c:pt idx="207">
                  <c:v>2.4720234626718254</c:v>
                </c:pt>
                <c:pt idx="208">
                  <c:v>2.5741989045137905</c:v>
                </c:pt>
                <c:pt idx="209">
                  <c:v>2.5800775182152957</c:v>
                </c:pt>
                <c:pt idx="210">
                  <c:v>2.5524889813670106</c:v>
                </c:pt>
                <c:pt idx="211">
                  <c:v>2.6330400680582131</c:v>
                </c:pt>
                <c:pt idx="212">
                  <c:v>2.4605893602956184</c:v>
                </c:pt>
                <c:pt idx="213">
                  <c:v>2.5916982849089516</c:v>
                </c:pt>
                <c:pt idx="214">
                  <c:v>2.5292291315734921</c:v>
                </c:pt>
                <c:pt idx="215">
                  <c:v>2.6284025566872358</c:v>
                </c:pt>
                <c:pt idx="216">
                  <c:v>2.5316002844051031</c:v>
                </c:pt>
                <c:pt idx="217">
                  <c:v>2.5537815098398688</c:v>
                </c:pt>
                <c:pt idx="218">
                  <c:v>2.4935316320431955</c:v>
                </c:pt>
                <c:pt idx="219">
                  <c:v>2.5633766793040778</c:v>
                </c:pt>
                <c:pt idx="220">
                  <c:v>2.4742675683927153</c:v>
                </c:pt>
                <c:pt idx="221">
                  <c:v>2.5294465797877606</c:v>
                </c:pt>
                <c:pt idx="222">
                  <c:v>2.5556603843233945</c:v>
                </c:pt>
                <c:pt idx="223">
                  <c:v>2.4696963376091401</c:v>
                </c:pt>
                <c:pt idx="224">
                  <c:v>2.5879142180528318</c:v>
                </c:pt>
                <c:pt idx="225">
                  <c:v>2.5694357357209774</c:v>
                </c:pt>
                <c:pt idx="226">
                  <c:v>2.4404302899283969</c:v>
                </c:pt>
                <c:pt idx="227">
                  <c:v>2.4520399670478459</c:v>
                </c:pt>
                <c:pt idx="228">
                  <c:v>2.6035744659986202</c:v>
                </c:pt>
                <c:pt idx="229">
                  <c:v>2.5656188337319321</c:v>
                </c:pt>
                <c:pt idx="230">
                  <c:v>2.5526456863419176</c:v>
                </c:pt>
                <c:pt idx="231">
                  <c:v>2.4742675683927149</c:v>
                </c:pt>
                <c:pt idx="232">
                  <c:v>2.5026585863836881</c:v>
                </c:pt>
                <c:pt idx="233">
                  <c:v>2.5794766911139164</c:v>
                </c:pt>
                <c:pt idx="234">
                  <c:v>2.5849564793241684</c:v>
                </c:pt>
                <c:pt idx="235">
                  <c:v>2.5107767722360346</c:v>
                </c:pt>
                <c:pt idx="236">
                  <c:v>2.4992999019725506</c:v>
                </c:pt>
                <c:pt idx="237">
                  <c:v>2.5156311335328949</c:v>
                </c:pt>
                <c:pt idx="238">
                  <c:v>2.5347583711273152</c:v>
                </c:pt>
                <c:pt idx="239">
                  <c:v>2.6076809620810595</c:v>
                </c:pt>
                <c:pt idx="240">
                  <c:v>2.5452701231892854</c:v>
                </c:pt>
                <c:pt idx="241">
                  <c:v>2.6034592372457075</c:v>
                </c:pt>
                <c:pt idx="242">
                  <c:v>2.6102107194630855</c:v>
                </c:pt>
                <c:pt idx="243">
                  <c:v>2.5715753926338616</c:v>
                </c:pt>
                <c:pt idx="244">
                  <c:v>2.5020391683584813</c:v>
                </c:pt>
                <c:pt idx="245">
                  <c:v>2.4285386552410482</c:v>
                </c:pt>
                <c:pt idx="246">
                  <c:v>2.5489213404889526</c:v>
                </c:pt>
                <c:pt idx="247">
                  <c:v>2.4577225229874915</c:v>
                </c:pt>
                <c:pt idx="248">
                  <c:v>2.5489213404889526</c:v>
                </c:pt>
                <c:pt idx="249">
                  <c:v>2.4987396823198691</c:v>
                </c:pt>
                <c:pt idx="250">
                  <c:v>2.5536836139193122</c:v>
                </c:pt>
                <c:pt idx="251">
                  <c:v>2.5599414055794325</c:v>
                </c:pt>
                <c:pt idx="252">
                  <c:v>2.4602845363900494</c:v>
                </c:pt>
                <c:pt idx="253">
                  <c:v>2.5439536159293472</c:v>
                </c:pt>
                <c:pt idx="254">
                  <c:v>2.5366316248127165</c:v>
                </c:pt>
                <c:pt idx="255">
                  <c:v>2.520495982936692</c:v>
                </c:pt>
                <c:pt idx="256">
                  <c:v>2.4920874784003875</c:v>
                </c:pt>
                <c:pt idx="257">
                  <c:v>2.5992498917957079</c:v>
                </c:pt>
                <c:pt idx="258">
                  <c:v>2.5072694310743713</c:v>
                </c:pt>
                <c:pt idx="259">
                  <c:v>2.5451522547776979</c:v>
                </c:pt>
                <c:pt idx="260">
                  <c:v>2.411514047232568</c:v>
                </c:pt>
                <c:pt idx="261">
                  <c:v>2.4935917869611295</c:v>
                </c:pt>
                <c:pt idx="262">
                  <c:v>2.4541597340026584</c:v>
                </c:pt>
                <c:pt idx="263">
                  <c:v>2.4581497106563708</c:v>
                </c:pt>
                <c:pt idx="264">
                  <c:v>2.4473863609981974</c:v>
                </c:pt>
                <c:pt idx="265">
                  <c:v>2.4214252001662162</c:v>
                </c:pt>
                <c:pt idx="266">
                  <c:v>2.5266974492408067</c:v>
                </c:pt>
                <c:pt idx="267">
                  <c:v>2.3434376458527764</c:v>
                </c:pt>
                <c:pt idx="268">
                  <c:v>1.9672569735548024</c:v>
                </c:pt>
                <c:pt idx="269">
                  <c:v>2.0416659863944449</c:v>
                </c:pt>
                <c:pt idx="270">
                  <c:v>1.9241881404893857</c:v>
                </c:pt>
                <c:pt idx="271">
                  <c:v>2.0225231766286389</c:v>
                </c:pt>
                <c:pt idx="272">
                  <c:v>1.9604081207748556</c:v>
                </c:pt>
                <c:pt idx="273">
                  <c:v>1.9918082237002634</c:v>
                </c:pt>
                <c:pt idx="274">
                  <c:v>2.0368603290358425</c:v>
                </c:pt>
                <c:pt idx="275">
                  <c:v>1.895521036549054</c:v>
                </c:pt>
                <c:pt idx="276">
                  <c:v>2.0368603290358425</c:v>
                </c:pt>
                <c:pt idx="277">
                  <c:v>2.0525106577067995</c:v>
                </c:pt>
                <c:pt idx="278">
                  <c:v>1.9887936041731427</c:v>
                </c:pt>
                <c:pt idx="279">
                  <c:v>2.0169779374103229</c:v>
                </c:pt>
                <c:pt idx="280">
                  <c:v>1.946175737183053</c:v>
                </c:pt>
                <c:pt idx="281">
                  <c:v>1.9856485086741811</c:v>
                </c:pt>
                <c:pt idx="282">
                  <c:v>1.9895728184713419</c:v>
                </c:pt>
                <c:pt idx="283">
                  <c:v>2.0193315725754397</c:v>
                </c:pt>
                <c:pt idx="284">
                  <c:v>1.9996499693696395</c:v>
                </c:pt>
                <c:pt idx="285">
                  <c:v>2.0064396327824068</c:v>
                </c:pt>
                <c:pt idx="286">
                  <c:v>2.0008498194517248</c:v>
                </c:pt>
                <c:pt idx="287">
                  <c:v>1.8989734068701436</c:v>
                </c:pt>
                <c:pt idx="288">
                  <c:v>2.0183656754909403</c:v>
                </c:pt>
                <c:pt idx="289">
                  <c:v>1.960229578391266</c:v>
                </c:pt>
                <c:pt idx="290">
                  <c:v>1.9018412131405713</c:v>
                </c:pt>
                <c:pt idx="291">
                  <c:v>1.8917980864775186</c:v>
                </c:pt>
                <c:pt idx="292">
                  <c:v>1.9119100397246727</c:v>
                </c:pt>
                <c:pt idx="293">
                  <c:v>1.9833809518093088</c:v>
                </c:pt>
                <c:pt idx="294">
                  <c:v>1.9601020381602585</c:v>
                </c:pt>
                <c:pt idx="295">
                  <c:v>2.0392400545301181</c:v>
                </c:pt>
                <c:pt idx="296">
                  <c:v>1.9190883252211191</c:v>
                </c:pt>
                <c:pt idx="297">
                  <c:v>1.9739554199626697</c:v>
                </c:pt>
                <c:pt idx="298">
                  <c:v>1.966443490161871</c:v>
                </c:pt>
                <c:pt idx="299">
                  <c:v>2.04</c:v>
                </c:pt>
                <c:pt idx="300">
                  <c:v>1.9550959055759898</c:v>
                </c:pt>
                <c:pt idx="301">
                  <c:v>1.9458931111445972</c:v>
                </c:pt>
                <c:pt idx="302">
                  <c:v>1.924811679100062</c:v>
                </c:pt>
                <c:pt idx="303">
                  <c:v>2.0056171120131583</c:v>
                </c:pt>
                <c:pt idx="304">
                  <c:v>1.9299999999999997</c:v>
                </c:pt>
                <c:pt idx="305">
                  <c:v>1.9602295783912658</c:v>
                </c:pt>
                <c:pt idx="306">
                  <c:v>1.9465096968677038</c:v>
                </c:pt>
                <c:pt idx="307">
                  <c:v>1.9553260597659921</c:v>
                </c:pt>
                <c:pt idx="308">
                  <c:v>1.9791412279066898</c:v>
                </c:pt>
                <c:pt idx="309">
                  <c:v>1.9723082923316018</c:v>
                </c:pt>
                <c:pt idx="310">
                  <c:v>1.9795959183631389</c:v>
                </c:pt>
                <c:pt idx="311">
                  <c:v>2.0374493858744072</c:v>
                </c:pt>
                <c:pt idx="312">
                  <c:v>2.005243127403757</c:v>
                </c:pt>
                <c:pt idx="313">
                  <c:v>2.0289159667172023</c:v>
                </c:pt>
                <c:pt idx="314">
                  <c:v>2.0088305055429641</c:v>
                </c:pt>
                <c:pt idx="315">
                  <c:v>2.0207176942858696</c:v>
                </c:pt>
                <c:pt idx="316">
                  <c:v>2.0400980368599937</c:v>
                </c:pt>
                <c:pt idx="317">
                  <c:v>1.9949185447030162</c:v>
                </c:pt>
                <c:pt idx="318">
                  <c:v>1.9553260597659921</c:v>
                </c:pt>
                <c:pt idx="319">
                  <c:v>1.9999999999999998</c:v>
                </c:pt>
                <c:pt idx="320">
                  <c:v>1.9420092687729378</c:v>
                </c:pt>
                <c:pt idx="321">
                  <c:v>1.9677398201998149</c:v>
                </c:pt>
                <c:pt idx="322">
                  <c:v>1.9751708786836644</c:v>
                </c:pt>
                <c:pt idx="323">
                  <c:v>2.0026232796010337</c:v>
                </c:pt>
                <c:pt idx="324">
                  <c:v>1.9694669329541941</c:v>
                </c:pt>
                <c:pt idx="325">
                  <c:v>1.9665706191235541</c:v>
                </c:pt>
                <c:pt idx="326">
                  <c:v>2.0171762441591463</c:v>
                </c:pt>
                <c:pt idx="327">
                  <c:v>2.0026232796010337</c:v>
                </c:pt>
                <c:pt idx="328">
                  <c:v>1.9764867821465439</c:v>
                </c:pt>
                <c:pt idx="329">
                  <c:v>1.9946177578674065</c:v>
                </c:pt>
                <c:pt idx="330">
                  <c:v>2.0092784774639876</c:v>
                </c:pt>
                <c:pt idx="331">
                  <c:v>2.0129580224137809</c:v>
                </c:pt>
                <c:pt idx="332">
                  <c:v>1.9610456394485061</c:v>
                </c:pt>
                <c:pt idx="333">
                  <c:v>1.9729419656948859</c:v>
                </c:pt>
                <c:pt idx="334">
                  <c:v>1.8930662957223656</c:v>
                </c:pt>
                <c:pt idx="335">
                  <c:v>2.0255616505058542</c:v>
                </c:pt>
                <c:pt idx="336">
                  <c:v>2.0205444810743467</c:v>
                </c:pt>
                <c:pt idx="337">
                  <c:v>1.9458931111445974</c:v>
                </c:pt>
                <c:pt idx="338">
                  <c:v>1.9523319389898841</c:v>
                </c:pt>
                <c:pt idx="339">
                  <c:v>2.0441624201613728</c:v>
                </c:pt>
                <c:pt idx="340">
                  <c:v>1.9553260597659918</c:v>
                </c:pt>
                <c:pt idx="341">
                  <c:v>2.0116162655934158</c:v>
                </c:pt>
                <c:pt idx="342">
                  <c:v>1.9513328778042971</c:v>
                </c:pt>
                <c:pt idx="343">
                  <c:v>1.9425756098540929</c:v>
                </c:pt>
                <c:pt idx="344">
                  <c:v>1.8921152184790442</c:v>
                </c:pt>
                <c:pt idx="345">
                  <c:v>1.9142622599842478</c:v>
                </c:pt>
                <c:pt idx="346">
                  <c:v>1.9485892332659542</c:v>
                </c:pt>
                <c:pt idx="347">
                  <c:v>1.9504102132628407</c:v>
                </c:pt>
                <c:pt idx="348">
                  <c:v>1.9949185447030164</c:v>
                </c:pt>
                <c:pt idx="349">
                  <c:v>1.9557607215607946</c:v>
                </c:pt>
                <c:pt idx="350">
                  <c:v>1.9398195792392652</c:v>
                </c:pt>
                <c:pt idx="351">
                  <c:v>1.9918082237002634</c:v>
                </c:pt>
                <c:pt idx="352">
                  <c:v>1.9695684806576286</c:v>
                </c:pt>
                <c:pt idx="353">
                  <c:v>1.9636954957426571</c:v>
                </c:pt>
                <c:pt idx="354">
                  <c:v>1.94982050455933</c:v>
                </c:pt>
                <c:pt idx="355">
                  <c:v>2.0385534086699812</c:v>
                </c:pt>
                <c:pt idx="356">
                  <c:v>2.0255616505058542</c:v>
                </c:pt>
                <c:pt idx="357">
                  <c:v>2.0392400545301181</c:v>
                </c:pt>
                <c:pt idx="358">
                  <c:v>2.0620620747203513</c:v>
                </c:pt>
                <c:pt idx="359">
                  <c:v>1.9697715603592212</c:v>
                </c:pt>
                <c:pt idx="360">
                  <c:v>1.9720294115453754</c:v>
                </c:pt>
                <c:pt idx="361">
                  <c:v>1.9469976887505542</c:v>
                </c:pt>
                <c:pt idx="362">
                  <c:v>1.9921094347449892</c:v>
                </c:pt>
                <c:pt idx="363">
                  <c:v>1.9720294115453754</c:v>
                </c:pt>
                <c:pt idx="364">
                  <c:v>2.0615528128088298</c:v>
                </c:pt>
                <c:pt idx="365">
                  <c:v>1.9725364381932211</c:v>
                </c:pt>
                <c:pt idx="366">
                  <c:v>1.9588772294352701</c:v>
                </c:pt>
                <c:pt idx="367">
                  <c:v>2.0498048687619024</c:v>
                </c:pt>
                <c:pt idx="368">
                  <c:v>2.0448227307030797</c:v>
                </c:pt>
                <c:pt idx="369">
                  <c:v>1.9473315074737534</c:v>
                </c:pt>
                <c:pt idx="370">
                  <c:v>2.0357062656483622</c:v>
                </c:pt>
                <c:pt idx="371">
                  <c:v>2.0171762441591463</c:v>
                </c:pt>
                <c:pt idx="372">
                  <c:v>2.0235859260234048</c:v>
                </c:pt>
                <c:pt idx="373">
                  <c:v>1.9961963831246663</c:v>
                </c:pt>
                <c:pt idx="374">
                  <c:v>1.915097908724251</c:v>
                </c:pt>
                <c:pt idx="375">
                  <c:v>2.0706762180505187</c:v>
                </c:pt>
                <c:pt idx="376">
                  <c:v>1.9089525923919639</c:v>
                </c:pt>
                <c:pt idx="377">
                  <c:v>1.9664434901618708</c:v>
                </c:pt>
                <c:pt idx="378">
                  <c:v>2.0412986062798359</c:v>
                </c:pt>
                <c:pt idx="379">
                  <c:v>1.9991248085099642</c:v>
                </c:pt>
                <c:pt idx="380">
                  <c:v>1.9620907216538179</c:v>
                </c:pt>
                <c:pt idx="381">
                  <c:v>1.9960210419732554</c:v>
                </c:pt>
                <c:pt idx="382">
                  <c:v>1.969771560359221</c:v>
                </c:pt>
                <c:pt idx="383">
                  <c:v>1.9789138435010252</c:v>
                </c:pt>
                <c:pt idx="384">
                  <c:v>2.0155644370746373</c:v>
                </c:pt>
                <c:pt idx="385">
                  <c:v>2.049414550548522</c:v>
                </c:pt>
                <c:pt idx="386">
                  <c:v>2.0264747716169573</c:v>
                </c:pt>
              </c:numCache>
            </c:numRef>
          </c:xVal>
          <c:yVal>
            <c:numRef>
              <c:f>'HT 2017-07-05 BIG JIM'!#REF!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95-4565-89B1-F949CBE04E1C}"/>
            </c:ext>
          </c:extLst>
        </c:ser>
        <c:ser>
          <c:idx val="0"/>
          <c:order val="4"/>
          <c:tx>
            <c:strRef>
              <c:f>'HT 2017-07-05 BIG JIM'!$AJ$1</c:f>
              <c:strCache>
                <c:ptCount val="1"/>
                <c:pt idx="0">
                  <c:v>xk4a-f</c:v>
                </c:pt>
              </c:strCache>
            </c:strRef>
          </c:tx>
          <c:spPr>
            <a:ln w="6350" cap="rnd" cmpd="sng" algn="ctr">
              <a:solidFill>
                <a:schemeClr val="accent1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JIM'!$AJ$1208:$AJ$1214</c:f>
              <c:numCache>
                <c:formatCode>General</c:formatCode>
                <c:ptCount val="7"/>
                <c:pt idx="0">
                  <c:v>1.8011493330186747</c:v>
                </c:pt>
                <c:pt idx="1">
                  <c:v>2.0664156427830749</c:v>
                </c:pt>
                <c:pt idx="2">
                  <c:v>2.3326444696434905</c:v>
                </c:pt>
                <c:pt idx="3">
                  <c:v>2.5997313316745378</c:v>
                </c:pt>
                <c:pt idx="4">
                  <c:v>2.8675924885754869</c:v>
                </c:pt>
                <c:pt idx="5">
                  <c:v>3.1361592950042221</c:v>
                </c:pt>
                <c:pt idx="6">
                  <c:v>3.4053744383186886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C95-4565-89B1-F949CBE04E1C}"/>
            </c:ext>
          </c:extLst>
        </c:ser>
        <c:ser>
          <c:idx val="1"/>
          <c:order val="5"/>
          <c:tx>
            <c:strRef>
              <c:f>'HT 2017-07-05 BIG JIM'!$AK$1</c:f>
              <c:strCache>
                <c:ptCount val="1"/>
                <c:pt idx="0">
                  <c:v>xk4b-f</c:v>
                </c:pt>
              </c:strCache>
            </c:strRef>
          </c:tx>
          <c:spPr>
            <a:ln w="6350" cap="rnd" cmpd="sng" algn="ctr">
              <a:solidFill>
                <a:schemeClr val="accent2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JIM'!$AK$1208:$AK$1214</c:f>
              <c:numCache>
                <c:formatCode>General</c:formatCode>
                <c:ptCount val="7"/>
                <c:pt idx="0">
                  <c:v>1.4966091307706131</c:v>
                </c:pt>
                <c:pt idx="1">
                  <c:v>1.8819399698986568</c:v>
                </c:pt>
                <c:pt idx="2">
                  <c:v>2.3033963343158748</c:v>
                </c:pt>
                <c:pt idx="3">
                  <c:v>2.7597850977026877</c:v>
                </c:pt>
                <c:pt idx="4">
                  <c:v>3.2500730155119801</c:v>
                </c:pt>
                <c:pt idx="5">
                  <c:v>3.7733521487543515</c:v>
                </c:pt>
                <c:pt idx="6">
                  <c:v>4.3288151255727962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95-4565-89B1-F949CBE04E1C}"/>
            </c:ext>
          </c:extLst>
        </c:ser>
        <c:ser>
          <c:idx val="8"/>
          <c:order val="6"/>
          <c:tx>
            <c:strRef>
              <c:f>'HT 2017-07-05 BIG JIM'!$AP$1</c:f>
              <c:strCache>
                <c:ptCount val="1"/>
                <c:pt idx="0">
                  <c:v>xl4a-f</c:v>
                </c:pt>
              </c:strCache>
            </c:strRef>
          </c:tx>
          <c:spPr>
            <a:ln w="6350" cap="rnd" cmpd="sng" algn="ctr">
              <a:solidFill>
                <a:schemeClr val="accent3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JIM'!$AP$1208:$AP$1214</c:f>
              <c:numCache>
                <c:formatCode>General</c:formatCode>
                <c:ptCount val="7"/>
                <c:pt idx="0">
                  <c:v>1.4122849398993029</c:v>
                </c:pt>
                <c:pt idx="1">
                  <c:v>1.8512216075786558</c:v>
                </c:pt>
                <c:pt idx="2">
                  <c:v>2.3503502359648616</c:v>
                </c:pt>
                <c:pt idx="3">
                  <c:v>2.9098613138277889</c:v>
                </c:pt>
                <c:pt idx="4">
                  <c:v>3.5299256719057661</c:v>
                </c:pt>
                <c:pt idx="5">
                  <c:v>4.2106982103817323</c:v>
                </c:pt>
                <c:pt idx="6">
                  <c:v>4.9523206528571029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C95-4565-89B1-F949CBE04E1C}"/>
            </c:ext>
          </c:extLst>
        </c:ser>
        <c:ser>
          <c:idx val="9"/>
          <c:order val="7"/>
          <c:tx>
            <c:strRef>
              <c:f>'HT 2017-07-05 BIG JIM'!$AQ$1</c:f>
              <c:strCache>
                <c:ptCount val="1"/>
                <c:pt idx="0">
                  <c:v>xl4b-f</c:v>
                </c:pt>
              </c:strCache>
            </c:strRef>
          </c:tx>
          <c:spPr>
            <a:ln w="6350" cap="rnd" cmpd="sng" algn="ctr">
              <a:solidFill>
                <a:schemeClr val="accent4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JIM'!$AQ$1208:$AQ$1214</c:f>
              <c:numCache>
                <c:formatCode>General</c:formatCode>
                <c:ptCount val="7"/>
                <c:pt idx="0">
                  <c:v>1.8270471156249426</c:v>
                </c:pt>
                <c:pt idx="1">
                  <c:v>2.0585531052107471</c:v>
                </c:pt>
                <c:pt idx="2">
                  <c:v>2.2869874817518339</c:v>
                </c:pt>
                <c:pt idx="3">
                  <c:v>2.51272732253718</c:v>
                </c:pt>
                <c:pt idx="4">
                  <c:v>2.7360702562731616</c:v>
                </c:pt>
                <c:pt idx="5">
                  <c:v>2.9572569335843513</c:v>
                </c:pt>
                <c:pt idx="6">
                  <c:v>3.1764857890106377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C95-4565-89B1-F949CBE04E1C}"/>
            </c:ext>
          </c:extLst>
        </c:ser>
        <c:ser>
          <c:idx val="14"/>
          <c:order val="8"/>
          <c:tx>
            <c:strRef>
              <c:f>'HT 2017-07-05 BIG JIM'!$AV$1</c:f>
              <c:strCache>
                <c:ptCount val="1"/>
                <c:pt idx="0">
                  <c:v>xn6a-f</c:v>
                </c:pt>
              </c:strCache>
            </c:strRef>
          </c:tx>
          <c:spPr>
            <a:ln w="6350" cap="rnd" cmpd="sng" algn="ctr">
              <a:solidFill>
                <a:schemeClr val="accent3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JIM'!$AV$1208:$AV$1214</c:f>
              <c:numCache>
                <c:formatCode>General</c:formatCode>
                <c:ptCount val="7"/>
                <c:pt idx="0">
                  <c:v>1.6695484593932106</c:v>
                </c:pt>
                <c:pt idx="1">
                  <c:v>1.9797816878249139</c:v>
                </c:pt>
                <c:pt idx="2">
                  <c:v>2.3009439913007856</c:v>
                </c:pt>
                <c:pt idx="3">
                  <c:v>2.6321389959670589</c:v>
                </c:pt>
                <c:pt idx="4">
                  <c:v>2.9726279242449007</c:v>
                </c:pt>
                <c:pt idx="5">
                  <c:v>3.3217897997752366</c:v>
                </c:pt>
                <c:pt idx="6">
                  <c:v>3.6790942420834827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C95-4565-89B1-F949CBE04E1C}"/>
            </c:ext>
          </c:extLst>
        </c:ser>
        <c:ser>
          <c:idx val="15"/>
          <c:order val="9"/>
          <c:tx>
            <c:strRef>
              <c:f>'HT 2017-07-05 BIG JIM'!$AW$1</c:f>
              <c:strCache>
                <c:ptCount val="1"/>
                <c:pt idx="0">
                  <c:v>xn6b-f</c:v>
                </c:pt>
              </c:strCache>
            </c:strRef>
          </c:tx>
          <c:spPr>
            <a:ln w="6350" cap="rnd" cmpd="sng" algn="ctr">
              <a:solidFill>
                <a:schemeClr val="accent4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JIM'!$AW$1208:$AW$1214</c:f>
              <c:numCache>
                <c:formatCode>General</c:formatCode>
                <c:ptCount val="7"/>
                <c:pt idx="0">
                  <c:v>1.7063843104606133</c:v>
                </c:pt>
                <c:pt idx="1">
                  <c:v>1.9951523305623531</c:v>
                </c:pt>
                <c:pt idx="2">
                  <c:v>2.2901683478851895</c:v>
                </c:pt>
                <c:pt idx="3">
                  <c:v>2.5908486569478901</c:v>
                </c:pt>
                <c:pt idx="4">
                  <c:v>2.8967178701850687</c:v>
                </c:pt>
                <c:pt idx="5">
                  <c:v>3.2073806487287317</c:v>
                </c:pt>
                <c:pt idx="6">
                  <c:v>3.5225025871808375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C95-4565-89B1-F949CBE04E1C}"/>
            </c:ext>
          </c:extLst>
        </c:ser>
        <c:ser>
          <c:idx val="20"/>
          <c:order val="10"/>
          <c:tx>
            <c:strRef>
              <c:f>'HT 2017-07-05 BIG JIM'!$AH$1</c:f>
              <c:strCache>
                <c:ptCount val="1"/>
                <c:pt idx="0">
                  <c:v>fitwild-f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dash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JIM'!$AH$1208:$AH$1214</c:f>
              <c:numCache>
                <c:formatCode>General</c:formatCode>
                <c:ptCount val="7"/>
                <c:pt idx="0">
                  <c:v>0.73478870778085714</c:v>
                </c:pt>
                <c:pt idx="1">
                  <c:v>1.346216773969716</c:v>
                </c:pt>
                <c:pt idx="2">
                  <c:v>2.2964424257893161</c:v>
                </c:pt>
                <c:pt idx="3">
                  <c:v>3.7028273787956851</c:v>
                </c:pt>
                <c:pt idx="4">
                  <c:v>5.7045325278758483</c:v>
                </c:pt>
                <c:pt idx="5">
                  <c:v>8.4637825545646681</c:v>
                </c:pt>
                <c:pt idx="6">
                  <c:v>12.167072593932847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C95-4565-89B1-F949CBE04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976176"/>
        <c:axId val="300975784"/>
      </c:scatterChart>
      <c:valAx>
        <c:axId val="300976176"/>
        <c:scaling>
          <c:orientation val="minMax"/>
          <c:max val="1.4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THORAX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75784"/>
        <c:crosses val="autoZero"/>
        <c:crossBetween val="midCat"/>
        <c:majorUnit val="0.1"/>
      </c:valAx>
      <c:valAx>
        <c:axId val="300975784"/>
        <c:scaling>
          <c:orientation val="minMax"/>
          <c:max val="3.1"/>
          <c:min val="1.7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WING</a:t>
                </a:r>
                <a:r>
                  <a:rPr lang="en-US" sz="2000" b="1" baseline="0"/>
                  <a:t> </a:t>
                </a:r>
                <a:r>
                  <a:rPr lang="en-US" sz="2000" b="1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76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WING LENGTH VS THORAX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420335341638465"/>
          <c:y val="7.8012906893210318E-2"/>
          <c:w val="0.58549321192709147"/>
          <c:h val="0.71694041787804497"/>
        </c:manualLayout>
      </c:layout>
      <c:scatterChart>
        <c:scatterStyle val="lineMarker"/>
        <c:varyColors val="0"/>
        <c:ser>
          <c:idx val="3"/>
          <c:order val="0"/>
          <c:tx>
            <c:strRef>
              <c:f>'HT 2017-07-05 BIG JIM'!$AC$1</c:f>
              <c:strCache>
                <c:ptCount val="1"/>
                <c:pt idx="0">
                  <c:v>sel-fy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C0000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JIM'!$AC$2:$AC$1205</c:f>
              <c:numCache>
                <c:formatCode>General</c:formatCode>
                <c:ptCount val="1204"/>
                <c:pt idx="196">
                  <c:v>2.3749736840647309</c:v>
                </c:pt>
                <c:pt idx="197">
                  <c:v>2.3970815588961503</c:v>
                </c:pt>
                <c:pt idx="198">
                  <c:v>2.3645718428502018</c:v>
                </c:pt>
                <c:pt idx="199">
                  <c:v>2.414560001325293</c:v>
                </c:pt>
                <c:pt idx="200">
                  <c:v>2.4175400720567177</c:v>
                </c:pt>
                <c:pt idx="201">
                  <c:v>2.4358981916328113</c:v>
                </c:pt>
                <c:pt idx="202">
                  <c:v>2.3977489443225704</c:v>
                </c:pt>
                <c:pt idx="203">
                  <c:v>2.4423349483639631</c:v>
                </c:pt>
                <c:pt idx="204">
                  <c:v>2.3864827675891567</c:v>
                </c:pt>
                <c:pt idx="205">
                  <c:v>2.3843028331149552</c:v>
                </c:pt>
                <c:pt idx="206">
                  <c:v>2.3795167576632026</c:v>
                </c:pt>
                <c:pt idx="207">
                  <c:v>2.411514047232568</c:v>
                </c:pt>
                <c:pt idx="208">
                  <c:v>2.3703375287076733</c:v>
                </c:pt>
                <c:pt idx="209">
                  <c:v>2.346422809299296</c:v>
                </c:pt>
                <c:pt idx="210">
                  <c:v>2.3853720883753127</c:v>
                </c:pt>
                <c:pt idx="211">
                  <c:v>2.3544001359157285</c:v>
                </c:pt>
                <c:pt idx="212">
                  <c:v>2.3796848530845423</c:v>
                </c:pt>
                <c:pt idx="213">
                  <c:v>2.3910248848558644</c:v>
                </c:pt>
                <c:pt idx="214">
                  <c:v>2.4185326129701044</c:v>
                </c:pt>
                <c:pt idx="215">
                  <c:v>2.4039342753078756</c:v>
                </c:pt>
                <c:pt idx="216">
                  <c:v>2.4285386552410482</c:v>
                </c:pt>
                <c:pt idx="217">
                  <c:v>2.4137315509393336</c:v>
                </c:pt>
                <c:pt idx="218">
                  <c:v>2.4560130292814004</c:v>
                </c:pt>
                <c:pt idx="219">
                  <c:v>2.3535717537394101</c:v>
                </c:pt>
                <c:pt idx="220">
                  <c:v>2.4686838598735159</c:v>
                </c:pt>
                <c:pt idx="221">
                  <c:v>2.4215697388264501</c:v>
                </c:pt>
                <c:pt idx="222">
                  <c:v>2.3571593073019055</c:v>
                </c:pt>
                <c:pt idx="223">
                  <c:v>2.3576471322061749</c:v>
                </c:pt>
                <c:pt idx="224">
                  <c:v>2.4063665556186575</c:v>
                </c:pt>
                <c:pt idx="225">
                  <c:v>2.4147877753541822</c:v>
                </c:pt>
                <c:pt idx="226">
                  <c:v>2.4575801105966009</c:v>
                </c:pt>
                <c:pt idx="227">
                  <c:v>2.4252834885843759</c:v>
                </c:pt>
                <c:pt idx="228">
                  <c:v>2.4288680491125905</c:v>
                </c:pt>
                <c:pt idx="229">
                  <c:v>2.4164643593481783</c:v>
                </c:pt>
                <c:pt idx="230">
                  <c:v>2.4166091947189146</c:v>
                </c:pt>
                <c:pt idx="231">
                  <c:v>2.395850579648072</c:v>
                </c:pt>
                <c:pt idx="232">
                  <c:v>2.4301646034785382</c:v>
                </c:pt>
                <c:pt idx="233">
                  <c:v>2.3925091431382244</c:v>
                </c:pt>
                <c:pt idx="234">
                  <c:v>2.4157193545608724</c:v>
                </c:pt>
                <c:pt idx="235">
                  <c:v>2.4200206610688264</c:v>
                </c:pt>
                <c:pt idx="236">
                  <c:v>2.4021656895393373</c:v>
                </c:pt>
                <c:pt idx="237">
                  <c:v>2.4407375934335915</c:v>
                </c:pt>
                <c:pt idx="238">
                  <c:v>2.4226019070412703</c:v>
                </c:pt>
                <c:pt idx="239">
                  <c:v>2.4078621222985337</c:v>
                </c:pt>
                <c:pt idx="240">
                  <c:v>2.4541597340026584</c:v>
                </c:pt>
                <c:pt idx="241">
                  <c:v>2.4732367456432471</c:v>
                </c:pt>
                <c:pt idx="242">
                  <c:v>2.3634931774811623</c:v>
                </c:pt>
                <c:pt idx="243">
                  <c:v>2.4750959577357805</c:v>
                </c:pt>
                <c:pt idx="244">
                  <c:v>2.3972692798265278</c:v>
                </c:pt>
                <c:pt idx="245">
                  <c:v>2.4075921581530375</c:v>
                </c:pt>
                <c:pt idx="246">
                  <c:v>2.4528350943347172</c:v>
                </c:pt>
                <c:pt idx="247">
                  <c:v>2.4181397809059755</c:v>
                </c:pt>
                <c:pt idx="248">
                  <c:v>2.4358981916328113</c:v>
                </c:pt>
                <c:pt idx="249">
                  <c:v>2.4185326129701044</c:v>
                </c:pt>
                <c:pt idx="250">
                  <c:v>2.3961009995407125</c:v>
                </c:pt>
                <c:pt idx="251">
                  <c:v>2.3852253562294696</c:v>
                </c:pt>
                <c:pt idx="252">
                  <c:v>2.4284357104934853</c:v>
                </c:pt>
                <c:pt idx="253">
                  <c:v>2.4164643593481783</c:v>
                </c:pt>
                <c:pt idx="254">
                  <c:v>2.3644872594285635</c:v>
                </c:pt>
                <c:pt idx="255">
                  <c:v>2.4106845500811596</c:v>
                </c:pt>
                <c:pt idx="256">
                  <c:v>2.4175400720567182</c:v>
                </c:pt>
                <c:pt idx="257">
                  <c:v>2.426705585768492</c:v>
                </c:pt>
                <c:pt idx="258">
                  <c:v>2.4560537453402764</c:v>
                </c:pt>
                <c:pt idx="259">
                  <c:v>2.4661711213944582</c:v>
                </c:pt>
                <c:pt idx="260">
                  <c:v>2.4273648263085632</c:v>
                </c:pt>
                <c:pt idx="261">
                  <c:v>2.4629250902128552</c:v>
                </c:pt>
                <c:pt idx="262">
                  <c:v>2.4358366119261774</c:v>
                </c:pt>
                <c:pt idx="263">
                  <c:v>2.4629453911932355</c:v>
                </c:pt>
                <c:pt idx="264">
                  <c:v>2.4323856602109788</c:v>
                </c:pt>
                <c:pt idx="265">
                  <c:v>2.4041006634498476</c:v>
                </c:pt>
                <c:pt idx="266">
                  <c:v>2.4311519903124119</c:v>
                </c:pt>
                <c:pt idx="267">
                  <c:v>2.3603813251252435</c:v>
                </c:pt>
                <c:pt idx="268">
                  <c:v>2.4475497952033582</c:v>
                </c:pt>
                <c:pt idx="269">
                  <c:v>2.4390571949013413</c:v>
                </c:pt>
                <c:pt idx="270">
                  <c:v>2.352296749987127</c:v>
                </c:pt>
                <c:pt idx="271">
                  <c:v>2.3769728648009427</c:v>
                </c:pt>
                <c:pt idx="272">
                  <c:v>2.4323856602109788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D4-4425-A216-B954963DB340}"/>
            </c:ext>
          </c:extLst>
        </c:ser>
        <c:ser>
          <c:idx val="22"/>
          <c:order val="1"/>
          <c:tx>
            <c:strRef>
              <c:f>'HT 2017-07-05 BIG JIM'!$AA$1</c:f>
              <c:strCache>
                <c:ptCount val="1"/>
                <c:pt idx="0">
                  <c:v>wild-fy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JIM'!$AA$2:$AA$1205</c:f>
              <c:numCache>
                <c:formatCode>General</c:formatCode>
                <c:ptCount val="1204"/>
                <c:pt idx="273">
                  <c:v>2.4833847869389873</c:v>
                </c:pt>
                <c:pt idx="274">
                  <c:v>2.5379716310471241</c:v>
                </c:pt>
                <c:pt idx="275">
                  <c:v>2.4387701818744629</c:v>
                </c:pt>
                <c:pt idx="276">
                  <c:v>2.4357750306627248</c:v>
                </c:pt>
                <c:pt idx="277">
                  <c:v>2.4477336456403909</c:v>
                </c:pt>
                <c:pt idx="278">
                  <c:v>2.4175400720567182</c:v>
                </c:pt>
                <c:pt idx="279">
                  <c:v>2.4437675830569483</c:v>
                </c:pt>
                <c:pt idx="280">
                  <c:v>2.4118250351134511</c:v>
                </c:pt>
                <c:pt idx="281">
                  <c:v>2.419462750281558</c:v>
                </c:pt>
                <c:pt idx="282">
                  <c:v>2.4239018131929355</c:v>
                </c:pt>
                <c:pt idx="283">
                  <c:v>2.5119912420229493</c:v>
                </c:pt>
                <c:pt idx="284">
                  <c:v>2.4613004692641653</c:v>
                </c:pt>
                <c:pt idx="285">
                  <c:v>2.4920072231034966</c:v>
                </c:pt>
                <c:pt idx="286">
                  <c:v>2.3854978516024699</c:v>
                </c:pt>
                <c:pt idx="287">
                  <c:v>2.4424782496472717</c:v>
                </c:pt>
                <c:pt idx="288">
                  <c:v>2.4709512338368804</c:v>
                </c:pt>
                <c:pt idx="289">
                  <c:v>2.4186773244895652</c:v>
                </c:pt>
                <c:pt idx="290">
                  <c:v>2.3671290628100534</c:v>
                </c:pt>
                <c:pt idx="291">
                  <c:v>2.426272861819132</c:v>
                </c:pt>
                <c:pt idx="292">
                  <c:v>2.4831028975860021</c:v>
                </c:pt>
                <c:pt idx="293">
                  <c:v>2.4257163890281981</c:v>
                </c:pt>
                <c:pt idx="294">
                  <c:v>2.4581497106563708</c:v>
                </c:pt>
                <c:pt idx="295">
                  <c:v>2.5092827660508887</c:v>
                </c:pt>
                <c:pt idx="296">
                  <c:v>2.517935662402834</c:v>
                </c:pt>
                <c:pt idx="297">
                  <c:v>2.4147256572952549</c:v>
                </c:pt>
                <c:pt idx="298">
                  <c:v>2.4604471138392712</c:v>
                </c:pt>
                <c:pt idx="299">
                  <c:v>2.3977697971239862</c:v>
                </c:pt>
                <c:pt idx="300">
                  <c:v>2.4804031930313264</c:v>
                </c:pt>
                <c:pt idx="301">
                  <c:v>2.5019192632856884</c:v>
                </c:pt>
                <c:pt idx="302">
                  <c:v>2.4973586046060743</c:v>
                </c:pt>
                <c:pt idx="303">
                  <c:v>2.4020824298928627</c:v>
                </c:pt>
                <c:pt idx="304">
                  <c:v>2.4689471440271866</c:v>
                </c:pt>
                <c:pt idx="305">
                  <c:v>2.429897117163605</c:v>
                </c:pt>
                <c:pt idx="306">
                  <c:v>2.491304878974069</c:v>
                </c:pt>
                <c:pt idx="307">
                  <c:v>2.4686838598735159</c:v>
                </c:pt>
                <c:pt idx="308">
                  <c:v>2.4633310780323461</c:v>
                </c:pt>
                <c:pt idx="309">
                  <c:v>2.4341733709824367</c:v>
                </c:pt>
                <c:pt idx="310">
                  <c:v>2.4352823244954576</c:v>
                </c:pt>
                <c:pt idx="311">
                  <c:v>2.4166091947189146</c:v>
                </c:pt>
                <c:pt idx="312">
                  <c:v>2.4078413569004082</c:v>
                </c:pt>
                <c:pt idx="313">
                  <c:v>2.3409613409879286</c:v>
                </c:pt>
                <c:pt idx="314">
                  <c:v>2.4274472187876714</c:v>
                </c:pt>
                <c:pt idx="315">
                  <c:v>2.4473863609981974</c:v>
                </c:pt>
                <c:pt idx="316">
                  <c:v>2.5241434190631882</c:v>
                </c:pt>
                <c:pt idx="317">
                  <c:v>2.49899979991996</c:v>
                </c:pt>
                <c:pt idx="318">
                  <c:v>2.4440130932546169</c:v>
                </c:pt>
                <c:pt idx="319">
                  <c:v>2.4869660230891775</c:v>
                </c:pt>
                <c:pt idx="320">
                  <c:v>2.5019192632856884</c:v>
                </c:pt>
                <c:pt idx="321">
                  <c:v>2.4795160818191921</c:v>
                </c:pt>
                <c:pt idx="322">
                  <c:v>2.470080970332754</c:v>
                </c:pt>
                <c:pt idx="323">
                  <c:v>2.4689471440271866</c:v>
                </c:pt>
                <c:pt idx="324">
                  <c:v>2.43232399157678</c:v>
                </c:pt>
                <c:pt idx="325">
                  <c:v>2.3930106560565085</c:v>
                </c:pt>
                <c:pt idx="326">
                  <c:v>2.4147256572952549</c:v>
                </c:pt>
                <c:pt idx="327">
                  <c:v>2.3259406699226011</c:v>
                </c:pt>
                <c:pt idx="328">
                  <c:v>2.4226638231500468</c:v>
                </c:pt>
                <c:pt idx="329">
                  <c:v>2.4062626623043464</c:v>
                </c:pt>
                <c:pt idx="330">
                  <c:v>2.3837994882120435</c:v>
                </c:pt>
                <c:pt idx="331">
                  <c:v>2.4524681445433703</c:v>
                </c:pt>
                <c:pt idx="332">
                  <c:v>2.4645689278249048</c:v>
                </c:pt>
                <c:pt idx="333">
                  <c:v>2.4242318370980938</c:v>
                </c:pt>
                <c:pt idx="334">
                  <c:v>2.4880916381837705</c:v>
                </c:pt>
                <c:pt idx="335">
                  <c:v>2.3881373494839027</c:v>
                </c:pt>
                <c:pt idx="336">
                  <c:v>2.4018534509832192</c:v>
                </c:pt>
                <c:pt idx="337">
                  <c:v>2.4449948875202172</c:v>
                </c:pt>
                <c:pt idx="338">
                  <c:v>2.5147763320025107</c:v>
                </c:pt>
                <c:pt idx="339">
                  <c:v>2.4377243486497813</c:v>
                </c:pt>
                <c:pt idx="340">
                  <c:v>2.3537204591879641</c:v>
                </c:pt>
                <c:pt idx="341">
                  <c:v>2.4420483205702546</c:v>
                </c:pt>
                <c:pt idx="342">
                  <c:v>2.5026585863836881</c:v>
                </c:pt>
                <c:pt idx="343">
                  <c:v>2.3942639787625759</c:v>
                </c:pt>
                <c:pt idx="344">
                  <c:v>2.4973586046060747</c:v>
                </c:pt>
                <c:pt idx="345">
                  <c:v>2.3728674636397202</c:v>
                </c:pt>
                <c:pt idx="346">
                  <c:v>2.4105808428675441</c:v>
                </c:pt>
                <c:pt idx="347">
                  <c:v>2.3847222060441338</c:v>
                </c:pt>
                <c:pt idx="348">
                  <c:v>2.4520399670478454</c:v>
                </c:pt>
                <c:pt idx="349">
                  <c:v>2.4687648733729177</c:v>
                </c:pt>
                <c:pt idx="350">
                  <c:v>2.3713498265755728</c:v>
                </c:pt>
                <c:pt idx="351">
                  <c:v>2.4166091947189146</c:v>
                </c:pt>
                <c:pt idx="352">
                  <c:v>2.4798790293076798</c:v>
                </c:pt>
                <c:pt idx="353">
                  <c:v>2.4301646034785378</c:v>
                </c:pt>
                <c:pt idx="354">
                  <c:v>2.4439517180173591</c:v>
                </c:pt>
                <c:pt idx="355">
                  <c:v>2.3085276693165282</c:v>
                </c:pt>
                <c:pt idx="356">
                  <c:v>2.4644877763949244</c:v>
                </c:pt>
                <c:pt idx="357">
                  <c:v>2.3754157530840785</c:v>
                </c:pt>
                <c:pt idx="358">
                  <c:v>2.346912865872953</c:v>
                </c:pt>
                <c:pt idx="359">
                  <c:v>2.4500000000000002</c:v>
                </c:pt>
                <c:pt idx="360">
                  <c:v>2.4311519903124119</c:v>
                </c:pt>
                <c:pt idx="361">
                  <c:v>2.3120986138138657</c:v>
                </c:pt>
                <c:pt idx="362">
                  <c:v>2.3394016328967542</c:v>
                </c:pt>
                <c:pt idx="363">
                  <c:v>2.542380773999048</c:v>
                </c:pt>
                <c:pt idx="364">
                  <c:v>2.4085265205099984</c:v>
                </c:pt>
                <c:pt idx="365">
                  <c:v>2.4008540147205952</c:v>
                </c:pt>
                <c:pt idx="366">
                  <c:v>2.5249158401816092</c:v>
                </c:pt>
                <c:pt idx="367">
                  <c:v>2.3914012628582433</c:v>
                </c:pt>
                <c:pt idx="368">
                  <c:v>2.4212806528777282</c:v>
                </c:pt>
                <c:pt idx="369">
                  <c:v>2.4480400323524125</c:v>
                </c:pt>
                <c:pt idx="370">
                  <c:v>2.5145377308761945</c:v>
                </c:pt>
                <c:pt idx="371">
                  <c:v>2.358664876577425</c:v>
                </c:pt>
                <c:pt idx="372">
                  <c:v>2.3995416228938393</c:v>
                </c:pt>
                <c:pt idx="373">
                  <c:v>2.4318717071424638</c:v>
                </c:pt>
                <c:pt idx="374">
                  <c:v>2.3120553626589482</c:v>
                </c:pt>
                <c:pt idx="375">
                  <c:v>2.3653540961133075</c:v>
                </c:pt>
                <c:pt idx="376">
                  <c:v>2.2998478210525151</c:v>
                </c:pt>
                <c:pt idx="377">
                  <c:v>2.3769728648009427</c:v>
                </c:pt>
                <c:pt idx="378">
                  <c:v>2.3097185975785015</c:v>
                </c:pt>
                <c:pt idx="379">
                  <c:v>2.2821262015935928</c:v>
                </c:pt>
                <c:pt idx="380">
                  <c:v>2.4206197553519222</c:v>
                </c:pt>
                <c:pt idx="381">
                  <c:v>2.3097185975785015</c:v>
                </c:pt>
                <c:pt idx="382">
                  <c:v>2.4340295807569801</c:v>
                </c:pt>
                <c:pt idx="383">
                  <c:v>2.3564804263986581</c:v>
                </c:pt>
                <c:pt idx="384">
                  <c:v>2.4047037239543672</c:v>
                </c:pt>
                <c:pt idx="385">
                  <c:v>2.4422940035957996</c:v>
                </c:pt>
                <c:pt idx="386">
                  <c:v>2.2722015755649854</c:v>
                </c:pt>
                <c:pt idx="387">
                  <c:v>2.3415593095200471</c:v>
                </c:pt>
                <c:pt idx="388">
                  <c:v>2.3569683918118209</c:v>
                </c:pt>
                <c:pt idx="389">
                  <c:v>2.3355513267749011</c:v>
                </c:pt>
                <c:pt idx="390">
                  <c:v>2.3152537657889685</c:v>
                </c:pt>
                <c:pt idx="391">
                  <c:v>2.3566925976885487</c:v>
                </c:pt>
                <c:pt idx="392">
                  <c:v>2.3759208741033442</c:v>
                </c:pt>
                <c:pt idx="393">
                  <c:v>2.3815961034566713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D4-4425-A216-B954963DB340}"/>
            </c:ext>
          </c:extLst>
        </c:ser>
        <c:ser>
          <c:idx val="21"/>
          <c:order val="2"/>
          <c:tx>
            <c:strRef>
              <c:f>'HT 2017-07-05 BIG JIM'!$BY$1</c:f>
              <c:strCache>
                <c:ptCount val="1"/>
                <c:pt idx="0">
                  <c:v>wild-fx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</c:spPr>
          </c:marker>
          <c:xVal>
            <c:numRef>
              <c:f>'HT 2017-07-05 BIG JIM'!$G$287:$G$715</c:f>
              <c:numCache>
                <c:formatCode>General</c:formatCode>
                <c:ptCount val="429"/>
                <c:pt idx="0">
                  <c:v>2.4920072231034966</c:v>
                </c:pt>
                <c:pt idx="1">
                  <c:v>2.3854978516024699</c:v>
                </c:pt>
                <c:pt idx="2">
                  <c:v>2.4424782496472717</c:v>
                </c:pt>
                <c:pt idx="3">
                  <c:v>2.4709512338368804</c:v>
                </c:pt>
                <c:pt idx="4">
                  <c:v>2.4186773244895652</c:v>
                </c:pt>
                <c:pt idx="5">
                  <c:v>2.3671290628100534</c:v>
                </c:pt>
                <c:pt idx="6">
                  <c:v>2.426272861819132</c:v>
                </c:pt>
                <c:pt idx="7">
                  <c:v>2.4831028975860021</c:v>
                </c:pt>
                <c:pt idx="8">
                  <c:v>2.4257163890281981</c:v>
                </c:pt>
                <c:pt idx="9">
                  <c:v>2.4581497106563708</c:v>
                </c:pt>
                <c:pt idx="10">
                  <c:v>2.5092827660508887</c:v>
                </c:pt>
                <c:pt idx="11">
                  <c:v>2.517935662402834</c:v>
                </c:pt>
                <c:pt idx="12">
                  <c:v>2.4147256572952549</c:v>
                </c:pt>
                <c:pt idx="13">
                  <c:v>2.4604471138392712</c:v>
                </c:pt>
                <c:pt idx="14">
                  <c:v>2.3977697971239862</c:v>
                </c:pt>
                <c:pt idx="15">
                  <c:v>2.4804031930313264</c:v>
                </c:pt>
                <c:pt idx="16">
                  <c:v>2.5019192632856884</c:v>
                </c:pt>
                <c:pt idx="17">
                  <c:v>2.4973586046060743</c:v>
                </c:pt>
                <c:pt idx="18">
                  <c:v>2.4020824298928627</c:v>
                </c:pt>
                <c:pt idx="19">
                  <c:v>2.4689471440271866</c:v>
                </c:pt>
                <c:pt idx="20">
                  <c:v>2.429897117163605</c:v>
                </c:pt>
                <c:pt idx="21">
                  <c:v>2.491304878974069</c:v>
                </c:pt>
                <c:pt idx="22">
                  <c:v>2.4686838598735159</c:v>
                </c:pt>
                <c:pt idx="23">
                  <c:v>2.4633310780323461</c:v>
                </c:pt>
                <c:pt idx="24">
                  <c:v>2.4341733709824367</c:v>
                </c:pt>
                <c:pt idx="25">
                  <c:v>2.4352823244954576</c:v>
                </c:pt>
                <c:pt idx="26">
                  <c:v>2.4166091947189146</c:v>
                </c:pt>
                <c:pt idx="27">
                  <c:v>2.4078413569004082</c:v>
                </c:pt>
                <c:pt idx="28">
                  <c:v>2.3409613409879286</c:v>
                </c:pt>
                <c:pt idx="29">
                  <c:v>2.4274472187876714</c:v>
                </c:pt>
                <c:pt idx="30">
                  <c:v>2.4473863609981974</c:v>
                </c:pt>
                <c:pt idx="31">
                  <c:v>2.5241434190631882</c:v>
                </c:pt>
                <c:pt idx="32">
                  <c:v>2.49899979991996</c:v>
                </c:pt>
                <c:pt idx="33">
                  <c:v>2.4440130932546169</c:v>
                </c:pt>
                <c:pt idx="34">
                  <c:v>2.4869660230891775</c:v>
                </c:pt>
                <c:pt idx="35">
                  <c:v>2.5019192632856884</c:v>
                </c:pt>
                <c:pt idx="36">
                  <c:v>2.4795160818191921</c:v>
                </c:pt>
                <c:pt idx="37">
                  <c:v>2.470080970332754</c:v>
                </c:pt>
                <c:pt idx="38">
                  <c:v>2.4689471440271866</c:v>
                </c:pt>
                <c:pt idx="39">
                  <c:v>2.43232399157678</c:v>
                </c:pt>
                <c:pt idx="40">
                  <c:v>2.3930106560565085</c:v>
                </c:pt>
                <c:pt idx="41">
                  <c:v>2.4147256572952549</c:v>
                </c:pt>
                <c:pt idx="42">
                  <c:v>2.3259406699226011</c:v>
                </c:pt>
                <c:pt idx="43">
                  <c:v>2.4226638231500468</c:v>
                </c:pt>
                <c:pt idx="44">
                  <c:v>2.4062626623043464</c:v>
                </c:pt>
                <c:pt idx="45">
                  <c:v>2.3837994882120435</c:v>
                </c:pt>
                <c:pt idx="46">
                  <c:v>2.4524681445433703</c:v>
                </c:pt>
                <c:pt idx="47">
                  <c:v>2.4645689278249048</c:v>
                </c:pt>
                <c:pt idx="48">
                  <c:v>2.4242318370980938</c:v>
                </c:pt>
                <c:pt idx="49">
                  <c:v>2.4880916381837705</c:v>
                </c:pt>
                <c:pt idx="50">
                  <c:v>2.3881373494839027</c:v>
                </c:pt>
                <c:pt idx="51">
                  <c:v>2.4018534509832192</c:v>
                </c:pt>
                <c:pt idx="52">
                  <c:v>2.4449948875202172</c:v>
                </c:pt>
                <c:pt idx="53">
                  <c:v>2.5147763320025107</c:v>
                </c:pt>
                <c:pt idx="54">
                  <c:v>2.4377243486497813</c:v>
                </c:pt>
                <c:pt idx="55">
                  <c:v>2.3537204591879641</c:v>
                </c:pt>
                <c:pt idx="56">
                  <c:v>2.4420483205702546</c:v>
                </c:pt>
                <c:pt idx="57">
                  <c:v>2.5026585863836881</c:v>
                </c:pt>
                <c:pt idx="58">
                  <c:v>2.3942639787625759</c:v>
                </c:pt>
                <c:pt idx="59">
                  <c:v>2.4973586046060747</c:v>
                </c:pt>
                <c:pt idx="60">
                  <c:v>2.3728674636397202</c:v>
                </c:pt>
                <c:pt idx="61">
                  <c:v>2.4105808428675441</c:v>
                </c:pt>
                <c:pt idx="62">
                  <c:v>2.3847222060441338</c:v>
                </c:pt>
                <c:pt idx="63">
                  <c:v>2.4520399670478454</c:v>
                </c:pt>
                <c:pt idx="64">
                  <c:v>2.4687648733729177</c:v>
                </c:pt>
                <c:pt idx="65">
                  <c:v>2.3713498265755728</c:v>
                </c:pt>
                <c:pt idx="66">
                  <c:v>2.4166091947189146</c:v>
                </c:pt>
                <c:pt idx="67">
                  <c:v>2.4798790293076798</c:v>
                </c:pt>
                <c:pt idx="68">
                  <c:v>2.4301646034785378</c:v>
                </c:pt>
                <c:pt idx="69">
                  <c:v>2.4439517180173591</c:v>
                </c:pt>
                <c:pt idx="70">
                  <c:v>2.3085276693165282</c:v>
                </c:pt>
                <c:pt idx="71">
                  <c:v>2.4644877763949244</c:v>
                </c:pt>
                <c:pt idx="72">
                  <c:v>2.3754157530840785</c:v>
                </c:pt>
                <c:pt idx="73">
                  <c:v>2.346912865872953</c:v>
                </c:pt>
                <c:pt idx="74">
                  <c:v>2.4500000000000002</c:v>
                </c:pt>
                <c:pt idx="75">
                  <c:v>2.4311519903124119</c:v>
                </c:pt>
                <c:pt idx="76">
                  <c:v>2.3120986138138657</c:v>
                </c:pt>
                <c:pt idx="77">
                  <c:v>2.3394016328967542</c:v>
                </c:pt>
                <c:pt idx="78">
                  <c:v>2.542380773999048</c:v>
                </c:pt>
                <c:pt idx="79">
                  <c:v>2.4085265205099984</c:v>
                </c:pt>
                <c:pt idx="80">
                  <c:v>2.4008540147205952</c:v>
                </c:pt>
                <c:pt idx="81">
                  <c:v>2.5249158401816092</c:v>
                </c:pt>
                <c:pt idx="82">
                  <c:v>2.3914012628582433</c:v>
                </c:pt>
                <c:pt idx="83">
                  <c:v>2.4212806528777282</c:v>
                </c:pt>
                <c:pt idx="84">
                  <c:v>2.4480400323524125</c:v>
                </c:pt>
                <c:pt idx="85">
                  <c:v>2.5145377308761945</c:v>
                </c:pt>
                <c:pt idx="86">
                  <c:v>2.358664876577425</c:v>
                </c:pt>
                <c:pt idx="87">
                  <c:v>2.3995416228938393</c:v>
                </c:pt>
                <c:pt idx="88">
                  <c:v>2.4318717071424638</c:v>
                </c:pt>
                <c:pt idx="89">
                  <c:v>2.3120553626589482</c:v>
                </c:pt>
                <c:pt idx="90">
                  <c:v>2.3653540961133075</c:v>
                </c:pt>
                <c:pt idx="91">
                  <c:v>2.2998478210525151</c:v>
                </c:pt>
                <c:pt idx="92">
                  <c:v>2.3769728648009427</c:v>
                </c:pt>
                <c:pt idx="93">
                  <c:v>2.3097185975785015</c:v>
                </c:pt>
                <c:pt idx="94">
                  <c:v>2.2821262015935928</c:v>
                </c:pt>
                <c:pt idx="95">
                  <c:v>2.4206197553519222</c:v>
                </c:pt>
                <c:pt idx="96">
                  <c:v>2.3097185975785015</c:v>
                </c:pt>
                <c:pt idx="97">
                  <c:v>2.4340295807569801</c:v>
                </c:pt>
                <c:pt idx="98">
                  <c:v>2.3564804263986581</c:v>
                </c:pt>
                <c:pt idx="99">
                  <c:v>2.4047037239543672</c:v>
                </c:pt>
                <c:pt idx="100">
                  <c:v>2.4422940035957996</c:v>
                </c:pt>
                <c:pt idx="101">
                  <c:v>2.2722015755649854</c:v>
                </c:pt>
                <c:pt idx="102">
                  <c:v>2.3415593095200471</c:v>
                </c:pt>
                <c:pt idx="103">
                  <c:v>2.3569683918118209</c:v>
                </c:pt>
                <c:pt idx="104">
                  <c:v>2.3355513267749011</c:v>
                </c:pt>
                <c:pt idx="105">
                  <c:v>2.3152537657889685</c:v>
                </c:pt>
                <c:pt idx="106">
                  <c:v>2.3566925976885487</c:v>
                </c:pt>
                <c:pt idx="107">
                  <c:v>2.3759208741033442</c:v>
                </c:pt>
                <c:pt idx="108">
                  <c:v>2.3815961034566713</c:v>
                </c:pt>
                <c:pt idx="109">
                  <c:v>2.5166843266488548</c:v>
                </c:pt>
                <c:pt idx="110">
                  <c:v>2.5787787807409925</c:v>
                </c:pt>
                <c:pt idx="111">
                  <c:v>2.5405511213120664</c:v>
                </c:pt>
                <c:pt idx="112">
                  <c:v>2.5556603843233945</c:v>
                </c:pt>
                <c:pt idx="113">
                  <c:v>2.54939208439973</c:v>
                </c:pt>
                <c:pt idx="114">
                  <c:v>2.4906224121692957</c:v>
                </c:pt>
                <c:pt idx="115">
                  <c:v>2.49897979183506</c:v>
                </c:pt>
                <c:pt idx="116">
                  <c:v>2.5111352014576998</c:v>
                </c:pt>
                <c:pt idx="117">
                  <c:v>2.5770137756713685</c:v>
                </c:pt>
                <c:pt idx="118">
                  <c:v>2.5379716310471241</c:v>
                </c:pt>
                <c:pt idx="119">
                  <c:v>2.5880108191427635</c:v>
                </c:pt>
                <c:pt idx="120">
                  <c:v>2.5111352014576998</c:v>
                </c:pt>
                <c:pt idx="121">
                  <c:v>2.5347583711273152</c:v>
                </c:pt>
                <c:pt idx="122">
                  <c:v>2.5609568524284043</c:v>
                </c:pt>
                <c:pt idx="123">
                  <c:v>2.5331403435261928</c:v>
                </c:pt>
                <c:pt idx="124">
                  <c:v>2.5133443854752575</c:v>
                </c:pt>
                <c:pt idx="125">
                  <c:v>2.610785322465254</c:v>
                </c:pt>
                <c:pt idx="126">
                  <c:v>2.5244801445050031</c:v>
                </c:pt>
                <c:pt idx="127">
                  <c:v>2.4819548746905129</c:v>
                </c:pt>
                <c:pt idx="128">
                  <c:v>2.5143587651725441</c:v>
                </c:pt>
                <c:pt idx="129">
                  <c:v>2.449693858423946</c:v>
                </c:pt>
                <c:pt idx="130">
                  <c:v>2.4684408034222738</c:v>
                </c:pt>
                <c:pt idx="131">
                  <c:v>2.4906424873915567</c:v>
                </c:pt>
                <c:pt idx="132">
                  <c:v>2.4933912649241394</c:v>
                </c:pt>
                <c:pt idx="133">
                  <c:v>2.4528350943347172</c:v>
                </c:pt>
                <c:pt idx="134">
                  <c:v>2.5044959572736389</c:v>
                </c:pt>
                <c:pt idx="135">
                  <c:v>2.4520399670478459</c:v>
                </c:pt>
                <c:pt idx="136">
                  <c:v>2.5026585863836881</c:v>
                </c:pt>
                <c:pt idx="137">
                  <c:v>2.5572641631243336</c:v>
                </c:pt>
                <c:pt idx="138">
                  <c:v>2.4850955716028307</c:v>
                </c:pt>
                <c:pt idx="139">
                  <c:v>2.5314027731674784</c:v>
                </c:pt>
                <c:pt idx="140">
                  <c:v>2.5184916120567085</c:v>
                </c:pt>
                <c:pt idx="141">
                  <c:v>2.5183526361492743</c:v>
                </c:pt>
                <c:pt idx="142">
                  <c:v>2.5253910588263357</c:v>
                </c:pt>
                <c:pt idx="143">
                  <c:v>2.5158895047279004</c:v>
                </c:pt>
                <c:pt idx="144">
                  <c:v>2.5128469909646309</c:v>
                </c:pt>
                <c:pt idx="145">
                  <c:v>2.4370679104202249</c:v>
                </c:pt>
                <c:pt idx="146">
                  <c:v>2.4911041728518697</c:v>
                </c:pt>
                <c:pt idx="147">
                  <c:v>2.5824213443975403</c:v>
                </c:pt>
                <c:pt idx="148">
                  <c:v>2.5072694310743713</c:v>
                </c:pt>
                <c:pt idx="149">
                  <c:v>2.5433245958783943</c:v>
                </c:pt>
                <c:pt idx="150">
                  <c:v>2.5238858928247923</c:v>
                </c:pt>
                <c:pt idx="151">
                  <c:v>2.5471749056552833</c:v>
                </c:pt>
                <c:pt idx="152">
                  <c:v>2.5962472917655592</c:v>
                </c:pt>
                <c:pt idx="153">
                  <c:v>2.5460754112948027</c:v>
                </c:pt>
                <c:pt idx="154">
                  <c:v>2.5460754112948027</c:v>
                </c:pt>
                <c:pt idx="155">
                  <c:v>2.5674306222369476</c:v>
                </c:pt>
                <c:pt idx="156">
                  <c:v>2.5211505310076192</c:v>
                </c:pt>
                <c:pt idx="157">
                  <c:v>2.4989797918350605</c:v>
                </c:pt>
                <c:pt idx="158">
                  <c:v>2.5726639889422018</c:v>
                </c:pt>
                <c:pt idx="159">
                  <c:v>2.5690854403853525</c:v>
                </c:pt>
                <c:pt idx="160">
                  <c:v>2.5355867171130235</c:v>
                </c:pt>
                <c:pt idx="161">
                  <c:v>2.5599414055794325</c:v>
                </c:pt>
                <c:pt idx="162">
                  <c:v>2.5711087102648928</c:v>
                </c:pt>
                <c:pt idx="163">
                  <c:v>2.5879142180528318</c:v>
                </c:pt>
                <c:pt idx="164">
                  <c:v>2.5748980562344599</c:v>
                </c:pt>
                <c:pt idx="165">
                  <c:v>2.5547798339583001</c:v>
                </c:pt>
                <c:pt idx="166">
                  <c:v>2.5006399181009651</c:v>
                </c:pt>
                <c:pt idx="167">
                  <c:v>2.5193848455525805</c:v>
                </c:pt>
                <c:pt idx="168">
                  <c:v>2.5439536159293472</c:v>
                </c:pt>
                <c:pt idx="169">
                  <c:v>2.5547798339583001</c:v>
                </c:pt>
                <c:pt idx="170">
                  <c:v>2.5312447530809821</c:v>
                </c:pt>
                <c:pt idx="171">
                  <c:v>2.5001799935204669</c:v>
                </c:pt>
                <c:pt idx="172">
                  <c:v>2.5853626438084079</c:v>
                </c:pt>
                <c:pt idx="173">
                  <c:v>2.584027863626861</c:v>
                </c:pt>
                <c:pt idx="174">
                  <c:v>2.6299239532731744</c:v>
                </c:pt>
                <c:pt idx="175">
                  <c:v>2.5707780923292467</c:v>
                </c:pt>
                <c:pt idx="176">
                  <c:v>2.5039169315294783</c:v>
                </c:pt>
                <c:pt idx="177">
                  <c:v>2.5518032839543099</c:v>
                </c:pt>
                <c:pt idx="178">
                  <c:v>2.6224606765402605</c:v>
                </c:pt>
                <c:pt idx="179">
                  <c:v>2.5403149411047439</c:v>
                </c:pt>
                <c:pt idx="180">
                  <c:v>2.5045957757690163</c:v>
                </c:pt>
                <c:pt idx="181">
                  <c:v>2.5092827660508887</c:v>
                </c:pt>
                <c:pt idx="182">
                  <c:v>2.5897104085206131</c:v>
                </c:pt>
                <c:pt idx="183">
                  <c:v>2.5144581921360314</c:v>
                </c:pt>
                <c:pt idx="184">
                  <c:v>2.4465894629054543</c:v>
                </c:pt>
                <c:pt idx="185">
                  <c:v>2.5147763320025103</c:v>
                </c:pt>
                <c:pt idx="186">
                  <c:v>2.4200206610688264</c:v>
                </c:pt>
                <c:pt idx="187">
                  <c:v>2.510019920239678</c:v>
                </c:pt>
                <c:pt idx="188">
                  <c:v>2.5494509212769718</c:v>
                </c:pt>
                <c:pt idx="189">
                  <c:v>2.5147763320025103</c:v>
                </c:pt>
                <c:pt idx="190">
                  <c:v>2.5601953050499877</c:v>
                </c:pt>
                <c:pt idx="191">
                  <c:v>2.6670020622414223</c:v>
                </c:pt>
                <c:pt idx="192">
                  <c:v>2.6532432983049259</c:v>
                </c:pt>
                <c:pt idx="193">
                  <c:v>2.5188290930509756</c:v>
                </c:pt>
                <c:pt idx="194">
                  <c:v>2.5292291315734921</c:v>
                </c:pt>
                <c:pt idx="195">
                  <c:v>2.5059928172283334</c:v>
                </c:pt>
                <c:pt idx="196">
                  <c:v>2.5536836139193126</c:v>
                </c:pt>
                <c:pt idx="197">
                  <c:v>2.6016341018675164</c:v>
                </c:pt>
                <c:pt idx="198">
                  <c:v>2.6564638149238924</c:v>
                </c:pt>
                <c:pt idx="199">
                  <c:v>2.6513770007299979</c:v>
                </c:pt>
                <c:pt idx="200">
                  <c:v>2.5895559464896678</c:v>
                </c:pt>
                <c:pt idx="201">
                  <c:v>2.7220764133286188</c:v>
                </c:pt>
                <c:pt idx="202">
                  <c:v>2.5437374078312405</c:v>
                </c:pt>
                <c:pt idx="203">
                  <c:v>2.6102107194630859</c:v>
                </c:pt>
                <c:pt idx="204">
                  <c:v>2.5935689695861184</c:v>
                </c:pt>
                <c:pt idx="205">
                  <c:v>2.5457808232446091</c:v>
                </c:pt>
                <c:pt idx="206">
                  <c:v>2.5352711886502401</c:v>
                </c:pt>
                <c:pt idx="207">
                  <c:v>2.6172504656604798</c:v>
                </c:pt>
                <c:pt idx="208">
                  <c:v>2.6629307163349178</c:v>
                </c:pt>
                <c:pt idx="209">
                  <c:v>2.5079872407968904</c:v>
                </c:pt>
                <c:pt idx="210">
                  <c:v>2.6102107194630859</c:v>
                </c:pt>
                <c:pt idx="211">
                  <c:v>2.5515681452785071</c:v>
                </c:pt>
                <c:pt idx="212">
                  <c:v>2.5026585863836881</c:v>
                </c:pt>
                <c:pt idx="213">
                  <c:v>2.6332679316772909</c:v>
                </c:pt>
                <c:pt idx="214">
                  <c:v>2.5516269319788893</c:v>
                </c:pt>
                <c:pt idx="215">
                  <c:v>2.5899034731047412</c:v>
                </c:pt>
                <c:pt idx="216">
                  <c:v>2.5073093147834791</c:v>
                </c:pt>
                <c:pt idx="217">
                  <c:v>2.5949373788205374</c:v>
                </c:pt>
                <c:pt idx="218">
                  <c:v>2.6840454541605663</c:v>
                </c:pt>
                <c:pt idx="219">
                  <c:v>2.619255619446105</c:v>
                </c:pt>
                <c:pt idx="220">
                  <c:v>2.5428330656966063</c:v>
                </c:pt>
                <c:pt idx="221">
                  <c:v>2.6046496885377888</c:v>
                </c:pt>
                <c:pt idx="222">
                  <c:v>2.5267568145747621</c:v>
                </c:pt>
                <c:pt idx="223">
                  <c:v>2.4709512338368804</c:v>
                </c:pt>
                <c:pt idx="224">
                  <c:v>2.6043233286210836</c:v>
                </c:pt>
                <c:pt idx="225">
                  <c:v>2.5451522547776979</c:v>
                </c:pt>
                <c:pt idx="226">
                  <c:v>2.581259382549534</c:v>
                </c:pt>
                <c:pt idx="227">
                  <c:v>2.5280031645549816</c:v>
                </c:pt>
                <c:pt idx="228">
                  <c:v>2.6565579233286067</c:v>
                </c:pt>
                <c:pt idx="229">
                  <c:v>2.6225560051217207</c:v>
                </c:pt>
                <c:pt idx="230">
                  <c:v>2.5515681452785071</c:v>
                </c:pt>
                <c:pt idx="231">
                  <c:v>2.5347583711273156</c:v>
                </c:pt>
                <c:pt idx="232">
                  <c:v>2.5341073379002714</c:v>
                </c:pt>
                <c:pt idx="233">
                  <c:v>2.5350542400508909</c:v>
                </c:pt>
                <c:pt idx="234">
                  <c:v>2.5536836139193126</c:v>
                </c:pt>
                <c:pt idx="235">
                  <c:v>2.4560537453402764</c:v>
                </c:pt>
                <c:pt idx="236">
                  <c:v>2.6050911692299756</c:v>
                </c:pt>
                <c:pt idx="237">
                  <c:v>2.5179356624028344</c:v>
                </c:pt>
                <c:pt idx="238">
                  <c:v>2.6239092972128439</c:v>
                </c:pt>
                <c:pt idx="239">
                  <c:v>2.522320360303187</c:v>
                </c:pt>
                <c:pt idx="240">
                  <c:v>2.6153584840323516</c:v>
                </c:pt>
                <c:pt idx="241">
                  <c:v>2.5556603843233945</c:v>
                </c:pt>
                <c:pt idx="242">
                  <c:v>2.5133443854752575</c:v>
                </c:pt>
                <c:pt idx="243">
                  <c:v>2.6436716891475007</c:v>
                </c:pt>
                <c:pt idx="244">
                  <c:v>2.5366316248127161</c:v>
                </c:pt>
                <c:pt idx="245">
                  <c:v>2.6109385285755007</c:v>
                </c:pt>
                <c:pt idx="246">
                  <c:v>2.5988074187980916</c:v>
                </c:pt>
                <c:pt idx="247">
                  <c:v>2.5283393759541064</c:v>
                </c:pt>
                <c:pt idx="248">
                  <c:v>2.5292291315734921</c:v>
                </c:pt>
                <c:pt idx="249">
                  <c:v>2.4720234626718254</c:v>
                </c:pt>
                <c:pt idx="250">
                  <c:v>2.5741989045137905</c:v>
                </c:pt>
                <c:pt idx="251">
                  <c:v>2.5800775182152957</c:v>
                </c:pt>
                <c:pt idx="252">
                  <c:v>2.5524889813670106</c:v>
                </c:pt>
                <c:pt idx="253">
                  <c:v>2.6330400680582131</c:v>
                </c:pt>
                <c:pt idx="254">
                  <c:v>2.4605893602956184</c:v>
                </c:pt>
                <c:pt idx="255">
                  <c:v>2.5916982849089516</c:v>
                </c:pt>
                <c:pt idx="256">
                  <c:v>2.5292291315734921</c:v>
                </c:pt>
                <c:pt idx="257">
                  <c:v>2.6284025566872358</c:v>
                </c:pt>
                <c:pt idx="258">
                  <c:v>2.5316002844051031</c:v>
                </c:pt>
                <c:pt idx="259">
                  <c:v>2.5537815098398688</c:v>
                </c:pt>
                <c:pt idx="260">
                  <c:v>2.4935316320431955</c:v>
                </c:pt>
                <c:pt idx="261">
                  <c:v>2.5633766793040778</c:v>
                </c:pt>
                <c:pt idx="262">
                  <c:v>2.4742675683927153</c:v>
                </c:pt>
                <c:pt idx="263">
                  <c:v>2.5294465797877606</c:v>
                </c:pt>
                <c:pt idx="264">
                  <c:v>2.5556603843233945</c:v>
                </c:pt>
                <c:pt idx="265">
                  <c:v>2.4696963376091401</c:v>
                </c:pt>
                <c:pt idx="266">
                  <c:v>2.5879142180528318</c:v>
                </c:pt>
                <c:pt idx="267">
                  <c:v>2.5694357357209774</c:v>
                </c:pt>
                <c:pt idx="268">
                  <c:v>2.4404302899283969</c:v>
                </c:pt>
                <c:pt idx="269">
                  <c:v>2.4520399670478459</c:v>
                </c:pt>
                <c:pt idx="270">
                  <c:v>2.6035744659986202</c:v>
                </c:pt>
                <c:pt idx="271">
                  <c:v>2.5656188337319321</c:v>
                </c:pt>
                <c:pt idx="272">
                  <c:v>2.5526456863419176</c:v>
                </c:pt>
                <c:pt idx="273">
                  <c:v>2.4742675683927149</c:v>
                </c:pt>
                <c:pt idx="274">
                  <c:v>2.5026585863836881</c:v>
                </c:pt>
                <c:pt idx="275">
                  <c:v>2.5794766911139164</c:v>
                </c:pt>
                <c:pt idx="276">
                  <c:v>2.5849564793241684</c:v>
                </c:pt>
                <c:pt idx="277">
                  <c:v>2.5107767722360346</c:v>
                </c:pt>
                <c:pt idx="278">
                  <c:v>2.4992999019725506</c:v>
                </c:pt>
                <c:pt idx="279">
                  <c:v>2.5156311335328949</c:v>
                </c:pt>
                <c:pt idx="280">
                  <c:v>2.5347583711273152</c:v>
                </c:pt>
                <c:pt idx="281">
                  <c:v>2.6076809620810595</c:v>
                </c:pt>
                <c:pt idx="282">
                  <c:v>2.5452701231892854</c:v>
                </c:pt>
                <c:pt idx="283">
                  <c:v>2.6034592372457075</c:v>
                </c:pt>
                <c:pt idx="284">
                  <c:v>2.6102107194630855</c:v>
                </c:pt>
                <c:pt idx="285">
                  <c:v>2.5715753926338616</c:v>
                </c:pt>
                <c:pt idx="286">
                  <c:v>2.5020391683584813</c:v>
                </c:pt>
                <c:pt idx="287">
                  <c:v>2.4285386552410482</c:v>
                </c:pt>
                <c:pt idx="288">
                  <c:v>2.5489213404889526</c:v>
                </c:pt>
                <c:pt idx="289">
                  <c:v>2.4577225229874915</c:v>
                </c:pt>
                <c:pt idx="290">
                  <c:v>2.5489213404889526</c:v>
                </c:pt>
                <c:pt idx="291">
                  <c:v>2.4987396823198691</c:v>
                </c:pt>
                <c:pt idx="292">
                  <c:v>2.5536836139193122</c:v>
                </c:pt>
                <c:pt idx="293">
                  <c:v>2.5599414055794325</c:v>
                </c:pt>
                <c:pt idx="294">
                  <c:v>2.4602845363900494</c:v>
                </c:pt>
                <c:pt idx="295">
                  <c:v>2.5439536159293472</c:v>
                </c:pt>
                <c:pt idx="296">
                  <c:v>2.5366316248127165</c:v>
                </c:pt>
                <c:pt idx="297">
                  <c:v>2.520495982936692</c:v>
                </c:pt>
                <c:pt idx="298">
                  <c:v>2.4920874784003875</c:v>
                </c:pt>
                <c:pt idx="299">
                  <c:v>2.5992498917957079</c:v>
                </c:pt>
                <c:pt idx="300">
                  <c:v>2.5072694310743713</c:v>
                </c:pt>
                <c:pt idx="301">
                  <c:v>2.5451522547776979</c:v>
                </c:pt>
                <c:pt idx="302">
                  <c:v>2.411514047232568</c:v>
                </c:pt>
                <c:pt idx="303">
                  <c:v>2.4935917869611295</c:v>
                </c:pt>
                <c:pt idx="304">
                  <c:v>2.4541597340026584</c:v>
                </c:pt>
                <c:pt idx="305">
                  <c:v>2.4581497106563708</c:v>
                </c:pt>
                <c:pt idx="306">
                  <c:v>2.4473863609981974</c:v>
                </c:pt>
                <c:pt idx="307">
                  <c:v>2.4214252001662162</c:v>
                </c:pt>
                <c:pt idx="308">
                  <c:v>2.5266974492408067</c:v>
                </c:pt>
                <c:pt idx="309">
                  <c:v>2.3434376458527764</c:v>
                </c:pt>
                <c:pt idx="310">
                  <c:v>1.9672569735548024</c:v>
                </c:pt>
                <c:pt idx="311">
                  <c:v>2.0416659863944449</c:v>
                </c:pt>
                <c:pt idx="312">
                  <c:v>1.9241881404893857</c:v>
                </c:pt>
                <c:pt idx="313">
                  <c:v>2.0225231766286389</c:v>
                </c:pt>
                <c:pt idx="314">
                  <c:v>1.9604081207748556</c:v>
                </c:pt>
                <c:pt idx="315">
                  <c:v>1.9918082237002634</c:v>
                </c:pt>
                <c:pt idx="316">
                  <c:v>2.0368603290358425</c:v>
                </c:pt>
                <c:pt idx="317">
                  <c:v>1.895521036549054</c:v>
                </c:pt>
                <c:pt idx="318">
                  <c:v>2.0368603290358425</c:v>
                </c:pt>
                <c:pt idx="319">
                  <c:v>2.0525106577067995</c:v>
                </c:pt>
                <c:pt idx="320">
                  <c:v>1.9887936041731427</c:v>
                </c:pt>
                <c:pt idx="321">
                  <c:v>2.0169779374103229</c:v>
                </c:pt>
                <c:pt idx="322">
                  <c:v>1.946175737183053</c:v>
                </c:pt>
                <c:pt idx="323">
                  <c:v>1.9856485086741811</c:v>
                </c:pt>
                <c:pt idx="324">
                  <c:v>1.9895728184713419</c:v>
                </c:pt>
                <c:pt idx="325">
                  <c:v>2.0193315725754397</c:v>
                </c:pt>
                <c:pt idx="326">
                  <c:v>1.9996499693696395</c:v>
                </c:pt>
                <c:pt idx="327">
                  <c:v>2.0064396327824068</c:v>
                </c:pt>
                <c:pt idx="328">
                  <c:v>2.0008498194517248</c:v>
                </c:pt>
                <c:pt idx="329">
                  <c:v>1.8989734068701436</c:v>
                </c:pt>
                <c:pt idx="330">
                  <c:v>2.0183656754909403</c:v>
                </c:pt>
                <c:pt idx="331">
                  <c:v>1.960229578391266</c:v>
                </c:pt>
                <c:pt idx="332">
                  <c:v>1.9018412131405713</c:v>
                </c:pt>
                <c:pt idx="333">
                  <c:v>1.8917980864775186</c:v>
                </c:pt>
                <c:pt idx="334">
                  <c:v>1.9119100397246727</c:v>
                </c:pt>
                <c:pt idx="335">
                  <c:v>1.9833809518093088</c:v>
                </c:pt>
                <c:pt idx="336">
                  <c:v>1.9601020381602585</c:v>
                </c:pt>
                <c:pt idx="337">
                  <c:v>2.0392400545301181</c:v>
                </c:pt>
                <c:pt idx="338">
                  <c:v>1.9190883252211191</c:v>
                </c:pt>
                <c:pt idx="339">
                  <c:v>1.9739554199626697</c:v>
                </c:pt>
                <c:pt idx="340">
                  <c:v>1.966443490161871</c:v>
                </c:pt>
                <c:pt idx="341">
                  <c:v>2.04</c:v>
                </c:pt>
                <c:pt idx="342">
                  <c:v>1.9550959055759898</c:v>
                </c:pt>
                <c:pt idx="343">
                  <c:v>1.9458931111445972</c:v>
                </c:pt>
                <c:pt idx="344">
                  <c:v>1.924811679100062</c:v>
                </c:pt>
                <c:pt idx="345">
                  <c:v>2.0056171120131583</c:v>
                </c:pt>
                <c:pt idx="346">
                  <c:v>1.9299999999999997</c:v>
                </c:pt>
                <c:pt idx="347">
                  <c:v>1.9602295783912658</c:v>
                </c:pt>
                <c:pt idx="348">
                  <c:v>1.9465096968677038</c:v>
                </c:pt>
                <c:pt idx="349">
                  <c:v>1.9553260597659921</c:v>
                </c:pt>
                <c:pt idx="350">
                  <c:v>1.9791412279066898</c:v>
                </c:pt>
                <c:pt idx="351">
                  <c:v>1.9723082923316018</c:v>
                </c:pt>
                <c:pt idx="352">
                  <c:v>1.9795959183631389</c:v>
                </c:pt>
                <c:pt idx="353">
                  <c:v>2.0374493858744072</c:v>
                </c:pt>
                <c:pt idx="354">
                  <c:v>2.005243127403757</c:v>
                </c:pt>
                <c:pt idx="355">
                  <c:v>2.0289159667172023</c:v>
                </c:pt>
                <c:pt idx="356">
                  <c:v>2.0088305055429641</c:v>
                </c:pt>
                <c:pt idx="357">
                  <c:v>2.0207176942858696</c:v>
                </c:pt>
                <c:pt idx="358">
                  <c:v>2.0400980368599937</c:v>
                </c:pt>
                <c:pt idx="359">
                  <c:v>1.9949185447030162</c:v>
                </c:pt>
                <c:pt idx="360">
                  <c:v>1.9553260597659921</c:v>
                </c:pt>
                <c:pt idx="361">
                  <c:v>1.9999999999999998</c:v>
                </c:pt>
                <c:pt idx="362">
                  <c:v>1.9420092687729378</c:v>
                </c:pt>
                <c:pt idx="363">
                  <c:v>1.9677398201998149</c:v>
                </c:pt>
                <c:pt idx="364">
                  <c:v>1.9751708786836644</c:v>
                </c:pt>
                <c:pt idx="365">
                  <c:v>2.0026232796010337</c:v>
                </c:pt>
                <c:pt idx="366">
                  <c:v>1.9694669329541941</c:v>
                </c:pt>
                <c:pt idx="367">
                  <c:v>1.9665706191235541</c:v>
                </c:pt>
                <c:pt idx="368">
                  <c:v>2.0171762441591463</c:v>
                </c:pt>
                <c:pt idx="369">
                  <c:v>2.0026232796010337</c:v>
                </c:pt>
                <c:pt idx="370">
                  <c:v>1.9764867821465439</c:v>
                </c:pt>
                <c:pt idx="371">
                  <c:v>1.9946177578674065</c:v>
                </c:pt>
                <c:pt idx="372">
                  <c:v>2.0092784774639876</c:v>
                </c:pt>
                <c:pt idx="373">
                  <c:v>2.0129580224137809</c:v>
                </c:pt>
                <c:pt idx="374">
                  <c:v>1.9610456394485061</c:v>
                </c:pt>
                <c:pt idx="375">
                  <c:v>1.9729419656948859</c:v>
                </c:pt>
                <c:pt idx="376">
                  <c:v>1.8930662957223656</c:v>
                </c:pt>
                <c:pt idx="377">
                  <c:v>2.0255616505058542</c:v>
                </c:pt>
                <c:pt idx="378">
                  <c:v>2.0205444810743467</c:v>
                </c:pt>
                <c:pt idx="379">
                  <c:v>1.9458931111445974</c:v>
                </c:pt>
                <c:pt idx="380">
                  <c:v>1.9523319389898841</c:v>
                </c:pt>
                <c:pt idx="381">
                  <c:v>2.0441624201613728</c:v>
                </c:pt>
                <c:pt idx="382">
                  <c:v>1.9553260597659918</c:v>
                </c:pt>
                <c:pt idx="383">
                  <c:v>2.0116162655934158</c:v>
                </c:pt>
                <c:pt idx="384">
                  <c:v>1.9513328778042971</c:v>
                </c:pt>
                <c:pt idx="385">
                  <c:v>1.9425756098540929</c:v>
                </c:pt>
                <c:pt idx="386">
                  <c:v>1.8921152184790442</c:v>
                </c:pt>
                <c:pt idx="387">
                  <c:v>1.9142622599842478</c:v>
                </c:pt>
                <c:pt idx="388">
                  <c:v>1.9485892332659542</c:v>
                </c:pt>
                <c:pt idx="389">
                  <c:v>1.9504102132628407</c:v>
                </c:pt>
                <c:pt idx="390">
                  <c:v>1.9949185447030164</c:v>
                </c:pt>
                <c:pt idx="391">
                  <c:v>1.9557607215607946</c:v>
                </c:pt>
                <c:pt idx="392">
                  <c:v>1.9398195792392652</c:v>
                </c:pt>
                <c:pt idx="393">
                  <c:v>1.9918082237002634</c:v>
                </c:pt>
                <c:pt idx="394">
                  <c:v>1.9695684806576286</c:v>
                </c:pt>
                <c:pt idx="395">
                  <c:v>1.9636954957426571</c:v>
                </c:pt>
                <c:pt idx="396">
                  <c:v>1.94982050455933</c:v>
                </c:pt>
                <c:pt idx="397">
                  <c:v>2.0385534086699812</c:v>
                </c:pt>
                <c:pt idx="398">
                  <c:v>2.0255616505058542</c:v>
                </c:pt>
                <c:pt idx="399">
                  <c:v>2.0392400545301181</c:v>
                </c:pt>
                <c:pt idx="400">
                  <c:v>2.0620620747203513</c:v>
                </c:pt>
                <c:pt idx="401">
                  <c:v>1.9697715603592212</c:v>
                </c:pt>
                <c:pt idx="402">
                  <c:v>1.9720294115453754</c:v>
                </c:pt>
                <c:pt idx="403">
                  <c:v>1.9469976887505542</c:v>
                </c:pt>
                <c:pt idx="404">
                  <c:v>1.9921094347449892</c:v>
                </c:pt>
                <c:pt idx="405">
                  <c:v>1.9720294115453754</c:v>
                </c:pt>
                <c:pt idx="406">
                  <c:v>2.0615528128088298</c:v>
                </c:pt>
                <c:pt idx="407">
                  <c:v>1.9725364381932211</c:v>
                </c:pt>
                <c:pt idx="408">
                  <c:v>1.9588772294352701</c:v>
                </c:pt>
                <c:pt idx="409">
                  <c:v>2.0498048687619024</c:v>
                </c:pt>
                <c:pt idx="410">
                  <c:v>2.0448227307030797</c:v>
                </c:pt>
                <c:pt idx="411">
                  <c:v>1.9473315074737534</c:v>
                </c:pt>
                <c:pt idx="412">
                  <c:v>2.0357062656483622</c:v>
                </c:pt>
                <c:pt idx="413">
                  <c:v>2.0171762441591463</c:v>
                </c:pt>
                <c:pt idx="414">
                  <c:v>2.0235859260234048</c:v>
                </c:pt>
                <c:pt idx="415">
                  <c:v>1.9961963831246663</c:v>
                </c:pt>
                <c:pt idx="416">
                  <c:v>1.915097908724251</c:v>
                </c:pt>
                <c:pt idx="417">
                  <c:v>2.0706762180505187</c:v>
                </c:pt>
                <c:pt idx="418">
                  <c:v>1.9089525923919639</c:v>
                </c:pt>
                <c:pt idx="419">
                  <c:v>1.9664434901618708</c:v>
                </c:pt>
                <c:pt idx="420">
                  <c:v>2.0412986062798359</c:v>
                </c:pt>
                <c:pt idx="421">
                  <c:v>1.9991248085099642</c:v>
                </c:pt>
                <c:pt idx="422">
                  <c:v>1.9620907216538179</c:v>
                </c:pt>
                <c:pt idx="423">
                  <c:v>1.9960210419732554</c:v>
                </c:pt>
                <c:pt idx="424">
                  <c:v>1.969771560359221</c:v>
                </c:pt>
                <c:pt idx="425">
                  <c:v>1.9789138435010252</c:v>
                </c:pt>
                <c:pt idx="426">
                  <c:v>2.0155644370746373</c:v>
                </c:pt>
                <c:pt idx="427">
                  <c:v>2.049414550548522</c:v>
                </c:pt>
                <c:pt idx="428">
                  <c:v>2.0264747716169573</c:v>
                </c:pt>
              </c:numCache>
            </c:numRef>
          </c:xVal>
          <c:yVal>
            <c:numRef>
              <c:f>'HT 2017-07-05 BIG JIM'!$BY$287:$BY$715</c:f>
              <c:numCache>
                <c:formatCode>General</c:formatCode>
                <c:ptCount val="42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D4-4425-A216-B954963DB340}"/>
            </c:ext>
          </c:extLst>
        </c:ser>
        <c:ser>
          <c:idx val="2"/>
          <c:order val="3"/>
          <c:tx>
            <c:strRef>
              <c:f>'HT 2017-07-05 BIG JIM'!#REF!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JIM'!$G$329:$G$715</c:f>
              <c:numCache>
                <c:formatCode>General</c:formatCode>
                <c:ptCount val="387"/>
                <c:pt idx="0">
                  <c:v>2.3259406699226011</c:v>
                </c:pt>
                <c:pt idx="1">
                  <c:v>2.4226638231500468</c:v>
                </c:pt>
                <c:pt idx="2">
                  <c:v>2.4062626623043464</c:v>
                </c:pt>
                <c:pt idx="3">
                  <c:v>2.3837994882120435</c:v>
                </c:pt>
                <c:pt idx="4">
                  <c:v>2.4524681445433703</c:v>
                </c:pt>
                <c:pt idx="5">
                  <c:v>2.4645689278249048</c:v>
                </c:pt>
                <c:pt idx="6">
                  <c:v>2.4242318370980938</c:v>
                </c:pt>
                <c:pt idx="7">
                  <c:v>2.4880916381837705</c:v>
                </c:pt>
                <c:pt idx="8">
                  <c:v>2.3881373494839027</c:v>
                </c:pt>
                <c:pt idx="9">
                  <c:v>2.4018534509832192</c:v>
                </c:pt>
                <c:pt idx="10">
                  <c:v>2.4449948875202172</c:v>
                </c:pt>
                <c:pt idx="11">
                  <c:v>2.5147763320025107</c:v>
                </c:pt>
                <c:pt idx="12">
                  <c:v>2.4377243486497813</c:v>
                </c:pt>
                <c:pt idx="13">
                  <c:v>2.3537204591879641</c:v>
                </c:pt>
                <c:pt idx="14">
                  <c:v>2.4420483205702546</c:v>
                </c:pt>
                <c:pt idx="15">
                  <c:v>2.5026585863836881</c:v>
                </c:pt>
                <c:pt idx="16">
                  <c:v>2.3942639787625759</c:v>
                </c:pt>
                <c:pt idx="17">
                  <c:v>2.4973586046060747</c:v>
                </c:pt>
                <c:pt idx="18">
                  <c:v>2.3728674636397202</c:v>
                </c:pt>
                <c:pt idx="19">
                  <c:v>2.4105808428675441</c:v>
                </c:pt>
                <c:pt idx="20">
                  <c:v>2.3847222060441338</c:v>
                </c:pt>
                <c:pt idx="21">
                  <c:v>2.4520399670478454</c:v>
                </c:pt>
                <c:pt idx="22">
                  <c:v>2.4687648733729177</c:v>
                </c:pt>
                <c:pt idx="23">
                  <c:v>2.3713498265755728</c:v>
                </c:pt>
                <c:pt idx="24">
                  <c:v>2.4166091947189146</c:v>
                </c:pt>
                <c:pt idx="25">
                  <c:v>2.4798790293076798</c:v>
                </c:pt>
                <c:pt idx="26">
                  <c:v>2.4301646034785378</c:v>
                </c:pt>
                <c:pt idx="27">
                  <c:v>2.4439517180173591</c:v>
                </c:pt>
                <c:pt idx="28">
                  <c:v>2.3085276693165282</c:v>
                </c:pt>
                <c:pt idx="29">
                  <c:v>2.4644877763949244</c:v>
                </c:pt>
                <c:pt idx="30">
                  <c:v>2.3754157530840785</c:v>
                </c:pt>
                <c:pt idx="31">
                  <c:v>2.346912865872953</c:v>
                </c:pt>
                <c:pt idx="32">
                  <c:v>2.4500000000000002</c:v>
                </c:pt>
                <c:pt idx="33">
                  <c:v>2.4311519903124119</c:v>
                </c:pt>
                <c:pt idx="34">
                  <c:v>2.3120986138138657</c:v>
                </c:pt>
                <c:pt idx="35">
                  <c:v>2.3394016328967542</c:v>
                </c:pt>
                <c:pt idx="36">
                  <c:v>2.542380773999048</c:v>
                </c:pt>
                <c:pt idx="37">
                  <c:v>2.4085265205099984</c:v>
                </c:pt>
                <c:pt idx="38">
                  <c:v>2.4008540147205952</c:v>
                </c:pt>
                <c:pt idx="39">
                  <c:v>2.5249158401816092</c:v>
                </c:pt>
                <c:pt idx="40">
                  <c:v>2.3914012628582433</c:v>
                </c:pt>
                <c:pt idx="41">
                  <c:v>2.4212806528777282</c:v>
                </c:pt>
                <c:pt idx="42">
                  <c:v>2.4480400323524125</c:v>
                </c:pt>
                <c:pt idx="43">
                  <c:v>2.5145377308761945</c:v>
                </c:pt>
                <c:pt idx="44">
                  <c:v>2.358664876577425</c:v>
                </c:pt>
                <c:pt idx="45">
                  <c:v>2.3995416228938393</c:v>
                </c:pt>
                <c:pt idx="46">
                  <c:v>2.4318717071424638</c:v>
                </c:pt>
                <c:pt idx="47">
                  <c:v>2.3120553626589482</c:v>
                </c:pt>
                <c:pt idx="48">
                  <c:v>2.3653540961133075</c:v>
                </c:pt>
                <c:pt idx="49">
                  <c:v>2.2998478210525151</c:v>
                </c:pt>
                <c:pt idx="50">
                  <c:v>2.3769728648009427</c:v>
                </c:pt>
                <c:pt idx="51">
                  <c:v>2.3097185975785015</c:v>
                </c:pt>
                <c:pt idx="52">
                  <c:v>2.2821262015935928</c:v>
                </c:pt>
                <c:pt idx="53">
                  <c:v>2.4206197553519222</c:v>
                </c:pt>
                <c:pt idx="54">
                  <c:v>2.3097185975785015</c:v>
                </c:pt>
                <c:pt idx="55">
                  <c:v>2.4340295807569801</c:v>
                </c:pt>
                <c:pt idx="56">
                  <c:v>2.3564804263986581</c:v>
                </c:pt>
                <c:pt idx="57">
                  <c:v>2.4047037239543672</c:v>
                </c:pt>
                <c:pt idx="58">
                  <c:v>2.4422940035957996</c:v>
                </c:pt>
                <c:pt idx="59">
                  <c:v>2.2722015755649854</c:v>
                </c:pt>
                <c:pt idx="60">
                  <c:v>2.3415593095200471</c:v>
                </c:pt>
                <c:pt idx="61">
                  <c:v>2.3569683918118209</c:v>
                </c:pt>
                <c:pt idx="62">
                  <c:v>2.3355513267749011</c:v>
                </c:pt>
                <c:pt idx="63">
                  <c:v>2.3152537657889685</c:v>
                </c:pt>
                <c:pt idx="64">
                  <c:v>2.3566925976885487</c:v>
                </c:pt>
                <c:pt idx="65">
                  <c:v>2.3759208741033442</c:v>
                </c:pt>
                <c:pt idx="66">
                  <c:v>2.3815961034566713</c:v>
                </c:pt>
                <c:pt idx="67">
                  <c:v>2.5166843266488548</c:v>
                </c:pt>
                <c:pt idx="68">
                  <c:v>2.5787787807409925</c:v>
                </c:pt>
                <c:pt idx="69">
                  <c:v>2.5405511213120664</c:v>
                </c:pt>
                <c:pt idx="70">
                  <c:v>2.5556603843233945</c:v>
                </c:pt>
                <c:pt idx="71">
                  <c:v>2.54939208439973</c:v>
                </c:pt>
                <c:pt idx="72">
                  <c:v>2.4906224121692957</c:v>
                </c:pt>
                <c:pt idx="73">
                  <c:v>2.49897979183506</c:v>
                </c:pt>
                <c:pt idx="74">
                  <c:v>2.5111352014576998</c:v>
                </c:pt>
                <c:pt idx="75">
                  <c:v>2.5770137756713685</c:v>
                </c:pt>
                <c:pt idx="76">
                  <c:v>2.5379716310471241</c:v>
                </c:pt>
                <c:pt idx="77">
                  <c:v>2.5880108191427635</c:v>
                </c:pt>
                <c:pt idx="78">
                  <c:v>2.5111352014576998</c:v>
                </c:pt>
                <c:pt idx="79">
                  <c:v>2.5347583711273152</c:v>
                </c:pt>
                <c:pt idx="80">
                  <c:v>2.5609568524284043</c:v>
                </c:pt>
                <c:pt idx="81">
                  <c:v>2.5331403435261928</c:v>
                </c:pt>
                <c:pt idx="82">
                  <c:v>2.5133443854752575</c:v>
                </c:pt>
                <c:pt idx="83">
                  <c:v>2.610785322465254</c:v>
                </c:pt>
                <c:pt idx="84">
                  <c:v>2.5244801445050031</c:v>
                </c:pt>
                <c:pt idx="85">
                  <c:v>2.4819548746905129</c:v>
                </c:pt>
                <c:pt idx="86">
                  <c:v>2.5143587651725441</c:v>
                </c:pt>
                <c:pt idx="87">
                  <c:v>2.449693858423946</c:v>
                </c:pt>
                <c:pt idx="88">
                  <c:v>2.4684408034222738</c:v>
                </c:pt>
                <c:pt idx="89">
                  <c:v>2.4906424873915567</c:v>
                </c:pt>
                <c:pt idx="90">
                  <c:v>2.4933912649241394</c:v>
                </c:pt>
                <c:pt idx="91">
                  <c:v>2.4528350943347172</c:v>
                </c:pt>
                <c:pt idx="92">
                  <c:v>2.5044959572736389</c:v>
                </c:pt>
                <c:pt idx="93">
                  <c:v>2.4520399670478459</c:v>
                </c:pt>
                <c:pt idx="94">
                  <c:v>2.5026585863836881</c:v>
                </c:pt>
                <c:pt idx="95">
                  <c:v>2.5572641631243336</c:v>
                </c:pt>
                <c:pt idx="96">
                  <c:v>2.4850955716028307</c:v>
                </c:pt>
                <c:pt idx="97">
                  <c:v>2.5314027731674784</c:v>
                </c:pt>
                <c:pt idx="98">
                  <c:v>2.5184916120567085</c:v>
                </c:pt>
                <c:pt idx="99">
                  <c:v>2.5183526361492743</c:v>
                </c:pt>
                <c:pt idx="100">
                  <c:v>2.5253910588263357</c:v>
                </c:pt>
                <c:pt idx="101">
                  <c:v>2.5158895047279004</c:v>
                </c:pt>
                <c:pt idx="102">
                  <c:v>2.5128469909646309</c:v>
                </c:pt>
                <c:pt idx="103">
                  <c:v>2.4370679104202249</c:v>
                </c:pt>
                <c:pt idx="104">
                  <c:v>2.4911041728518697</c:v>
                </c:pt>
                <c:pt idx="105">
                  <c:v>2.5824213443975403</c:v>
                </c:pt>
                <c:pt idx="106">
                  <c:v>2.5072694310743713</c:v>
                </c:pt>
                <c:pt idx="107">
                  <c:v>2.5433245958783943</c:v>
                </c:pt>
                <c:pt idx="108">
                  <c:v>2.5238858928247923</c:v>
                </c:pt>
                <c:pt idx="109">
                  <c:v>2.5471749056552833</c:v>
                </c:pt>
                <c:pt idx="110">
                  <c:v>2.5962472917655592</c:v>
                </c:pt>
                <c:pt idx="111">
                  <c:v>2.5460754112948027</c:v>
                </c:pt>
                <c:pt idx="112">
                  <c:v>2.5460754112948027</c:v>
                </c:pt>
                <c:pt idx="113">
                  <c:v>2.5674306222369476</c:v>
                </c:pt>
                <c:pt idx="114">
                  <c:v>2.5211505310076192</c:v>
                </c:pt>
                <c:pt idx="115">
                  <c:v>2.4989797918350605</c:v>
                </c:pt>
                <c:pt idx="116">
                  <c:v>2.5726639889422018</c:v>
                </c:pt>
                <c:pt idx="117">
                  <c:v>2.5690854403853525</c:v>
                </c:pt>
                <c:pt idx="118">
                  <c:v>2.5355867171130235</c:v>
                </c:pt>
                <c:pt idx="119">
                  <c:v>2.5599414055794325</c:v>
                </c:pt>
                <c:pt idx="120">
                  <c:v>2.5711087102648928</c:v>
                </c:pt>
                <c:pt idx="121">
                  <c:v>2.5879142180528318</c:v>
                </c:pt>
                <c:pt idx="122">
                  <c:v>2.5748980562344599</c:v>
                </c:pt>
                <c:pt idx="123">
                  <c:v>2.5547798339583001</c:v>
                </c:pt>
                <c:pt idx="124">
                  <c:v>2.5006399181009651</c:v>
                </c:pt>
                <c:pt idx="125">
                  <c:v>2.5193848455525805</c:v>
                </c:pt>
                <c:pt idx="126">
                  <c:v>2.5439536159293472</c:v>
                </c:pt>
                <c:pt idx="127">
                  <c:v>2.5547798339583001</c:v>
                </c:pt>
                <c:pt idx="128">
                  <c:v>2.5312447530809821</c:v>
                </c:pt>
                <c:pt idx="129">
                  <c:v>2.5001799935204669</c:v>
                </c:pt>
                <c:pt idx="130">
                  <c:v>2.5853626438084079</c:v>
                </c:pt>
                <c:pt idx="131">
                  <c:v>2.584027863626861</c:v>
                </c:pt>
                <c:pt idx="132">
                  <c:v>2.6299239532731744</c:v>
                </c:pt>
                <c:pt idx="133">
                  <c:v>2.5707780923292467</c:v>
                </c:pt>
                <c:pt idx="134">
                  <c:v>2.5039169315294783</c:v>
                </c:pt>
                <c:pt idx="135">
                  <c:v>2.5518032839543099</c:v>
                </c:pt>
                <c:pt idx="136">
                  <c:v>2.6224606765402605</c:v>
                </c:pt>
                <c:pt idx="137">
                  <c:v>2.5403149411047439</c:v>
                </c:pt>
                <c:pt idx="138">
                  <c:v>2.5045957757690163</c:v>
                </c:pt>
                <c:pt idx="139">
                  <c:v>2.5092827660508887</c:v>
                </c:pt>
                <c:pt idx="140">
                  <c:v>2.5897104085206131</c:v>
                </c:pt>
                <c:pt idx="141">
                  <c:v>2.5144581921360314</c:v>
                </c:pt>
                <c:pt idx="142">
                  <c:v>2.4465894629054543</c:v>
                </c:pt>
                <c:pt idx="143">
                  <c:v>2.5147763320025103</c:v>
                </c:pt>
                <c:pt idx="144">
                  <c:v>2.4200206610688264</c:v>
                </c:pt>
                <c:pt idx="145">
                  <c:v>2.510019920239678</c:v>
                </c:pt>
                <c:pt idx="146">
                  <c:v>2.5494509212769718</c:v>
                </c:pt>
                <c:pt idx="147">
                  <c:v>2.5147763320025103</c:v>
                </c:pt>
                <c:pt idx="148">
                  <c:v>2.5601953050499877</c:v>
                </c:pt>
                <c:pt idx="149">
                  <c:v>2.6670020622414223</c:v>
                </c:pt>
                <c:pt idx="150">
                  <c:v>2.6532432983049259</c:v>
                </c:pt>
                <c:pt idx="151">
                  <c:v>2.5188290930509756</c:v>
                </c:pt>
                <c:pt idx="152">
                  <c:v>2.5292291315734921</c:v>
                </c:pt>
                <c:pt idx="153">
                  <c:v>2.5059928172283334</c:v>
                </c:pt>
                <c:pt idx="154">
                  <c:v>2.5536836139193126</c:v>
                </c:pt>
                <c:pt idx="155">
                  <c:v>2.6016341018675164</c:v>
                </c:pt>
                <c:pt idx="156">
                  <c:v>2.6564638149238924</c:v>
                </c:pt>
                <c:pt idx="157">
                  <c:v>2.6513770007299979</c:v>
                </c:pt>
                <c:pt idx="158">
                  <c:v>2.5895559464896678</c:v>
                </c:pt>
                <c:pt idx="159">
                  <c:v>2.7220764133286188</c:v>
                </c:pt>
                <c:pt idx="160">
                  <c:v>2.5437374078312405</c:v>
                </c:pt>
                <c:pt idx="161">
                  <c:v>2.6102107194630859</c:v>
                </c:pt>
                <c:pt idx="162">
                  <c:v>2.5935689695861184</c:v>
                </c:pt>
                <c:pt idx="163">
                  <c:v>2.5457808232446091</c:v>
                </c:pt>
                <c:pt idx="164">
                  <c:v>2.5352711886502401</c:v>
                </c:pt>
                <c:pt idx="165">
                  <c:v>2.6172504656604798</c:v>
                </c:pt>
                <c:pt idx="166">
                  <c:v>2.6629307163349178</c:v>
                </c:pt>
                <c:pt idx="167">
                  <c:v>2.5079872407968904</c:v>
                </c:pt>
                <c:pt idx="168">
                  <c:v>2.6102107194630859</c:v>
                </c:pt>
                <c:pt idx="169">
                  <c:v>2.5515681452785071</c:v>
                </c:pt>
                <c:pt idx="170">
                  <c:v>2.5026585863836881</c:v>
                </c:pt>
                <c:pt idx="171">
                  <c:v>2.6332679316772909</c:v>
                </c:pt>
                <c:pt idx="172">
                  <c:v>2.5516269319788893</c:v>
                </c:pt>
                <c:pt idx="173">
                  <c:v>2.5899034731047412</c:v>
                </c:pt>
                <c:pt idx="174">
                  <c:v>2.5073093147834791</c:v>
                </c:pt>
                <c:pt idx="175">
                  <c:v>2.5949373788205374</c:v>
                </c:pt>
                <c:pt idx="176">
                  <c:v>2.6840454541605663</c:v>
                </c:pt>
                <c:pt idx="177">
                  <c:v>2.619255619446105</c:v>
                </c:pt>
                <c:pt idx="178">
                  <c:v>2.5428330656966063</c:v>
                </c:pt>
                <c:pt idx="179">
                  <c:v>2.6046496885377888</c:v>
                </c:pt>
                <c:pt idx="180">
                  <c:v>2.5267568145747621</c:v>
                </c:pt>
                <c:pt idx="181">
                  <c:v>2.4709512338368804</c:v>
                </c:pt>
                <c:pt idx="182">
                  <c:v>2.6043233286210836</c:v>
                </c:pt>
                <c:pt idx="183">
                  <c:v>2.5451522547776979</c:v>
                </c:pt>
                <c:pt idx="184">
                  <c:v>2.581259382549534</c:v>
                </c:pt>
                <c:pt idx="185">
                  <c:v>2.5280031645549816</c:v>
                </c:pt>
                <c:pt idx="186">
                  <c:v>2.6565579233286067</c:v>
                </c:pt>
                <c:pt idx="187">
                  <c:v>2.6225560051217207</c:v>
                </c:pt>
                <c:pt idx="188">
                  <c:v>2.5515681452785071</c:v>
                </c:pt>
                <c:pt idx="189">
                  <c:v>2.5347583711273156</c:v>
                </c:pt>
                <c:pt idx="190">
                  <c:v>2.5341073379002714</c:v>
                </c:pt>
                <c:pt idx="191">
                  <c:v>2.5350542400508909</c:v>
                </c:pt>
                <c:pt idx="192">
                  <c:v>2.5536836139193126</c:v>
                </c:pt>
                <c:pt idx="193">
                  <c:v>2.4560537453402764</c:v>
                </c:pt>
                <c:pt idx="194">
                  <c:v>2.6050911692299756</c:v>
                </c:pt>
                <c:pt idx="195">
                  <c:v>2.5179356624028344</c:v>
                </c:pt>
                <c:pt idx="196">
                  <c:v>2.6239092972128439</c:v>
                </c:pt>
                <c:pt idx="197">
                  <c:v>2.522320360303187</c:v>
                </c:pt>
                <c:pt idx="198">
                  <c:v>2.6153584840323516</c:v>
                </c:pt>
                <c:pt idx="199">
                  <c:v>2.5556603843233945</c:v>
                </c:pt>
                <c:pt idx="200">
                  <c:v>2.5133443854752575</c:v>
                </c:pt>
                <c:pt idx="201">
                  <c:v>2.6436716891475007</c:v>
                </c:pt>
                <c:pt idx="202">
                  <c:v>2.5366316248127161</c:v>
                </c:pt>
                <c:pt idx="203">
                  <c:v>2.6109385285755007</c:v>
                </c:pt>
                <c:pt idx="204">
                  <c:v>2.5988074187980916</c:v>
                </c:pt>
                <c:pt idx="205">
                  <c:v>2.5283393759541064</c:v>
                </c:pt>
                <c:pt idx="206">
                  <c:v>2.5292291315734921</c:v>
                </c:pt>
                <c:pt idx="207">
                  <c:v>2.4720234626718254</c:v>
                </c:pt>
                <c:pt idx="208">
                  <c:v>2.5741989045137905</c:v>
                </c:pt>
                <c:pt idx="209">
                  <c:v>2.5800775182152957</c:v>
                </c:pt>
                <c:pt idx="210">
                  <c:v>2.5524889813670106</c:v>
                </c:pt>
                <c:pt idx="211">
                  <c:v>2.6330400680582131</c:v>
                </c:pt>
                <c:pt idx="212">
                  <c:v>2.4605893602956184</c:v>
                </c:pt>
                <c:pt idx="213">
                  <c:v>2.5916982849089516</c:v>
                </c:pt>
                <c:pt idx="214">
                  <c:v>2.5292291315734921</c:v>
                </c:pt>
                <c:pt idx="215">
                  <c:v>2.6284025566872358</c:v>
                </c:pt>
                <c:pt idx="216">
                  <c:v>2.5316002844051031</c:v>
                </c:pt>
                <c:pt idx="217">
                  <c:v>2.5537815098398688</c:v>
                </c:pt>
                <c:pt idx="218">
                  <c:v>2.4935316320431955</c:v>
                </c:pt>
                <c:pt idx="219">
                  <c:v>2.5633766793040778</c:v>
                </c:pt>
                <c:pt idx="220">
                  <c:v>2.4742675683927153</c:v>
                </c:pt>
                <c:pt idx="221">
                  <c:v>2.5294465797877606</c:v>
                </c:pt>
                <c:pt idx="222">
                  <c:v>2.5556603843233945</c:v>
                </c:pt>
                <c:pt idx="223">
                  <c:v>2.4696963376091401</c:v>
                </c:pt>
                <c:pt idx="224">
                  <c:v>2.5879142180528318</c:v>
                </c:pt>
                <c:pt idx="225">
                  <c:v>2.5694357357209774</c:v>
                </c:pt>
                <c:pt idx="226">
                  <c:v>2.4404302899283969</c:v>
                </c:pt>
                <c:pt idx="227">
                  <c:v>2.4520399670478459</c:v>
                </c:pt>
                <c:pt idx="228">
                  <c:v>2.6035744659986202</c:v>
                </c:pt>
                <c:pt idx="229">
                  <c:v>2.5656188337319321</c:v>
                </c:pt>
                <c:pt idx="230">
                  <c:v>2.5526456863419176</c:v>
                </c:pt>
                <c:pt idx="231">
                  <c:v>2.4742675683927149</c:v>
                </c:pt>
                <c:pt idx="232">
                  <c:v>2.5026585863836881</c:v>
                </c:pt>
                <c:pt idx="233">
                  <c:v>2.5794766911139164</c:v>
                </c:pt>
                <c:pt idx="234">
                  <c:v>2.5849564793241684</c:v>
                </c:pt>
                <c:pt idx="235">
                  <c:v>2.5107767722360346</c:v>
                </c:pt>
                <c:pt idx="236">
                  <c:v>2.4992999019725506</c:v>
                </c:pt>
                <c:pt idx="237">
                  <c:v>2.5156311335328949</c:v>
                </c:pt>
                <c:pt idx="238">
                  <c:v>2.5347583711273152</c:v>
                </c:pt>
                <c:pt idx="239">
                  <c:v>2.6076809620810595</c:v>
                </c:pt>
                <c:pt idx="240">
                  <c:v>2.5452701231892854</c:v>
                </c:pt>
                <c:pt idx="241">
                  <c:v>2.6034592372457075</c:v>
                </c:pt>
                <c:pt idx="242">
                  <c:v>2.6102107194630855</c:v>
                </c:pt>
                <c:pt idx="243">
                  <c:v>2.5715753926338616</c:v>
                </c:pt>
                <c:pt idx="244">
                  <c:v>2.5020391683584813</c:v>
                </c:pt>
                <c:pt idx="245">
                  <c:v>2.4285386552410482</c:v>
                </c:pt>
                <c:pt idx="246">
                  <c:v>2.5489213404889526</c:v>
                </c:pt>
                <c:pt idx="247">
                  <c:v>2.4577225229874915</c:v>
                </c:pt>
                <c:pt idx="248">
                  <c:v>2.5489213404889526</c:v>
                </c:pt>
                <c:pt idx="249">
                  <c:v>2.4987396823198691</c:v>
                </c:pt>
                <c:pt idx="250">
                  <c:v>2.5536836139193122</c:v>
                </c:pt>
                <c:pt idx="251">
                  <c:v>2.5599414055794325</c:v>
                </c:pt>
                <c:pt idx="252">
                  <c:v>2.4602845363900494</c:v>
                </c:pt>
                <c:pt idx="253">
                  <c:v>2.5439536159293472</c:v>
                </c:pt>
                <c:pt idx="254">
                  <c:v>2.5366316248127165</c:v>
                </c:pt>
                <c:pt idx="255">
                  <c:v>2.520495982936692</c:v>
                </c:pt>
                <c:pt idx="256">
                  <c:v>2.4920874784003875</c:v>
                </c:pt>
                <c:pt idx="257">
                  <c:v>2.5992498917957079</c:v>
                </c:pt>
                <c:pt idx="258">
                  <c:v>2.5072694310743713</c:v>
                </c:pt>
                <c:pt idx="259">
                  <c:v>2.5451522547776979</c:v>
                </c:pt>
                <c:pt idx="260">
                  <c:v>2.411514047232568</c:v>
                </c:pt>
                <c:pt idx="261">
                  <c:v>2.4935917869611295</c:v>
                </c:pt>
                <c:pt idx="262">
                  <c:v>2.4541597340026584</c:v>
                </c:pt>
                <c:pt idx="263">
                  <c:v>2.4581497106563708</c:v>
                </c:pt>
                <c:pt idx="264">
                  <c:v>2.4473863609981974</c:v>
                </c:pt>
                <c:pt idx="265">
                  <c:v>2.4214252001662162</c:v>
                </c:pt>
                <c:pt idx="266">
                  <c:v>2.5266974492408067</c:v>
                </c:pt>
                <c:pt idx="267">
                  <c:v>2.3434376458527764</c:v>
                </c:pt>
                <c:pt idx="268">
                  <c:v>1.9672569735548024</c:v>
                </c:pt>
                <c:pt idx="269">
                  <c:v>2.0416659863944449</c:v>
                </c:pt>
                <c:pt idx="270">
                  <c:v>1.9241881404893857</c:v>
                </c:pt>
                <c:pt idx="271">
                  <c:v>2.0225231766286389</c:v>
                </c:pt>
                <c:pt idx="272">
                  <c:v>1.9604081207748556</c:v>
                </c:pt>
                <c:pt idx="273">
                  <c:v>1.9918082237002634</c:v>
                </c:pt>
                <c:pt idx="274">
                  <c:v>2.0368603290358425</c:v>
                </c:pt>
                <c:pt idx="275">
                  <c:v>1.895521036549054</c:v>
                </c:pt>
                <c:pt idx="276">
                  <c:v>2.0368603290358425</c:v>
                </c:pt>
                <c:pt idx="277">
                  <c:v>2.0525106577067995</c:v>
                </c:pt>
                <c:pt idx="278">
                  <c:v>1.9887936041731427</c:v>
                </c:pt>
                <c:pt idx="279">
                  <c:v>2.0169779374103229</c:v>
                </c:pt>
                <c:pt idx="280">
                  <c:v>1.946175737183053</c:v>
                </c:pt>
                <c:pt idx="281">
                  <c:v>1.9856485086741811</c:v>
                </c:pt>
                <c:pt idx="282">
                  <c:v>1.9895728184713419</c:v>
                </c:pt>
                <c:pt idx="283">
                  <c:v>2.0193315725754397</c:v>
                </c:pt>
                <c:pt idx="284">
                  <c:v>1.9996499693696395</c:v>
                </c:pt>
                <c:pt idx="285">
                  <c:v>2.0064396327824068</c:v>
                </c:pt>
                <c:pt idx="286">
                  <c:v>2.0008498194517248</c:v>
                </c:pt>
                <c:pt idx="287">
                  <c:v>1.8989734068701436</c:v>
                </c:pt>
                <c:pt idx="288">
                  <c:v>2.0183656754909403</c:v>
                </c:pt>
                <c:pt idx="289">
                  <c:v>1.960229578391266</c:v>
                </c:pt>
                <c:pt idx="290">
                  <c:v>1.9018412131405713</c:v>
                </c:pt>
                <c:pt idx="291">
                  <c:v>1.8917980864775186</c:v>
                </c:pt>
                <c:pt idx="292">
                  <c:v>1.9119100397246727</c:v>
                </c:pt>
                <c:pt idx="293">
                  <c:v>1.9833809518093088</c:v>
                </c:pt>
                <c:pt idx="294">
                  <c:v>1.9601020381602585</c:v>
                </c:pt>
                <c:pt idx="295">
                  <c:v>2.0392400545301181</c:v>
                </c:pt>
                <c:pt idx="296">
                  <c:v>1.9190883252211191</c:v>
                </c:pt>
                <c:pt idx="297">
                  <c:v>1.9739554199626697</c:v>
                </c:pt>
                <c:pt idx="298">
                  <c:v>1.966443490161871</c:v>
                </c:pt>
                <c:pt idx="299">
                  <c:v>2.04</c:v>
                </c:pt>
                <c:pt idx="300">
                  <c:v>1.9550959055759898</c:v>
                </c:pt>
                <c:pt idx="301">
                  <c:v>1.9458931111445972</c:v>
                </c:pt>
                <c:pt idx="302">
                  <c:v>1.924811679100062</c:v>
                </c:pt>
                <c:pt idx="303">
                  <c:v>2.0056171120131583</c:v>
                </c:pt>
                <c:pt idx="304">
                  <c:v>1.9299999999999997</c:v>
                </c:pt>
                <c:pt idx="305">
                  <c:v>1.9602295783912658</c:v>
                </c:pt>
                <c:pt idx="306">
                  <c:v>1.9465096968677038</c:v>
                </c:pt>
                <c:pt idx="307">
                  <c:v>1.9553260597659921</c:v>
                </c:pt>
                <c:pt idx="308">
                  <c:v>1.9791412279066898</c:v>
                </c:pt>
                <c:pt idx="309">
                  <c:v>1.9723082923316018</c:v>
                </c:pt>
                <c:pt idx="310">
                  <c:v>1.9795959183631389</c:v>
                </c:pt>
                <c:pt idx="311">
                  <c:v>2.0374493858744072</c:v>
                </c:pt>
                <c:pt idx="312">
                  <c:v>2.005243127403757</c:v>
                </c:pt>
                <c:pt idx="313">
                  <c:v>2.0289159667172023</c:v>
                </c:pt>
                <c:pt idx="314">
                  <c:v>2.0088305055429641</c:v>
                </c:pt>
                <c:pt idx="315">
                  <c:v>2.0207176942858696</c:v>
                </c:pt>
                <c:pt idx="316">
                  <c:v>2.0400980368599937</c:v>
                </c:pt>
                <c:pt idx="317">
                  <c:v>1.9949185447030162</c:v>
                </c:pt>
                <c:pt idx="318">
                  <c:v>1.9553260597659921</c:v>
                </c:pt>
                <c:pt idx="319">
                  <c:v>1.9999999999999998</c:v>
                </c:pt>
                <c:pt idx="320">
                  <c:v>1.9420092687729378</c:v>
                </c:pt>
                <c:pt idx="321">
                  <c:v>1.9677398201998149</c:v>
                </c:pt>
                <c:pt idx="322">
                  <c:v>1.9751708786836644</c:v>
                </c:pt>
                <c:pt idx="323">
                  <c:v>2.0026232796010337</c:v>
                </c:pt>
                <c:pt idx="324">
                  <c:v>1.9694669329541941</c:v>
                </c:pt>
                <c:pt idx="325">
                  <c:v>1.9665706191235541</c:v>
                </c:pt>
                <c:pt idx="326">
                  <c:v>2.0171762441591463</c:v>
                </c:pt>
                <c:pt idx="327">
                  <c:v>2.0026232796010337</c:v>
                </c:pt>
                <c:pt idx="328">
                  <c:v>1.9764867821465439</c:v>
                </c:pt>
                <c:pt idx="329">
                  <c:v>1.9946177578674065</c:v>
                </c:pt>
                <c:pt idx="330">
                  <c:v>2.0092784774639876</c:v>
                </c:pt>
                <c:pt idx="331">
                  <c:v>2.0129580224137809</c:v>
                </c:pt>
                <c:pt idx="332">
                  <c:v>1.9610456394485061</c:v>
                </c:pt>
                <c:pt idx="333">
                  <c:v>1.9729419656948859</c:v>
                </c:pt>
                <c:pt idx="334">
                  <c:v>1.8930662957223656</c:v>
                </c:pt>
                <c:pt idx="335">
                  <c:v>2.0255616505058542</c:v>
                </c:pt>
                <c:pt idx="336">
                  <c:v>2.0205444810743467</c:v>
                </c:pt>
                <c:pt idx="337">
                  <c:v>1.9458931111445974</c:v>
                </c:pt>
                <c:pt idx="338">
                  <c:v>1.9523319389898841</c:v>
                </c:pt>
                <c:pt idx="339">
                  <c:v>2.0441624201613728</c:v>
                </c:pt>
                <c:pt idx="340">
                  <c:v>1.9553260597659918</c:v>
                </c:pt>
                <c:pt idx="341">
                  <c:v>2.0116162655934158</c:v>
                </c:pt>
                <c:pt idx="342">
                  <c:v>1.9513328778042971</c:v>
                </c:pt>
                <c:pt idx="343">
                  <c:v>1.9425756098540929</c:v>
                </c:pt>
                <c:pt idx="344">
                  <c:v>1.8921152184790442</c:v>
                </c:pt>
                <c:pt idx="345">
                  <c:v>1.9142622599842478</c:v>
                </c:pt>
                <c:pt idx="346">
                  <c:v>1.9485892332659542</c:v>
                </c:pt>
                <c:pt idx="347">
                  <c:v>1.9504102132628407</c:v>
                </c:pt>
                <c:pt idx="348">
                  <c:v>1.9949185447030164</c:v>
                </c:pt>
                <c:pt idx="349">
                  <c:v>1.9557607215607946</c:v>
                </c:pt>
                <c:pt idx="350">
                  <c:v>1.9398195792392652</c:v>
                </c:pt>
                <c:pt idx="351">
                  <c:v>1.9918082237002634</c:v>
                </c:pt>
                <c:pt idx="352">
                  <c:v>1.9695684806576286</c:v>
                </c:pt>
                <c:pt idx="353">
                  <c:v>1.9636954957426571</c:v>
                </c:pt>
                <c:pt idx="354">
                  <c:v>1.94982050455933</c:v>
                </c:pt>
                <c:pt idx="355">
                  <c:v>2.0385534086699812</c:v>
                </c:pt>
                <c:pt idx="356">
                  <c:v>2.0255616505058542</c:v>
                </c:pt>
                <c:pt idx="357">
                  <c:v>2.0392400545301181</c:v>
                </c:pt>
                <c:pt idx="358">
                  <c:v>2.0620620747203513</c:v>
                </c:pt>
                <c:pt idx="359">
                  <c:v>1.9697715603592212</c:v>
                </c:pt>
                <c:pt idx="360">
                  <c:v>1.9720294115453754</c:v>
                </c:pt>
                <c:pt idx="361">
                  <c:v>1.9469976887505542</c:v>
                </c:pt>
                <c:pt idx="362">
                  <c:v>1.9921094347449892</c:v>
                </c:pt>
                <c:pt idx="363">
                  <c:v>1.9720294115453754</c:v>
                </c:pt>
                <c:pt idx="364">
                  <c:v>2.0615528128088298</c:v>
                </c:pt>
                <c:pt idx="365">
                  <c:v>1.9725364381932211</c:v>
                </c:pt>
                <c:pt idx="366">
                  <c:v>1.9588772294352701</c:v>
                </c:pt>
                <c:pt idx="367">
                  <c:v>2.0498048687619024</c:v>
                </c:pt>
                <c:pt idx="368">
                  <c:v>2.0448227307030797</c:v>
                </c:pt>
                <c:pt idx="369">
                  <c:v>1.9473315074737534</c:v>
                </c:pt>
                <c:pt idx="370">
                  <c:v>2.0357062656483622</c:v>
                </c:pt>
                <c:pt idx="371">
                  <c:v>2.0171762441591463</c:v>
                </c:pt>
                <c:pt idx="372">
                  <c:v>2.0235859260234048</c:v>
                </c:pt>
                <c:pt idx="373">
                  <c:v>1.9961963831246663</c:v>
                </c:pt>
                <c:pt idx="374">
                  <c:v>1.915097908724251</c:v>
                </c:pt>
                <c:pt idx="375">
                  <c:v>2.0706762180505187</c:v>
                </c:pt>
                <c:pt idx="376">
                  <c:v>1.9089525923919639</c:v>
                </c:pt>
                <c:pt idx="377">
                  <c:v>1.9664434901618708</c:v>
                </c:pt>
                <c:pt idx="378">
                  <c:v>2.0412986062798359</c:v>
                </c:pt>
                <c:pt idx="379">
                  <c:v>1.9991248085099642</c:v>
                </c:pt>
                <c:pt idx="380">
                  <c:v>1.9620907216538179</c:v>
                </c:pt>
                <c:pt idx="381">
                  <c:v>1.9960210419732554</c:v>
                </c:pt>
                <c:pt idx="382">
                  <c:v>1.969771560359221</c:v>
                </c:pt>
                <c:pt idx="383">
                  <c:v>1.9789138435010252</c:v>
                </c:pt>
                <c:pt idx="384">
                  <c:v>2.0155644370746373</c:v>
                </c:pt>
                <c:pt idx="385">
                  <c:v>2.049414550548522</c:v>
                </c:pt>
                <c:pt idx="386">
                  <c:v>2.0264747716169573</c:v>
                </c:pt>
              </c:numCache>
            </c:numRef>
          </c:xVal>
          <c:yVal>
            <c:numRef>
              <c:f>'HT 2017-07-05 BIG JIM'!#REF!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D4-4425-A216-B954963DB340}"/>
            </c:ext>
          </c:extLst>
        </c:ser>
        <c:ser>
          <c:idx val="4"/>
          <c:order val="4"/>
          <c:tx>
            <c:strRef>
              <c:f>'HT 2017-07-05 BIG JIM'!$AL$1</c:f>
              <c:strCache>
                <c:ptCount val="1"/>
                <c:pt idx="0">
                  <c:v>yk4a-f</c:v>
                </c:pt>
              </c:strCache>
            </c:strRef>
          </c:tx>
          <c:spPr>
            <a:ln w="6350" cap="rnd" cmpd="sng" algn="ctr">
              <a:solidFill>
                <a:schemeClr val="accent5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JIM'!$AL$1208:$AL$1214</c:f>
              <c:numCache>
                <c:formatCode>General</c:formatCode>
                <c:ptCount val="7"/>
                <c:pt idx="0">
                  <c:v>1.9065787466860222</c:v>
                </c:pt>
                <c:pt idx="1">
                  <c:v>2.155937719914411</c:v>
                </c:pt>
                <c:pt idx="2">
                  <c:v>2.4028242077631305</c:v>
                </c:pt>
                <c:pt idx="3">
                  <c:v>2.6475347621869014</c:v>
                </c:pt>
                <c:pt idx="4">
                  <c:v>2.8903041700445442</c:v>
                </c:pt>
                <c:pt idx="5">
                  <c:v>3.1313227921955313</c:v>
                </c:pt>
                <c:pt idx="6">
                  <c:v>3.3707479865663168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CD4-4425-A216-B954963DB340}"/>
            </c:ext>
          </c:extLst>
        </c:ser>
        <c:ser>
          <c:idx val="5"/>
          <c:order val="5"/>
          <c:tx>
            <c:strRef>
              <c:f>'HT 2017-07-05 BIG JIM'!$AM$1</c:f>
              <c:strCache>
                <c:ptCount val="1"/>
                <c:pt idx="0">
                  <c:v>yk4b-f</c:v>
                </c:pt>
              </c:strCache>
            </c:strRef>
          </c:tx>
          <c:spPr>
            <a:ln w="6350" cap="rnd" cmpd="sng" algn="ctr">
              <a:solidFill>
                <a:schemeClr val="accent6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JIM'!$AM$1208:$AM$1214</c:f>
              <c:numCache>
                <c:formatCode>General</c:formatCode>
                <c:ptCount val="7"/>
                <c:pt idx="0">
                  <c:v>1.947756820933304</c:v>
                </c:pt>
                <c:pt idx="1">
                  <c:v>2.1853303413493745</c:v>
                </c:pt>
                <c:pt idx="2">
                  <c:v>2.4188261943519143</c:v>
                </c:pt>
                <c:pt idx="3">
                  <c:v>2.6487583336146692</c:v>
                </c:pt>
                <c:pt idx="4">
                  <c:v>2.8755309800081936</c:v>
                </c:pt>
                <c:pt idx="5">
                  <c:v>3.0994699259072833</c:v>
                </c:pt>
                <c:pt idx="6">
                  <c:v>3.3208430330634275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CD4-4425-A216-B954963DB340}"/>
            </c:ext>
          </c:extLst>
        </c:ser>
        <c:ser>
          <c:idx val="10"/>
          <c:order val="6"/>
          <c:tx>
            <c:strRef>
              <c:f>'HT 2017-07-05 BIG JIM'!$AR$1</c:f>
              <c:strCache>
                <c:ptCount val="1"/>
                <c:pt idx="0">
                  <c:v>yl4a-f</c:v>
                </c:pt>
              </c:strCache>
            </c:strRef>
          </c:tx>
          <c:spPr>
            <a:ln w="6350" cap="rnd" cmpd="sng" algn="ctr">
              <a:solidFill>
                <a:schemeClr val="accent5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JIM'!$AR$1208:$AR$1214</c:f>
              <c:numCache>
                <c:formatCode>General</c:formatCode>
                <c:ptCount val="7"/>
                <c:pt idx="0">
                  <c:v>1.8240573300430722</c:v>
                </c:pt>
                <c:pt idx="1">
                  <c:v>2.1115294507295603</c:v>
                </c:pt>
                <c:pt idx="2">
                  <c:v>2.4024804022542758</c:v>
                </c:pt>
                <c:pt idx="3">
                  <c:v>2.6965573246586563</c:v>
                </c:pt>
                <c:pt idx="4">
                  <c:v>2.9934752561389857</c:v>
                </c:pt>
                <c:pt idx="5">
                  <c:v>3.2929990084079872</c:v>
                </c:pt>
                <c:pt idx="6">
                  <c:v>3.5949310060579536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CD4-4425-A216-B954963DB340}"/>
            </c:ext>
          </c:extLst>
        </c:ser>
        <c:ser>
          <c:idx val="11"/>
          <c:order val="7"/>
          <c:tx>
            <c:strRef>
              <c:f>'HT 2017-07-05 BIG JIM'!$AS$1</c:f>
              <c:strCache>
                <c:ptCount val="1"/>
                <c:pt idx="0">
                  <c:v>yl4b-f</c:v>
                </c:pt>
              </c:strCache>
            </c:strRef>
          </c:tx>
          <c:spPr>
            <a:ln w="6350" cap="rnd" cmpd="sng" algn="ctr">
              <a:solidFill>
                <a:schemeClr val="accent6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JIM'!$AS$1208:$AS$1214</c:f>
              <c:numCache>
                <c:formatCode>General</c:formatCode>
                <c:ptCount val="7"/>
                <c:pt idx="0">
                  <c:v>1.8374231204480533</c:v>
                </c:pt>
                <c:pt idx="1">
                  <c:v>2.1270493203025187</c:v>
                </c:pt>
                <c:pt idx="2">
                  <c:v>2.4201865771665716</c:v>
                </c:pt>
                <c:pt idx="3">
                  <c:v>2.7164788250818557</c:v>
                </c:pt>
                <c:pt idx="4">
                  <c:v>3.015638507706166</c:v>
                </c:pt>
                <c:pt idx="5">
                  <c:v>3.3174282913629543</c:v>
                </c:pt>
                <c:pt idx="6">
                  <c:v>3.6216487952880501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CD4-4425-A216-B954963DB340}"/>
            </c:ext>
          </c:extLst>
        </c:ser>
        <c:ser>
          <c:idx val="16"/>
          <c:order val="8"/>
          <c:tx>
            <c:strRef>
              <c:f>'HT 2017-07-05 BIG JIM'!$AX$1</c:f>
              <c:strCache>
                <c:ptCount val="1"/>
                <c:pt idx="0">
                  <c:v>yn6a-f</c:v>
                </c:pt>
              </c:strCache>
            </c:strRef>
          </c:tx>
          <c:spPr>
            <a:ln w="6350" cap="rnd" cmpd="sng" algn="ctr">
              <a:solidFill>
                <a:schemeClr val="accent5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JIM'!$AX$1208:$AX$1214</c:f>
              <c:numCache>
                <c:formatCode>General</c:formatCode>
                <c:ptCount val="7"/>
                <c:pt idx="0">
                  <c:v>1.7795825506538487</c:v>
                </c:pt>
                <c:pt idx="1">
                  <c:v>2.0805262307047983</c:v>
                </c:pt>
                <c:pt idx="2">
                  <c:v>2.3879520262885197</c:v>
                </c:pt>
                <c:pt idx="3">
                  <c:v>2.7012538296812076</c:v>
                </c:pt>
                <c:pt idx="4">
                  <c:v>3.0199380506660489</c:v>
                </c:pt>
                <c:pt idx="5">
                  <c:v>3.3435942444485489</c:v>
                </c:pt>
                <c:pt idx="6">
                  <c:v>3.671875252258451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CD4-4425-A216-B954963DB340}"/>
            </c:ext>
          </c:extLst>
        </c:ser>
        <c:ser>
          <c:idx val="17"/>
          <c:order val="9"/>
          <c:tx>
            <c:strRef>
              <c:f>'HT 2017-07-05 BIG JIM'!$AY$1</c:f>
              <c:strCache>
                <c:ptCount val="1"/>
                <c:pt idx="0">
                  <c:v>yn6b-f</c:v>
                </c:pt>
              </c:strCache>
            </c:strRef>
          </c:tx>
          <c:spPr>
            <a:ln w="6350" cap="rnd" cmpd="sng" algn="ctr">
              <a:solidFill>
                <a:schemeClr val="accent6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JIM'!$AY$1208:$AY$1214</c:f>
              <c:numCache>
                <c:formatCode>General</c:formatCode>
                <c:ptCount val="7"/>
                <c:pt idx="0">
                  <c:v>1.8311966076366655</c:v>
                </c:pt>
                <c:pt idx="1">
                  <c:v>2.0853747889606842</c:v>
                </c:pt>
                <c:pt idx="2">
                  <c:v>2.3387068753494904</c:v>
                </c:pt>
                <c:pt idx="3">
                  <c:v>2.5912896602896818</c:v>
                </c:pt>
                <c:pt idx="4">
                  <c:v>2.8432002369344533</c:v>
                </c:pt>
                <c:pt idx="5">
                  <c:v>3.0945014471369738</c:v>
                </c:pt>
                <c:pt idx="6">
                  <c:v>3.3452454911206808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CD4-4425-A216-B954963DB340}"/>
            </c:ext>
          </c:extLst>
        </c:ser>
        <c:ser>
          <c:idx val="20"/>
          <c:order val="10"/>
          <c:tx>
            <c:strRef>
              <c:f>'HT 2017-07-05 BIG JIM'!$AH$1</c:f>
              <c:strCache>
                <c:ptCount val="1"/>
                <c:pt idx="0">
                  <c:v>fitwild-f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dash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JIM'!$AH$1208:$AH$1214</c:f>
              <c:numCache>
                <c:formatCode>General</c:formatCode>
                <c:ptCount val="7"/>
                <c:pt idx="0">
                  <c:v>0.73478870778085714</c:v>
                </c:pt>
                <c:pt idx="1">
                  <c:v>1.346216773969716</c:v>
                </c:pt>
                <c:pt idx="2">
                  <c:v>2.2964424257893161</c:v>
                </c:pt>
                <c:pt idx="3">
                  <c:v>3.7028273787956851</c:v>
                </c:pt>
                <c:pt idx="4">
                  <c:v>5.7045325278758483</c:v>
                </c:pt>
                <c:pt idx="5">
                  <c:v>8.4637825545646681</c:v>
                </c:pt>
                <c:pt idx="6">
                  <c:v>12.167072593932847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CD4-4425-A216-B954963DB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976176"/>
        <c:axId val="300975784"/>
      </c:scatterChart>
      <c:valAx>
        <c:axId val="300976176"/>
        <c:scaling>
          <c:orientation val="minMax"/>
          <c:max val="1.4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THORAX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75784"/>
        <c:crosses val="autoZero"/>
        <c:crossBetween val="midCat"/>
        <c:majorUnit val="0.1"/>
      </c:valAx>
      <c:valAx>
        <c:axId val="300975784"/>
        <c:scaling>
          <c:orientation val="minMax"/>
          <c:max val="3.1"/>
          <c:min val="1.7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WING</a:t>
                </a:r>
                <a:r>
                  <a:rPr lang="en-US" sz="2000" b="1" baseline="0"/>
                  <a:t> </a:t>
                </a:r>
                <a:r>
                  <a:rPr lang="en-US" sz="2000" b="1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76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WING LENGTH VS THORAX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420335341638465"/>
          <c:y val="7.8012906893210318E-2"/>
          <c:w val="0.58549321192709147"/>
          <c:h val="0.71694041787804497"/>
        </c:manualLayout>
      </c:layout>
      <c:scatterChart>
        <c:scatterStyle val="lineMarker"/>
        <c:varyColors val="0"/>
        <c:ser>
          <c:idx val="3"/>
          <c:order val="0"/>
          <c:tx>
            <c:strRef>
              <c:f>'HT 2017-07-05 BIG JIM'!$AG$1</c:f>
              <c:strCache>
                <c:ptCount val="1"/>
                <c:pt idx="0">
                  <c:v>sel-fz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C0000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JIM'!$AG$2:$AG$1205</c:f>
              <c:numCache>
                <c:formatCode>General</c:formatCode>
                <c:ptCount val="1204"/>
                <c:pt idx="394">
                  <c:v>2.5166843266488548</c:v>
                </c:pt>
                <c:pt idx="395">
                  <c:v>2.5787787807409925</c:v>
                </c:pt>
                <c:pt idx="396">
                  <c:v>2.5405511213120664</c:v>
                </c:pt>
                <c:pt idx="397">
                  <c:v>2.5556603843233945</c:v>
                </c:pt>
                <c:pt idx="398">
                  <c:v>2.54939208439973</c:v>
                </c:pt>
                <c:pt idx="399">
                  <c:v>2.4906224121692957</c:v>
                </c:pt>
                <c:pt idx="400">
                  <c:v>2.49897979183506</c:v>
                </c:pt>
                <c:pt idx="401">
                  <c:v>2.5111352014576998</c:v>
                </c:pt>
                <c:pt idx="402">
                  <c:v>2.5770137756713685</c:v>
                </c:pt>
                <c:pt idx="403">
                  <c:v>2.5379716310471241</c:v>
                </c:pt>
                <c:pt idx="404">
                  <c:v>2.5880108191427635</c:v>
                </c:pt>
                <c:pt idx="405">
                  <c:v>2.5111352014576998</c:v>
                </c:pt>
                <c:pt idx="406">
                  <c:v>2.5347583711273152</c:v>
                </c:pt>
                <c:pt idx="407">
                  <c:v>2.5609568524284043</c:v>
                </c:pt>
                <c:pt idx="408">
                  <c:v>2.5331403435261928</c:v>
                </c:pt>
                <c:pt idx="409">
                  <c:v>2.5133443854752575</c:v>
                </c:pt>
                <c:pt idx="410">
                  <c:v>2.610785322465254</c:v>
                </c:pt>
                <c:pt idx="411">
                  <c:v>2.5244801445050031</c:v>
                </c:pt>
                <c:pt idx="412">
                  <c:v>2.4819548746905129</c:v>
                </c:pt>
                <c:pt idx="413">
                  <c:v>2.5143587651725441</c:v>
                </c:pt>
                <c:pt idx="414">
                  <c:v>2.449693858423946</c:v>
                </c:pt>
                <c:pt idx="415">
                  <c:v>2.4684408034222738</c:v>
                </c:pt>
                <c:pt idx="416">
                  <c:v>2.4906424873915567</c:v>
                </c:pt>
                <c:pt idx="417">
                  <c:v>2.4933912649241394</c:v>
                </c:pt>
                <c:pt idx="418">
                  <c:v>2.4528350943347172</c:v>
                </c:pt>
                <c:pt idx="419">
                  <c:v>2.5044959572736389</c:v>
                </c:pt>
                <c:pt idx="420">
                  <c:v>2.4520399670478459</c:v>
                </c:pt>
                <c:pt idx="421">
                  <c:v>2.5026585863836881</c:v>
                </c:pt>
                <c:pt idx="422">
                  <c:v>2.5572641631243336</c:v>
                </c:pt>
                <c:pt idx="423">
                  <c:v>2.4850955716028307</c:v>
                </c:pt>
                <c:pt idx="424">
                  <c:v>2.5314027731674784</c:v>
                </c:pt>
                <c:pt idx="425">
                  <c:v>2.5184916120567085</c:v>
                </c:pt>
                <c:pt idx="426">
                  <c:v>2.5183526361492743</c:v>
                </c:pt>
                <c:pt idx="427">
                  <c:v>2.5253910588263357</c:v>
                </c:pt>
                <c:pt idx="428">
                  <c:v>2.5158895047279004</c:v>
                </c:pt>
                <c:pt idx="429">
                  <c:v>2.5128469909646309</c:v>
                </c:pt>
                <c:pt idx="430">
                  <c:v>2.4370679104202249</c:v>
                </c:pt>
                <c:pt idx="431">
                  <c:v>2.4911041728518697</c:v>
                </c:pt>
                <c:pt idx="432">
                  <c:v>2.5824213443975403</c:v>
                </c:pt>
                <c:pt idx="433">
                  <c:v>2.5072694310743713</c:v>
                </c:pt>
                <c:pt idx="434">
                  <c:v>2.5433245958783943</c:v>
                </c:pt>
                <c:pt idx="435">
                  <c:v>2.5238858928247923</c:v>
                </c:pt>
                <c:pt idx="436">
                  <c:v>2.5471749056552833</c:v>
                </c:pt>
                <c:pt idx="437">
                  <c:v>2.5962472917655592</c:v>
                </c:pt>
                <c:pt idx="438">
                  <c:v>2.5460754112948027</c:v>
                </c:pt>
                <c:pt idx="439">
                  <c:v>2.5460754112948027</c:v>
                </c:pt>
                <c:pt idx="440">
                  <c:v>2.5674306222369476</c:v>
                </c:pt>
                <c:pt idx="441">
                  <c:v>2.5211505310076192</c:v>
                </c:pt>
                <c:pt idx="442">
                  <c:v>2.4989797918350605</c:v>
                </c:pt>
                <c:pt idx="443">
                  <c:v>2.5726639889422018</c:v>
                </c:pt>
                <c:pt idx="444">
                  <c:v>2.5690854403853525</c:v>
                </c:pt>
                <c:pt idx="445">
                  <c:v>2.5355867171130235</c:v>
                </c:pt>
                <c:pt idx="446">
                  <c:v>2.5599414055794325</c:v>
                </c:pt>
                <c:pt idx="447">
                  <c:v>2.5711087102648928</c:v>
                </c:pt>
                <c:pt idx="448">
                  <c:v>2.5879142180528318</c:v>
                </c:pt>
                <c:pt idx="449">
                  <c:v>2.5748980562344599</c:v>
                </c:pt>
                <c:pt idx="450">
                  <c:v>2.5547798339583001</c:v>
                </c:pt>
                <c:pt idx="451">
                  <c:v>2.5006399181009651</c:v>
                </c:pt>
                <c:pt idx="452">
                  <c:v>2.5193848455525805</c:v>
                </c:pt>
                <c:pt idx="453">
                  <c:v>2.5439536159293472</c:v>
                </c:pt>
                <c:pt idx="454">
                  <c:v>2.5547798339583001</c:v>
                </c:pt>
                <c:pt idx="455">
                  <c:v>2.5312447530809821</c:v>
                </c:pt>
                <c:pt idx="456">
                  <c:v>2.5001799935204669</c:v>
                </c:pt>
                <c:pt idx="457">
                  <c:v>2.5853626438084079</c:v>
                </c:pt>
                <c:pt idx="458">
                  <c:v>2.584027863626861</c:v>
                </c:pt>
                <c:pt idx="459">
                  <c:v>2.6299239532731744</c:v>
                </c:pt>
                <c:pt idx="460">
                  <c:v>2.5707780923292467</c:v>
                </c:pt>
                <c:pt idx="461">
                  <c:v>2.5039169315294783</c:v>
                </c:pt>
                <c:pt idx="462">
                  <c:v>2.5518032839543099</c:v>
                </c:pt>
                <c:pt idx="463">
                  <c:v>2.6224606765402605</c:v>
                </c:pt>
                <c:pt idx="464">
                  <c:v>2.5403149411047439</c:v>
                </c:pt>
                <c:pt idx="465">
                  <c:v>2.5045957757690163</c:v>
                </c:pt>
                <c:pt idx="466">
                  <c:v>2.5092827660508887</c:v>
                </c:pt>
                <c:pt idx="467">
                  <c:v>2.5897104085206131</c:v>
                </c:pt>
                <c:pt idx="468">
                  <c:v>2.5144581921360314</c:v>
                </c:pt>
                <c:pt idx="469">
                  <c:v>2.4465894629054543</c:v>
                </c:pt>
                <c:pt idx="470">
                  <c:v>2.5147763320025103</c:v>
                </c:pt>
                <c:pt idx="471">
                  <c:v>2.4200206610688264</c:v>
                </c:pt>
                <c:pt idx="472">
                  <c:v>2.510019920239678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9B-493F-B234-3000C9833517}"/>
            </c:ext>
          </c:extLst>
        </c:ser>
        <c:ser>
          <c:idx val="22"/>
          <c:order val="1"/>
          <c:tx>
            <c:strRef>
              <c:f>'HT 2017-07-05 BIG JIM'!$AE$1</c:f>
              <c:strCache>
                <c:ptCount val="1"/>
                <c:pt idx="0">
                  <c:v>wild-fz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JIM'!$AE$2:$AE$1205</c:f>
              <c:numCache>
                <c:formatCode>General</c:formatCode>
                <c:ptCount val="1204"/>
                <c:pt idx="473">
                  <c:v>2.5494509212769718</c:v>
                </c:pt>
                <c:pt idx="474">
                  <c:v>2.5147763320025103</c:v>
                </c:pt>
                <c:pt idx="475">
                  <c:v>2.5601953050499877</c:v>
                </c:pt>
                <c:pt idx="476">
                  <c:v>2.6670020622414223</c:v>
                </c:pt>
                <c:pt idx="477">
                  <c:v>2.6532432983049259</c:v>
                </c:pt>
                <c:pt idx="478">
                  <c:v>2.5188290930509756</c:v>
                </c:pt>
                <c:pt idx="479">
                  <c:v>2.5292291315734921</c:v>
                </c:pt>
                <c:pt idx="480">
                  <c:v>2.5059928172283334</c:v>
                </c:pt>
                <c:pt idx="481">
                  <c:v>2.5536836139193126</c:v>
                </c:pt>
                <c:pt idx="482">
                  <c:v>2.6016341018675164</c:v>
                </c:pt>
                <c:pt idx="483">
                  <c:v>2.6564638149238924</c:v>
                </c:pt>
                <c:pt idx="484">
                  <c:v>2.6513770007299979</c:v>
                </c:pt>
                <c:pt idx="485">
                  <c:v>2.5895559464896678</c:v>
                </c:pt>
                <c:pt idx="486">
                  <c:v>2.7220764133286188</c:v>
                </c:pt>
                <c:pt idx="487">
                  <c:v>2.5437374078312405</c:v>
                </c:pt>
                <c:pt idx="488">
                  <c:v>2.6102107194630859</c:v>
                </c:pt>
                <c:pt idx="489">
                  <c:v>2.5935689695861184</c:v>
                </c:pt>
                <c:pt idx="490">
                  <c:v>2.5457808232446091</c:v>
                </c:pt>
                <c:pt idx="491">
                  <c:v>2.5352711886502401</c:v>
                </c:pt>
                <c:pt idx="492">
                  <c:v>2.6172504656604798</c:v>
                </c:pt>
                <c:pt idx="493">
                  <c:v>2.6629307163349178</c:v>
                </c:pt>
                <c:pt idx="494">
                  <c:v>2.5079872407968904</c:v>
                </c:pt>
                <c:pt idx="495">
                  <c:v>2.6102107194630859</c:v>
                </c:pt>
                <c:pt idx="496">
                  <c:v>2.5515681452785071</c:v>
                </c:pt>
                <c:pt idx="497">
                  <c:v>2.5026585863836881</c:v>
                </c:pt>
                <c:pt idx="498">
                  <c:v>2.6332679316772909</c:v>
                </c:pt>
                <c:pt idx="499">
                  <c:v>2.5516269319788893</c:v>
                </c:pt>
                <c:pt idx="500">
                  <c:v>2.5899034731047412</c:v>
                </c:pt>
                <c:pt idx="501">
                  <c:v>2.5073093147834791</c:v>
                </c:pt>
                <c:pt idx="502">
                  <c:v>2.5949373788205374</c:v>
                </c:pt>
                <c:pt idx="503">
                  <c:v>2.6840454541605663</c:v>
                </c:pt>
                <c:pt idx="504">
                  <c:v>2.619255619446105</c:v>
                </c:pt>
                <c:pt idx="505">
                  <c:v>2.5428330656966063</c:v>
                </c:pt>
                <c:pt idx="506">
                  <c:v>2.6046496885377888</c:v>
                </c:pt>
                <c:pt idx="507">
                  <c:v>2.5267568145747621</c:v>
                </c:pt>
                <c:pt idx="508">
                  <c:v>2.4709512338368804</c:v>
                </c:pt>
                <c:pt idx="509">
                  <c:v>2.6043233286210836</c:v>
                </c:pt>
                <c:pt idx="510">
                  <c:v>2.5451522547776979</c:v>
                </c:pt>
                <c:pt idx="511">
                  <c:v>2.581259382549534</c:v>
                </c:pt>
                <c:pt idx="512">
                  <c:v>2.5280031645549816</c:v>
                </c:pt>
                <c:pt idx="513">
                  <c:v>2.6565579233286067</c:v>
                </c:pt>
                <c:pt idx="514">
                  <c:v>2.6225560051217207</c:v>
                </c:pt>
                <c:pt idx="515">
                  <c:v>2.5515681452785071</c:v>
                </c:pt>
                <c:pt idx="516">
                  <c:v>2.5347583711273156</c:v>
                </c:pt>
                <c:pt idx="517">
                  <c:v>2.5341073379002714</c:v>
                </c:pt>
                <c:pt idx="518">
                  <c:v>2.5350542400508909</c:v>
                </c:pt>
                <c:pt idx="519">
                  <c:v>2.5536836139193126</c:v>
                </c:pt>
                <c:pt idx="520">
                  <c:v>2.4560537453402764</c:v>
                </c:pt>
                <c:pt idx="521">
                  <c:v>2.6050911692299756</c:v>
                </c:pt>
                <c:pt idx="522">
                  <c:v>2.5179356624028344</c:v>
                </c:pt>
                <c:pt idx="523">
                  <c:v>2.6239092972128439</c:v>
                </c:pt>
                <c:pt idx="524">
                  <c:v>2.522320360303187</c:v>
                </c:pt>
                <c:pt idx="525">
                  <c:v>2.6153584840323516</c:v>
                </c:pt>
                <c:pt idx="526">
                  <c:v>2.5556603843233945</c:v>
                </c:pt>
                <c:pt idx="527">
                  <c:v>2.5133443854752575</c:v>
                </c:pt>
                <c:pt idx="528">
                  <c:v>2.6436716891475007</c:v>
                </c:pt>
                <c:pt idx="529">
                  <c:v>2.5366316248127161</c:v>
                </c:pt>
                <c:pt idx="530">
                  <c:v>2.6109385285755007</c:v>
                </c:pt>
                <c:pt idx="531">
                  <c:v>2.5988074187980916</c:v>
                </c:pt>
                <c:pt idx="532">
                  <c:v>2.5283393759541064</c:v>
                </c:pt>
                <c:pt idx="533">
                  <c:v>2.5292291315734921</c:v>
                </c:pt>
                <c:pt idx="534">
                  <c:v>2.4720234626718254</c:v>
                </c:pt>
                <c:pt idx="535">
                  <c:v>2.5741989045137905</c:v>
                </c:pt>
                <c:pt idx="536">
                  <c:v>2.5800775182152957</c:v>
                </c:pt>
                <c:pt idx="537">
                  <c:v>2.5524889813670106</c:v>
                </c:pt>
                <c:pt idx="538">
                  <c:v>2.6330400680582131</c:v>
                </c:pt>
                <c:pt idx="539">
                  <c:v>2.4605893602956184</c:v>
                </c:pt>
                <c:pt idx="540">
                  <c:v>2.5916982849089516</c:v>
                </c:pt>
                <c:pt idx="541">
                  <c:v>2.5292291315734921</c:v>
                </c:pt>
                <c:pt idx="542">
                  <c:v>2.6284025566872358</c:v>
                </c:pt>
                <c:pt idx="543">
                  <c:v>2.5316002844051031</c:v>
                </c:pt>
                <c:pt idx="544">
                  <c:v>2.5537815098398688</c:v>
                </c:pt>
                <c:pt idx="545">
                  <c:v>2.4935316320431955</c:v>
                </c:pt>
                <c:pt idx="546">
                  <c:v>2.5633766793040778</c:v>
                </c:pt>
                <c:pt idx="547">
                  <c:v>2.4742675683927153</c:v>
                </c:pt>
                <c:pt idx="548">
                  <c:v>2.5294465797877606</c:v>
                </c:pt>
                <c:pt idx="549">
                  <c:v>2.5556603843233945</c:v>
                </c:pt>
                <c:pt idx="550">
                  <c:v>2.4696963376091401</c:v>
                </c:pt>
                <c:pt idx="551">
                  <c:v>2.5879142180528318</c:v>
                </c:pt>
                <c:pt idx="552">
                  <c:v>2.5694357357209774</c:v>
                </c:pt>
                <c:pt idx="553">
                  <c:v>2.4404302899283969</c:v>
                </c:pt>
                <c:pt idx="554">
                  <c:v>2.4520399670478459</c:v>
                </c:pt>
                <c:pt idx="555">
                  <c:v>2.6035744659986202</c:v>
                </c:pt>
                <c:pt idx="556">
                  <c:v>2.5656188337319321</c:v>
                </c:pt>
                <c:pt idx="557">
                  <c:v>2.5526456863419176</c:v>
                </c:pt>
                <c:pt idx="558">
                  <c:v>2.4742675683927149</c:v>
                </c:pt>
                <c:pt idx="559">
                  <c:v>2.5026585863836881</c:v>
                </c:pt>
                <c:pt idx="560">
                  <c:v>2.5794766911139164</c:v>
                </c:pt>
                <c:pt idx="561">
                  <c:v>2.5849564793241684</c:v>
                </c:pt>
                <c:pt idx="562">
                  <c:v>2.5107767722360346</c:v>
                </c:pt>
                <c:pt idx="563">
                  <c:v>2.4992999019725506</c:v>
                </c:pt>
                <c:pt idx="564">
                  <c:v>2.5156311335328949</c:v>
                </c:pt>
                <c:pt idx="565">
                  <c:v>2.5347583711273152</c:v>
                </c:pt>
                <c:pt idx="566">
                  <c:v>2.6076809620810595</c:v>
                </c:pt>
                <c:pt idx="567">
                  <c:v>2.5452701231892854</c:v>
                </c:pt>
                <c:pt idx="568">
                  <c:v>2.6034592372457075</c:v>
                </c:pt>
                <c:pt idx="569">
                  <c:v>2.6102107194630855</c:v>
                </c:pt>
                <c:pt idx="570">
                  <c:v>2.5715753926338616</c:v>
                </c:pt>
                <c:pt idx="571">
                  <c:v>2.5020391683584813</c:v>
                </c:pt>
                <c:pt idx="572">
                  <c:v>2.4285386552410482</c:v>
                </c:pt>
                <c:pt idx="573">
                  <c:v>2.5489213404889526</c:v>
                </c:pt>
                <c:pt idx="574">
                  <c:v>2.4577225229874915</c:v>
                </c:pt>
                <c:pt idx="575">
                  <c:v>2.5489213404889526</c:v>
                </c:pt>
                <c:pt idx="576">
                  <c:v>2.4987396823198691</c:v>
                </c:pt>
                <c:pt idx="577">
                  <c:v>2.5536836139193122</c:v>
                </c:pt>
                <c:pt idx="578">
                  <c:v>2.5599414055794325</c:v>
                </c:pt>
                <c:pt idx="579">
                  <c:v>2.4602845363900494</c:v>
                </c:pt>
                <c:pt idx="580">
                  <c:v>2.5439536159293472</c:v>
                </c:pt>
                <c:pt idx="581">
                  <c:v>2.5366316248127165</c:v>
                </c:pt>
                <c:pt idx="582">
                  <c:v>2.520495982936692</c:v>
                </c:pt>
                <c:pt idx="583">
                  <c:v>2.4920874784003875</c:v>
                </c:pt>
                <c:pt idx="584">
                  <c:v>2.5992498917957079</c:v>
                </c:pt>
                <c:pt idx="585">
                  <c:v>2.5072694310743713</c:v>
                </c:pt>
                <c:pt idx="586">
                  <c:v>2.5451522547776979</c:v>
                </c:pt>
                <c:pt idx="587">
                  <c:v>2.411514047232568</c:v>
                </c:pt>
                <c:pt idx="588">
                  <c:v>2.4935917869611295</c:v>
                </c:pt>
                <c:pt idx="589">
                  <c:v>2.4541597340026584</c:v>
                </c:pt>
                <c:pt idx="590">
                  <c:v>2.4581497106563708</c:v>
                </c:pt>
                <c:pt idx="591">
                  <c:v>2.4473863609981974</c:v>
                </c:pt>
                <c:pt idx="592">
                  <c:v>2.4214252001662162</c:v>
                </c:pt>
                <c:pt idx="593">
                  <c:v>2.5266974492408067</c:v>
                </c:pt>
                <c:pt idx="594">
                  <c:v>2.3434376458527764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9B-493F-B234-3000C9833517}"/>
            </c:ext>
          </c:extLst>
        </c:ser>
        <c:ser>
          <c:idx val="21"/>
          <c:order val="2"/>
          <c:tx>
            <c:strRef>
              <c:f>'HT 2017-07-05 BIG JIM'!$BY$1</c:f>
              <c:strCache>
                <c:ptCount val="1"/>
                <c:pt idx="0">
                  <c:v>wild-fx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</c:spPr>
          </c:marker>
          <c:xVal>
            <c:numRef>
              <c:f>'HT 2017-07-05 BIG JIM'!$G$287:$G$715</c:f>
              <c:numCache>
                <c:formatCode>General</c:formatCode>
                <c:ptCount val="429"/>
                <c:pt idx="0">
                  <c:v>2.4920072231034966</c:v>
                </c:pt>
                <c:pt idx="1">
                  <c:v>2.3854978516024699</c:v>
                </c:pt>
                <c:pt idx="2">
                  <c:v>2.4424782496472717</c:v>
                </c:pt>
                <c:pt idx="3">
                  <c:v>2.4709512338368804</c:v>
                </c:pt>
                <c:pt idx="4">
                  <c:v>2.4186773244895652</c:v>
                </c:pt>
                <c:pt idx="5">
                  <c:v>2.3671290628100534</c:v>
                </c:pt>
                <c:pt idx="6">
                  <c:v>2.426272861819132</c:v>
                </c:pt>
                <c:pt idx="7">
                  <c:v>2.4831028975860021</c:v>
                </c:pt>
                <c:pt idx="8">
                  <c:v>2.4257163890281981</c:v>
                </c:pt>
                <c:pt idx="9">
                  <c:v>2.4581497106563708</c:v>
                </c:pt>
                <c:pt idx="10">
                  <c:v>2.5092827660508887</c:v>
                </c:pt>
                <c:pt idx="11">
                  <c:v>2.517935662402834</c:v>
                </c:pt>
                <c:pt idx="12">
                  <c:v>2.4147256572952549</c:v>
                </c:pt>
                <c:pt idx="13">
                  <c:v>2.4604471138392712</c:v>
                </c:pt>
                <c:pt idx="14">
                  <c:v>2.3977697971239862</c:v>
                </c:pt>
                <c:pt idx="15">
                  <c:v>2.4804031930313264</c:v>
                </c:pt>
                <c:pt idx="16">
                  <c:v>2.5019192632856884</c:v>
                </c:pt>
                <c:pt idx="17">
                  <c:v>2.4973586046060743</c:v>
                </c:pt>
                <c:pt idx="18">
                  <c:v>2.4020824298928627</c:v>
                </c:pt>
                <c:pt idx="19">
                  <c:v>2.4689471440271866</c:v>
                </c:pt>
                <c:pt idx="20">
                  <c:v>2.429897117163605</c:v>
                </c:pt>
                <c:pt idx="21">
                  <c:v>2.491304878974069</c:v>
                </c:pt>
                <c:pt idx="22">
                  <c:v>2.4686838598735159</c:v>
                </c:pt>
                <c:pt idx="23">
                  <c:v>2.4633310780323461</c:v>
                </c:pt>
                <c:pt idx="24">
                  <c:v>2.4341733709824367</c:v>
                </c:pt>
                <c:pt idx="25">
                  <c:v>2.4352823244954576</c:v>
                </c:pt>
                <c:pt idx="26">
                  <c:v>2.4166091947189146</c:v>
                </c:pt>
                <c:pt idx="27">
                  <c:v>2.4078413569004082</c:v>
                </c:pt>
                <c:pt idx="28">
                  <c:v>2.3409613409879286</c:v>
                </c:pt>
                <c:pt idx="29">
                  <c:v>2.4274472187876714</c:v>
                </c:pt>
                <c:pt idx="30">
                  <c:v>2.4473863609981974</c:v>
                </c:pt>
                <c:pt idx="31">
                  <c:v>2.5241434190631882</c:v>
                </c:pt>
                <c:pt idx="32">
                  <c:v>2.49899979991996</c:v>
                </c:pt>
                <c:pt idx="33">
                  <c:v>2.4440130932546169</c:v>
                </c:pt>
                <c:pt idx="34">
                  <c:v>2.4869660230891775</c:v>
                </c:pt>
                <c:pt idx="35">
                  <c:v>2.5019192632856884</c:v>
                </c:pt>
                <c:pt idx="36">
                  <c:v>2.4795160818191921</c:v>
                </c:pt>
                <c:pt idx="37">
                  <c:v>2.470080970332754</c:v>
                </c:pt>
                <c:pt idx="38">
                  <c:v>2.4689471440271866</c:v>
                </c:pt>
                <c:pt idx="39">
                  <c:v>2.43232399157678</c:v>
                </c:pt>
                <c:pt idx="40">
                  <c:v>2.3930106560565085</c:v>
                </c:pt>
                <c:pt idx="41">
                  <c:v>2.4147256572952549</c:v>
                </c:pt>
                <c:pt idx="42">
                  <c:v>2.3259406699226011</c:v>
                </c:pt>
                <c:pt idx="43">
                  <c:v>2.4226638231500468</c:v>
                </c:pt>
                <c:pt idx="44">
                  <c:v>2.4062626623043464</c:v>
                </c:pt>
                <c:pt idx="45">
                  <c:v>2.3837994882120435</c:v>
                </c:pt>
                <c:pt idx="46">
                  <c:v>2.4524681445433703</c:v>
                </c:pt>
                <c:pt idx="47">
                  <c:v>2.4645689278249048</c:v>
                </c:pt>
                <c:pt idx="48">
                  <c:v>2.4242318370980938</c:v>
                </c:pt>
                <c:pt idx="49">
                  <c:v>2.4880916381837705</c:v>
                </c:pt>
                <c:pt idx="50">
                  <c:v>2.3881373494839027</c:v>
                </c:pt>
                <c:pt idx="51">
                  <c:v>2.4018534509832192</c:v>
                </c:pt>
                <c:pt idx="52">
                  <c:v>2.4449948875202172</c:v>
                </c:pt>
                <c:pt idx="53">
                  <c:v>2.5147763320025107</c:v>
                </c:pt>
                <c:pt idx="54">
                  <c:v>2.4377243486497813</c:v>
                </c:pt>
                <c:pt idx="55">
                  <c:v>2.3537204591879641</c:v>
                </c:pt>
                <c:pt idx="56">
                  <c:v>2.4420483205702546</c:v>
                </c:pt>
                <c:pt idx="57">
                  <c:v>2.5026585863836881</c:v>
                </c:pt>
                <c:pt idx="58">
                  <c:v>2.3942639787625759</c:v>
                </c:pt>
                <c:pt idx="59">
                  <c:v>2.4973586046060747</c:v>
                </c:pt>
                <c:pt idx="60">
                  <c:v>2.3728674636397202</c:v>
                </c:pt>
                <c:pt idx="61">
                  <c:v>2.4105808428675441</c:v>
                </c:pt>
                <c:pt idx="62">
                  <c:v>2.3847222060441338</c:v>
                </c:pt>
                <c:pt idx="63">
                  <c:v>2.4520399670478454</c:v>
                </c:pt>
                <c:pt idx="64">
                  <c:v>2.4687648733729177</c:v>
                </c:pt>
                <c:pt idx="65">
                  <c:v>2.3713498265755728</c:v>
                </c:pt>
                <c:pt idx="66">
                  <c:v>2.4166091947189146</c:v>
                </c:pt>
                <c:pt idx="67">
                  <c:v>2.4798790293076798</c:v>
                </c:pt>
                <c:pt idx="68">
                  <c:v>2.4301646034785378</c:v>
                </c:pt>
                <c:pt idx="69">
                  <c:v>2.4439517180173591</c:v>
                </c:pt>
                <c:pt idx="70">
                  <c:v>2.3085276693165282</c:v>
                </c:pt>
                <c:pt idx="71">
                  <c:v>2.4644877763949244</c:v>
                </c:pt>
                <c:pt idx="72">
                  <c:v>2.3754157530840785</c:v>
                </c:pt>
                <c:pt idx="73">
                  <c:v>2.346912865872953</c:v>
                </c:pt>
                <c:pt idx="74">
                  <c:v>2.4500000000000002</c:v>
                </c:pt>
                <c:pt idx="75">
                  <c:v>2.4311519903124119</c:v>
                </c:pt>
                <c:pt idx="76">
                  <c:v>2.3120986138138657</c:v>
                </c:pt>
                <c:pt idx="77">
                  <c:v>2.3394016328967542</c:v>
                </c:pt>
                <c:pt idx="78">
                  <c:v>2.542380773999048</c:v>
                </c:pt>
                <c:pt idx="79">
                  <c:v>2.4085265205099984</c:v>
                </c:pt>
                <c:pt idx="80">
                  <c:v>2.4008540147205952</c:v>
                </c:pt>
                <c:pt idx="81">
                  <c:v>2.5249158401816092</c:v>
                </c:pt>
                <c:pt idx="82">
                  <c:v>2.3914012628582433</c:v>
                </c:pt>
                <c:pt idx="83">
                  <c:v>2.4212806528777282</c:v>
                </c:pt>
                <c:pt idx="84">
                  <c:v>2.4480400323524125</c:v>
                </c:pt>
                <c:pt idx="85">
                  <c:v>2.5145377308761945</c:v>
                </c:pt>
                <c:pt idx="86">
                  <c:v>2.358664876577425</c:v>
                </c:pt>
                <c:pt idx="87">
                  <c:v>2.3995416228938393</c:v>
                </c:pt>
                <c:pt idx="88">
                  <c:v>2.4318717071424638</c:v>
                </c:pt>
                <c:pt idx="89">
                  <c:v>2.3120553626589482</c:v>
                </c:pt>
                <c:pt idx="90">
                  <c:v>2.3653540961133075</c:v>
                </c:pt>
                <c:pt idx="91">
                  <c:v>2.2998478210525151</c:v>
                </c:pt>
                <c:pt idx="92">
                  <c:v>2.3769728648009427</c:v>
                </c:pt>
                <c:pt idx="93">
                  <c:v>2.3097185975785015</c:v>
                </c:pt>
                <c:pt idx="94">
                  <c:v>2.2821262015935928</c:v>
                </c:pt>
                <c:pt idx="95">
                  <c:v>2.4206197553519222</c:v>
                </c:pt>
                <c:pt idx="96">
                  <c:v>2.3097185975785015</c:v>
                </c:pt>
                <c:pt idx="97">
                  <c:v>2.4340295807569801</c:v>
                </c:pt>
                <c:pt idx="98">
                  <c:v>2.3564804263986581</c:v>
                </c:pt>
                <c:pt idx="99">
                  <c:v>2.4047037239543672</c:v>
                </c:pt>
                <c:pt idx="100">
                  <c:v>2.4422940035957996</c:v>
                </c:pt>
                <c:pt idx="101">
                  <c:v>2.2722015755649854</c:v>
                </c:pt>
                <c:pt idx="102">
                  <c:v>2.3415593095200471</c:v>
                </c:pt>
                <c:pt idx="103">
                  <c:v>2.3569683918118209</c:v>
                </c:pt>
                <c:pt idx="104">
                  <c:v>2.3355513267749011</c:v>
                </c:pt>
                <c:pt idx="105">
                  <c:v>2.3152537657889685</c:v>
                </c:pt>
                <c:pt idx="106">
                  <c:v>2.3566925976885487</c:v>
                </c:pt>
                <c:pt idx="107">
                  <c:v>2.3759208741033442</c:v>
                </c:pt>
                <c:pt idx="108">
                  <c:v>2.3815961034566713</c:v>
                </c:pt>
                <c:pt idx="109">
                  <c:v>2.5166843266488548</c:v>
                </c:pt>
                <c:pt idx="110">
                  <c:v>2.5787787807409925</c:v>
                </c:pt>
                <c:pt idx="111">
                  <c:v>2.5405511213120664</c:v>
                </c:pt>
                <c:pt idx="112">
                  <c:v>2.5556603843233945</c:v>
                </c:pt>
                <c:pt idx="113">
                  <c:v>2.54939208439973</c:v>
                </c:pt>
                <c:pt idx="114">
                  <c:v>2.4906224121692957</c:v>
                </c:pt>
                <c:pt idx="115">
                  <c:v>2.49897979183506</c:v>
                </c:pt>
                <c:pt idx="116">
                  <c:v>2.5111352014576998</c:v>
                </c:pt>
                <c:pt idx="117">
                  <c:v>2.5770137756713685</c:v>
                </c:pt>
                <c:pt idx="118">
                  <c:v>2.5379716310471241</c:v>
                </c:pt>
                <c:pt idx="119">
                  <c:v>2.5880108191427635</c:v>
                </c:pt>
                <c:pt idx="120">
                  <c:v>2.5111352014576998</c:v>
                </c:pt>
                <c:pt idx="121">
                  <c:v>2.5347583711273152</c:v>
                </c:pt>
                <c:pt idx="122">
                  <c:v>2.5609568524284043</c:v>
                </c:pt>
                <c:pt idx="123">
                  <c:v>2.5331403435261928</c:v>
                </c:pt>
                <c:pt idx="124">
                  <c:v>2.5133443854752575</c:v>
                </c:pt>
                <c:pt idx="125">
                  <c:v>2.610785322465254</c:v>
                </c:pt>
                <c:pt idx="126">
                  <c:v>2.5244801445050031</c:v>
                </c:pt>
                <c:pt idx="127">
                  <c:v>2.4819548746905129</c:v>
                </c:pt>
                <c:pt idx="128">
                  <c:v>2.5143587651725441</c:v>
                </c:pt>
                <c:pt idx="129">
                  <c:v>2.449693858423946</c:v>
                </c:pt>
                <c:pt idx="130">
                  <c:v>2.4684408034222738</c:v>
                </c:pt>
                <c:pt idx="131">
                  <c:v>2.4906424873915567</c:v>
                </c:pt>
                <c:pt idx="132">
                  <c:v>2.4933912649241394</c:v>
                </c:pt>
                <c:pt idx="133">
                  <c:v>2.4528350943347172</c:v>
                </c:pt>
                <c:pt idx="134">
                  <c:v>2.5044959572736389</c:v>
                </c:pt>
                <c:pt idx="135">
                  <c:v>2.4520399670478459</c:v>
                </c:pt>
                <c:pt idx="136">
                  <c:v>2.5026585863836881</c:v>
                </c:pt>
                <c:pt idx="137">
                  <c:v>2.5572641631243336</c:v>
                </c:pt>
                <c:pt idx="138">
                  <c:v>2.4850955716028307</c:v>
                </c:pt>
                <c:pt idx="139">
                  <c:v>2.5314027731674784</c:v>
                </c:pt>
                <c:pt idx="140">
                  <c:v>2.5184916120567085</c:v>
                </c:pt>
                <c:pt idx="141">
                  <c:v>2.5183526361492743</c:v>
                </c:pt>
                <c:pt idx="142">
                  <c:v>2.5253910588263357</c:v>
                </c:pt>
                <c:pt idx="143">
                  <c:v>2.5158895047279004</c:v>
                </c:pt>
                <c:pt idx="144">
                  <c:v>2.5128469909646309</c:v>
                </c:pt>
                <c:pt idx="145">
                  <c:v>2.4370679104202249</c:v>
                </c:pt>
                <c:pt idx="146">
                  <c:v>2.4911041728518697</c:v>
                </c:pt>
                <c:pt idx="147">
                  <c:v>2.5824213443975403</c:v>
                </c:pt>
                <c:pt idx="148">
                  <c:v>2.5072694310743713</c:v>
                </c:pt>
                <c:pt idx="149">
                  <c:v>2.5433245958783943</c:v>
                </c:pt>
                <c:pt idx="150">
                  <c:v>2.5238858928247923</c:v>
                </c:pt>
                <c:pt idx="151">
                  <c:v>2.5471749056552833</c:v>
                </c:pt>
                <c:pt idx="152">
                  <c:v>2.5962472917655592</c:v>
                </c:pt>
                <c:pt idx="153">
                  <c:v>2.5460754112948027</c:v>
                </c:pt>
                <c:pt idx="154">
                  <c:v>2.5460754112948027</c:v>
                </c:pt>
                <c:pt idx="155">
                  <c:v>2.5674306222369476</c:v>
                </c:pt>
                <c:pt idx="156">
                  <c:v>2.5211505310076192</c:v>
                </c:pt>
                <c:pt idx="157">
                  <c:v>2.4989797918350605</c:v>
                </c:pt>
                <c:pt idx="158">
                  <c:v>2.5726639889422018</c:v>
                </c:pt>
                <c:pt idx="159">
                  <c:v>2.5690854403853525</c:v>
                </c:pt>
                <c:pt idx="160">
                  <c:v>2.5355867171130235</c:v>
                </c:pt>
                <c:pt idx="161">
                  <c:v>2.5599414055794325</c:v>
                </c:pt>
                <c:pt idx="162">
                  <c:v>2.5711087102648928</c:v>
                </c:pt>
                <c:pt idx="163">
                  <c:v>2.5879142180528318</c:v>
                </c:pt>
                <c:pt idx="164">
                  <c:v>2.5748980562344599</c:v>
                </c:pt>
                <c:pt idx="165">
                  <c:v>2.5547798339583001</c:v>
                </c:pt>
                <c:pt idx="166">
                  <c:v>2.5006399181009651</c:v>
                </c:pt>
                <c:pt idx="167">
                  <c:v>2.5193848455525805</c:v>
                </c:pt>
                <c:pt idx="168">
                  <c:v>2.5439536159293472</c:v>
                </c:pt>
                <c:pt idx="169">
                  <c:v>2.5547798339583001</c:v>
                </c:pt>
                <c:pt idx="170">
                  <c:v>2.5312447530809821</c:v>
                </c:pt>
                <c:pt idx="171">
                  <c:v>2.5001799935204669</c:v>
                </c:pt>
                <c:pt idx="172">
                  <c:v>2.5853626438084079</c:v>
                </c:pt>
                <c:pt idx="173">
                  <c:v>2.584027863626861</c:v>
                </c:pt>
                <c:pt idx="174">
                  <c:v>2.6299239532731744</c:v>
                </c:pt>
                <c:pt idx="175">
                  <c:v>2.5707780923292467</c:v>
                </c:pt>
                <c:pt idx="176">
                  <c:v>2.5039169315294783</c:v>
                </c:pt>
                <c:pt idx="177">
                  <c:v>2.5518032839543099</c:v>
                </c:pt>
                <c:pt idx="178">
                  <c:v>2.6224606765402605</c:v>
                </c:pt>
                <c:pt idx="179">
                  <c:v>2.5403149411047439</c:v>
                </c:pt>
                <c:pt idx="180">
                  <c:v>2.5045957757690163</c:v>
                </c:pt>
                <c:pt idx="181">
                  <c:v>2.5092827660508887</c:v>
                </c:pt>
                <c:pt idx="182">
                  <c:v>2.5897104085206131</c:v>
                </c:pt>
                <c:pt idx="183">
                  <c:v>2.5144581921360314</c:v>
                </c:pt>
                <c:pt idx="184">
                  <c:v>2.4465894629054543</c:v>
                </c:pt>
                <c:pt idx="185">
                  <c:v>2.5147763320025103</c:v>
                </c:pt>
                <c:pt idx="186">
                  <c:v>2.4200206610688264</c:v>
                </c:pt>
                <c:pt idx="187">
                  <c:v>2.510019920239678</c:v>
                </c:pt>
                <c:pt idx="188">
                  <c:v>2.5494509212769718</c:v>
                </c:pt>
                <c:pt idx="189">
                  <c:v>2.5147763320025103</c:v>
                </c:pt>
                <c:pt idx="190">
                  <c:v>2.5601953050499877</c:v>
                </c:pt>
                <c:pt idx="191">
                  <c:v>2.6670020622414223</c:v>
                </c:pt>
                <c:pt idx="192">
                  <c:v>2.6532432983049259</c:v>
                </c:pt>
                <c:pt idx="193">
                  <c:v>2.5188290930509756</c:v>
                </c:pt>
                <c:pt idx="194">
                  <c:v>2.5292291315734921</c:v>
                </c:pt>
                <c:pt idx="195">
                  <c:v>2.5059928172283334</c:v>
                </c:pt>
                <c:pt idx="196">
                  <c:v>2.5536836139193126</c:v>
                </c:pt>
                <c:pt idx="197">
                  <c:v>2.6016341018675164</c:v>
                </c:pt>
                <c:pt idx="198">
                  <c:v>2.6564638149238924</c:v>
                </c:pt>
                <c:pt idx="199">
                  <c:v>2.6513770007299979</c:v>
                </c:pt>
                <c:pt idx="200">
                  <c:v>2.5895559464896678</c:v>
                </c:pt>
                <c:pt idx="201">
                  <c:v>2.7220764133286188</c:v>
                </c:pt>
                <c:pt idx="202">
                  <c:v>2.5437374078312405</c:v>
                </c:pt>
                <c:pt idx="203">
                  <c:v>2.6102107194630859</c:v>
                </c:pt>
                <c:pt idx="204">
                  <c:v>2.5935689695861184</c:v>
                </c:pt>
                <c:pt idx="205">
                  <c:v>2.5457808232446091</c:v>
                </c:pt>
                <c:pt idx="206">
                  <c:v>2.5352711886502401</c:v>
                </c:pt>
                <c:pt idx="207">
                  <c:v>2.6172504656604798</c:v>
                </c:pt>
                <c:pt idx="208">
                  <c:v>2.6629307163349178</c:v>
                </c:pt>
                <c:pt idx="209">
                  <c:v>2.5079872407968904</c:v>
                </c:pt>
                <c:pt idx="210">
                  <c:v>2.6102107194630859</c:v>
                </c:pt>
                <c:pt idx="211">
                  <c:v>2.5515681452785071</c:v>
                </c:pt>
                <c:pt idx="212">
                  <c:v>2.5026585863836881</c:v>
                </c:pt>
                <c:pt idx="213">
                  <c:v>2.6332679316772909</c:v>
                </c:pt>
                <c:pt idx="214">
                  <c:v>2.5516269319788893</c:v>
                </c:pt>
                <c:pt idx="215">
                  <c:v>2.5899034731047412</c:v>
                </c:pt>
                <c:pt idx="216">
                  <c:v>2.5073093147834791</c:v>
                </c:pt>
                <c:pt idx="217">
                  <c:v>2.5949373788205374</c:v>
                </c:pt>
                <c:pt idx="218">
                  <c:v>2.6840454541605663</c:v>
                </c:pt>
                <c:pt idx="219">
                  <c:v>2.619255619446105</c:v>
                </c:pt>
                <c:pt idx="220">
                  <c:v>2.5428330656966063</c:v>
                </c:pt>
                <c:pt idx="221">
                  <c:v>2.6046496885377888</c:v>
                </c:pt>
                <c:pt idx="222">
                  <c:v>2.5267568145747621</c:v>
                </c:pt>
                <c:pt idx="223">
                  <c:v>2.4709512338368804</c:v>
                </c:pt>
                <c:pt idx="224">
                  <c:v>2.6043233286210836</c:v>
                </c:pt>
                <c:pt idx="225">
                  <c:v>2.5451522547776979</c:v>
                </c:pt>
                <c:pt idx="226">
                  <c:v>2.581259382549534</c:v>
                </c:pt>
                <c:pt idx="227">
                  <c:v>2.5280031645549816</c:v>
                </c:pt>
                <c:pt idx="228">
                  <c:v>2.6565579233286067</c:v>
                </c:pt>
                <c:pt idx="229">
                  <c:v>2.6225560051217207</c:v>
                </c:pt>
                <c:pt idx="230">
                  <c:v>2.5515681452785071</c:v>
                </c:pt>
                <c:pt idx="231">
                  <c:v>2.5347583711273156</c:v>
                </c:pt>
                <c:pt idx="232">
                  <c:v>2.5341073379002714</c:v>
                </c:pt>
                <c:pt idx="233">
                  <c:v>2.5350542400508909</c:v>
                </c:pt>
                <c:pt idx="234">
                  <c:v>2.5536836139193126</c:v>
                </c:pt>
                <c:pt idx="235">
                  <c:v>2.4560537453402764</c:v>
                </c:pt>
                <c:pt idx="236">
                  <c:v>2.6050911692299756</c:v>
                </c:pt>
                <c:pt idx="237">
                  <c:v>2.5179356624028344</c:v>
                </c:pt>
                <c:pt idx="238">
                  <c:v>2.6239092972128439</c:v>
                </c:pt>
                <c:pt idx="239">
                  <c:v>2.522320360303187</c:v>
                </c:pt>
                <c:pt idx="240">
                  <c:v>2.6153584840323516</c:v>
                </c:pt>
                <c:pt idx="241">
                  <c:v>2.5556603843233945</c:v>
                </c:pt>
                <c:pt idx="242">
                  <c:v>2.5133443854752575</c:v>
                </c:pt>
                <c:pt idx="243">
                  <c:v>2.6436716891475007</c:v>
                </c:pt>
                <c:pt idx="244">
                  <c:v>2.5366316248127161</c:v>
                </c:pt>
                <c:pt idx="245">
                  <c:v>2.6109385285755007</c:v>
                </c:pt>
                <c:pt idx="246">
                  <c:v>2.5988074187980916</c:v>
                </c:pt>
                <c:pt idx="247">
                  <c:v>2.5283393759541064</c:v>
                </c:pt>
                <c:pt idx="248">
                  <c:v>2.5292291315734921</c:v>
                </c:pt>
                <c:pt idx="249">
                  <c:v>2.4720234626718254</c:v>
                </c:pt>
                <c:pt idx="250">
                  <c:v>2.5741989045137905</c:v>
                </c:pt>
                <c:pt idx="251">
                  <c:v>2.5800775182152957</c:v>
                </c:pt>
                <c:pt idx="252">
                  <c:v>2.5524889813670106</c:v>
                </c:pt>
                <c:pt idx="253">
                  <c:v>2.6330400680582131</c:v>
                </c:pt>
                <c:pt idx="254">
                  <c:v>2.4605893602956184</c:v>
                </c:pt>
                <c:pt idx="255">
                  <c:v>2.5916982849089516</c:v>
                </c:pt>
                <c:pt idx="256">
                  <c:v>2.5292291315734921</c:v>
                </c:pt>
                <c:pt idx="257">
                  <c:v>2.6284025566872358</c:v>
                </c:pt>
                <c:pt idx="258">
                  <c:v>2.5316002844051031</c:v>
                </c:pt>
                <c:pt idx="259">
                  <c:v>2.5537815098398688</c:v>
                </c:pt>
                <c:pt idx="260">
                  <c:v>2.4935316320431955</c:v>
                </c:pt>
                <c:pt idx="261">
                  <c:v>2.5633766793040778</c:v>
                </c:pt>
                <c:pt idx="262">
                  <c:v>2.4742675683927153</c:v>
                </c:pt>
                <c:pt idx="263">
                  <c:v>2.5294465797877606</c:v>
                </c:pt>
                <c:pt idx="264">
                  <c:v>2.5556603843233945</c:v>
                </c:pt>
                <c:pt idx="265">
                  <c:v>2.4696963376091401</c:v>
                </c:pt>
                <c:pt idx="266">
                  <c:v>2.5879142180528318</c:v>
                </c:pt>
                <c:pt idx="267">
                  <c:v>2.5694357357209774</c:v>
                </c:pt>
                <c:pt idx="268">
                  <c:v>2.4404302899283969</c:v>
                </c:pt>
                <c:pt idx="269">
                  <c:v>2.4520399670478459</c:v>
                </c:pt>
                <c:pt idx="270">
                  <c:v>2.6035744659986202</c:v>
                </c:pt>
                <c:pt idx="271">
                  <c:v>2.5656188337319321</c:v>
                </c:pt>
                <c:pt idx="272">
                  <c:v>2.5526456863419176</c:v>
                </c:pt>
                <c:pt idx="273">
                  <c:v>2.4742675683927149</c:v>
                </c:pt>
                <c:pt idx="274">
                  <c:v>2.5026585863836881</c:v>
                </c:pt>
                <c:pt idx="275">
                  <c:v>2.5794766911139164</c:v>
                </c:pt>
                <c:pt idx="276">
                  <c:v>2.5849564793241684</c:v>
                </c:pt>
                <c:pt idx="277">
                  <c:v>2.5107767722360346</c:v>
                </c:pt>
                <c:pt idx="278">
                  <c:v>2.4992999019725506</c:v>
                </c:pt>
                <c:pt idx="279">
                  <c:v>2.5156311335328949</c:v>
                </c:pt>
                <c:pt idx="280">
                  <c:v>2.5347583711273152</c:v>
                </c:pt>
                <c:pt idx="281">
                  <c:v>2.6076809620810595</c:v>
                </c:pt>
                <c:pt idx="282">
                  <c:v>2.5452701231892854</c:v>
                </c:pt>
                <c:pt idx="283">
                  <c:v>2.6034592372457075</c:v>
                </c:pt>
                <c:pt idx="284">
                  <c:v>2.6102107194630855</c:v>
                </c:pt>
                <c:pt idx="285">
                  <c:v>2.5715753926338616</c:v>
                </c:pt>
                <c:pt idx="286">
                  <c:v>2.5020391683584813</c:v>
                </c:pt>
                <c:pt idx="287">
                  <c:v>2.4285386552410482</c:v>
                </c:pt>
                <c:pt idx="288">
                  <c:v>2.5489213404889526</c:v>
                </c:pt>
                <c:pt idx="289">
                  <c:v>2.4577225229874915</c:v>
                </c:pt>
                <c:pt idx="290">
                  <c:v>2.5489213404889526</c:v>
                </c:pt>
                <c:pt idx="291">
                  <c:v>2.4987396823198691</c:v>
                </c:pt>
                <c:pt idx="292">
                  <c:v>2.5536836139193122</c:v>
                </c:pt>
                <c:pt idx="293">
                  <c:v>2.5599414055794325</c:v>
                </c:pt>
                <c:pt idx="294">
                  <c:v>2.4602845363900494</c:v>
                </c:pt>
                <c:pt idx="295">
                  <c:v>2.5439536159293472</c:v>
                </c:pt>
                <c:pt idx="296">
                  <c:v>2.5366316248127165</c:v>
                </c:pt>
                <c:pt idx="297">
                  <c:v>2.520495982936692</c:v>
                </c:pt>
                <c:pt idx="298">
                  <c:v>2.4920874784003875</c:v>
                </c:pt>
                <c:pt idx="299">
                  <c:v>2.5992498917957079</c:v>
                </c:pt>
                <c:pt idx="300">
                  <c:v>2.5072694310743713</c:v>
                </c:pt>
                <c:pt idx="301">
                  <c:v>2.5451522547776979</c:v>
                </c:pt>
                <c:pt idx="302">
                  <c:v>2.411514047232568</c:v>
                </c:pt>
                <c:pt idx="303">
                  <c:v>2.4935917869611295</c:v>
                </c:pt>
                <c:pt idx="304">
                  <c:v>2.4541597340026584</c:v>
                </c:pt>
                <c:pt idx="305">
                  <c:v>2.4581497106563708</c:v>
                </c:pt>
                <c:pt idx="306">
                  <c:v>2.4473863609981974</c:v>
                </c:pt>
                <c:pt idx="307">
                  <c:v>2.4214252001662162</c:v>
                </c:pt>
                <c:pt idx="308">
                  <c:v>2.5266974492408067</c:v>
                </c:pt>
                <c:pt idx="309">
                  <c:v>2.3434376458527764</c:v>
                </c:pt>
                <c:pt idx="310">
                  <c:v>1.9672569735548024</c:v>
                </c:pt>
                <c:pt idx="311">
                  <c:v>2.0416659863944449</c:v>
                </c:pt>
                <c:pt idx="312">
                  <c:v>1.9241881404893857</c:v>
                </c:pt>
                <c:pt idx="313">
                  <c:v>2.0225231766286389</c:v>
                </c:pt>
                <c:pt idx="314">
                  <c:v>1.9604081207748556</c:v>
                </c:pt>
                <c:pt idx="315">
                  <c:v>1.9918082237002634</c:v>
                </c:pt>
                <c:pt idx="316">
                  <c:v>2.0368603290358425</c:v>
                </c:pt>
                <c:pt idx="317">
                  <c:v>1.895521036549054</c:v>
                </c:pt>
                <c:pt idx="318">
                  <c:v>2.0368603290358425</c:v>
                </c:pt>
                <c:pt idx="319">
                  <c:v>2.0525106577067995</c:v>
                </c:pt>
                <c:pt idx="320">
                  <c:v>1.9887936041731427</c:v>
                </c:pt>
                <c:pt idx="321">
                  <c:v>2.0169779374103229</c:v>
                </c:pt>
                <c:pt idx="322">
                  <c:v>1.946175737183053</c:v>
                </c:pt>
                <c:pt idx="323">
                  <c:v>1.9856485086741811</c:v>
                </c:pt>
                <c:pt idx="324">
                  <c:v>1.9895728184713419</c:v>
                </c:pt>
                <c:pt idx="325">
                  <c:v>2.0193315725754397</c:v>
                </c:pt>
                <c:pt idx="326">
                  <c:v>1.9996499693696395</c:v>
                </c:pt>
                <c:pt idx="327">
                  <c:v>2.0064396327824068</c:v>
                </c:pt>
                <c:pt idx="328">
                  <c:v>2.0008498194517248</c:v>
                </c:pt>
                <c:pt idx="329">
                  <c:v>1.8989734068701436</c:v>
                </c:pt>
                <c:pt idx="330">
                  <c:v>2.0183656754909403</c:v>
                </c:pt>
                <c:pt idx="331">
                  <c:v>1.960229578391266</c:v>
                </c:pt>
                <c:pt idx="332">
                  <c:v>1.9018412131405713</c:v>
                </c:pt>
                <c:pt idx="333">
                  <c:v>1.8917980864775186</c:v>
                </c:pt>
                <c:pt idx="334">
                  <c:v>1.9119100397246727</c:v>
                </c:pt>
                <c:pt idx="335">
                  <c:v>1.9833809518093088</c:v>
                </c:pt>
                <c:pt idx="336">
                  <c:v>1.9601020381602585</c:v>
                </c:pt>
                <c:pt idx="337">
                  <c:v>2.0392400545301181</c:v>
                </c:pt>
                <c:pt idx="338">
                  <c:v>1.9190883252211191</c:v>
                </c:pt>
                <c:pt idx="339">
                  <c:v>1.9739554199626697</c:v>
                </c:pt>
                <c:pt idx="340">
                  <c:v>1.966443490161871</c:v>
                </c:pt>
                <c:pt idx="341">
                  <c:v>2.04</c:v>
                </c:pt>
                <c:pt idx="342">
                  <c:v>1.9550959055759898</c:v>
                </c:pt>
                <c:pt idx="343">
                  <c:v>1.9458931111445972</c:v>
                </c:pt>
                <c:pt idx="344">
                  <c:v>1.924811679100062</c:v>
                </c:pt>
                <c:pt idx="345">
                  <c:v>2.0056171120131583</c:v>
                </c:pt>
                <c:pt idx="346">
                  <c:v>1.9299999999999997</c:v>
                </c:pt>
                <c:pt idx="347">
                  <c:v>1.9602295783912658</c:v>
                </c:pt>
                <c:pt idx="348">
                  <c:v>1.9465096968677038</c:v>
                </c:pt>
                <c:pt idx="349">
                  <c:v>1.9553260597659921</c:v>
                </c:pt>
                <c:pt idx="350">
                  <c:v>1.9791412279066898</c:v>
                </c:pt>
                <c:pt idx="351">
                  <c:v>1.9723082923316018</c:v>
                </c:pt>
                <c:pt idx="352">
                  <c:v>1.9795959183631389</c:v>
                </c:pt>
                <c:pt idx="353">
                  <c:v>2.0374493858744072</c:v>
                </c:pt>
                <c:pt idx="354">
                  <c:v>2.005243127403757</c:v>
                </c:pt>
                <c:pt idx="355">
                  <c:v>2.0289159667172023</c:v>
                </c:pt>
                <c:pt idx="356">
                  <c:v>2.0088305055429641</c:v>
                </c:pt>
                <c:pt idx="357">
                  <c:v>2.0207176942858696</c:v>
                </c:pt>
                <c:pt idx="358">
                  <c:v>2.0400980368599937</c:v>
                </c:pt>
                <c:pt idx="359">
                  <c:v>1.9949185447030162</c:v>
                </c:pt>
                <c:pt idx="360">
                  <c:v>1.9553260597659921</c:v>
                </c:pt>
                <c:pt idx="361">
                  <c:v>1.9999999999999998</c:v>
                </c:pt>
                <c:pt idx="362">
                  <c:v>1.9420092687729378</c:v>
                </c:pt>
                <c:pt idx="363">
                  <c:v>1.9677398201998149</c:v>
                </c:pt>
                <c:pt idx="364">
                  <c:v>1.9751708786836644</c:v>
                </c:pt>
                <c:pt idx="365">
                  <c:v>2.0026232796010337</c:v>
                </c:pt>
                <c:pt idx="366">
                  <c:v>1.9694669329541941</c:v>
                </c:pt>
                <c:pt idx="367">
                  <c:v>1.9665706191235541</c:v>
                </c:pt>
                <c:pt idx="368">
                  <c:v>2.0171762441591463</c:v>
                </c:pt>
                <c:pt idx="369">
                  <c:v>2.0026232796010337</c:v>
                </c:pt>
                <c:pt idx="370">
                  <c:v>1.9764867821465439</c:v>
                </c:pt>
                <c:pt idx="371">
                  <c:v>1.9946177578674065</c:v>
                </c:pt>
                <c:pt idx="372">
                  <c:v>2.0092784774639876</c:v>
                </c:pt>
                <c:pt idx="373">
                  <c:v>2.0129580224137809</c:v>
                </c:pt>
                <c:pt idx="374">
                  <c:v>1.9610456394485061</c:v>
                </c:pt>
                <c:pt idx="375">
                  <c:v>1.9729419656948859</c:v>
                </c:pt>
                <c:pt idx="376">
                  <c:v>1.8930662957223656</c:v>
                </c:pt>
                <c:pt idx="377">
                  <c:v>2.0255616505058542</c:v>
                </c:pt>
                <c:pt idx="378">
                  <c:v>2.0205444810743467</c:v>
                </c:pt>
                <c:pt idx="379">
                  <c:v>1.9458931111445974</c:v>
                </c:pt>
                <c:pt idx="380">
                  <c:v>1.9523319389898841</c:v>
                </c:pt>
                <c:pt idx="381">
                  <c:v>2.0441624201613728</c:v>
                </c:pt>
                <c:pt idx="382">
                  <c:v>1.9553260597659918</c:v>
                </c:pt>
                <c:pt idx="383">
                  <c:v>2.0116162655934158</c:v>
                </c:pt>
                <c:pt idx="384">
                  <c:v>1.9513328778042971</c:v>
                </c:pt>
                <c:pt idx="385">
                  <c:v>1.9425756098540929</c:v>
                </c:pt>
                <c:pt idx="386">
                  <c:v>1.8921152184790442</c:v>
                </c:pt>
                <c:pt idx="387">
                  <c:v>1.9142622599842478</c:v>
                </c:pt>
                <c:pt idx="388">
                  <c:v>1.9485892332659542</c:v>
                </c:pt>
                <c:pt idx="389">
                  <c:v>1.9504102132628407</c:v>
                </c:pt>
                <c:pt idx="390">
                  <c:v>1.9949185447030164</c:v>
                </c:pt>
                <c:pt idx="391">
                  <c:v>1.9557607215607946</c:v>
                </c:pt>
                <c:pt idx="392">
                  <c:v>1.9398195792392652</c:v>
                </c:pt>
                <c:pt idx="393">
                  <c:v>1.9918082237002634</c:v>
                </c:pt>
                <c:pt idx="394">
                  <c:v>1.9695684806576286</c:v>
                </c:pt>
                <c:pt idx="395">
                  <c:v>1.9636954957426571</c:v>
                </c:pt>
                <c:pt idx="396">
                  <c:v>1.94982050455933</c:v>
                </c:pt>
                <c:pt idx="397">
                  <c:v>2.0385534086699812</c:v>
                </c:pt>
                <c:pt idx="398">
                  <c:v>2.0255616505058542</c:v>
                </c:pt>
                <c:pt idx="399">
                  <c:v>2.0392400545301181</c:v>
                </c:pt>
                <c:pt idx="400">
                  <c:v>2.0620620747203513</c:v>
                </c:pt>
                <c:pt idx="401">
                  <c:v>1.9697715603592212</c:v>
                </c:pt>
                <c:pt idx="402">
                  <c:v>1.9720294115453754</c:v>
                </c:pt>
                <c:pt idx="403">
                  <c:v>1.9469976887505542</c:v>
                </c:pt>
                <c:pt idx="404">
                  <c:v>1.9921094347449892</c:v>
                </c:pt>
                <c:pt idx="405">
                  <c:v>1.9720294115453754</c:v>
                </c:pt>
                <c:pt idx="406">
                  <c:v>2.0615528128088298</c:v>
                </c:pt>
                <c:pt idx="407">
                  <c:v>1.9725364381932211</c:v>
                </c:pt>
                <c:pt idx="408">
                  <c:v>1.9588772294352701</c:v>
                </c:pt>
                <c:pt idx="409">
                  <c:v>2.0498048687619024</c:v>
                </c:pt>
                <c:pt idx="410">
                  <c:v>2.0448227307030797</c:v>
                </c:pt>
                <c:pt idx="411">
                  <c:v>1.9473315074737534</c:v>
                </c:pt>
                <c:pt idx="412">
                  <c:v>2.0357062656483622</c:v>
                </c:pt>
                <c:pt idx="413">
                  <c:v>2.0171762441591463</c:v>
                </c:pt>
                <c:pt idx="414">
                  <c:v>2.0235859260234048</c:v>
                </c:pt>
                <c:pt idx="415">
                  <c:v>1.9961963831246663</c:v>
                </c:pt>
                <c:pt idx="416">
                  <c:v>1.915097908724251</c:v>
                </c:pt>
                <c:pt idx="417">
                  <c:v>2.0706762180505187</c:v>
                </c:pt>
                <c:pt idx="418">
                  <c:v>1.9089525923919639</c:v>
                </c:pt>
                <c:pt idx="419">
                  <c:v>1.9664434901618708</c:v>
                </c:pt>
                <c:pt idx="420">
                  <c:v>2.0412986062798359</c:v>
                </c:pt>
                <c:pt idx="421">
                  <c:v>1.9991248085099642</c:v>
                </c:pt>
                <c:pt idx="422">
                  <c:v>1.9620907216538179</c:v>
                </c:pt>
                <c:pt idx="423">
                  <c:v>1.9960210419732554</c:v>
                </c:pt>
                <c:pt idx="424">
                  <c:v>1.969771560359221</c:v>
                </c:pt>
                <c:pt idx="425">
                  <c:v>1.9789138435010252</c:v>
                </c:pt>
                <c:pt idx="426">
                  <c:v>2.0155644370746373</c:v>
                </c:pt>
                <c:pt idx="427">
                  <c:v>2.049414550548522</c:v>
                </c:pt>
                <c:pt idx="428">
                  <c:v>2.0264747716169573</c:v>
                </c:pt>
              </c:numCache>
            </c:numRef>
          </c:xVal>
          <c:yVal>
            <c:numRef>
              <c:f>'HT 2017-07-05 BIG JIM'!$BY$287:$BY$715</c:f>
              <c:numCache>
                <c:formatCode>General</c:formatCode>
                <c:ptCount val="42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9B-493F-B234-3000C9833517}"/>
            </c:ext>
          </c:extLst>
        </c:ser>
        <c:ser>
          <c:idx val="2"/>
          <c:order val="3"/>
          <c:tx>
            <c:strRef>
              <c:f>'HT 2017-07-05 BIG JIM'!#REF!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JIM'!$G$329:$G$715</c:f>
              <c:numCache>
                <c:formatCode>General</c:formatCode>
                <c:ptCount val="387"/>
                <c:pt idx="0">
                  <c:v>2.3259406699226011</c:v>
                </c:pt>
                <c:pt idx="1">
                  <c:v>2.4226638231500468</c:v>
                </c:pt>
                <c:pt idx="2">
                  <c:v>2.4062626623043464</c:v>
                </c:pt>
                <c:pt idx="3">
                  <c:v>2.3837994882120435</c:v>
                </c:pt>
                <c:pt idx="4">
                  <c:v>2.4524681445433703</c:v>
                </c:pt>
                <c:pt idx="5">
                  <c:v>2.4645689278249048</c:v>
                </c:pt>
                <c:pt idx="6">
                  <c:v>2.4242318370980938</c:v>
                </c:pt>
                <c:pt idx="7">
                  <c:v>2.4880916381837705</c:v>
                </c:pt>
                <c:pt idx="8">
                  <c:v>2.3881373494839027</c:v>
                </c:pt>
                <c:pt idx="9">
                  <c:v>2.4018534509832192</c:v>
                </c:pt>
                <c:pt idx="10">
                  <c:v>2.4449948875202172</c:v>
                </c:pt>
                <c:pt idx="11">
                  <c:v>2.5147763320025107</c:v>
                </c:pt>
                <c:pt idx="12">
                  <c:v>2.4377243486497813</c:v>
                </c:pt>
                <c:pt idx="13">
                  <c:v>2.3537204591879641</c:v>
                </c:pt>
                <c:pt idx="14">
                  <c:v>2.4420483205702546</c:v>
                </c:pt>
                <c:pt idx="15">
                  <c:v>2.5026585863836881</c:v>
                </c:pt>
                <c:pt idx="16">
                  <c:v>2.3942639787625759</c:v>
                </c:pt>
                <c:pt idx="17">
                  <c:v>2.4973586046060747</c:v>
                </c:pt>
                <c:pt idx="18">
                  <c:v>2.3728674636397202</c:v>
                </c:pt>
                <c:pt idx="19">
                  <c:v>2.4105808428675441</c:v>
                </c:pt>
                <c:pt idx="20">
                  <c:v>2.3847222060441338</c:v>
                </c:pt>
                <c:pt idx="21">
                  <c:v>2.4520399670478454</c:v>
                </c:pt>
                <c:pt idx="22">
                  <c:v>2.4687648733729177</c:v>
                </c:pt>
                <c:pt idx="23">
                  <c:v>2.3713498265755728</c:v>
                </c:pt>
                <c:pt idx="24">
                  <c:v>2.4166091947189146</c:v>
                </c:pt>
                <c:pt idx="25">
                  <c:v>2.4798790293076798</c:v>
                </c:pt>
                <c:pt idx="26">
                  <c:v>2.4301646034785378</c:v>
                </c:pt>
                <c:pt idx="27">
                  <c:v>2.4439517180173591</c:v>
                </c:pt>
                <c:pt idx="28">
                  <c:v>2.3085276693165282</c:v>
                </c:pt>
                <c:pt idx="29">
                  <c:v>2.4644877763949244</c:v>
                </c:pt>
                <c:pt idx="30">
                  <c:v>2.3754157530840785</c:v>
                </c:pt>
                <c:pt idx="31">
                  <c:v>2.346912865872953</c:v>
                </c:pt>
                <c:pt idx="32">
                  <c:v>2.4500000000000002</c:v>
                </c:pt>
                <c:pt idx="33">
                  <c:v>2.4311519903124119</c:v>
                </c:pt>
                <c:pt idx="34">
                  <c:v>2.3120986138138657</c:v>
                </c:pt>
                <c:pt idx="35">
                  <c:v>2.3394016328967542</c:v>
                </c:pt>
                <c:pt idx="36">
                  <c:v>2.542380773999048</c:v>
                </c:pt>
                <c:pt idx="37">
                  <c:v>2.4085265205099984</c:v>
                </c:pt>
                <c:pt idx="38">
                  <c:v>2.4008540147205952</c:v>
                </c:pt>
                <c:pt idx="39">
                  <c:v>2.5249158401816092</c:v>
                </c:pt>
                <c:pt idx="40">
                  <c:v>2.3914012628582433</c:v>
                </c:pt>
                <c:pt idx="41">
                  <c:v>2.4212806528777282</c:v>
                </c:pt>
                <c:pt idx="42">
                  <c:v>2.4480400323524125</c:v>
                </c:pt>
                <c:pt idx="43">
                  <c:v>2.5145377308761945</c:v>
                </c:pt>
                <c:pt idx="44">
                  <c:v>2.358664876577425</c:v>
                </c:pt>
                <c:pt idx="45">
                  <c:v>2.3995416228938393</c:v>
                </c:pt>
                <c:pt idx="46">
                  <c:v>2.4318717071424638</c:v>
                </c:pt>
                <c:pt idx="47">
                  <c:v>2.3120553626589482</c:v>
                </c:pt>
                <c:pt idx="48">
                  <c:v>2.3653540961133075</c:v>
                </c:pt>
                <c:pt idx="49">
                  <c:v>2.2998478210525151</c:v>
                </c:pt>
                <c:pt idx="50">
                  <c:v>2.3769728648009427</c:v>
                </c:pt>
                <c:pt idx="51">
                  <c:v>2.3097185975785015</c:v>
                </c:pt>
                <c:pt idx="52">
                  <c:v>2.2821262015935928</c:v>
                </c:pt>
                <c:pt idx="53">
                  <c:v>2.4206197553519222</c:v>
                </c:pt>
                <c:pt idx="54">
                  <c:v>2.3097185975785015</c:v>
                </c:pt>
                <c:pt idx="55">
                  <c:v>2.4340295807569801</c:v>
                </c:pt>
                <c:pt idx="56">
                  <c:v>2.3564804263986581</c:v>
                </c:pt>
                <c:pt idx="57">
                  <c:v>2.4047037239543672</c:v>
                </c:pt>
                <c:pt idx="58">
                  <c:v>2.4422940035957996</c:v>
                </c:pt>
                <c:pt idx="59">
                  <c:v>2.2722015755649854</c:v>
                </c:pt>
                <c:pt idx="60">
                  <c:v>2.3415593095200471</c:v>
                </c:pt>
                <c:pt idx="61">
                  <c:v>2.3569683918118209</c:v>
                </c:pt>
                <c:pt idx="62">
                  <c:v>2.3355513267749011</c:v>
                </c:pt>
                <c:pt idx="63">
                  <c:v>2.3152537657889685</c:v>
                </c:pt>
                <c:pt idx="64">
                  <c:v>2.3566925976885487</c:v>
                </c:pt>
                <c:pt idx="65">
                  <c:v>2.3759208741033442</c:v>
                </c:pt>
                <c:pt idx="66">
                  <c:v>2.3815961034566713</c:v>
                </c:pt>
                <c:pt idx="67">
                  <c:v>2.5166843266488548</c:v>
                </c:pt>
                <c:pt idx="68">
                  <c:v>2.5787787807409925</c:v>
                </c:pt>
                <c:pt idx="69">
                  <c:v>2.5405511213120664</c:v>
                </c:pt>
                <c:pt idx="70">
                  <c:v>2.5556603843233945</c:v>
                </c:pt>
                <c:pt idx="71">
                  <c:v>2.54939208439973</c:v>
                </c:pt>
                <c:pt idx="72">
                  <c:v>2.4906224121692957</c:v>
                </c:pt>
                <c:pt idx="73">
                  <c:v>2.49897979183506</c:v>
                </c:pt>
                <c:pt idx="74">
                  <c:v>2.5111352014576998</c:v>
                </c:pt>
                <c:pt idx="75">
                  <c:v>2.5770137756713685</c:v>
                </c:pt>
                <c:pt idx="76">
                  <c:v>2.5379716310471241</c:v>
                </c:pt>
                <c:pt idx="77">
                  <c:v>2.5880108191427635</c:v>
                </c:pt>
                <c:pt idx="78">
                  <c:v>2.5111352014576998</c:v>
                </c:pt>
                <c:pt idx="79">
                  <c:v>2.5347583711273152</c:v>
                </c:pt>
                <c:pt idx="80">
                  <c:v>2.5609568524284043</c:v>
                </c:pt>
                <c:pt idx="81">
                  <c:v>2.5331403435261928</c:v>
                </c:pt>
                <c:pt idx="82">
                  <c:v>2.5133443854752575</c:v>
                </c:pt>
                <c:pt idx="83">
                  <c:v>2.610785322465254</c:v>
                </c:pt>
                <c:pt idx="84">
                  <c:v>2.5244801445050031</c:v>
                </c:pt>
                <c:pt idx="85">
                  <c:v>2.4819548746905129</c:v>
                </c:pt>
                <c:pt idx="86">
                  <c:v>2.5143587651725441</c:v>
                </c:pt>
                <c:pt idx="87">
                  <c:v>2.449693858423946</c:v>
                </c:pt>
                <c:pt idx="88">
                  <c:v>2.4684408034222738</c:v>
                </c:pt>
                <c:pt idx="89">
                  <c:v>2.4906424873915567</c:v>
                </c:pt>
                <c:pt idx="90">
                  <c:v>2.4933912649241394</c:v>
                </c:pt>
                <c:pt idx="91">
                  <c:v>2.4528350943347172</c:v>
                </c:pt>
                <c:pt idx="92">
                  <c:v>2.5044959572736389</c:v>
                </c:pt>
                <c:pt idx="93">
                  <c:v>2.4520399670478459</c:v>
                </c:pt>
                <c:pt idx="94">
                  <c:v>2.5026585863836881</c:v>
                </c:pt>
                <c:pt idx="95">
                  <c:v>2.5572641631243336</c:v>
                </c:pt>
                <c:pt idx="96">
                  <c:v>2.4850955716028307</c:v>
                </c:pt>
                <c:pt idx="97">
                  <c:v>2.5314027731674784</c:v>
                </c:pt>
                <c:pt idx="98">
                  <c:v>2.5184916120567085</c:v>
                </c:pt>
                <c:pt idx="99">
                  <c:v>2.5183526361492743</c:v>
                </c:pt>
                <c:pt idx="100">
                  <c:v>2.5253910588263357</c:v>
                </c:pt>
                <c:pt idx="101">
                  <c:v>2.5158895047279004</c:v>
                </c:pt>
                <c:pt idx="102">
                  <c:v>2.5128469909646309</c:v>
                </c:pt>
                <c:pt idx="103">
                  <c:v>2.4370679104202249</c:v>
                </c:pt>
                <c:pt idx="104">
                  <c:v>2.4911041728518697</c:v>
                </c:pt>
                <c:pt idx="105">
                  <c:v>2.5824213443975403</c:v>
                </c:pt>
                <c:pt idx="106">
                  <c:v>2.5072694310743713</c:v>
                </c:pt>
                <c:pt idx="107">
                  <c:v>2.5433245958783943</c:v>
                </c:pt>
                <c:pt idx="108">
                  <c:v>2.5238858928247923</c:v>
                </c:pt>
                <c:pt idx="109">
                  <c:v>2.5471749056552833</c:v>
                </c:pt>
                <c:pt idx="110">
                  <c:v>2.5962472917655592</c:v>
                </c:pt>
                <c:pt idx="111">
                  <c:v>2.5460754112948027</c:v>
                </c:pt>
                <c:pt idx="112">
                  <c:v>2.5460754112948027</c:v>
                </c:pt>
                <c:pt idx="113">
                  <c:v>2.5674306222369476</c:v>
                </c:pt>
                <c:pt idx="114">
                  <c:v>2.5211505310076192</c:v>
                </c:pt>
                <c:pt idx="115">
                  <c:v>2.4989797918350605</c:v>
                </c:pt>
                <c:pt idx="116">
                  <c:v>2.5726639889422018</c:v>
                </c:pt>
                <c:pt idx="117">
                  <c:v>2.5690854403853525</c:v>
                </c:pt>
                <c:pt idx="118">
                  <c:v>2.5355867171130235</c:v>
                </c:pt>
                <c:pt idx="119">
                  <c:v>2.5599414055794325</c:v>
                </c:pt>
                <c:pt idx="120">
                  <c:v>2.5711087102648928</c:v>
                </c:pt>
                <c:pt idx="121">
                  <c:v>2.5879142180528318</c:v>
                </c:pt>
                <c:pt idx="122">
                  <c:v>2.5748980562344599</c:v>
                </c:pt>
                <c:pt idx="123">
                  <c:v>2.5547798339583001</c:v>
                </c:pt>
                <c:pt idx="124">
                  <c:v>2.5006399181009651</c:v>
                </c:pt>
                <c:pt idx="125">
                  <c:v>2.5193848455525805</c:v>
                </c:pt>
                <c:pt idx="126">
                  <c:v>2.5439536159293472</c:v>
                </c:pt>
                <c:pt idx="127">
                  <c:v>2.5547798339583001</c:v>
                </c:pt>
                <c:pt idx="128">
                  <c:v>2.5312447530809821</c:v>
                </c:pt>
                <c:pt idx="129">
                  <c:v>2.5001799935204669</c:v>
                </c:pt>
                <c:pt idx="130">
                  <c:v>2.5853626438084079</c:v>
                </c:pt>
                <c:pt idx="131">
                  <c:v>2.584027863626861</c:v>
                </c:pt>
                <c:pt idx="132">
                  <c:v>2.6299239532731744</c:v>
                </c:pt>
                <c:pt idx="133">
                  <c:v>2.5707780923292467</c:v>
                </c:pt>
                <c:pt idx="134">
                  <c:v>2.5039169315294783</c:v>
                </c:pt>
                <c:pt idx="135">
                  <c:v>2.5518032839543099</c:v>
                </c:pt>
                <c:pt idx="136">
                  <c:v>2.6224606765402605</c:v>
                </c:pt>
                <c:pt idx="137">
                  <c:v>2.5403149411047439</c:v>
                </c:pt>
                <c:pt idx="138">
                  <c:v>2.5045957757690163</c:v>
                </c:pt>
                <c:pt idx="139">
                  <c:v>2.5092827660508887</c:v>
                </c:pt>
                <c:pt idx="140">
                  <c:v>2.5897104085206131</c:v>
                </c:pt>
                <c:pt idx="141">
                  <c:v>2.5144581921360314</c:v>
                </c:pt>
                <c:pt idx="142">
                  <c:v>2.4465894629054543</c:v>
                </c:pt>
                <c:pt idx="143">
                  <c:v>2.5147763320025103</c:v>
                </c:pt>
                <c:pt idx="144">
                  <c:v>2.4200206610688264</c:v>
                </c:pt>
                <c:pt idx="145">
                  <c:v>2.510019920239678</c:v>
                </c:pt>
                <c:pt idx="146">
                  <c:v>2.5494509212769718</c:v>
                </c:pt>
                <c:pt idx="147">
                  <c:v>2.5147763320025103</c:v>
                </c:pt>
                <c:pt idx="148">
                  <c:v>2.5601953050499877</c:v>
                </c:pt>
                <c:pt idx="149">
                  <c:v>2.6670020622414223</c:v>
                </c:pt>
                <c:pt idx="150">
                  <c:v>2.6532432983049259</c:v>
                </c:pt>
                <c:pt idx="151">
                  <c:v>2.5188290930509756</c:v>
                </c:pt>
                <c:pt idx="152">
                  <c:v>2.5292291315734921</c:v>
                </c:pt>
                <c:pt idx="153">
                  <c:v>2.5059928172283334</c:v>
                </c:pt>
                <c:pt idx="154">
                  <c:v>2.5536836139193126</c:v>
                </c:pt>
                <c:pt idx="155">
                  <c:v>2.6016341018675164</c:v>
                </c:pt>
                <c:pt idx="156">
                  <c:v>2.6564638149238924</c:v>
                </c:pt>
                <c:pt idx="157">
                  <c:v>2.6513770007299979</c:v>
                </c:pt>
                <c:pt idx="158">
                  <c:v>2.5895559464896678</c:v>
                </c:pt>
                <c:pt idx="159">
                  <c:v>2.7220764133286188</c:v>
                </c:pt>
                <c:pt idx="160">
                  <c:v>2.5437374078312405</c:v>
                </c:pt>
                <c:pt idx="161">
                  <c:v>2.6102107194630859</c:v>
                </c:pt>
                <c:pt idx="162">
                  <c:v>2.5935689695861184</c:v>
                </c:pt>
                <c:pt idx="163">
                  <c:v>2.5457808232446091</c:v>
                </c:pt>
                <c:pt idx="164">
                  <c:v>2.5352711886502401</c:v>
                </c:pt>
                <c:pt idx="165">
                  <c:v>2.6172504656604798</c:v>
                </c:pt>
                <c:pt idx="166">
                  <c:v>2.6629307163349178</c:v>
                </c:pt>
                <c:pt idx="167">
                  <c:v>2.5079872407968904</c:v>
                </c:pt>
                <c:pt idx="168">
                  <c:v>2.6102107194630859</c:v>
                </c:pt>
                <c:pt idx="169">
                  <c:v>2.5515681452785071</c:v>
                </c:pt>
                <c:pt idx="170">
                  <c:v>2.5026585863836881</c:v>
                </c:pt>
                <c:pt idx="171">
                  <c:v>2.6332679316772909</c:v>
                </c:pt>
                <c:pt idx="172">
                  <c:v>2.5516269319788893</c:v>
                </c:pt>
                <c:pt idx="173">
                  <c:v>2.5899034731047412</c:v>
                </c:pt>
                <c:pt idx="174">
                  <c:v>2.5073093147834791</c:v>
                </c:pt>
                <c:pt idx="175">
                  <c:v>2.5949373788205374</c:v>
                </c:pt>
                <c:pt idx="176">
                  <c:v>2.6840454541605663</c:v>
                </c:pt>
                <c:pt idx="177">
                  <c:v>2.619255619446105</c:v>
                </c:pt>
                <c:pt idx="178">
                  <c:v>2.5428330656966063</c:v>
                </c:pt>
                <c:pt idx="179">
                  <c:v>2.6046496885377888</c:v>
                </c:pt>
                <c:pt idx="180">
                  <c:v>2.5267568145747621</c:v>
                </c:pt>
                <c:pt idx="181">
                  <c:v>2.4709512338368804</c:v>
                </c:pt>
                <c:pt idx="182">
                  <c:v>2.6043233286210836</c:v>
                </c:pt>
                <c:pt idx="183">
                  <c:v>2.5451522547776979</c:v>
                </c:pt>
                <c:pt idx="184">
                  <c:v>2.581259382549534</c:v>
                </c:pt>
                <c:pt idx="185">
                  <c:v>2.5280031645549816</c:v>
                </c:pt>
                <c:pt idx="186">
                  <c:v>2.6565579233286067</c:v>
                </c:pt>
                <c:pt idx="187">
                  <c:v>2.6225560051217207</c:v>
                </c:pt>
                <c:pt idx="188">
                  <c:v>2.5515681452785071</c:v>
                </c:pt>
                <c:pt idx="189">
                  <c:v>2.5347583711273156</c:v>
                </c:pt>
                <c:pt idx="190">
                  <c:v>2.5341073379002714</c:v>
                </c:pt>
                <c:pt idx="191">
                  <c:v>2.5350542400508909</c:v>
                </c:pt>
                <c:pt idx="192">
                  <c:v>2.5536836139193126</c:v>
                </c:pt>
                <c:pt idx="193">
                  <c:v>2.4560537453402764</c:v>
                </c:pt>
                <c:pt idx="194">
                  <c:v>2.6050911692299756</c:v>
                </c:pt>
                <c:pt idx="195">
                  <c:v>2.5179356624028344</c:v>
                </c:pt>
                <c:pt idx="196">
                  <c:v>2.6239092972128439</c:v>
                </c:pt>
                <c:pt idx="197">
                  <c:v>2.522320360303187</c:v>
                </c:pt>
                <c:pt idx="198">
                  <c:v>2.6153584840323516</c:v>
                </c:pt>
                <c:pt idx="199">
                  <c:v>2.5556603843233945</c:v>
                </c:pt>
                <c:pt idx="200">
                  <c:v>2.5133443854752575</c:v>
                </c:pt>
                <c:pt idx="201">
                  <c:v>2.6436716891475007</c:v>
                </c:pt>
                <c:pt idx="202">
                  <c:v>2.5366316248127161</c:v>
                </c:pt>
                <c:pt idx="203">
                  <c:v>2.6109385285755007</c:v>
                </c:pt>
                <c:pt idx="204">
                  <c:v>2.5988074187980916</c:v>
                </c:pt>
                <c:pt idx="205">
                  <c:v>2.5283393759541064</c:v>
                </c:pt>
                <c:pt idx="206">
                  <c:v>2.5292291315734921</c:v>
                </c:pt>
                <c:pt idx="207">
                  <c:v>2.4720234626718254</c:v>
                </c:pt>
                <c:pt idx="208">
                  <c:v>2.5741989045137905</c:v>
                </c:pt>
                <c:pt idx="209">
                  <c:v>2.5800775182152957</c:v>
                </c:pt>
                <c:pt idx="210">
                  <c:v>2.5524889813670106</c:v>
                </c:pt>
                <c:pt idx="211">
                  <c:v>2.6330400680582131</c:v>
                </c:pt>
                <c:pt idx="212">
                  <c:v>2.4605893602956184</c:v>
                </c:pt>
                <c:pt idx="213">
                  <c:v>2.5916982849089516</c:v>
                </c:pt>
                <c:pt idx="214">
                  <c:v>2.5292291315734921</c:v>
                </c:pt>
                <c:pt idx="215">
                  <c:v>2.6284025566872358</c:v>
                </c:pt>
                <c:pt idx="216">
                  <c:v>2.5316002844051031</c:v>
                </c:pt>
                <c:pt idx="217">
                  <c:v>2.5537815098398688</c:v>
                </c:pt>
                <c:pt idx="218">
                  <c:v>2.4935316320431955</c:v>
                </c:pt>
                <c:pt idx="219">
                  <c:v>2.5633766793040778</c:v>
                </c:pt>
                <c:pt idx="220">
                  <c:v>2.4742675683927153</c:v>
                </c:pt>
                <c:pt idx="221">
                  <c:v>2.5294465797877606</c:v>
                </c:pt>
                <c:pt idx="222">
                  <c:v>2.5556603843233945</c:v>
                </c:pt>
                <c:pt idx="223">
                  <c:v>2.4696963376091401</c:v>
                </c:pt>
                <c:pt idx="224">
                  <c:v>2.5879142180528318</c:v>
                </c:pt>
                <c:pt idx="225">
                  <c:v>2.5694357357209774</c:v>
                </c:pt>
                <c:pt idx="226">
                  <c:v>2.4404302899283969</c:v>
                </c:pt>
                <c:pt idx="227">
                  <c:v>2.4520399670478459</c:v>
                </c:pt>
                <c:pt idx="228">
                  <c:v>2.6035744659986202</c:v>
                </c:pt>
                <c:pt idx="229">
                  <c:v>2.5656188337319321</c:v>
                </c:pt>
                <c:pt idx="230">
                  <c:v>2.5526456863419176</c:v>
                </c:pt>
                <c:pt idx="231">
                  <c:v>2.4742675683927149</c:v>
                </c:pt>
                <c:pt idx="232">
                  <c:v>2.5026585863836881</c:v>
                </c:pt>
                <c:pt idx="233">
                  <c:v>2.5794766911139164</c:v>
                </c:pt>
                <c:pt idx="234">
                  <c:v>2.5849564793241684</c:v>
                </c:pt>
                <c:pt idx="235">
                  <c:v>2.5107767722360346</c:v>
                </c:pt>
                <c:pt idx="236">
                  <c:v>2.4992999019725506</c:v>
                </c:pt>
                <c:pt idx="237">
                  <c:v>2.5156311335328949</c:v>
                </c:pt>
                <c:pt idx="238">
                  <c:v>2.5347583711273152</c:v>
                </c:pt>
                <c:pt idx="239">
                  <c:v>2.6076809620810595</c:v>
                </c:pt>
                <c:pt idx="240">
                  <c:v>2.5452701231892854</c:v>
                </c:pt>
                <c:pt idx="241">
                  <c:v>2.6034592372457075</c:v>
                </c:pt>
                <c:pt idx="242">
                  <c:v>2.6102107194630855</c:v>
                </c:pt>
                <c:pt idx="243">
                  <c:v>2.5715753926338616</c:v>
                </c:pt>
                <c:pt idx="244">
                  <c:v>2.5020391683584813</c:v>
                </c:pt>
                <c:pt idx="245">
                  <c:v>2.4285386552410482</c:v>
                </c:pt>
                <c:pt idx="246">
                  <c:v>2.5489213404889526</c:v>
                </c:pt>
                <c:pt idx="247">
                  <c:v>2.4577225229874915</c:v>
                </c:pt>
                <c:pt idx="248">
                  <c:v>2.5489213404889526</c:v>
                </c:pt>
                <c:pt idx="249">
                  <c:v>2.4987396823198691</c:v>
                </c:pt>
                <c:pt idx="250">
                  <c:v>2.5536836139193122</c:v>
                </c:pt>
                <c:pt idx="251">
                  <c:v>2.5599414055794325</c:v>
                </c:pt>
                <c:pt idx="252">
                  <c:v>2.4602845363900494</c:v>
                </c:pt>
                <c:pt idx="253">
                  <c:v>2.5439536159293472</c:v>
                </c:pt>
                <c:pt idx="254">
                  <c:v>2.5366316248127165</c:v>
                </c:pt>
                <c:pt idx="255">
                  <c:v>2.520495982936692</c:v>
                </c:pt>
                <c:pt idx="256">
                  <c:v>2.4920874784003875</c:v>
                </c:pt>
                <c:pt idx="257">
                  <c:v>2.5992498917957079</c:v>
                </c:pt>
                <c:pt idx="258">
                  <c:v>2.5072694310743713</c:v>
                </c:pt>
                <c:pt idx="259">
                  <c:v>2.5451522547776979</c:v>
                </c:pt>
                <c:pt idx="260">
                  <c:v>2.411514047232568</c:v>
                </c:pt>
                <c:pt idx="261">
                  <c:v>2.4935917869611295</c:v>
                </c:pt>
                <c:pt idx="262">
                  <c:v>2.4541597340026584</c:v>
                </c:pt>
                <c:pt idx="263">
                  <c:v>2.4581497106563708</c:v>
                </c:pt>
                <c:pt idx="264">
                  <c:v>2.4473863609981974</c:v>
                </c:pt>
                <c:pt idx="265">
                  <c:v>2.4214252001662162</c:v>
                </c:pt>
                <c:pt idx="266">
                  <c:v>2.5266974492408067</c:v>
                </c:pt>
                <c:pt idx="267">
                  <c:v>2.3434376458527764</c:v>
                </c:pt>
                <c:pt idx="268">
                  <c:v>1.9672569735548024</c:v>
                </c:pt>
                <c:pt idx="269">
                  <c:v>2.0416659863944449</c:v>
                </c:pt>
                <c:pt idx="270">
                  <c:v>1.9241881404893857</c:v>
                </c:pt>
                <c:pt idx="271">
                  <c:v>2.0225231766286389</c:v>
                </c:pt>
                <c:pt idx="272">
                  <c:v>1.9604081207748556</c:v>
                </c:pt>
                <c:pt idx="273">
                  <c:v>1.9918082237002634</c:v>
                </c:pt>
                <c:pt idx="274">
                  <c:v>2.0368603290358425</c:v>
                </c:pt>
                <c:pt idx="275">
                  <c:v>1.895521036549054</c:v>
                </c:pt>
                <c:pt idx="276">
                  <c:v>2.0368603290358425</c:v>
                </c:pt>
                <c:pt idx="277">
                  <c:v>2.0525106577067995</c:v>
                </c:pt>
                <c:pt idx="278">
                  <c:v>1.9887936041731427</c:v>
                </c:pt>
                <c:pt idx="279">
                  <c:v>2.0169779374103229</c:v>
                </c:pt>
                <c:pt idx="280">
                  <c:v>1.946175737183053</c:v>
                </c:pt>
                <c:pt idx="281">
                  <c:v>1.9856485086741811</c:v>
                </c:pt>
                <c:pt idx="282">
                  <c:v>1.9895728184713419</c:v>
                </c:pt>
                <c:pt idx="283">
                  <c:v>2.0193315725754397</c:v>
                </c:pt>
                <c:pt idx="284">
                  <c:v>1.9996499693696395</c:v>
                </c:pt>
                <c:pt idx="285">
                  <c:v>2.0064396327824068</c:v>
                </c:pt>
                <c:pt idx="286">
                  <c:v>2.0008498194517248</c:v>
                </c:pt>
                <c:pt idx="287">
                  <c:v>1.8989734068701436</c:v>
                </c:pt>
                <c:pt idx="288">
                  <c:v>2.0183656754909403</c:v>
                </c:pt>
                <c:pt idx="289">
                  <c:v>1.960229578391266</c:v>
                </c:pt>
                <c:pt idx="290">
                  <c:v>1.9018412131405713</c:v>
                </c:pt>
                <c:pt idx="291">
                  <c:v>1.8917980864775186</c:v>
                </c:pt>
                <c:pt idx="292">
                  <c:v>1.9119100397246727</c:v>
                </c:pt>
                <c:pt idx="293">
                  <c:v>1.9833809518093088</c:v>
                </c:pt>
                <c:pt idx="294">
                  <c:v>1.9601020381602585</c:v>
                </c:pt>
                <c:pt idx="295">
                  <c:v>2.0392400545301181</c:v>
                </c:pt>
                <c:pt idx="296">
                  <c:v>1.9190883252211191</c:v>
                </c:pt>
                <c:pt idx="297">
                  <c:v>1.9739554199626697</c:v>
                </c:pt>
                <c:pt idx="298">
                  <c:v>1.966443490161871</c:v>
                </c:pt>
                <c:pt idx="299">
                  <c:v>2.04</c:v>
                </c:pt>
                <c:pt idx="300">
                  <c:v>1.9550959055759898</c:v>
                </c:pt>
                <c:pt idx="301">
                  <c:v>1.9458931111445972</c:v>
                </c:pt>
                <c:pt idx="302">
                  <c:v>1.924811679100062</c:v>
                </c:pt>
                <c:pt idx="303">
                  <c:v>2.0056171120131583</c:v>
                </c:pt>
                <c:pt idx="304">
                  <c:v>1.9299999999999997</c:v>
                </c:pt>
                <c:pt idx="305">
                  <c:v>1.9602295783912658</c:v>
                </c:pt>
                <c:pt idx="306">
                  <c:v>1.9465096968677038</c:v>
                </c:pt>
                <c:pt idx="307">
                  <c:v>1.9553260597659921</c:v>
                </c:pt>
                <c:pt idx="308">
                  <c:v>1.9791412279066898</c:v>
                </c:pt>
                <c:pt idx="309">
                  <c:v>1.9723082923316018</c:v>
                </c:pt>
                <c:pt idx="310">
                  <c:v>1.9795959183631389</c:v>
                </c:pt>
                <c:pt idx="311">
                  <c:v>2.0374493858744072</c:v>
                </c:pt>
                <c:pt idx="312">
                  <c:v>2.005243127403757</c:v>
                </c:pt>
                <c:pt idx="313">
                  <c:v>2.0289159667172023</c:v>
                </c:pt>
                <c:pt idx="314">
                  <c:v>2.0088305055429641</c:v>
                </c:pt>
                <c:pt idx="315">
                  <c:v>2.0207176942858696</c:v>
                </c:pt>
                <c:pt idx="316">
                  <c:v>2.0400980368599937</c:v>
                </c:pt>
                <c:pt idx="317">
                  <c:v>1.9949185447030162</c:v>
                </c:pt>
                <c:pt idx="318">
                  <c:v>1.9553260597659921</c:v>
                </c:pt>
                <c:pt idx="319">
                  <c:v>1.9999999999999998</c:v>
                </c:pt>
                <c:pt idx="320">
                  <c:v>1.9420092687729378</c:v>
                </c:pt>
                <c:pt idx="321">
                  <c:v>1.9677398201998149</c:v>
                </c:pt>
                <c:pt idx="322">
                  <c:v>1.9751708786836644</c:v>
                </c:pt>
                <c:pt idx="323">
                  <c:v>2.0026232796010337</c:v>
                </c:pt>
                <c:pt idx="324">
                  <c:v>1.9694669329541941</c:v>
                </c:pt>
                <c:pt idx="325">
                  <c:v>1.9665706191235541</c:v>
                </c:pt>
                <c:pt idx="326">
                  <c:v>2.0171762441591463</c:v>
                </c:pt>
                <c:pt idx="327">
                  <c:v>2.0026232796010337</c:v>
                </c:pt>
                <c:pt idx="328">
                  <c:v>1.9764867821465439</c:v>
                </c:pt>
                <c:pt idx="329">
                  <c:v>1.9946177578674065</c:v>
                </c:pt>
                <c:pt idx="330">
                  <c:v>2.0092784774639876</c:v>
                </c:pt>
                <c:pt idx="331">
                  <c:v>2.0129580224137809</c:v>
                </c:pt>
                <c:pt idx="332">
                  <c:v>1.9610456394485061</c:v>
                </c:pt>
                <c:pt idx="333">
                  <c:v>1.9729419656948859</c:v>
                </c:pt>
                <c:pt idx="334">
                  <c:v>1.8930662957223656</c:v>
                </c:pt>
                <c:pt idx="335">
                  <c:v>2.0255616505058542</c:v>
                </c:pt>
                <c:pt idx="336">
                  <c:v>2.0205444810743467</c:v>
                </c:pt>
                <c:pt idx="337">
                  <c:v>1.9458931111445974</c:v>
                </c:pt>
                <c:pt idx="338">
                  <c:v>1.9523319389898841</c:v>
                </c:pt>
                <c:pt idx="339">
                  <c:v>2.0441624201613728</c:v>
                </c:pt>
                <c:pt idx="340">
                  <c:v>1.9553260597659918</c:v>
                </c:pt>
                <c:pt idx="341">
                  <c:v>2.0116162655934158</c:v>
                </c:pt>
                <c:pt idx="342">
                  <c:v>1.9513328778042971</c:v>
                </c:pt>
                <c:pt idx="343">
                  <c:v>1.9425756098540929</c:v>
                </c:pt>
                <c:pt idx="344">
                  <c:v>1.8921152184790442</c:v>
                </c:pt>
                <c:pt idx="345">
                  <c:v>1.9142622599842478</c:v>
                </c:pt>
                <c:pt idx="346">
                  <c:v>1.9485892332659542</c:v>
                </c:pt>
                <c:pt idx="347">
                  <c:v>1.9504102132628407</c:v>
                </c:pt>
                <c:pt idx="348">
                  <c:v>1.9949185447030164</c:v>
                </c:pt>
                <c:pt idx="349">
                  <c:v>1.9557607215607946</c:v>
                </c:pt>
                <c:pt idx="350">
                  <c:v>1.9398195792392652</c:v>
                </c:pt>
                <c:pt idx="351">
                  <c:v>1.9918082237002634</c:v>
                </c:pt>
                <c:pt idx="352">
                  <c:v>1.9695684806576286</c:v>
                </c:pt>
                <c:pt idx="353">
                  <c:v>1.9636954957426571</c:v>
                </c:pt>
                <c:pt idx="354">
                  <c:v>1.94982050455933</c:v>
                </c:pt>
                <c:pt idx="355">
                  <c:v>2.0385534086699812</c:v>
                </c:pt>
                <c:pt idx="356">
                  <c:v>2.0255616505058542</c:v>
                </c:pt>
                <c:pt idx="357">
                  <c:v>2.0392400545301181</c:v>
                </c:pt>
                <c:pt idx="358">
                  <c:v>2.0620620747203513</c:v>
                </c:pt>
                <c:pt idx="359">
                  <c:v>1.9697715603592212</c:v>
                </c:pt>
                <c:pt idx="360">
                  <c:v>1.9720294115453754</c:v>
                </c:pt>
                <c:pt idx="361">
                  <c:v>1.9469976887505542</c:v>
                </c:pt>
                <c:pt idx="362">
                  <c:v>1.9921094347449892</c:v>
                </c:pt>
                <c:pt idx="363">
                  <c:v>1.9720294115453754</c:v>
                </c:pt>
                <c:pt idx="364">
                  <c:v>2.0615528128088298</c:v>
                </c:pt>
                <c:pt idx="365">
                  <c:v>1.9725364381932211</c:v>
                </c:pt>
                <c:pt idx="366">
                  <c:v>1.9588772294352701</c:v>
                </c:pt>
                <c:pt idx="367">
                  <c:v>2.0498048687619024</c:v>
                </c:pt>
                <c:pt idx="368">
                  <c:v>2.0448227307030797</c:v>
                </c:pt>
                <c:pt idx="369">
                  <c:v>1.9473315074737534</c:v>
                </c:pt>
                <c:pt idx="370">
                  <c:v>2.0357062656483622</c:v>
                </c:pt>
                <c:pt idx="371">
                  <c:v>2.0171762441591463</c:v>
                </c:pt>
                <c:pt idx="372">
                  <c:v>2.0235859260234048</c:v>
                </c:pt>
                <c:pt idx="373">
                  <c:v>1.9961963831246663</c:v>
                </c:pt>
                <c:pt idx="374">
                  <c:v>1.915097908724251</c:v>
                </c:pt>
                <c:pt idx="375">
                  <c:v>2.0706762180505187</c:v>
                </c:pt>
                <c:pt idx="376">
                  <c:v>1.9089525923919639</c:v>
                </c:pt>
                <c:pt idx="377">
                  <c:v>1.9664434901618708</c:v>
                </c:pt>
                <c:pt idx="378">
                  <c:v>2.0412986062798359</c:v>
                </c:pt>
                <c:pt idx="379">
                  <c:v>1.9991248085099642</c:v>
                </c:pt>
                <c:pt idx="380">
                  <c:v>1.9620907216538179</c:v>
                </c:pt>
                <c:pt idx="381">
                  <c:v>1.9960210419732554</c:v>
                </c:pt>
                <c:pt idx="382">
                  <c:v>1.969771560359221</c:v>
                </c:pt>
                <c:pt idx="383">
                  <c:v>1.9789138435010252</c:v>
                </c:pt>
                <c:pt idx="384">
                  <c:v>2.0155644370746373</c:v>
                </c:pt>
                <c:pt idx="385">
                  <c:v>2.049414550548522</c:v>
                </c:pt>
                <c:pt idx="386">
                  <c:v>2.0264747716169573</c:v>
                </c:pt>
              </c:numCache>
            </c:numRef>
          </c:xVal>
          <c:yVal>
            <c:numRef>
              <c:f>'HT 2017-07-05 BIG JIM'!#REF!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9B-493F-B234-3000C9833517}"/>
            </c:ext>
          </c:extLst>
        </c:ser>
        <c:ser>
          <c:idx val="6"/>
          <c:order val="4"/>
          <c:tx>
            <c:strRef>
              <c:f>'HT 2017-07-05 BIG JIM'!$AN$1</c:f>
              <c:strCache>
                <c:ptCount val="1"/>
                <c:pt idx="0">
                  <c:v>zk4a-f</c:v>
                </c:pt>
              </c:strCache>
            </c:strRef>
          </c:tx>
          <c:spPr>
            <a:ln w="6350" cap="rnd" cmpd="sng" algn="ctr">
              <a:solidFill>
                <a:schemeClr val="accent1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JIM'!$AN$1208:$AN$1214</c:f>
              <c:numCache>
                <c:formatCode>General</c:formatCode>
                <c:ptCount val="7"/>
                <c:pt idx="0">
                  <c:v>1.8782189787613814</c:v>
                </c:pt>
                <c:pt idx="1">
                  <c:v>2.1801696953282805</c:v>
                </c:pt>
                <c:pt idx="2">
                  <c:v>2.4865581451291856</c:v>
                </c:pt>
                <c:pt idx="3">
                  <c:v>2.7969438812057064</c:v>
                </c:pt>
                <c:pt idx="4">
                  <c:v>3.1109703865241243</c:v>
                </c:pt>
                <c:pt idx="5">
                  <c:v>3.4283428059595598</c:v>
                </c:pt>
                <c:pt idx="6">
                  <c:v>3.7488129738952249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9B-493F-B234-3000C9833517}"/>
            </c:ext>
          </c:extLst>
        </c:ser>
        <c:ser>
          <c:idx val="7"/>
          <c:order val="5"/>
          <c:tx>
            <c:strRef>
              <c:f>'HT 2017-07-05 BIG JIM'!$AO$1</c:f>
              <c:strCache>
                <c:ptCount val="1"/>
                <c:pt idx="0">
                  <c:v>zk4b-f</c:v>
                </c:pt>
              </c:strCache>
            </c:strRef>
          </c:tx>
          <c:spPr>
            <a:ln w="6350" cap="rnd" cmpd="sng" algn="ctr">
              <a:solidFill>
                <a:schemeClr val="accent2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Pt>
            <c:idx val="5"/>
            <c:bubble3D val="0"/>
            <c:spPr>
              <a:ln w="6350" cap="rnd" cmpd="sng" algn="ctr">
                <a:solidFill>
                  <a:srgbClr val="FE5F34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A-329B-493F-B234-3000C9833517}"/>
              </c:ext>
            </c:extLst>
          </c:dPt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JIM'!$AO$1208:$AO$1214</c:f>
              <c:numCache>
                <c:formatCode>General</c:formatCode>
                <c:ptCount val="7"/>
                <c:pt idx="0">
                  <c:v>1.8713529170722589</c:v>
                </c:pt>
                <c:pt idx="1">
                  <c:v>2.16733885578804</c:v>
                </c:pt>
                <c:pt idx="2">
                  <c:v>2.4670441978199</c:v>
                </c:pt>
                <c:pt idx="3">
                  <c:v>2.7700931337608159</c:v>
                </c:pt>
                <c:pt idx="4">
                  <c:v>3.0761820427646325</c:v>
                </c:pt>
                <c:pt idx="5">
                  <c:v>3.3850602435986854</c:v>
                </c:pt>
                <c:pt idx="6">
                  <c:v>3.6965170747368612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29B-493F-B234-3000C9833517}"/>
            </c:ext>
          </c:extLst>
        </c:ser>
        <c:ser>
          <c:idx val="12"/>
          <c:order val="6"/>
          <c:tx>
            <c:strRef>
              <c:f>'HT 2017-07-05 BIG JIM'!$AT$1</c:f>
              <c:strCache>
                <c:ptCount val="1"/>
                <c:pt idx="0">
                  <c:v>zl4a-f</c:v>
                </c:pt>
              </c:strCache>
            </c:strRef>
          </c:tx>
          <c:spPr>
            <a:ln w="6350" cap="rnd" cmpd="sng" algn="ctr">
              <a:solidFill>
                <a:schemeClr val="accent1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JIM'!$AT$1208:$AT$1214</c:f>
              <c:numCache>
                <c:formatCode>General</c:formatCode>
                <c:ptCount val="7"/>
                <c:pt idx="0">
                  <c:v>1.7989746637712867</c:v>
                </c:pt>
                <c:pt idx="1">
                  <c:v>2.1384104236264005</c:v>
                </c:pt>
                <c:pt idx="2">
                  <c:v>2.4905999852933585</c:v>
                </c:pt>
                <c:pt idx="3">
                  <c:v>2.8545223982666017</c:v>
                </c:pt>
                <c:pt idx="4">
                  <c:v>3.2293344944057281</c:v>
                </c:pt>
                <c:pt idx="5">
                  <c:v>3.6143262551074162</c:v>
                </c:pt>
                <c:pt idx="6">
                  <c:v>4.0088902414173644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29B-493F-B234-3000C9833517}"/>
            </c:ext>
          </c:extLst>
        </c:ser>
        <c:ser>
          <c:idx val="13"/>
          <c:order val="7"/>
          <c:tx>
            <c:strRef>
              <c:f>'HT 2017-07-05 BIG JIM'!$AU$1</c:f>
              <c:strCache>
                <c:ptCount val="1"/>
                <c:pt idx="0">
                  <c:v>zl4b-f</c:v>
                </c:pt>
              </c:strCache>
            </c:strRef>
          </c:tx>
          <c:spPr>
            <a:ln w="6350" cap="rnd" cmpd="sng" algn="ctr">
              <a:solidFill>
                <a:schemeClr val="accent2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JIM'!$AU$1208:$AU$1214</c:f>
              <c:numCache>
                <c:formatCode>General</c:formatCode>
                <c:ptCount val="7"/>
                <c:pt idx="0">
                  <c:v>1.9303270358695668</c:v>
                </c:pt>
                <c:pt idx="1">
                  <c:v>2.2012719466442059</c:v>
                </c:pt>
                <c:pt idx="2">
                  <c:v>2.4716616505018352</c:v>
                </c:pt>
                <c:pt idx="3">
                  <c:v>2.7415590658149647</c:v>
                </c:pt>
                <c:pt idx="4">
                  <c:v>3.0110143632151729</c:v>
                </c:pt>
                <c:pt idx="5">
                  <c:v>3.2800684813451748</c:v>
                </c:pt>
                <c:pt idx="6">
                  <c:v>3.5487554583246279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29B-493F-B234-3000C9833517}"/>
            </c:ext>
          </c:extLst>
        </c:ser>
        <c:ser>
          <c:idx val="18"/>
          <c:order val="8"/>
          <c:tx>
            <c:strRef>
              <c:f>'HT 2017-07-05 BIG JIM'!$AZ$1</c:f>
              <c:strCache>
                <c:ptCount val="1"/>
                <c:pt idx="0">
                  <c:v>zn6a-f</c:v>
                </c:pt>
              </c:strCache>
            </c:strRef>
          </c:tx>
          <c:spPr>
            <a:ln w="6350" cap="rnd" cmpd="sng" algn="ctr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JIM'!$AZ$1208:$AZ$1214</c:f>
              <c:numCache>
                <c:formatCode>General</c:formatCode>
                <c:ptCount val="7"/>
                <c:pt idx="0">
                  <c:v>1.7977143134823723</c:v>
                </c:pt>
                <c:pt idx="1">
                  <c:v>2.1043185952274377</c:v>
                </c:pt>
                <c:pt idx="2">
                  <c:v>2.4178896067988713</c:v>
                </c:pt>
                <c:pt idx="3">
                  <c:v>2.7377828452237916</c:v>
                </c:pt>
                <c:pt idx="4">
                  <c:v>3.0634729051459142</c:v>
                </c:pt>
                <c:pt idx="5">
                  <c:v>3.3945224769403821</c:v>
                </c:pt>
                <c:pt idx="6">
                  <c:v>3.7305613652251348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29B-493F-B234-3000C9833517}"/>
            </c:ext>
          </c:extLst>
        </c:ser>
        <c:ser>
          <c:idx val="19"/>
          <c:order val="9"/>
          <c:tx>
            <c:strRef>
              <c:f>'HT 2017-07-05 BIG JIM'!$BA$1</c:f>
              <c:strCache>
                <c:ptCount val="1"/>
                <c:pt idx="0">
                  <c:v>zn6b-f</c:v>
                </c:pt>
              </c:strCache>
            </c:strRef>
          </c:tx>
          <c:spPr>
            <a:ln w="635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JIM'!$BA$1208:$BA$1214</c:f>
              <c:numCache>
                <c:formatCode>General</c:formatCode>
                <c:ptCount val="7"/>
                <c:pt idx="0">
                  <c:v>1.7172057968737153</c:v>
                </c:pt>
                <c:pt idx="1">
                  <c:v>2.0599457555334255</c:v>
                </c:pt>
                <c:pt idx="2">
                  <c:v>2.4186232170701505</c:v>
                </c:pt>
                <c:pt idx="3">
                  <c:v>2.7920816472464995</c:v>
                </c:pt>
                <c:pt idx="4">
                  <c:v>3.1793585074726209</c:v>
                </c:pt>
                <c:pt idx="5">
                  <c:v>3.5796376283662856</c:v>
                </c:pt>
                <c:pt idx="6">
                  <c:v>3.9922163570962885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29B-493F-B234-3000C9833517}"/>
            </c:ext>
          </c:extLst>
        </c:ser>
        <c:ser>
          <c:idx val="20"/>
          <c:order val="10"/>
          <c:tx>
            <c:strRef>
              <c:f>'HT 2017-07-05 BIG JIM'!$AH$1</c:f>
              <c:strCache>
                <c:ptCount val="1"/>
                <c:pt idx="0">
                  <c:v>fitwild-f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dash"/>
              <a:round/>
            </a:ln>
          </c:spPr>
          <c:marker>
            <c:symbol val="none"/>
          </c:marker>
          <c:xVal>
            <c:numRef>
              <c:f>'HT 2017-07-05 BIG JIM'!$G$1208:$G$1214</c:f>
              <c:numCache>
                <c:formatCode>General</c:formatCode>
                <c:ptCount val="7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</c:numCache>
            </c:numRef>
          </c:xVal>
          <c:yVal>
            <c:numRef>
              <c:f>'HT 2017-07-05 BIG JIM'!$AH$1208:$AH$1214</c:f>
              <c:numCache>
                <c:formatCode>General</c:formatCode>
                <c:ptCount val="7"/>
                <c:pt idx="0">
                  <c:v>0.73478870778085714</c:v>
                </c:pt>
                <c:pt idx="1">
                  <c:v>1.346216773969716</c:v>
                </c:pt>
                <c:pt idx="2">
                  <c:v>2.2964424257893161</c:v>
                </c:pt>
                <c:pt idx="3">
                  <c:v>3.7028273787956851</c:v>
                </c:pt>
                <c:pt idx="4">
                  <c:v>5.7045325278758483</c:v>
                </c:pt>
                <c:pt idx="5">
                  <c:v>8.4637825545646681</c:v>
                </c:pt>
                <c:pt idx="6">
                  <c:v>12.167072593932847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29B-493F-B234-3000C9833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976176"/>
        <c:axId val="300975784"/>
      </c:scatterChart>
      <c:valAx>
        <c:axId val="300976176"/>
        <c:scaling>
          <c:orientation val="minMax"/>
          <c:max val="1.4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THORAX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75784"/>
        <c:crosses val="autoZero"/>
        <c:crossBetween val="midCat"/>
        <c:majorUnit val="0.1"/>
      </c:valAx>
      <c:valAx>
        <c:axId val="300975784"/>
        <c:scaling>
          <c:orientation val="minMax"/>
          <c:max val="3.1"/>
          <c:min val="1.7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WING</a:t>
                </a:r>
                <a:r>
                  <a:rPr lang="en-US" sz="2000" b="1" baseline="0"/>
                  <a:t> </a:t>
                </a:r>
                <a:r>
                  <a:rPr lang="en-US" sz="2000" b="1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76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WING LENGTH VS THORAX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959413214743155"/>
          <c:y val="6.1460541594815316E-2"/>
          <c:w val="0.56989691596365177"/>
          <c:h val="0.71694041787804497"/>
        </c:manualLayout>
      </c:layout>
      <c:scatterChart>
        <c:scatterStyle val="lineMarker"/>
        <c:varyColors val="0"/>
        <c:ser>
          <c:idx val="20"/>
          <c:order val="0"/>
          <c:tx>
            <c:strRef>
              <c:f>'HT 2017-07-05 BIG JIM'!$P$1</c:f>
              <c:strCache>
                <c:ptCount val="1"/>
                <c:pt idx="0">
                  <c:v>wild-m</c:v>
                </c:pt>
              </c:strCache>
            </c:strRef>
          </c:tx>
          <c:spPr>
            <a:ln w="19050" cap="rnd" cmpd="sng" algn="ctr">
              <a:noFill/>
              <a:prstDash val="dash"/>
              <a:round/>
            </a:ln>
          </c:spPr>
          <c:marker>
            <c:symbol val="circle"/>
            <c:size val="3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JIM'!$P$2:$P$1205</c:f>
              <c:numCache>
                <c:formatCode>General</c:formatCode>
                <c:ptCount val="1204"/>
                <c:pt idx="680">
                  <c:v>1.9636954957426571</c:v>
                </c:pt>
                <c:pt idx="681">
                  <c:v>1.94982050455933</c:v>
                </c:pt>
                <c:pt idx="682">
                  <c:v>2.0385534086699812</c:v>
                </c:pt>
                <c:pt idx="683">
                  <c:v>2.0255616505058542</c:v>
                </c:pt>
                <c:pt idx="684">
                  <c:v>2.0392400545301181</c:v>
                </c:pt>
                <c:pt idx="685">
                  <c:v>2.0620620747203513</c:v>
                </c:pt>
                <c:pt idx="686">
                  <c:v>1.9697715603592212</c:v>
                </c:pt>
                <c:pt idx="687">
                  <c:v>1.9720294115453754</c:v>
                </c:pt>
                <c:pt idx="688">
                  <c:v>1.9469976887505542</c:v>
                </c:pt>
                <c:pt idx="689">
                  <c:v>1.9921094347449892</c:v>
                </c:pt>
                <c:pt idx="690">
                  <c:v>1.9720294115453754</c:v>
                </c:pt>
                <c:pt idx="691">
                  <c:v>2.0615528128088298</c:v>
                </c:pt>
                <c:pt idx="692">
                  <c:v>1.9725364381932211</c:v>
                </c:pt>
                <c:pt idx="693">
                  <c:v>1.9588772294352701</c:v>
                </c:pt>
                <c:pt idx="694">
                  <c:v>2.0498048687619024</c:v>
                </c:pt>
                <c:pt idx="695">
                  <c:v>2.0448227307030797</c:v>
                </c:pt>
                <c:pt idx="696">
                  <c:v>1.9473315074737534</c:v>
                </c:pt>
                <c:pt idx="697">
                  <c:v>2.0357062656483622</c:v>
                </c:pt>
                <c:pt idx="698">
                  <c:v>2.0171762441591463</c:v>
                </c:pt>
                <c:pt idx="699">
                  <c:v>2.0235859260234048</c:v>
                </c:pt>
                <c:pt idx="700">
                  <c:v>1.9961963831246663</c:v>
                </c:pt>
                <c:pt idx="701">
                  <c:v>1.915097908724251</c:v>
                </c:pt>
                <c:pt idx="702">
                  <c:v>2.0706762180505187</c:v>
                </c:pt>
                <c:pt idx="703">
                  <c:v>1.9089525923919639</c:v>
                </c:pt>
                <c:pt idx="704">
                  <c:v>1.9664434901618708</c:v>
                </c:pt>
                <c:pt idx="705">
                  <c:v>2.0412986062798359</c:v>
                </c:pt>
                <c:pt idx="706">
                  <c:v>1.9991248085099642</c:v>
                </c:pt>
                <c:pt idx="707">
                  <c:v>1.9620907216538179</c:v>
                </c:pt>
                <c:pt idx="708">
                  <c:v>1.9960210419732554</c:v>
                </c:pt>
                <c:pt idx="709">
                  <c:v>1.969771560359221</c:v>
                </c:pt>
                <c:pt idx="710">
                  <c:v>1.9789138435010252</c:v>
                </c:pt>
                <c:pt idx="711">
                  <c:v>2.0155644370746373</c:v>
                </c:pt>
                <c:pt idx="712">
                  <c:v>2.049414550548522</c:v>
                </c:pt>
                <c:pt idx="713">
                  <c:v>2.0264747716169573</c:v>
                </c:pt>
                <c:pt idx="714">
                  <c:v>2.0317726250739767</c:v>
                </c:pt>
                <c:pt idx="715">
                  <c:v>2.005243127403757</c:v>
                </c:pt>
                <c:pt idx="716">
                  <c:v>1.9448650338776725</c:v>
                </c:pt>
                <c:pt idx="717">
                  <c:v>2.006389792637512</c:v>
                </c:pt>
                <c:pt idx="718">
                  <c:v>1.9190883252211188</c:v>
                </c:pt>
                <c:pt idx="719">
                  <c:v>1.9824479816630751</c:v>
                </c:pt>
                <c:pt idx="720">
                  <c:v>1.9490510511528425</c:v>
                </c:pt>
                <c:pt idx="721">
                  <c:v>2.078701517774979</c:v>
                </c:pt>
                <c:pt idx="722">
                  <c:v>2.0172506041639942</c:v>
                </c:pt>
                <c:pt idx="723">
                  <c:v>2.0185390756683406</c:v>
                </c:pt>
                <c:pt idx="724">
                  <c:v>2.0135789033459801</c:v>
                </c:pt>
                <c:pt idx="725">
                  <c:v>2.0931316251014889</c:v>
                </c:pt>
                <c:pt idx="726">
                  <c:v>2.0140506448448607</c:v>
                </c:pt>
                <c:pt idx="727">
                  <c:v>1.9729419656948861</c:v>
                </c:pt>
                <c:pt idx="728">
                  <c:v>2.0110942295178513</c:v>
                </c:pt>
                <c:pt idx="729">
                  <c:v>1.9924858845171274</c:v>
                </c:pt>
                <c:pt idx="730">
                  <c:v>1.9592090240706836</c:v>
                </c:pt>
                <c:pt idx="731">
                  <c:v>1.9455076458343721</c:v>
                </c:pt>
                <c:pt idx="732">
                  <c:v>1.9688829320200831</c:v>
                </c:pt>
                <c:pt idx="733">
                  <c:v>2.0353869410998984</c:v>
                </c:pt>
                <c:pt idx="734">
                  <c:v>2.0024235316236174</c:v>
                </c:pt>
                <c:pt idx="735">
                  <c:v>2.0573040611440985</c:v>
                </c:pt>
                <c:pt idx="736">
                  <c:v>1.9184629264074926</c:v>
                </c:pt>
                <c:pt idx="737">
                  <c:v>2.0483407919582133</c:v>
                </c:pt>
                <c:pt idx="738">
                  <c:v>1.9784084512557059</c:v>
                </c:pt>
                <c:pt idx="739">
                  <c:v>1.9921094347449895</c:v>
                </c:pt>
                <c:pt idx="740">
                  <c:v>1.9577793542685038</c:v>
                </c:pt>
                <c:pt idx="741">
                  <c:v>1.9642046736529264</c:v>
                </c:pt>
                <c:pt idx="742">
                  <c:v>1.9808079159777203</c:v>
                </c:pt>
                <c:pt idx="743">
                  <c:v>1.9444536507718562</c:v>
                </c:pt>
                <c:pt idx="744">
                  <c:v>1.9990497742677644</c:v>
                </c:pt>
                <c:pt idx="745">
                  <c:v>1.927200041511</c:v>
                </c:pt>
                <c:pt idx="746">
                  <c:v>1.9581624038878902</c:v>
                </c:pt>
                <c:pt idx="747">
                  <c:v>1.9928873525616042</c:v>
                </c:pt>
                <c:pt idx="748">
                  <c:v>1.9991248085099638</c:v>
                </c:pt>
                <c:pt idx="749">
                  <c:v>1.9642046736529262</c:v>
                </c:pt>
                <c:pt idx="750">
                  <c:v>2.0125854019146616</c:v>
                </c:pt>
                <c:pt idx="751">
                  <c:v>2.0169531476958014</c:v>
                </c:pt>
                <c:pt idx="752">
                  <c:v>1.9859506539690257</c:v>
                </c:pt>
                <c:pt idx="753">
                  <c:v>1.9747404892795408</c:v>
                </c:pt>
                <c:pt idx="754">
                  <c:v>1.9588006534611941</c:v>
                </c:pt>
                <c:pt idx="755">
                  <c:v>2.0035218990567585</c:v>
                </c:pt>
                <c:pt idx="756">
                  <c:v>1.9617339269126179</c:v>
                </c:pt>
                <c:pt idx="757">
                  <c:v>1.9777259668619414</c:v>
                </c:pt>
                <c:pt idx="758">
                  <c:v>1.9394071259021404</c:v>
                </c:pt>
                <c:pt idx="759">
                  <c:v>1.9384787850270633</c:v>
                </c:pt>
                <c:pt idx="760">
                  <c:v>1.9359752064528102</c:v>
                </c:pt>
                <c:pt idx="761">
                  <c:v>1.8983413813115912</c:v>
                </c:pt>
                <c:pt idx="762">
                  <c:v>1.8601075237738274</c:v>
                </c:pt>
                <c:pt idx="763">
                  <c:v>1.9578048932414078</c:v>
                </c:pt>
                <c:pt idx="764">
                  <c:v>1.8993156662334989</c:v>
                </c:pt>
                <c:pt idx="765">
                  <c:v>1.954328529188478</c:v>
                </c:pt>
                <c:pt idx="766">
                  <c:v>1.9453791404248171</c:v>
                </c:pt>
                <c:pt idx="767">
                  <c:v>1.9003157632351526</c:v>
                </c:pt>
                <c:pt idx="768">
                  <c:v>1.9577793542685038</c:v>
                </c:pt>
                <c:pt idx="769">
                  <c:v>1.9192967462067974</c:v>
                </c:pt>
                <c:pt idx="770">
                  <c:v>2.0024235316236174</c:v>
                </c:pt>
                <c:pt idx="771">
                  <c:v>1.9043371550227128</c:v>
                </c:pt>
                <c:pt idx="772">
                  <c:v>1.8693581786270921</c:v>
                </c:pt>
                <c:pt idx="773">
                  <c:v>1.9374467734624348</c:v>
                </c:pt>
                <c:pt idx="774">
                  <c:v>1.946535383701</c:v>
                </c:pt>
                <c:pt idx="775">
                  <c:v>1.8656098198712399</c:v>
                </c:pt>
                <c:pt idx="776">
                  <c:v>1.9544052803858265</c:v>
                </c:pt>
                <c:pt idx="777">
                  <c:v>1.9553260597659921</c:v>
                </c:pt>
                <c:pt idx="778">
                  <c:v>1.9018412131405713</c:v>
                </c:pt>
                <c:pt idx="779">
                  <c:v>1.9365174928205531</c:v>
                </c:pt>
                <c:pt idx="780">
                  <c:v>1.9876870981117727</c:v>
                </c:pt>
                <c:pt idx="781">
                  <c:v>1.8493782739072071</c:v>
                </c:pt>
                <c:pt idx="782">
                  <c:v>1.9293781381574737</c:v>
                </c:pt>
                <c:pt idx="783">
                  <c:v>1.8783237207680681</c:v>
                </c:pt>
                <c:pt idx="784">
                  <c:v>1.9312690128513945</c:v>
                </c:pt>
                <c:pt idx="785">
                  <c:v>1.9112822920751398</c:v>
                </c:pt>
                <c:pt idx="786">
                  <c:v>1.8917980864775183</c:v>
                </c:pt>
                <c:pt idx="787">
                  <c:v>1.8874321179846445</c:v>
                </c:pt>
                <c:pt idx="788">
                  <c:v>1.9544052803858265</c:v>
                </c:pt>
                <c:pt idx="789">
                  <c:v>1.800999722376436</c:v>
                </c:pt>
                <c:pt idx="790">
                  <c:v>1.8383960400305477</c:v>
                </c:pt>
                <c:pt idx="791">
                  <c:v>1.9166898549321951</c:v>
                </c:pt>
                <c:pt idx="792">
                  <c:v>1.9159592897553954</c:v>
                </c:pt>
                <c:pt idx="793">
                  <c:v>1.9119100397246727</c:v>
                </c:pt>
                <c:pt idx="794">
                  <c:v>1.8788294228055935</c:v>
                </c:pt>
                <c:pt idx="795">
                  <c:v>1.9436306233438494</c:v>
                </c:pt>
                <c:pt idx="796">
                  <c:v>1.8213182039391143</c:v>
                </c:pt>
                <c:pt idx="797">
                  <c:v>1.8828170383762728</c:v>
                </c:pt>
                <c:pt idx="879">
                  <c:v>2.2135265979879257</c:v>
                </c:pt>
                <c:pt idx="880">
                  <c:v>2.0795432190748042</c:v>
                </c:pt>
                <c:pt idx="881">
                  <c:v>2.1023082552280483</c:v>
                </c:pt>
                <c:pt idx="882">
                  <c:v>2.15188289644209</c:v>
                </c:pt>
                <c:pt idx="883">
                  <c:v>2.1645322820415496</c:v>
                </c:pt>
                <c:pt idx="884">
                  <c:v>2.1078899402008635</c:v>
                </c:pt>
                <c:pt idx="885">
                  <c:v>2.1137644144984558</c:v>
                </c:pt>
                <c:pt idx="886">
                  <c:v>2.106181378704123</c:v>
                </c:pt>
                <c:pt idx="887">
                  <c:v>2.1849027438309467</c:v>
                </c:pt>
                <c:pt idx="888">
                  <c:v>2.0565261972559452</c:v>
                </c:pt>
                <c:pt idx="889">
                  <c:v>2.0863365021012314</c:v>
                </c:pt>
                <c:pt idx="890">
                  <c:v>2.182773465112676</c:v>
                </c:pt>
                <c:pt idx="891">
                  <c:v>2.1198348992315417</c:v>
                </c:pt>
                <c:pt idx="892">
                  <c:v>2.167879147923149</c:v>
                </c:pt>
                <c:pt idx="893">
                  <c:v>2.1751321798916035</c:v>
                </c:pt>
                <c:pt idx="894">
                  <c:v>2.0930360723121808</c:v>
                </c:pt>
                <c:pt idx="895">
                  <c:v>2.1720497231877545</c:v>
                </c:pt>
                <c:pt idx="896">
                  <c:v>2.1330025785263365</c:v>
                </c:pt>
                <c:pt idx="897">
                  <c:v>2.0977368757782755</c:v>
                </c:pt>
                <c:pt idx="898">
                  <c:v>2.1079136604709405</c:v>
                </c:pt>
                <c:pt idx="899">
                  <c:v>2.1969296757065302</c:v>
                </c:pt>
                <c:pt idx="900">
                  <c:v>2.0443580899636933</c:v>
                </c:pt>
                <c:pt idx="901">
                  <c:v>2.097474672075923</c:v>
                </c:pt>
                <c:pt idx="902">
                  <c:v>2.008706051168264</c:v>
                </c:pt>
                <c:pt idx="903">
                  <c:v>2.1341274563624357</c:v>
                </c:pt>
                <c:pt idx="904">
                  <c:v>2.1513948963405114</c:v>
                </c:pt>
                <c:pt idx="905">
                  <c:v>2.1783020910791966</c:v>
                </c:pt>
                <c:pt idx="906">
                  <c:v>2.1799541279577421</c:v>
                </c:pt>
                <c:pt idx="907">
                  <c:v>2.1428252378577213</c:v>
                </c:pt>
                <c:pt idx="908">
                  <c:v>2.11322029140362</c:v>
                </c:pt>
                <c:pt idx="909">
                  <c:v>2.0670752284326763</c:v>
                </c:pt>
                <c:pt idx="910">
                  <c:v>2.1289668856043766</c:v>
                </c:pt>
                <c:pt idx="911">
                  <c:v>2.0554804791094465</c:v>
                </c:pt>
                <c:pt idx="912">
                  <c:v>1.9954197553397128</c:v>
                </c:pt>
                <c:pt idx="913">
                  <c:v>2.1385976713725285</c:v>
                </c:pt>
                <c:pt idx="914">
                  <c:v>2.1587033144922905</c:v>
                </c:pt>
                <c:pt idx="915">
                  <c:v>2.0750903594783532</c:v>
                </c:pt>
                <c:pt idx="916">
                  <c:v>2.1736835096213984</c:v>
                </c:pt>
                <c:pt idx="917">
                  <c:v>2.1437350582569668</c:v>
                </c:pt>
                <c:pt idx="918">
                  <c:v>2.0930838492521033</c:v>
                </c:pt>
                <c:pt idx="919">
                  <c:v>2.0439422692434341</c:v>
                </c:pt>
                <c:pt idx="920">
                  <c:v>2.0944211610848473</c:v>
                </c:pt>
                <c:pt idx="921">
                  <c:v>2.2132555207205513</c:v>
                </c:pt>
                <c:pt idx="922">
                  <c:v>2.1484878403193255</c:v>
                </c:pt>
                <c:pt idx="923">
                  <c:v>2.125323504786977</c:v>
                </c:pt>
                <c:pt idx="924">
                  <c:v>2.1455302374937526</c:v>
                </c:pt>
                <c:pt idx="925">
                  <c:v>2.105445321066306</c:v>
                </c:pt>
                <c:pt idx="926">
                  <c:v>2.1440615662802225</c:v>
                </c:pt>
                <c:pt idx="927">
                  <c:v>2.1881956036881167</c:v>
                </c:pt>
                <c:pt idx="928">
                  <c:v>2.1294130646729865</c:v>
                </c:pt>
                <c:pt idx="929">
                  <c:v>2.0796634343085421</c:v>
                </c:pt>
                <c:pt idx="930">
                  <c:v>2.1734764779035451</c:v>
                </c:pt>
                <c:pt idx="931">
                  <c:v>2.1262408142070832</c:v>
                </c:pt>
                <c:pt idx="932">
                  <c:v>2.112557691519926</c:v>
                </c:pt>
                <c:pt idx="933">
                  <c:v>2.0706037766796426</c:v>
                </c:pt>
                <c:pt idx="934">
                  <c:v>2.0925104539762756</c:v>
                </c:pt>
                <c:pt idx="935">
                  <c:v>2.0803124765284662</c:v>
                </c:pt>
                <c:pt idx="936">
                  <c:v>2.0752349264601344</c:v>
                </c:pt>
                <c:pt idx="937">
                  <c:v>2.1446211786700236</c:v>
                </c:pt>
                <c:pt idx="938">
                  <c:v>2.0940391591371923</c:v>
                </c:pt>
                <c:pt idx="939">
                  <c:v>2.1476731594914531</c:v>
                </c:pt>
                <c:pt idx="940">
                  <c:v>2.1378493866500512</c:v>
                </c:pt>
                <c:pt idx="941">
                  <c:v>2.1576144233852355</c:v>
                </c:pt>
                <c:pt idx="942">
                  <c:v>2.1213203435596424</c:v>
                </c:pt>
                <c:pt idx="943">
                  <c:v>2.128497122384712</c:v>
                </c:pt>
                <c:pt idx="944">
                  <c:v>2.1111608181282637</c:v>
                </c:pt>
                <c:pt idx="945">
                  <c:v>2.173131381210073</c:v>
                </c:pt>
                <c:pt idx="946">
                  <c:v>2.0715453169071631</c:v>
                </c:pt>
                <c:pt idx="947">
                  <c:v>2.15188289644209</c:v>
                </c:pt>
                <c:pt idx="948">
                  <c:v>2.139088590965788</c:v>
                </c:pt>
                <c:pt idx="949">
                  <c:v>2.1117765033260505</c:v>
                </c:pt>
                <c:pt idx="950">
                  <c:v>2.1458098704218882</c:v>
                </c:pt>
                <c:pt idx="951">
                  <c:v>2.0854256160314133</c:v>
                </c:pt>
                <c:pt idx="952">
                  <c:v>2.1335416564951339</c:v>
                </c:pt>
                <c:pt idx="953">
                  <c:v>2.1337759957408839</c:v>
                </c:pt>
                <c:pt idx="954">
                  <c:v>2.1660101569475612</c:v>
                </c:pt>
                <c:pt idx="955">
                  <c:v>2.1800917411888889</c:v>
                </c:pt>
                <c:pt idx="956">
                  <c:v>2.097474672075923</c:v>
                </c:pt>
                <c:pt idx="957">
                  <c:v>2.110923968313402</c:v>
                </c:pt>
                <c:pt idx="958">
                  <c:v>2.0086064821163951</c:v>
                </c:pt>
                <c:pt idx="959">
                  <c:v>2.0808652046684815</c:v>
                </c:pt>
                <c:pt idx="960">
                  <c:v>2.1242645786248002</c:v>
                </c:pt>
                <c:pt idx="961">
                  <c:v>2.0155644370746373</c:v>
                </c:pt>
                <c:pt idx="962">
                  <c:v>2.1850400453996262</c:v>
                </c:pt>
                <c:pt idx="963">
                  <c:v>2.1128653530218151</c:v>
                </c:pt>
                <c:pt idx="964">
                  <c:v>2.09995238041247</c:v>
                </c:pt>
                <c:pt idx="965">
                  <c:v>2.1148285982556603</c:v>
                </c:pt>
                <c:pt idx="966">
                  <c:v>2.1272752525237535</c:v>
                </c:pt>
                <c:pt idx="967">
                  <c:v>2.011591409804685</c:v>
                </c:pt>
                <c:pt idx="968">
                  <c:v>2.0961870145576231</c:v>
                </c:pt>
                <c:pt idx="969">
                  <c:v>2.0803124765284662</c:v>
                </c:pt>
                <c:pt idx="970">
                  <c:v>2.1600462958001616</c:v>
                </c:pt>
                <c:pt idx="971">
                  <c:v>2.063904067538024</c:v>
                </c:pt>
                <c:pt idx="972">
                  <c:v>2.063904067538024</c:v>
                </c:pt>
                <c:pt idx="973">
                  <c:v>2.0006249023742555</c:v>
                </c:pt>
                <c:pt idx="974">
                  <c:v>2.0944211610848473</c:v>
                </c:pt>
                <c:pt idx="975">
                  <c:v>1.9658077220318368</c:v>
                </c:pt>
                <c:pt idx="976">
                  <c:v>2.0622802913280243</c:v>
                </c:pt>
                <c:pt idx="977">
                  <c:v>2.0701932276963904</c:v>
                </c:pt>
                <c:pt idx="978">
                  <c:v>2.066615590766701</c:v>
                </c:pt>
                <c:pt idx="979">
                  <c:v>2.04</c:v>
                </c:pt>
                <c:pt idx="980">
                  <c:v>2.1019038988498027</c:v>
                </c:pt>
                <c:pt idx="981">
                  <c:v>2.0562587385832551</c:v>
                </c:pt>
                <c:pt idx="982">
                  <c:v>2.0226715007632849</c:v>
                </c:pt>
                <c:pt idx="983">
                  <c:v>2.0738611332488008</c:v>
                </c:pt>
                <c:pt idx="984">
                  <c:v>2.0768485741623053</c:v>
                </c:pt>
                <c:pt idx="985">
                  <c:v>2.0768485741623048</c:v>
                </c:pt>
                <c:pt idx="986">
                  <c:v>2.0957099035887579</c:v>
                </c:pt>
                <c:pt idx="987">
                  <c:v>2.048243149628481</c:v>
                </c:pt>
                <c:pt idx="988">
                  <c:v>2.0107958623390889</c:v>
                </c:pt>
                <c:pt idx="989">
                  <c:v>2.0894257584322062</c:v>
                </c:pt>
                <c:pt idx="990">
                  <c:v>2.0484140206510988</c:v>
                </c:pt>
                <c:pt idx="991">
                  <c:v>2.0099751242241783</c:v>
                </c:pt>
                <c:pt idx="992">
                  <c:v>2.0172506041639942</c:v>
                </c:pt>
                <c:pt idx="993">
                  <c:v>2.1261467494037185</c:v>
                </c:pt>
                <c:pt idx="994">
                  <c:v>2.056428943581567</c:v>
                </c:pt>
                <c:pt idx="995">
                  <c:v>2.0488289338058463</c:v>
                </c:pt>
                <c:pt idx="996">
                  <c:v>2.0580087463370997</c:v>
                </c:pt>
                <c:pt idx="997">
                  <c:v>2.1086725682286476</c:v>
                </c:pt>
                <c:pt idx="998">
                  <c:v>2.0666155907667005</c:v>
                </c:pt>
                <c:pt idx="1083">
                  <c:v>2.2227910383119687</c:v>
                </c:pt>
                <c:pt idx="1084">
                  <c:v>2.2624102192131295</c:v>
                </c:pt>
                <c:pt idx="1085">
                  <c:v>2.2587828580897278</c:v>
                </c:pt>
                <c:pt idx="1086">
                  <c:v>2.2316137658654109</c:v>
                </c:pt>
                <c:pt idx="1087">
                  <c:v>2.3157288269570766</c:v>
                </c:pt>
                <c:pt idx="1088">
                  <c:v>2.240089283934906</c:v>
                </c:pt>
                <c:pt idx="1089">
                  <c:v>2.3256181973832248</c:v>
                </c:pt>
                <c:pt idx="1090">
                  <c:v>2.2537524265100637</c:v>
                </c:pt>
                <c:pt idx="1091">
                  <c:v>2.295778734982969</c:v>
                </c:pt>
                <c:pt idx="1092">
                  <c:v>2.2155134844996995</c:v>
                </c:pt>
                <c:pt idx="1093">
                  <c:v>2.3343735776434755</c:v>
                </c:pt>
                <c:pt idx="1094">
                  <c:v>2.2897379762758883</c:v>
                </c:pt>
                <c:pt idx="1095">
                  <c:v>2.26503863101714</c:v>
                </c:pt>
                <c:pt idx="1096">
                  <c:v>2.2737853900489378</c:v>
                </c:pt>
                <c:pt idx="1097">
                  <c:v>2.2724656213021133</c:v>
                </c:pt>
                <c:pt idx="1098">
                  <c:v>2.2316137658654109</c:v>
                </c:pt>
                <c:pt idx="1099">
                  <c:v>2.2226560687609767</c:v>
                </c:pt>
                <c:pt idx="1100">
                  <c:v>2.245551157288562</c:v>
                </c:pt>
                <c:pt idx="1101">
                  <c:v>2.3706539182259396</c:v>
                </c:pt>
                <c:pt idx="1102">
                  <c:v>2.3132660893204657</c:v>
                </c:pt>
                <c:pt idx="1103">
                  <c:v>2.2811400658442702</c:v>
                </c:pt>
                <c:pt idx="1104">
                  <c:v>2.3122499864850257</c:v>
                </c:pt>
                <c:pt idx="1105">
                  <c:v>2.2071927872299693</c:v>
                </c:pt>
                <c:pt idx="1106">
                  <c:v>2.2760711763914592</c:v>
                </c:pt>
                <c:pt idx="1107">
                  <c:v>2.2588713996153036</c:v>
                </c:pt>
                <c:pt idx="1108">
                  <c:v>2.2299103120977759</c:v>
                </c:pt>
                <c:pt idx="1109">
                  <c:v>2.2301569451498251</c:v>
                </c:pt>
                <c:pt idx="1110">
                  <c:v>2.2219135896789504</c:v>
                </c:pt>
                <c:pt idx="1111">
                  <c:v>2.1110187114282053</c:v>
                </c:pt>
                <c:pt idx="1112">
                  <c:v>2.3212496634356246</c:v>
                </c:pt>
                <c:pt idx="1113">
                  <c:v>2.2896506283710623</c:v>
                </c:pt>
                <c:pt idx="1114">
                  <c:v>2.2418296099391672</c:v>
                </c:pt>
                <c:pt idx="1115">
                  <c:v>2.2545953073667122</c:v>
                </c:pt>
                <c:pt idx="1116">
                  <c:v>2.1695391215647621</c:v>
                </c:pt>
                <c:pt idx="1117">
                  <c:v>2.1971344974762013</c:v>
                </c:pt>
                <c:pt idx="1118">
                  <c:v>2.1863439802556228</c:v>
                </c:pt>
                <c:pt idx="1119">
                  <c:v>2.2242751628339512</c:v>
                </c:pt>
                <c:pt idx="1120">
                  <c:v>2.211628359376864</c:v>
                </c:pt>
                <c:pt idx="1121">
                  <c:v>2.1827734651126764</c:v>
                </c:pt>
                <c:pt idx="1122">
                  <c:v>2.2141589825484527</c:v>
                </c:pt>
                <c:pt idx="1123">
                  <c:v>2.2808112591795053</c:v>
                </c:pt>
                <c:pt idx="1124">
                  <c:v>2.2246797522340152</c:v>
                </c:pt>
                <c:pt idx="1125">
                  <c:v>2.1747873459260334</c:v>
                </c:pt>
                <c:pt idx="1126">
                  <c:v>2.1749482752470231</c:v>
                </c:pt>
                <c:pt idx="1127">
                  <c:v>2.3753947040439409</c:v>
                </c:pt>
                <c:pt idx="1128">
                  <c:v>2.2726416347501868</c:v>
                </c:pt>
                <c:pt idx="1129">
                  <c:v>2.2983907413666635</c:v>
                </c:pt>
                <c:pt idx="1130">
                  <c:v>2.2552383466055201</c:v>
                </c:pt>
                <c:pt idx="1131">
                  <c:v>2.1678099547700209</c:v>
                </c:pt>
                <c:pt idx="1132">
                  <c:v>2.170023041352326</c:v>
                </c:pt>
                <c:pt idx="1133">
                  <c:v>2.2339650847763934</c:v>
                </c:pt>
                <c:pt idx="1134">
                  <c:v>2.2945587811167534</c:v>
                </c:pt>
                <c:pt idx="1135">
                  <c:v>2.2205629916757594</c:v>
                </c:pt>
                <c:pt idx="1136">
                  <c:v>2.20476756144497</c:v>
                </c:pt>
                <c:pt idx="1137">
                  <c:v>2.2580744009000231</c:v>
                </c:pt>
                <c:pt idx="1138">
                  <c:v>2.2737853900489382</c:v>
                </c:pt>
                <c:pt idx="1139">
                  <c:v>2.2660317738284252</c:v>
                </c:pt>
                <c:pt idx="1140">
                  <c:v>2.1661486560252508</c:v>
                </c:pt>
                <c:pt idx="1141">
                  <c:v>2.2629184695874485</c:v>
                </c:pt>
                <c:pt idx="1142">
                  <c:v>2.2367163432138639</c:v>
                </c:pt>
                <c:pt idx="1143">
                  <c:v>2.266384786394402</c:v>
                </c:pt>
                <c:pt idx="1144">
                  <c:v>2.2934035841953335</c:v>
                </c:pt>
                <c:pt idx="1145">
                  <c:v>2.2760711763914592</c:v>
                </c:pt>
                <c:pt idx="1146">
                  <c:v>2.2411827234743713</c:v>
                </c:pt>
                <c:pt idx="1147">
                  <c:v>2.1513251730038396</c:v>
                </c:pt>
                <c:pt idx="1148">
                  <c:v>2.228744040934266</c:v>
                </c:pt>
                <c:pt idx="1149">
                  <c:v>2.1854976549975982</c:v>
                </c:pt>
                <c:pt idx="1150">
                  <c:v>2.0838665984174711</c:v>
                </c:pt>
                <c:pt idx="1151">
                  <c:v>2.1742354978244651</c:v>
                </c:pt>
                <c:pt idx="1152">
                  <c:v>2.21054291973714</c:v>
                </c:pt>
                <c:pt idx="1153">
                  <c:v>2.3104112188093273</c:v>
                </c:pt>
                <c:pt idx="1154">
                  <c:v>2.2875751353780709</c:v>
                </c:pt>
                <c:pt idx="1155">
                  <c:v>2.2865257488163127</c:v>
                </c:pt>
                <c:pt idx="1156">
                  <c:v>2.2945587811167534</c:v>
                </c:pt>
                <c:pt idx="1157">
                  <c:v>2.3122499864850257</c:v>
                </c:pt>
                <c:pt idx="1158">
                  <c:v>2.3129418496797536</c:v>
                </c:pt>
                <c:pt idx="1159">
                  <c:v>2.204835594777987</c:v>
                </c:pt>
                <c:pt idx="1160">
                  <c:v>2.1854976549975982</c:v>
                </c:pt>
                <c:pt idx="1161">
                  <c:v>2.1799541279577421</c:v>
                </c:pt>
                <c:pt idx="1162">
                  <c:v>2.2155134844996995</c:v>
                </c:pt>
                <c:pt idx="1163">
                  <c:v>2.1791053209975879</c:v>
                </c:pt>
                <c:pt idx="1164">
                  <c:v>2.2297085011274453</c:v>
                </c:pt>
                <c:pt idx="1165">
                  <c:v>2.2466196829904255</c:v>
                </c:pt>
                <c:pt idx="1166">
                  <c:v>2.17846276075585</c:v>
                </c:pt>
                <c:pt idx="1167">
                  <c:v>2.1109239683134016</c:v>
                </c:pt>
                <c:pt idx="1168">
                  <c:v>2.1742354978244651</c:v>
                </c:pt>
                <c:pt idx="1169">
                  <c:v>2.2723776094654689</c:v>
                </c:pt>
                <c:pt idx="1170">
                  <c:v>2.1242645786248002</c:v>
                </c:pt>
                <c:pt idx="1171">
                  <c:v>2.2408257406590097</c:v>
                </c:pt>
                <c:pt idx="1172">
                  <c:v>2.1850400453996257</c:v>
                </c:pt>
                <c:pt idx="1173">
                  <c:v>2.1172859986312664</c:v>
                </c:pt>
                <c:pt idx="1174">
                  <c:v>2.1601157376399995</c:v>
                </c:pt>
                <c:pt idx="1175">
                  <c:v>2.2370739817896057</c:v>
                </c:pt>
                <c:pt idx="1176">
                  <c:v>2.116317556511782</c:v>
                </c:pt>
                <c:pt idx="1177">
                  <c:v>2.1574522010927613</c:v>
                </c:pt>
                <c:pt idx="1178">
                  <c:v>2.2411827234743709</c:v>
                </c:pt>
                <c:pt idx="1179">
                  <c:v>2.3170886905770356</c:v>
                </c:pt>
                <c:pt idx="1180">
                  <c:v>2.2360679774997898</c:v>
                </c:pt>
                <c:pt idx="1181">
                  <c:v>2.1517667159801501</c:v>
                </c:pt>
                <c:pt idx="1182">
                  <c:v>2.1953131895016709</c:v>
                </c:pt>
                <c:pt idx="1183">
                  <c:v>2.1868927728629037</c:v>
                </c:pt>
                <c:pt idx="1184">
                  <c:v>2.2063997824510411</c:v>
                </c:pt>
                <c:pt idx="1185">
                  <c:v>2.1883555469804259</c:v>
                </c:pt>
                <c:pt idx="1186">
                  <c:v>2.1535552001283831</c:v>
                </c:pt>
                <c:pt idx="1187">
                  <c:v>2.2163483480716657</c:v>
                </c:pt>
                <c:pt idx="1188">
                  <c:v>2.1446211786700236</c:v>
                </c:pt>
                <c:pt idx="1189">
                  <c:v>2.2629184695874485</c:v>
                </c:pt>
                <c:pt idx="1190">
                  <c:v>2.2354417907876734</c:v>
                </c:pt>
                <c:pt idx="1191">
                  <c:v>2.16453228204155</c:v>
                </c:pt>
                <c:pt idx="1192">
                  <c:v>2.1868927728629037</c:v>
                </c:pt>
                <c:pt idx="1193">
                  <c:v>2.2027482833950867</c:v>
                </c:pt>
                <c:pt idx="1194">
                  <c:v>2.1064187617850347</c:v>
                </c:pt>
                <c:pt idx="1195">
                  <c:v>2.1805733191066978</c:v>
                </c:pt>
                <c:pt idx="1196">
                  <c:v>2.125323504786977</c:v>
                </c:pt>
                <c:pt idx="1197">
                  <c:v>2.1523243250030886</c:v>
                </c:pt>
                <c:pt idx="1198">
                  <c:v>2.1965882636488794</c:v>
                </c:pt>
                <c:pt idx="1199">
                  <c:v>2.2140009033421828</c:v>
                </c:pt>
                <c:pt idx="1200">
                  <c:v>2.2437914341578185</c:v>
                </c:pt>
                <c:pt idx="1201">
                  <c:v>2.1623135757794243</c:v>
                </c:pt>
                <c:pt idx="1202">
                  <c:v>2.1923731434224423</c:v>
                </c:pt>
                <c:pt idx="1203">
                  <c:v>2.1333776037073231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8-42E6-B20F-5F509F5B322E}"/>
            </c:ext>
          </c:extLst>
        </c:ser>
        <c:ser>
          <c:idx val="0"/>
          <c:order val="1"/>
          <c:tx>
            <c:strRef>
              <c:f>'HT 2017-07-05 BIG JIM'!$AI$1</c:f>
              <c:strCache>
                <c:ptCount val="1"/>
                <c:pt idx="0">
                  <c:v>fitwild-m</c:v>
                </c:pt>
              </c:strCache>
            </c:strRef>
          </c:tx>
          <c:spPr>
            <a:ln w="31750" cap="rnd" cmpd="sng" algn="ctr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JIM'!$G$1206:$G$1214</c:f>
              <c:numCache>
                <c:formatCode>General</c:formatCode>
                <c:ptCount val="9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</c:numCache>
            </c:numRef>
          </c:xVal>
          <c:yVal>
            <c:numRef>
              <c:f>'HT 2017-07-05 BIG JIM'!$AI$1206:$AI$1214</c:f>
              <c:numCache>
                <c:formatCode>General</c:formatCode>
                <c:ptCount val="9"/>
                <c:pt idx="0">
                  <c:v>0.91200866163948779</c:v>
                </c:pt>
                <c:pt idx="1">
                  <c:v>1.2525270139238316</c:v>
                </c:pt>
                <c:pt idx="2">
                  <c:v>1.6378921909425954</c:v>
                </c:pt>
                <c:pt idx="3">
                  <c:v>2.0663346239003633</c:v>
                </c:pt>
                <c:pt idx="4">
                  <c:v>2.5363798347821023</c:v>
                </c:pt>
                <c:pt idx="5">
                  <c:v>3.0467702406772248</c:v>
                </c:pt>
                <c:pt idx="6">
                  <c:v>3.5964137786907595</c:v>
                </c:pt>
                <c:pt idx="7">
                  <c:v>4.1843484521377796</c:v>
                </c:pt>
                <c:pt idx="8">
                  <c:v>4.8097169000118578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98-42E6-B20F-5F509F5B322E}"/>
            </c:ext>
          </c:extLst>
        </c:ser>
        <c:ser>
          <c:idx val="21"/>
          <c:order val="2"/>
          <c:tx>
            <c:strRef>
              <c:f>'HT 2017-07-05 BIG JIM'!$W$1</c:f>
              <c:strCache>
                <c:ptCount val="1"/>
                <c:pt idx="0">
                  <c:v>wild-fx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</c:spPr>
          </c:marker>
          <c:xVal>
            <c:numRef>
              <c:f>'HT 2017-07-05 BIG JIM'!$G$1008:$G$1205</c:f>
              <c:numCache>
                <c:formatCode>General</c:formatCode>
                <c:ptCount val="198"/>
                <c:pt idx="0">
                  <c:v>2.3576471322061749</c:v>
                </c:pt>
                <c:pt idx="1">
                  <c:v>2.2461522655421202</c:v>
                </c:pt>
                <c:pt idx="2">
                  <c:v>2.2475764725588316</c:v>
                </c:pt>
                <c:pt idx="3">
                  <c:v>2.2770595073471398</c:v>
                </c:pt>
                <c:pt idx="4">
                  <c:v>2.3400213674238106</c:v>
                </c:pt>
                <c:pt idx="5">
                  <c:v>2.3194827009486407</c:v>
                </c:pt>
                <c:pt idx="6">
                  <c:v>2.2405579662218069</c:v>
                </c:pt>
                <c:pt idx="7">
                  <c:v>2.2494888308235717</c:v>
                </c:pt>
                <c:pt idx="8">
                  <c:v>2.3034105148670307</c:v>
                </c:pt>
                <c:pt idx="9">
                  <c:v>2.2514439810930225</c:v>
                </c:pt>
                <c:pt idx="10">
                  <c:v>2.2624102192131295</c:v>
                </c:pt>
                <c:pt idx="11">
                  <c:v>2.2953213282675695</c:v>
                </c:pt>
                <c:pt idx="12">
                  <c:v>2.3119256043393785</c:v>
                </c:pt>
                <c:pt idx="13">
                  <c:v>2.1840558600914948</c:v>
                </c:pt>
                <c:pt idx="14">
                  <c:v>2.1849027438309467</c:v>
                </c:pt>
                <c:pt idx="15">
                  <c:v>2.2411827234743713</c:v>
                </c:pt>
                <c:pt idx="16">
                  <c:v>2.2276669409945464</c:v>
                </c:pt>
                <c:pt idx="17">
                  <c:v>2.1918029108475974</c:v>
                </c:pt>
                <c:pt idx="18">
                  <c:v>2.1741205118392126</c:v>
                </c:pt>
                <c:pt idx="19">
                  <c:v>2.1958369702689677</c:v>
                </c:pt>
                <c:pt idx="20">
                  <c:v>2.2323530186778258</c:v>
                </c:pt>
                <c:pt idx="21">
                  <c:v>2.2633824246026122</c:v>
                </c:pt>
                <c:pt idx="22">
                  <c:v>2.18929212303886</c:v>
                </c:pt>
                <c:pt idx="23">
                  <c:v>2.1742354978244651</c:v>
                </c:pt>
                <c:pt idx="24">
                  <c:v>2.1708293346092411</c:v>
                </c:pt>
                <c:pt idx="25">
                  <c:v>2.1964744478368057</c:v>
                </c:pt>
                <c:pt idx="26">
                  <c:v>2.22784649381415</c:v>
                </c:pt>
                <c:pt idx="27">
                  <c:v>2.2472205054244228</c:v>
                </c:pt>
                <c:pt idx="28">
                  <c:v>2.2900873345791855</c:v>
                </c:pt>
                <c:pt idx="29">
                  <c:v>2.1741205118392126</c:v>
                </c:pt>
                <c:pt idx="30">
                  <c:v>2.2587828580897278</c:v>
                </c:pt>
                <c:pt idx="31">
                  <c:v>2.2226560687609771</c:v>
                </c:pt>
                <c:pt idx="32">
                  <c:v>2.211628359376864</c:v>
                </c:pt>
                <c:pt idx="33">
                  <c:v>2.2643321311150446</c:v>
                </c:pt>
                <c:pt idx="34">
                  <c:v>2.2717834403833477</c:v>
                </c:pt>
                <c:pt idx="35">
                  <c:v>2.2458851261807671</c:v>
                </c:pt>
                <c:pt idx="36">
                  <c:v>2.2714973035423132</c:v>
                </c:pt>
                <c:pt idx="37">
                  <c:v>2.2775864418282792</c:v>
                </c:pt>
                <c:pt idx="38">
                  <c:v>2.2228135324403619</c:v>
                </c:pt>
                <c:pt idx="39">
                  <c:v>2.3078344827998389</c:v>
                </c:pt>
                <c:pt idx="40">
                  <c:v>2.2141589825484527</c:v>
                </c:pt>
                <c:pt idx="41">
                  <c:v>2.271079038695043</c:v>
                </c:pt>
                <c:pt idx="42">
                  <c:v>2.2370739817896053</c:v>
                </c:pt>
                <c:pt idx="43">
                  <c:v>2.315728826957077</c:v>
                </c:pt>
                <c:pt idx="44">
                  <c:v>2.2194819215303379</c:v>
                </c:pt>
                <c:pt idx="45">
                  <c:v>2.205311769342376</c:v>
                </c:pt>
                <c:pt idx="46">
                  <c:v>2.2579636843846713</c:v>
                </c:pt>
                <c:pt idx="47">
                  <c:v>2.2724656213021133</c:v>
                </c:pt>
                <c:pt idx="48">
                  <c:v>2.2189411889457547</c:v>
                </c:pt>
                <c:pt idx="49">
                  <c:v>2.2329352879114071</c:v>
                </c:pt>
                <c:pt idx="50">
                  <c:v>2.2569448376068033</c:v>
                </c:pt>
                <c:pt idx="51">
                  <c:v>2.3216588896735026</c:v>
                </c:pt>
                <c:pt idx="52">
                  <c:v>2.2135040094836058</c:v>
                </c:pt>
                <c:pt idx="53">
                  <c:v>2.2165288177689004</c:v>
                </c:pt>
                <c:pt idx="54">
                  <c:v>2.173683509621398</c:v>
                </c:pt>
                <c:pt idx="55">
                  <c:v>2.2346588106464931</c:v>
                </c:pt>
                <c:pt idx="56">
                  <c:v>2.2983907413666635</c:v>
                </c:pt>
                <c:pt idx="57">
                  <c:v>2.2005681084665389</c:v>
                </c:pt>
                <c:pt idx="58">
                  <c:v>2.2994347131414714</c:v>
                </c:pt>
                <c:pt idx="59">
                  <c:v>2.28177562437677</c:v>
                </c:pt>
                <c:pt idx="60">
                  <c:v>2.2368057582186256</c:v>
                </c:pt>
                <c:pt idx="61">
                  <c:v>2.2260727750906981</c:v>
                </c:pt>
                <c:pt idx="62">
                  <c:v>2.3307724041613334</c:v>
                </c:pt>
                <c:pt idx="63">
                  <c:v>2.2541739063346466</c:v>
                </c:pt>
                <c:pt idx="64">
                  <c:v>2.2662965384079814</c:v>
                </c:pt>
                <c:pt idx="65">
                  <c:v>2.2135265979879257</c:v>
                </c:pt>
                <c:pt idx="66">
                  <c:v>2.2214634815814551</c:v>
                </c:pt>
                <c:pt idx="67">
                  <c:v>2.2629184695874485</c:v>
                </c:pt>
                <c:pt idx="68">
                  <c:v>2.2214634815814551</c:v>
                </c:pt>
                <c:pt idx="69">
                  <c:v>2.2748186740925087</c:v>
                </c:pt>
                <c:pt idx="70">
                  <c:v>2.2280035906613795</c:v>
                </c:pt>
                <c:pt idx="71">
                  <c:v>2.2257582977493309</c:v>
                </c:pt>
                <c:pt idx="72">
                  <c:v>2.2022942582679548</c:v>
                </c:pt>
                <c:pt idx="73">
                  <c:v>2.2418073066166948</c:v>
                </c:pt>
                <c:pt idx="74">
                  <c:v>2.2510886255321005</c:v>
                </c:pt>
                <c:pt idx="75">
                  <c:v>2.3108656386730928</c:v>
                </c:pt>
                <c:pt idx="76">
                  <c:v>2.2610838109190028</c:v>
                </c:pt>
                <c:pt idx="77">
                  <c:v>2.2227910383119687</c:v>
                </c:pt>
                <c:pt idx="78">
                  <c:v>2.2624102192131295</c:v>
                </c:pt>
                <c:pt idx="79">
                  <c:v>2.2587828580897278</c:v>
                </c:pt>
                <c:pt idx="80">
                  <c:v>2.2316137658654109</c:v>
                </c:pt>
                <c:pt idx="81">
                  <c:v>2.3157288269570766</c:v>
                </c:pt>
                <c:pt idx="82">
                  <c:v>2.240089283934906</c:v>
                </c:pt>
                <c:pt idx="83">
                  <c:v>2.3256181973832248</c:v>
                </c:pt>
                <c:pt idx="84">
                  <c:v>2.2537524265100637</c:v>
                </c:pt>
                <c:pt idx="85">
                  <c:v>2.295778734982969</c:v>
                </c:pt>
                <c:pt idx="86">
                  <c:v>2.2155134844996995</c:v>
                </c:pt>
                <c:pt idx="87">
                  <c:v>2.3343735776434755</c:v>
                </c:pt>
                <c:pt idx="88">
                  <c:v>2.2897379762758883</c:v>
                </c:pt>
                <c:pt idx="89">
                  <c:v>2.26503863101714</c:v>
                </c:pt>
                <c:pt idx="90">
                  <c:v>2.2737853900489378</c:v>
                </c:pt>
                <c:pt idx="91">
                  <c:v>2.2724656213021133</c:v>
                </c:pt>
                <c:pt idx="92">
                  <c:v>2.2316137658654109</c:v>
                </c:pt>
                <c:pt idx="93">
                  <c:v>2.2226560687609767</c:v>
                </c:pt>
                <c:pt idx="94">
                  <c:v>2.245551157288562</c:v>
                </c:pt>
                <c:pt idx="95">
                  <c:v>2.3706539182259396</c:v>
                </c:pt>
                <c:pt idx="96">
                  <c:v>2.3132660893204657</c:v>
                </c:pt>
                <c:pt idx="97">
                  <c:v>2.2811400658442702</c:v>
                </c:pt>
                <c:pt idx="98">
                  <c:v>2.3122499864850257</c:v>
                </c:pt>
                <c:pt idx="99">
                  <c:v>2.2071927872299693</c:v>
                </c:pt>
                <c:pt idx="100">
                  <c:v>2.2760711763914592</c:v>
                </c:pt>
                <c:pt idx="101">
                  <c:v>2.2588713996153036</c:v>
                </c:pt>
                <c:pt idx="102">
                  <c:v>2.2299103120977759</c:v>
                </c:pt>
                <c:pt idx="103">
                  <c:v>2.2301569451498251</c:v>
                </c:pt>
                <c:pt idx="104">
                  <c:v>2.2219135896789504</c:v>
                </c:pt>
                <c:pt idx="105">
                  <c:v>2.1110187114282053</c:v>
                </c:pt>
                <c:pt idx="106">
                  <c:v>2.3212496634356246</c:v>
                </c:pt>
                <c:pt idx="107">
                  <c:v>2.2896506283710623</c:v>
                </c:pt>
                <c:pt idx="108">
                  <c:v>2.2418296099391672</c:v>
                </c:pt>
                <c:pt idx="109">
                  <c:v>2.2545953073667122</c:v>
                </c:pt>
                <c:pt idx="110">
                  <c:v>2.1695391215647621</c:v>
                </c:pt>
                <c:pt idx="111">
                  <c:v>2.1971344974762013</c:v>
                </c:pt>
                <c:pt idx="112">
                  <c:v>2.1863439802556228</c:v>
                </c:pt>
                <c:pt idx="113">
                  <c:v>2.2242751628339512</c:v>
                </c:pt>
                <c:pt idx="114">
                  <c:v>2.211628359376864</c:v>
                </c:pt>
                <c:pt idx="115">
                  <c:v>2.1827734651126764</c:v>
                </c:pt>
                <c:pt idx="116">
                  <c:v>2.2141589825484527</c:v>
                </c:pt>
                <c:pt idx="117">
                  <c:v>2.2808112591795053</c:v>
                </c:pt>
                <c:pt idx="118">
                  <c:v>2.2246797522340152</c:v>
                </c:pt>
                <c:pt idx="119">
                  <c:v>2.1747873459260334</c:v>
                </c:pt>
                <c:pt idx="120">
                  <c:v>2.1749482752470231</c:v>
                </c:pt>
                <c:pt idx="121">
                  <c:v>2.3753947040439409</c:v>
                </c:pt>
                <c:pt idx="122">
                  <c:v>2.2726416347501868</c:v>
                </c:pt>
                <c:pt idx="123">
                  <c:v>2.2983907413666635</c:v>
                </c:pt>
                <c:pt idx="124">
                  <c:v>2.2552383466055201</c:v>
                </c:pt>
                <c:pt idx="125">
                  <c:v>2.1678099547700209</c:v>
                </c:pt>
                <c:pt idx="126">
                  <c:v>2.170023041352326</c:v>
                </c:pt>
                <c:pt idx="127">
                  <c:v>2.2339650847763934</c:v>
                </c:pt>
                <c:pt idx="128">
                  <c:v>2.2945587811167534</c:v>
                </c:pt>
                <c:pt idx="129">
                  <c:v>2.2205629916757594</c:v>
                </c:pt>
                <c:pt idx="130">
                  <c:v>2.20476756144497</c:v>
                </c:pt>
                <c:pt idx="131">
                  <c:v>2.2580744009000231</c:v>
                </c:pt>
                <c:pt idx="132">
                  <c:v>2.2737853900489382</c:v>
                </c:pt>
                <c:pt idx="133">
                  <c:v>2.2660317738284252</c:v>
                </c:pt>
                <c:pt idx="134">
                  <c:v>2.1661486560252508</c:v>
                </c:pt>
                <c:pt idx="135">
                  <c:v>2.2629184695874485</c:v>
                </c:pt>
                <c:pt idx="136">
                  <c:v>2.2367163432138639</c:v>
                </c:pt>
                <c:pt idx="137">
                  <c:v>2.266384786394402</c:v>
                </c:pt>
                <c:pt idx="138">
                  <c:v>2.2934035841953335</c:v>
                </c:pt>
                <c:pt idx="139">
                  <c:v>2.2760711763914592</c:v>
                </c:pt>
                <c:pt idx="140">
                  <c:v>2.2411827234743713</c:v>
                </c:pt>
                <c:pt idx="141">
                  <c:v>2.1513251730038396</c:v>
                </c:pt>
                <c:pt idx="142">
                  <c:v>2.228744040934266</c:v>
                </c:pt>
                <c:pt idx="143">
                  <c:v>2.1854976549975982</c:v>
                </c:pt>
                <c:pt idx="144">
                  <c:v>2.0838665984174711</c:v>
                </c:pt>
                <c:pt idx="145">
                  <c:v>2.1742354978244651</c:v>
                </c:pt>
                <c:pt idx="146">
                  <c:v>2.21054291973714</c:v>
                </c:pt>
                <c:pt idx="147">
                  <c:v>2.3104112188093273</c:v>
                </c:pt>
                <c:pt idx="148">
                  <c:v>2.2875751353780709</c:v>
                </c:pt>
                <c:pt idx="149">
                  <c:v>2.2865257488163127</c:v>
                </c:pt>
                <c:pt idx="150">
                  <c:v>2.2945587811167534</c:v>
                </c:pt>
                <c:pt idx="151">
                  <c:v>2.3122499864850257</c:v>
                </c:pt>
                <c:pt idx="152">
                  <c:v>2.3129418496797536</c:v>
                </c:pt>
                <c:pt idx="153">
                  <c:v>2.204835594777987</c:v>
                </c:pt>
                <c:pt idx="154">
                  <c:v>2.1854976549975982</c:v>
                </c:pt>
                <c:pt idx="155">
                  <c:v>2.1799541279577421</c:v>
                </c:pt>
                <c:pt idx="156">
                  <c:v>2.2155134844996995</c:v>
                </c:pt>
                <c:pt idx="157">
                  <c:v>2.1791053209975879</c:v>
                </c:pt>
                <c:pt idx="158">
                  <c:v>2.2297085011274453</c:v>
                </c:pt>
                <c:pt idx="159">
                  <c:v>2.2466196829904255</c:v>
                </c:pt>
                <c:pt idx="160">
                  <c:v>2.17846276075585</c:v>
                </c:pt>
                <c:pt idx="161">
                  <c:v>2.1109239683134016</c:v>
                </c:pt>
                <c:pt idx="162">
                  <c:v>2.1742354978244651</c:v>
                </c:pt>
                <c:pt idx="163">
                  <c:v>2.2723776094654689</c:v>
                </c:pt>
                <c:pt idx="164">
                  <c:v>2.1242645786248002</c:v>
                </c:pt>
                <c:pt idx="165">
                  <c:v>2.2408257406590097</c:v>
                </c:pt>
                <c:pt idx="166">
                  <c:v>2.1850400453996257</c:v>
                </c:pt>
                <c:pt idx="167">
                  <c:v>2.1172859986312664</c:v>
                </c:pt>
                <c:pt idx="168">
                  <c:v>2.1601157376399995</c:v>
                </c:pt>
                <c:pt idx="169">
                  <c:v>2.2370739817896057</c:v>
                </c:pt>
                <c:pt idx="170">
                  <c:v>2.116317556511782</c:v>
                </c:pt>
                <c:pt idx="171">
                  <c:v>2.1574522010927613</c:v>
                </c:pt>
                <c:pt idx="172">
                  <c:v>2.2411827234743709</c:v>
                </c:pt>
                <c:pt idx="173">
                  <c:v>2.3170886905770356</c:v>
                </c:pt>
                <c:pt idx="174">
                  <c:v>2.2360679774997898</c:v>
                </c:pt>
                <c:pt idx="175">
                  <c:v>2.1517667159801501</c:v>
                </c:pt>
                <c:pt idx="176">
                  <c:v>2.1953131895016709</c:v>
                </c:pt>
                <c:pt idx="177">
                  <c:v>2.1868927728629037</c:v>
                </c:pt>
                <c:pt idx="178">
                  <c:v>2.2063997824510411</c:v>
                </c:pt>
                <c:pt idx="179">
                  <c:v>2.1883555469804259</c:v>
                </c:pt>
                <c:pt idx="180">
                  <c:v>2.1535552001283831</c:v>
                </c:pt>
                <c:pt idx="181">
                  <c:v>2.2163483480716657</c:v>
                </c:pt>
                <c:pt idx="182">
                  <c:v>2.1446211786700236</c:v>
                </c:pt>
                <c:pt idx="183">
                  <c:v>2.2629184695874485</c:v>
                </c:pt>
                <c:pt idx="184">
                  <c:v>2.2354417907876734</c:v>
                </c:pt>
                <c:pt idx="185">
                  <c:v>2.16453228204155</c:v>
                </c:pt>
                <c:pt idx="186">
                  <c:v>2.1868927728629037</c:v>
                </c:pt>
                <c:pt idx="187">
                  <c:v>2.2027482833950867</c:v>
                </c:pt>
                <c:pt idx="188">
                  <c:v>2.1064187617850347</c:v>
                </c:pt>
                <c:pt idx="189">
                  <c:v>2.1805733191066978</c:v>
                </c:pt>
                <c:pt idx="190">
                  <c:v>2.125323504786977</c:v>
                </c:pt>
                <c:pt idx="191">
                  <c:v>2.1523243250030886</c:v>
                </c:pt>
                <c:pt idx="192">
                  <c:v>2.1965882636488794</c:v>
                </c:pt>
                <c:pt idx="193">
                  <c:v>2.2140009033421828</c:v>
                </c:pt>
                <c:pt idx="194">
                  <c:v>2.2437914341578185</c:v>
                </c:pt>
                <c:pt idx="195">
                  <c:v>2.1623135757794243</c:v>
                </c:pt>
                <c:pt idx="196">
                  <c:v>2.1923731434224423</c:v>
                </c:pt>
                <c:pt idx="197">
                  <c:v>2.1333776037073231</c:v>
                </c:pt>
              </c:numCache>
            </c:numRef>
          </c:xVal>
          <c:yVal>
            <c:numRef>
              <c:f>'HT 2017-07-05 BIG JIM'!$W$1008:$W$1205</c:f>
              <c:numCache>
                <c:formatCode>General</c:formatCode>
                <c:ptCount val="19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98-42E6-B20F-5F509F5B322E}"/>
            </c:ext>
          </c:extLst>
        </c:ser>
        <c:ser>
          <c:idx val="22"/>
          <c:order val="3"/>
          <c:tx>
            <c:strRef>
              <c:f>'HT 2017-07-05 BIG JIM'!$AE$1</c:f>
              <c:strCache>
                <c:ptCount val="1"/>
                <c:pt idx="0">
                  <c:v>wild-fz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circle"/>
            <c:size val="3"/>
            <c:spPr>
              <a:noFill/>
              <a:ln w="6350" cap="flat" cmpd="sng" algn="ctr">
                <a:solidFill>
                  <a:srgbClr val="0070C0"/>
                </a:solidFill>
                <a:prstDash val="solid"/>
                <a:round/>
              </a:ln>
            </c:spPr>
          </c:marker>
          <c:xVal>
            <c:numRef>
              <c:f>'HT 2017-07-05 BIG JIM'!$G$1105:$G$1205</c:f>
              <c:numCache>
                <c:formatCode>General</c:formatCode>
                <c:ptCount val="101"/>
                <c:pt idx="0">
                  <c:v>2.2811400658442702</c:v>
                </c:pt>
                <c:pt idx="1">
                  <c:v>2.3122499864850257</c:v>
                </c:pt>
                <c:pt idx="2">
                  <c:v>2.2071927872299693</c:v>
                </c:pt>
                <c:pt idx="3">
                  <c:v>2.2760711763914592</c:v>
                </c:pt>
                <c:pt idx="4">
                  <c:v>2.2588713996153036</c:v>
                </c:pt>
                <c:pt idx="5">
                  <c:v>2.2299103120977759</c:v>
                </c:pt>
                <c:pt idx="6">
                  <c:v>2.2301569451498251</c:v>
                </c:pt>
                <c:pt idx="7">
                  <c:v>2.2219135896789504</c:v>
                </c:pt>
                <c:pt idx="8">
                  <c:v>2.1110187114282053</c:v>
                </c:pt>
                <c:pt idx="9">
                  <c:v>2.3212496634356246</c:v>
                </c:pt>
                <c:pt idx="10">
                  <c:v>2.2896506283710623</c:v>
                </c:pt>
                <c:pt idx="11">
                  <c:v>2.2418296099391672</c:v>
                </c:pt>
                <c:pt idx="12">
                  <c:v>2.2545953073667122</c:v>
                </c:pt>
                <c:pt idx="13">
                  <c:v>2.1695391215647621</c:v>
                </c:pt>
                <c:pt idx="14">
                  <c:v>2.1971344974762013</c:v>
                </c:pt>
                <c:pt idx="15">
                  <c:v>2.1863439802556228</c:v>
                </c:pt>
                <c:pt idx="16">
                  <c:v>2.2242751628339512</c:v>
                </c:pt>
                <c:pt idx="17">
                  <c:v>2.211628359376864</c:v>
                </c:pt>
                <c:pt idx="18">
                  <c:v>2.1827734651126764</c:v>
                </c:pt>
                <c:pt idx="19">
                  <c:v>2.2141589825484527</c:v>
                </c:pt>
                <c:pt idx="20">
                  <c:v>2.2808112591795053</c:v>
                </c:pt>
                <c:pt idx="21">
                  <c:v>2.2246797522340152</c:v>
                </c:pt>
                <c:pt idx="22">
                  <c:v>2.1747873459260334</c:v>
                </c:pt>
                <c:pt idx="23">
                  <c:v>2.1749482752470231</c:v>
                </c:pt>
                <c:pt idx="24">
                  <c:v>2.3753947040439409</c:v>
                </c:pt>
                <c:pt idx="25">
                  <c:v>2.2726416347501868</c:v>
                </c:pt>
                <c:pt idx="26">
                  <c:v>2.2983907413666635</c:v>
                </c:pt>
                <c:pt idx="27">
                  <c:v>2.2552383466055201</c:v>
                </c:pt>
                <c:pt idx="28">
                  <c:v>2.1678099547700209</c:v>
                </c:pt>
                <c:pt idx="29">
                  <c:v>2.170023041352326</c:v>
                </c:pt>
                <c:pt idx="30">
                  <c:v>2.2339650847763934</c:v>
                </c:pt>
                <c:pt idx="31">
                  <c:v>2.2945587811167534</c:v>
                </c:pt>
                <c:pt idx="32">
                  <c:v>2.2205629916757594</c:v>
                </c:pt>
                <c:pt idx="33">
                  <c:v>2.20476756144497</c:v>
                </c:pt>
                <c:pt idx="34">
                  <c:v>2.2580744009000231</c:v>
                </c:pt>
                <c:pt idx="35">
                  <c:v>2.2737853900489382</c:v>
                </c:pt>
                <c:pt idx="36">
                  <c:v>2.2660317738284252</c:v>
                </c:pt>
                <c:pt idx="37">
                  <c:v>2.1661486560252508</c:v>
                </c:pt>
                <c:pt idx="38">
                  <c:v>2.2629184695874485</c:v>
                </c:pt>
                <c:pt idx="39">
                  <c:v>2.2367163432138639</c:v>
                </c:pt>
                <c:pt idx="40">
                  <c:v>2.266384786394402</c:v>
                </c:pt>
                <c:pt idx="41">
                  <c:v>2.2934035841953335</c:v>
                </c:pt>
                <c:pt idx="42">
                  <c:v>2.2760711763914592</c:v>
                </c:pt>
                <c:pt idx="43">
                  <c:v>2.2411827234743713</c:v>
                </c:pt>
                <c:pt idx="44">
                  <c:v>2.1513251730038396</c:v>
                </c:pt>
                <c:pt idx="45">
                  <c:v>2.228744040934266</c:v>
                </c:pt>
                <c:pt idx="46">
                  <c:v>2.1854976549975982</c:v>
                </c:pt>
                <c:pt idx="47">
                  <c:v>2.0838665984174711</c:v>
                </c:pt>
                <c:pt idx="48">
                  <c:v>2.1742354978244651</c:v>
                </c:pt>
                <c:pt idx="49">
                  <c:v>2.21054291973714</c:v>
                </c:pt>
                <c:pt idx="50">
                  <c:v>2.3104112188093273</c:v>
                </c:pt>
                <c:pt idx="51">
                  <c:v>2.2875751353780709</c:v>
                </c:pt>
                <c:pt idx="52">
                  <c:v>2.2865257488163127</c:v>
                </c:pt>
                <c:pt idx="53">
                  <c:v>2.2945587811167534</c:v>
                </c:pt>
                <c:pt idx="54">
                  <c:v>2.3122499864850257</c:v>
                </c:pt>
                <c:pt idx="55">
                  <c:v>2.3129418496797536</c:v>
                </c:pt>
                <c:pt idx="56">
                  <c:v>2.204835594777987</c:v>
                </c:pt>
                <c:pt idx="57">
                  <c:v>2.1854976549975982</c:v>
                </c:pt>
                <c:pt idx="58">
                  <c:v>2.1799541279577421</c:v>
                </c:pt>
                <c:pt idx="59">
                  <c:v>2.2155134844996995</c:v>
                </c:pt>
                <c:pt idx="60">
                  <c:v>2.1791053209975879</c:v>
                </c:pt>
                <c:pt idx="61">
                  <c:v>2.2297085011274453</c:v>
                </c:pt>
                <c:pt idx="62">
                  <c:v>2.2466196829904255</c:v>
                </c:pt>
                <c:pt idx="63">
                  <c:v>2.17846276075585</c:v>
                </c:pt>
                <c:pt idx="64">
                  <c:v>2.1109239683134016</c:v>
                </c:pt>
                <c:pt idx="65">
                  <c:v>2.1742354978244651</c:v>
                </c:pt>
                <c:pt idx="66">
                  <c:v>2.2723776094654689</c:v>
                </c:pt>
                <c:pt idx="67">
                  <c:v>2.1242645786248002</c:v>
                </c:pt>
                <c:pt idx="68">
                  <c:v>2.2408257406590097</c:v>
                </c:pt>
                <c:pt idx="69">
                  <c:v>2.1850400453996257</c:v>
                </c:pt>
                <c:pt idx="70">
                  <c:v>2.1172859986312664</c:v>
                </c:pt>
                <c:pt idx="71">
                  <c:v>2.1601157376399995</c:v>
                </c:pt>
                <c:pt idx="72">
                  <c:v>2.2370739817896057</c:v>
                </c:pt>
                <c:pt idx="73">
                  <c:v>2.116317556511782</c:v>
                </c:pt>
                <c:pt idx="74">
                  <c:v>2.1574522010927613</c:v>
                </c:pt>
                <c:pt idx="75">
                  <c:v>2.2411827234743709</c:v>
                </c:pt>
                <c:pt idx="76">
                  <c:v>2.3170886905770356</c:v>
                </c:pt>
                <c:pt idx="77">
                  <c:v>2.2360679774997898</c:v>
                </c:pt>
                <c:pt idx="78">
                  <c:v>2.1517667159801501</c:v>
                </c:pt>
                <c:pt idx="79">
                  <c:v>2.1953131895016709</c:v>
                </c:pt>
                <c:pt idx="80">
                  <c:v>2.1868927728629037</c:v>
                </c:pt>
                <c:pt idx="81">
                  <c:v>2.2063997824510411</c:v>
                </c:pt>
                <c:pt idx="82">
                  <c:v>2.1883555469804259</c:v>
                </c:pt>
                <c:pt idx="83">
                  <c:v>2.1535552001283831</c:v>
                </c:pt>
                <c:pt idx="84">
                  <c:v>2.2163483480716657</c:v>
                </c:pt>
                <c:pt idx="85">
                  <c:v>2.1446211786700236</c:v>
                </c:pt>
                <c:pt idx="86">
                  <c:v>2.2629184695874485</c:v>
                </c:pt>
                <c:pt idx="87">
                  <c:v>2.2354417907876734</c:v>
                </c:pt>
                <c:pt idx="88">
                  <c:v>2.16453228204155</c:v>
                </c:pt>
                <c:pt idx="89">
                  <c:v>2.1868927728629037</c:v>
                </c:pt>
                <c:pt idx="90">
                  <c:v>2.2027482833950867</c:v>
                </c:pt>
                <c:pt idx="91">
                  <c:v>2.1064187617850347</c:v>
                </c:pt>
                <c:pt idx="92">
                  <c:v>2.1805733191066978</c:v>
                </c:pt>
                <c:pt idx="93">
                  <c:v>2.125323504786977</c:v>
                </c:pt>
                <c:pt idx="94">
                  <c:v>2.1523243250030886</c:v>
                </c:pt>
                <c:pt idx="95">
                  <c:v>2.1965882636488794</c:v>
                </c:pt>
                <c:pt idx="96">
                  <c:v>2.2140009033421828</c:v>
                </c:pt>
                <c:pt idx="97">
                  <c:v>2.2437914341578185</c:v>
                </c:pt>
                <c:pt idx="98">
                  <c:v>2.1623135757794243</c:v>
                </c:pt>
                <c:pt idx="99">
                  <c:v>2.1923731434224423</c:v>
                </c:pt>
                <c:pt idx="100">
                  <c:v>2.1333776037073231</c:v>
                </c:pt>
              </c:numCache>
            </c:numRef>
          </c:xVal>
          <c:yVal>
            <c:numRef>
              <c:f>'HT 2017-07-05 BIG JIM'!$AE$1105:$AE$1205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98-42E6-B20F-5F509F5B322E}"/>
            </c:ext>
          </c:extLst>
        </c:ser>
        <c:ser>
          <c:idx val="1"/>
          <c:order val="4"/>
          <c:tx>
            <c:strRef>
              <c:f>'HT 2017-07-05 BIG JIM'!$J$1</c:f>
              <c:strCache>
                <c:ptCount val="1"/>
                <c:pt idx="0">
                  <c:v>sel-m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C0000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JIM'!$J$2:$J$1205</c:f>
              <c:numCache>
                <c:formatCode>General</c:formatCode>
                <c:ptCount val="1204"/>
                <c:pt idx="595">
                  <c:v>1.9672569735548024</c:v>
                </c:pt>
                <c:pt idx="596">
                  <c:v>2.0416659863944449</c:v>
                </c:pt>
                <c:pt idx="597">
                  <c:v>1.9241881404893857</c:v>
                </c:pt>
                <c:pt idx="598">
                  <c:v>2.0225231766286389</c:v>
                </c:pt>
                <c:pt idx="599">
                  <c:v>1.9604081207748556</c:v>
                </c:pt>
                <c:pt idx="600">
                  <c:v>1.9918082237002634</c:v>
                </c:pt>
                <c:pt idx="601">
                  <c:v>2.0368603290358425</c:v>
                </c:pt>
                <c:pt idx="602">
                  <c:v>1.895521036549054</c:v>
                </c:pt>
                <c:pt idx="603">
                  <c:v>2.0368603290358425</c:v>
                </c:pt>
                <c:pt idx="604">
                  <c:v>2.0525106577067995</c:v>
                </c:pt>
                <c:pt idx="605">
                  <c:v>1.9887936041731427</c:v>
                </c:pt>
                <c:pt idx="606">
                  <c:v>2.0169779374103229</c:v>
                </c:pt>
                <c:pt idx="607">
                  <c:v>1.946175737183053</c:v>
                </c:pt>
                <c:pt idx="608">
                  <c:v>1.9856485086741811</c:v>
                </c:pt>
                <c:pt idx="609">
                  <c:v>1.9895728184713419</c:v>
                </c:pt>
                <c:pt idx="610">
                  <c:v>2.0193315725754397</c:v>
                </c:pt>
                <c:pt idx="611">
                  <c:v>1.9996499693696395</c:v>
                </c:pt>
                <c:pt idx="612">
                  <c:v>2.0064396327824068</c:v>
                </c:pt>
                <c:pt idx="613">
                  <c:v>2.0008498194517248</c:v>
                </c:pt>
                <c:pt idx="614">
                  <c:v>1.8989734068701436</c:v>
                </c:pt>
                <c:pt idx="615">
                  <c:v>2.0183656754909403</c:v>
                </c:pt>
                <c:pt idx="616">
                  <c:v>1.960229578391266</c:v>
                </c:pt>
                <c:pt idx="617">
                  <c:v>1.9018412131405713</c:v>
                </c:pt>
                <c:pt idx="618">
                  <c:v>1.8917980864775186</c:v>
                </c:pt>
                <c:pt idx="619">
                  <c:v>1.9119100397246727</c:v>
                </c:pt>
                <c:pt idx="620">
                  <c:v>1.9833809518093088</c:v>
                </c:pt>
                <c:pt idx="621">
                  <c:v>1.9601020381602585</c:v>
                </c:pt>
                <c:pt idx="622">
                  <c:v>2.0392400545301181</c:v>
                </c:pt>
                <c:pt idx="623">
                  <c:v>1.9190883252211191</c:v>
                </c:pt>
                <c:pt idx="624">
                  <c:v>1.9739554199626697</c:v>
                </c:pt>
                <c:pt idx="625">
                  <c:v>1.966443490161871</c:v>
                </c:pt>
                <c:pt idx="626">
                  <c:v>2.04</c:v>
                </c:pt>
                <c:pt idx="627">
                  <c:v>1.9550959055759898</c:v>
                </c:pt>
                <c:pt idx="628">
                  <c:v>1.9458931111445972</c:v>
                </c:pt>
                <c:pt idx="629">
                  <c:v>1.924811679100062</c:v>
                </c:pt>
                <c:pt idx="630">
                  <c:v>2.0056171120131583</c:v>
                </c:pt>
                <c:pt idx="631">
                  <c:v>1.9299999999999997</c:v>
                </c:pt>
                <c:pt idx="632">
                  <c:v>1.9602295783912658</c:v>
                </c:pt>
                <c:pt idx="633">
                  <c:v>1.9465096968677038</c:v>
                </c:pt>
                <c:pt idx="634">
                  <c:v>1.9553260597659921</c:v>
                </c:pt>
                <c:pt idx="635">
                  <c:v>1.9791412279066898</c:v>
                </c:pt>
                <c:pt idx="636">
                  <c:v>1.9723082923316018</c:v>
                </c:pt>
                <c:pt idx="637">
                  <c:v>1.9795959183631389</c:v>
                </c:pt>
                <c:pt idx="638">
                  <c:v>2.0374493858744072</c:v>
                </c:pt>
                <c:pt idx="639">
                  <c:v>2.005243127403757</c:v>
                </c:pt>
                <c:pt idx="640">
                  <c:v>2.0289159667172023</c:v>
                </c:pt>
                <c:pt idx="641">
                  <c:v>2.0088305055429641</c:v>
                </c:pt>
                <c:pt idx="642">
                  <c:v>2.0207176942858696</c:v>
                </c:pt>
                <c:pt idx="643">
                  <c:v>2.0400980368599937</c:v>
                </c:pt>
                <c:pt idx="644">
                  <c:v>1.9949185447030162</c:v>
                </c:pt>
                <c:pt idx="645">
                  <c:v>1.9553260597659921</c:v>
                </c:pt>
                <c:pt idx="646">
                  <c:v>1.9999999999999998</c:v>
                </c:pt>
                <c:pt idx="647">
                  <c:v>1.9420092687729378</c:v>
                </c:pt>
                <c:pt idx="648">
                  <c:v>1.9677398201998149</c:v>
                </c:pt>
                <c:pt idx="649">
                  <c:v>1.9751708786836644</c:v>
                </c:pt>
                <c:pt idx="650">
                  <c:v>2.0026232796010337</c:v>
                </c:pt>
                <c:pt idx="651">
                  <c:v>1.9694669329541941</c:v>
                </c:pt>
                <c:pt idx="652">
                  <c:v>1.9665706191235541</c:v>
                </c:pt>
                <c:pt idx="653">
                  <c:v>2.0171762441591463</c:v>
                </c:pt>
                <c:pt idx="654">
                  <c:v>2.0026232796010337</c:v>
                </c:pt>
                <c:pt idx="655">
                  <c:v>1.9764867821465439</c:v>
                </c:pt>
                <c:pt idx="656">
                  <c:v>1.9946177578674065</c:v>
                </c:pt>
                <c:pt idx="657">
                  <c:v>2.0092784774639876</c:v>
                </c:pt>
                <c:pt idx="658">
                  <c:v>2.0129580224137809</c:v>
                </c:pt>
                <c:pt idx="659">
                  <c:v>1.9610456394485061</c:v>
                </c:pt>
                <c:pt idx="660">
                  <c:v>1.9729419656948859</c:v>
                </c:pt>
                <c:pt idx="661">
                  <c:v>1.8930662957223656</c:v>
                </c:pt>
                <c:pt idx="662">
                  <c:v>2.0255616505058542</c:v>
                </c:pt>
                <c:pt idx="663">
                  <c:v>2.0205444810743467</c:v>
                </c:pt>
                <c:pt idx="664">
                  <c:v>1.9458931111445974</c:v>
                </c:pt>
                <c:pt idx="665">
                  <c:v>1.9523319389898841</c:v>
                </c:pt>
                <c:pt idx="666">
                  <c:v>2.0441624201613728</c:v>
                </c:pt>
                <c:pt idx="667">
                  <c:v>1.9553260597659918</c:v>
                </c:pt>
                <c:pt idx="668">
                  <c:v>2.0116162655934158</c:v>
                </c:pt>
                <c:pt idx="669">
                  <c:v>1.9513328778042971</c:v>
                </c:pt>
                <c:pt idx="670">
                  <c:v>1.9425756098540929</c:v>
                </c:pt>
                <c:pt idx="671">
                  <c:v>1.8921152184790442</c:v>
                </c:pt>
                <c:pt idx="672">
                  <c:v>1.9142622599842478</c:v>
                </c:pt>
                <c:pt idx="673">
                  <c:v>1.9485892332659542</c:v>
                </c:pt>
                <c:pt idx="674">
                  <c:v>1.9504102132628407</c:v>
                </c:pt>
                <c:pt idx="675">
                  <c:v>1.9949185447030164</c:v>
                </c:pt>
                <c:pt idx="676">
                  <c:v>1.9557607215607946</c:v>
                </c:pt>
                <c:pt idx="677">
                  <c:v>1.9398195792392652</c:v>
                </c:pt>
                <c:pt idx="678">
                  <c:v>1.9918082237002634</c:v>
                </c:pt>
                <c:pt idx="679">
                  <c:v>1.9695684806576286</c:v>
                </c:pt>
                <c:pt idx="798">
                  <c:v>2.1253235047869774</c:v>
                </c:pt>
                <c:pt idx="799">
                  <c:v>2.0582759776084449</c:v>
                </c:pt>
                <c:pt idx="800">
                  <c:v>2.1211553455605276</c:v>
                </c:pt>
                <c:pt idx="801">
                  <c:v>2.155736533067063</c:v>
                </c:pt>
                <c:pt idx="802">
                  <c:v>2.0927493877672023</c:v>
                </c:pt>
                <c:pt idx="803">
                  <c:v>2.1137644144984558</c:v>
                </c:pt>
                <c:pt idx="804">
                  <c:v>2.1332135383031861</c:v>
                </c:pt>
                <c:pt idx="805">
                  <c:v>2.0932271735289505</c:v>
                </c:pt>
                <c:pt idx="806">
                  <c:v>2.1428252378577213</c:v>
                </c:pt>
                <c:pt idx="807">
                  <c:v>2.0787015177749786</c:v>
                </c:pt>
                <c:pt idx="808">
                  <c:v>2.1876242821837577</c:v>
                </c:pt>
                <c:pt idx="809">
                  <c:v>2.1020228352708257</c:v>
                </c:pt>
                <c:pt idx="810">
                  <c:v>2.1660332407421636</c:v>
                </c:pt>
                <c:pt idx="811">
                  <c:v>2.0929644048573781</c:v>
                </c:pt>
                <c:pt idx="812">
                  <c:v>2.168893727225933</c:v>
                </c:pt>
                <c:pt idx="813">
                  <c:v>2.1079373804740973</c:v>
                </c:pt>
                <c:pt idx="814">
                  <c:v>2.1109239683134016</c:v>
                </c:pt>
                <c:pt idx="815">
                  <c:v>2.0894257584322062</c:v>
                </c:pt>
                <c:pt idx="816">
                  <c:v>2.0915305400591215</c:v>
                </c:pt>
                <c:pt idx="817">
                  <c:v>2.1577998053572998</c:v>
                </c:pt>
                <c:pt idx="818">
                  <c:v>2.1377558326431951</c:v>
                </c:pt>
                <c:pt idx="819">
                  <c:v>2.1080085388821366</c:v>
                </c:pt>
                <c:pt idx="820">
                  <c:v>2.110094784600919</c:v>
                </c:pt>
                <c:pt idx="821">
                  <c:v>2.1414014102918677</c:v>
                </c:pt>
                <c:pt idx="822">
                  <c:v>2.0981182044870588</c:v>
                </c:pt>
                <c:pt idx="823">
                  <c:v>2.0447249203743767</c:v>
                </c:pt>
                <c:pt idx="824">
                  <c:v>2.1247352776287216</c:v>
                </c:pt>
                <c:pt idx="825">
                  <c:v>2.0840585404445817</c:v>
                </c:pt>
                <c:pt idx="826">
                  <c:v>2.1023796041628637</c:v>
                </c:pt>
                <c:pt idx="827">
                  <c:v>2.1086725682286476</c:v>
                </c:pt>
                <c:pt idx="828">
                  <c:v>2.1050890717496968</c:v>
                </c:pt>
                <c:pt idx="829">
                  <c:v>2.1332838535928595</c:v>
                </c:pt>
                <c:pt idx="830">
                  <c:v>2.1435018077902339</c:v>
                </c:pt>
                <c:pt idx="831">
                  <c:v>2.0930838492521029</c:v>
                </c:pt>
                <c:pt idx="832">
                  <c:v>2.1574522010927613</c:v>
                </c:pt>
                <c:pt idx="833">
                  <c:v>2.1376856644511606</c:v>
                </c:pt>
                <c:pt idx="834">
                  <c:v>2.0709901013766339</c:v>
                </c:pt>
                <c:pt idx="835">
                  <c:v>2.0443580899636933</c:v>
                </c:pt>
                <c:pt idx="836">
                  <c:v>2.1287555049840741</c:v>
                </c:pt>
                <c:pt idx="837">
                  <c:v>2.0706037766796426</c:v>
                </c:pt>
                <c:pt idx="838">
                  <c:v>2.1466252583997982</c:v>
                </c:pt>
                <c:pt idx="839">
                  <c:v>2.087773934122179</c:v>
                </c:pt>
                <c:pt idx="840">
                  <c:v>2.1856349191939626</c:v>
                </c:pt>
                <c:pt idx="841">
                  <c:v>2.1128653530218151</c:v>
                </c:pt>
                <c:pt idx="842">
                  <c:v>2.154483696851754</c:v>
                </c:pt>
                <c:pt idx="843">
                  <c:v>2.1692625475031835</c:v>
                </c:pt>
                <c:pt idx="844">
                  <c:v>2.1495348334000077</c:v>
                </c:pt>
                <c:pt idx="845">
                  <c:v>2.1338462924962518</c:v>
                </c:pt>
                <c:pt idx="846">
                  <c:v>2.1337759957408839</c:v>
                </c:pt>
                <c:pt idx="847">
                  <c:v>2.1122736565132842</c:v>
                </c:pt>
                <c:pt idx="848">
                  <c:v>2.221823575354263</c:v>
                </c:pt>
                <c:pt idx="849">
                  <c:v>2.16453228204155</c:v>
                </c:pt>
                <c:pt idx="850">
                  <c:v>2.0416659863944444</c:v>
                </c:pt>
                <c:pt idx="851">
                  <c:v>2.110852908186641</c:v>
                </c:pt>
                <c:pt idx="852">
                  <c:v>2.110923968313402</c:v>
                </c:pt>
                <c:pt idx="853">
                  <c:v>2.1660332407421636</c:v>
                </c:pt>
                <c:pt idx="854">
                  <c:v>2.1560380330597142</c:v>
                </c:pt>
                <c:pt idx="855">
                  <c:v>2.1301643129110959</c:v>
                </c:pt>
                <c:pt idx="856">
                  <c:v>2.0607280266934791</c:v>
                </c:pt>
                <c:pt idx="857">
                  <c:v>2.1120606051910538</c:v>
                </c:pt>
                <c:pt idx="858">
                  <c:v>2.1115397225721324</c:v>
                </c:pt>
                <c:pt idx="859">
                  <c:v>2.1751321798916039</c:v>
                </c:pt>
                <c:pt idx="860">
                  <c:v>2.097474672075923</c:v>
                </c:pt>
                <c:pt idx="861">
                  <c:v>2.1351580737734621</c:v>
                </c:pt>
                <c:pt idx="862">
                  <c:v>2.1421717951648978</c:v>
                </c:pt>
                <c:pt idx="863">
                  <c:v>2.1252999788265186</c:v>
                </c:pt>
                <c:pt idx="864">
                  <c:v>2.1511159894343215</c:v>
                </c:pt>
                <c:pt idx="865">
                  <c:v>2.1476731594914531</c:v>
                </c:pt>
                <c:pt idx="866">
                  <c:v>2.1428252378577217</c:v>
                </c:pt>
                <c:pt idx="867">
                  <c:v>2.1211553455605272</c:v>
                </c:pt>
                <c:pt idx="868">
                  <c:v>2.1577998053572998</c:v>
                </c:pt>
                <c:pt idx="869">
                  <c:v>2.1066086489901248</c:v>
                </c:pt>
                <c:pt idx="870">
                  <c:v>2.0977368757782755</c:v>
                </c:pt>
                <c:pt idx="871">
                  <c:v>2.1174040710265958</c:v>
                </c:pt>
                <c:pt idx="872">
                  <c:v>2.1923731434224423</c:v>
                </c:pt>
                <c:pt idx="873">
                  <c:v>2.1497209121185938</c:v>
                </c:pt>
                <c:pt idx="874">
                  <c:v>2.087773934122179</c:v>
                </c:pt>
                <c:pt idx="875">
                  <c:v>2.125323504786977</c:v>
                </c:pt>
                <c:pt idx="876">
                  <c:v>2.0701932276963904</c:v>
                </c:pt>
                <c:pt idx="877">
                  <c:v>2.1107818456676188</c:v>
                </c:pt>
                <c:pt idx="878">
                  <c:v>2.1594675269612185</c:v>
                </c:pt>
                <c:pt idx="999">
                  <c:v>2.2532199182503247</c:v>
                </c:pt>
                <c:pt idx="1000">
                  <c:v>2.2585393509965681</c:v>
                </c:pt>
                <c:pt idx="1001">
                  <c:v>2.3068810112357334</c:v>
                </c:pt>
                <c:pt idx="1002">
                  <c:v>2.2631835983852482</c:v>
                </c:pt>
                <c:pt idx="1003">
                  <c:v>2.2631173190977085</c:v>
                </c:pt>
                <c:pt idx="1004">
                  <c:v>2.3020860105565126</c:v>
                </c:pt>
                <c:pt idx="1005">
                  <c:v>2.2981731875557156</c:v>
                </c:pt>
                <c:pt idx="1006">
                  <c:v>2.3576471322061749</c:v>
                </c:pt>
                <c:pt idx="1007">
                  <c:v>2.2461522655421202</c:v>
                </c:pt>
                <c:pt idx="1008">
                  <c:v>2.2475764725588316</c:v>
                </c:pt>
                <c:pt idx="1009">
                  <c:v>2.2770595073471398</c:v>
                </c:pt>
                <c:pt idx="1010">
                  <c:v>2.3400213674238106</c:v>
                </c:pt>
                <c:pt idx="1011">
                  <c:v>2.3194827009486407</c:v>
                </c:pt>
                <c:pt idx="1012">
                  <c:v>2.2405579662218069</c:v>
                </c:pt>
                <c:pt idx="1013">
                  <c:v>2.2494888308235717</c:v>
                </c:pt>
                <c:pt idx="1014">
                  <c:v>2.3034105148670307</c:v>
                </c:pt>
                <c:pt idx="1015">
                  <c:v>2.2514439810930225</c:v>
                </c:pt>
                <c:pt idx="1016">
                  <c:v>2.2624102192131295</c:v>
                </c:pt>
                <c:pt idx="1017">
                  <c:v>2.2953213282675695</c:v>
                </c:pt>
                <c:pt idx="1018">
                  <c:v>2.3119256043393785</c:v>
                </c:pt>
                <c:pt idx="1019">
                  <c:v>2.1840558600914948</c:v>
                </c:pt>
                <c:pt idx="1020">
                  <c:v>2.1849027438309467</c:v>
                </c:pt>
                <c:pt idx="1021">
                  <c:v>2.2411827234743713</c:v>
                </c:pt>
                <c:pt idx="1022">
                  <c:v>2.2276669409945464</c:v>
                </c:pt>
                <c:pt idx="1023">
                  <c:v>2.1918029108475974</c:v>
                </c:pt>
                <c:pt idx="1024">
                  <c:v>2.1741205118392126</c:v>
                </c:pt>
                <c:pt idx="1025">
                  <c:v>2.1958369702689677</c:v>
                </c:pt>
                <c:pt idx="1026">
                  <c:v>2.2323530186778258</c:v>
                </c:pt>
                <c:pt idx="1027">
                  <c:v>2.2633824246026122</c:v>
                </c:pt>
                <c:pt idx="1028">
                  <c:v>2.18929212303886</c:v>
                </c:pt>
                <c:pt idx="1029">
                  <c:v>2.1742354978244651</c:v>
                </c:pt>
                <c:pt idx="1030">
                  <c:v>2.1708293346092411</c:v>
                </c:pt>
                <c:pt idx="1031">
                  <c:v>2.1964744478368057</c:v>
                </c:pt>
                <c:pt idx="1032">
                  <c:v>2.22784649381415</c:v>
                </c:pt>
                <c:pt idx="1033">
                  <c:v>2.2472205054244228</c:v>
                </c:pt>
                <c:pt idx="1034">
                  <c:v>2.2900873345791855</c:v>
                </c:pt>
                <c:pt idx="1035">
                  <c:v>2.1741205118392126</c:v>
                </c:pt>
                <c:pt idx="1036">
                  <c:v>2.2587828580897278</c:v>
                </c:pt>
                <c:pt idx="1037">
                  <c:v>2.2226560687609771</c:v>
                </c:pt>
                <c:pt idx="1038">
                  <c:v>2.211628359376864</c:v>
                </c:pt>
                <c:pt idx="1039">
                  <c:v>2.2643321311150446</c:v>
                </c:pt>
                <c:pt idx="1040">
                  <c:v>2.2717834403833477</c:v>
                </c:pt>
                <c:pt idx="1041">
                  <c:v>2.2458851261807671</c:v>
                </c:pt>
                <c:pt idx="1042">
                  <c:v>2.2714973035423132</c:v>
                </c:pt>
                <c:pt idx="1043">
                  <c:v>2.2775864418282792</c:v>
                </c:pt>
                <c:pt idx="1044">
                  <c:v>2.2228135324403619</c:v>
                </c:pt>
                <c:pt idx="1045">
                  <c:v>2.3078344827998389</c:v>
                </c:pt>
                <c:pt idx="1046">
                  <c:v>2.2141589825484527</c:v>
                </c:pt>
                <c:pt idx="1047">
                  <c:v>2.271079038695043</c:v>
                </c:pt>
                <c:pt idx="1048">
                  <c:v>2.2370739817896053</c:v>
                </c:pt>
                <c:pt idx="1049">
                  <c:v>2.315728826957077</c:v>
                </c:pt>
                <c:pt idx="1050">
                  <c:v>2.2194819215303379</c:v>
                </c:pt>
                <c:pt idx="1051">
                  <c:v>2.205311769342376</c:v>
                </c:pt>
                <c:pt idx="1052">
                  <c:v>2.2579636843846713</c:v>
                </c:pt>
                <c:pt idx="1053">
                  <c:v>2.2724656213021133</c:v>
                </c:pt>
                <c:pt idx="1054">
                  <c:v>2.2189411889457547</c:v>
                </c:pt>
                <c:pt idx="1055">
                  <c:v>2.2329352879114071</c:v>
                </c:pt>
                <c:pt idx="1056">
                  <c:v>2.2569448376068033</c:v>
                </c:pt>
                <c:pt idx="1057">
                  <c:v>2.3216588896735026</c:v>
                </c:pt>
                <c:pt idx="1058">
                  <c:v>2.2135040094836058</c:v>
                </c:pt>
                <c:pt idx="1059">
                  <c:v>2.2165288177689004</c:v>
                </c:pt>
                <c:pt idx="1060">
                  <c:v>2.173683509621398</c:v>
                </c:pt>
                <c:pt idx="1061">
                  <c:v>2.2346588106464931</c:v>
                </c:pt>
                <c:pt idx="1062">
                  <c:v>2.2983907413666635</c:v>
                </c:pt>
                <c:pt idx="1063">
                  <c:v>2.2005681084665389</c:v>
                </c:pt>
                <c:pt idx="1064">
                  <c:v>2.2994347131414714</c:v>
                </c:pt>
                <c:pt idx="1065">
                  <c:v>2.28177562437677</c:v>
                </c:pt>
                <c:pt idx="1066">
                  <c:v>2.2368057582186256</c:v>
                </c:pt>
                <c:pt idx="1067">
                  <c:v>2.2260727750906981</c:v>
                </c:pt>
                <c:pt idx="1068">
                  <c:v>2.3307724041613334</c:v>
                </c:pt>
                <c:pt idx="1069">
                  <c:v>2.2541739063346466</c:v>
                </c:pt>
                <c:pt idx="1070">
                  <c:v>2.2662965384079814</c:v>
                </c:pt>
                <c:pt idx="1071">
                  <c:v>2.2135265979879257</c:v>
                </c:pt>
                <c:pt idx="1072">
                  <c:v>2.2214634815814551</c:v>
                </c:pt>
                <c:pt idx="1073">
                  <c:v>2.2629184695874485</c:v>
                </c:pt>
                <c:pt idx="1074">
                  <c:v>2.2214634815814551</c:v>
                </c:pt>
                <c:pt idx="1075">
                  <c:v>2.2748186740925087</c:v>
                </c:pt>
                <c:pt idx="1076">
                  <c:v>2.2280035906613795</c:v>
                </c:pt>
                <c:pt idx="1077">
                  <c:v>2.2257582977493309</c:v>
                </c:pt>
                <c:pt idx="1078">
                  <c:v>2.2022942582679548</c:v>
                </c:pt>
                <c:pt idx="1079">
                  <c:v>2.2418073066166948</c:v>
                </c:pt>
                <c:pt idx="1080">
                  <c:v>2.2510886255321005</c:v>
                </c:pt>
                <c:pt idx="1081">
                  <c:v>2.3108656386730928</c:v>
                </c:pt>
                <c:pt idx="1082">
                  <c:v>2.2610838109190028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298-42E6-B20F-5F509F5B322E}"/>
            </c:ext>
          </c:extLst>
        </c:ser>
        <c:ser>
          <c:idx val="2"/>
          <c:order val="5"/>
          <c:tx>
            <c:strRef>
              <c:f>'HT 2017-07-05 BIG JIM'!$BD$1</c:f>
              <c:strCache>
                <c:ptCount val="1"/>
                <c:pt idx="0">
                  <c:v>xk4a-m</c:v>
                </c:pt>
              </c:strCache>
            </c:strRef>
          </c:tx>
          <c:spPr>
            <a:ln w="6350" cap="rnd" cmpd="sng" algn="ctr">
              <a:solidFill>
                <a:schemeClr val="accent3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JIM'!$BD$1206:$BD$1212</c:f>
              <c:numCache>
                <c:formatCode>General</c:formatCode>
                <c:ptCount val="7"/>
                <c:pt idx="0">
                  <c:v>1.419746801658138</c:v>
                </c:pt>
                <c:pt idx="1">
                  <c:v>1.6271993914524352</c:v>
                </c:pt>
                <c:pt idx="2">
                  <c:v>1.8260762926908953</c:v>
                </c:pt>
                <c:pt idx="3">
                  <c:v>2.0178950761479539</c:v>
                </c:pt>
                <c:pt idx="4">
                  <c:v>2.2037491338566331</c:v>
                </c:pt>
                <c:pt idx="5">
                  <c:v>2.384460255268853</c:v>
                </c:pt>
                <c:pt idx="6">
                  <c:v>2.5606665001073483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298-42E6-B20F-5F509F5B322E}"/>
            </c:ext>
          </c:extLst>
        </c:ser>
        <c:ser>
          <c:idx val="3"/>
          <c:order val="6"/>
          <c:tx>
            <c:strRef>
              <c:f>'HT 2017-07-05 BIG JIM'!$BE$1</c:f>
              <c:strCache>
                <c:ptCount val="1"/>
                <c:pt idx="0">
                  <c:v>xk4b-m</c:v>
                </c:pt>
              </c:strCache>
            </c:strRef>
          </c:tx>
          <c:spPr>
            <a:ln w="6350" cap="rnd" cmpd="sng" algn="ctr">
              <a:solidFill>
                <a:schemeClr val="accent4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JIM'!$BE$1206:$BE$1212</c:f>
              <c:numCache>
                <c:formatCode>General</c:formatCode>
                <c:ptCount val="7"/>
                <c:pt idx="0">
                  <c:v>1.237264429319137</c:v>
                </c:pt>
                <c:pt idx="1">
                  <c:v>1.4939483849987216</c:v>
                </c:pt>
                <c:pt idx="2">
                  <c:v>1.7520975562811414</c:v>
                </c:pt>
                <c:pt idx="3">
                  <c:v>2.0115077311755596</c:v>
                </c:pt>
                <c:pt idx="4">
                  <c:v>2.2720254560633659</c:v>
                </c:pt>
                <c:pt idx="5">
                  <c:v>2.5335311023412923</c:v>
                </c:pt>
                <c:pt idx="6">
                  <c:v>2.7959287347296926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298-42E6-B20F-5F509F5B322E}"/>
            </c:ext>
          </c:extLst>
        </c:ser>
        <c:ser>
          <c:idx val="4"/>
          <c:order val="7"/>
          <c:tx>
            <c:strRef>
              <c:f>'HT 2017-07-05 BIG JIM'!$BF$1</c:f>
              <c:strCache>
                <c:ptCount val="1"/>
                <c:pt idx="0">
                  <c:v>yk4a-m</c:v>
                </c:pt>
              </c:strCache>
            </c:strRef>
          </c:tx>
          <c:spPr>
            <a:ln w="6350" cap="rnd" cmpd="sng" algn="ctr">
              <a:solidFill>
                <a:schemeClr val="accent5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JIM'!$BF$1206:$BF$1212</c:f>
              <c:numCache>
                <c:formatCode>General</c:formatCode>
                <c:ptCount val="7"/>
                <c:pt idx="0">
                  <c:v>1.2785800600772987</c:v>
                </c:pt>
                <c:pt idx="1">
                  <c:v>1.5482371934888897</c:v>
                </c:pt>
                <c:pt idx="2">
                  <c:v>1.8201435284505951</c:v>
                </c:pt>
                <c:pt idx="3">
                  <c:v>2.0939903068771857</c:v>
                </c:pt>
                <c:pt idx="4">
                  <c:v>2.3695449820269934</c:v>
                </c:pt>
                <c:pt idx="5">
                  <c:v>2.6466259045252372</c:v>
                </c:pt>
                <c:pt idx="6">
                  <c:v>2.925087144794484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298-42E6-B20F-5F509F5B322E}"/>
            </c:ext>
          </c:extLst>
        </c:ser>
        <c:ser>
          <c:idx val="5"/>
          <c:order val="8"/>
          <c:tx>
            <c:strRef>
              <c:f>'HT 2017-07-05 BIG JIM'!$BG$1</c:f>
              <c:strCache>
                <c:ptCount val="1"/>
                <c:pt idx="0">
                  <c:v>yk4b-m</c:v>
                </c:pt>
              </c:strCache>
            </c:strRef>
          </c:tx>
          <c:spPr>
            <a:ln w="6350" cap="rnd" cmpd="sng" algn="ctr">
              <a:solidFill>
                <a:schemeClr val="accent6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JIM'!$BG$1206:$BG$1212</c:f>
              <c:numCache>
                <c:formatCode>General</c:formatCode>
                <c:ptCount val="7"/>
                <c:pt idx="0">
                  <c:v>1.4440356616716177</c:v>
                </c:pt>
                <c:pt idx="1">
                  <c:v>1.6700156514962747</c:v>
                </c:pt>
                <c:pt idx="2">
                  <c:v>1.8884559905022371</c:v>
                </c:pt>
                <c:pt idx="3">
                  <c:v>2.1006427914741606</c:v>
                </c:pt>
                <c:pt idx="4">
                  <c:v>2.3075094524474129</c:v>
                </c:pt>
                <c:pt idx="5">
                  <c:v>2.5097619610147768</c:v>
                </c:pt>
                <c:pt idx="6">
                  <c:v>2.7079515387610922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298-42E6-B20F-5F509F5B322E}"/>
            </c:ext>
          </c:extLst>
        </c:ser>
        <c:ser>
          <c:idx val="7"/>
          <c:order val="9"/>
          <c:tx>
            <c:strRef>
              <c:f>'HT 2017-07-05 BIG JIM'!$BI$1</c:f>
              <c:strCache>
                <c:ptCount val="1"/>
                <c:pt idx="0">
                  <c:v>zk4b-m</c:v>
                </c:pt>
              </c:strCache>
            </c:strRef>
          </c:tx>
          <c:spPr>
            <a:ln w="6350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JIM'!$BI$1206:$BI$1212</c:f>
              <c:numCache>
                <c:formatCode>General</c:formatCode>
                <c:ptCount val="7"/>
                <c:pt idx="0">
                  <c:v>1.4280579806006419</c:v>
                </c:pt>
                <c:pt idx="1">
                  <c:v>1.6798708471850829</c:v>
                </c:pt>
                <c:pt idx="2">
                  <c:v>1.9271175355508787</c:v>
                </c:pt>
                <c:pt idx="3">
                  <c:v>2.1705213380136472</c:v>
                </c:pt>
                <c:pt idx="4">
                  <c:v>2.4106144424585811</c:v>
                </c:pt>
                <c:pt idx="5">
                  <c:v>2.6478042065057039</c:v>
                </c:pt>
                <c:pt idx="6">
                  <c:v>2.88241206117879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298-42E6-B20F-5F509F5B322E}"/>
            </c:ext>
          </c:extLst>
        </c:ser>
        <c:ser>
          <c:idx val="8"/>
          <c:order val="10"/>
          <c:tx>
            <c:strRef>
              <c:f>'HT 2017-07-05 BIG JIM'!$BJ$1</c:f>
              <c:strCache>
                <c:ptCount val="1"/>
                <c:pt idx="0">
                  <c:v>xl4a-m</c:v>
                </c:pt>
              </c:strCache>
            </c:strRef>
          </c:tx>
          <c:spPr>
            <a:ln w="6350" cap="rnd" cmpd="sng" algn="ctr">
              <a:solidFill>
                <a:schemeClr val="accent3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JIM'!$BJ$1206:$BJ$1212</c:f>
              <c:numCache>
                <c:formatCode>General</c:formatCode>
                <c:ptCount val="7"/>
                <c:pt idx="0">
                  <c:v>1.3674390906367284</c:v>
                </c:pt>
                <c:pt idx="1">
                  <c:v>1.5924256922697777</c:v>
                </c:pt>
                <c:pt idx="2">
                  <c:v>1.8112950737730524</c:v>
                </c:pt>
                <c:pt idx="3">
                  <c:v>2.0250604960276708</c:v>
                </c:pt>
                <c:pt idx="4">
                  <c:v>2.234461459417842</c:v>
                </c:pt>
                <c:pt idx="5">
                  <c:v>2.4400600190717769</c:v>
                </c:pt>
                <c:pt idx="6">
                  <c:v>2.642296907161886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298-42E6-B20F-5F509F5B322E}"/>
            </c:ext>
          </c:extLst>
        </c:ser>
        <c:ser>
          <c:idx val="9"/>
          <c:order val="11"/>
          <c:tx>
            <c:strRef>
              <c:f>'HT 2017-07-05 BIG JIM'!$BK$1</c:f>
              <c:strCache>
                <c:ptCount val="1"/>
                <c:pt idx="0">
                  <c:v>xl4b-m</c:v>
                </c:pt>
              </c:strCache>
            </c:strRef>
          </c:tx>
          <c:spPr>
            <a:ln w="6350" cap="rnd" cmpd="sng" algn="ctr">
              <a:solidFill>
                <a:schemeClr val="accent4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JIM'!$BK$1206:$BK$1212</c:f>
              <c:numCache>
                <c:formatCode>General</c:formatCode>
                <c:ptCount val="7"/>
                <c:pt idx="0">
                  <c:v>1.3765427178783718</c:v>
                </c:pt>
                <c:pt idx="1">
                  <c:v>1.5867760045456769</c:v>
                </c:pt>
                <c:pt idx="2">
                  <c:v>1.7893864960050954</c:v>
                </c:pt>
                <c:pt idx="3">
                  <c:v>1.9856921434602379</c:v>
                </c:pt>
                <c:pt idx="4">
                  <c:v>2.1766469348644706</c:v>
                </c:pt>
                <c:pt idx="5">
                  <c:v>2.3629707817463155</c:v>
                </c:pt>
                <c:pt idx="6">
                  <c:v>2.5452246405200949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298-42E6-B20F-5F509F5B322E}"/>
            </c:ext>
          </c:extLst>
        </c:ser>
        <c:ser>
          <c:idx val="10"/>
          <c:order val="12"/>
          <c:tx>
            <c:strRef>
              <c:f>'HT 2017-07-05 BIG JIM'!$BL$1</c:f>
              <c:strCache>
                <c:ptCount val="1"/>
                <c:pt idx="0">
                  <c:v>yl4a-m</c:v>
                </c:pt>
              </c:strCache>
            </c:strRef>
          </c:tx>
          <c:spPr>
            <a:ln w="6350" cap="rnd" cmpd="sng" algn="ctr">
              <a:solidFill>
                <a:schemeClr val="accent5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JIM'!$BL$1206:$BL$1212</c:f>
              <c:numCache>
                <c:formatCode>General</c:formatCode>
                <c:ptCount val="7"/>
                <c:pt idx="0">
                  <c:v>1.3996729282585296</c:v>
                </c:pt>
                <c:pt idx="1">
                  <c:v>1.634055009850006</c:v>
                </c:pt>
                <c:pt idx="2">
                  <c:v>1.8625904667056279</c:v>
                </c:pt>
                <c:pt idx="3">
                  <c:v>2.0862372460450174</c:v>
                </c:pt>
                <c:pt idx="4">
                  <c:v>2.3056958956000098</c:v>
                </c:pt>
                <c:pt idx="5">
                  <c:v>2.521499801719933</c:v>
                </c:pt>
                <c:pt idx="6">
                  <c:v>2.734067867201321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298-42E6-B20F-5F509F5B322E}"/>
            </c:ext>
          </c:extLst>
        </c:ser>
        <c:ser>
          <c:idx val="11"/>
          <c:order val="13"/>
          <c:tx>
            <c:strRef>
              <c:f>'HT 2017-07-05 BIG JIM'!$BM$1</c:f>
              <c:strCache>
                <c:ptCount val="1"/>
                <c:pt idx="0">
                  <c:v>yl4b-m</c:v>
                </c:pt>
              </c:strCache>
            </c:strRef>
          </c:tx>
          <c:spPr>
            <a:ln w="6350" cap="rnd" cmpd="sng" algn="ctr">
              <a:solidFill>
                <a:schemeClr val="accent6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JIM'!$BM$1206:$BM$1212</c:f>
              <c:numCache>
                <c:formatCode>General</c:formatCode>
                <c:ptCount val="7"/>
                <c:pt idx="0">
                  <c:v>1.6003742359151678</c:v>
                </c:pt>
                <c:pt idx="1">
                  <c:v>1.7836765286614462</c:v>
                </c:pt>
                <c:pt idx="2">
                  <c:v>1.9549424139659066</c:v>
                </c:pt>
                <c:pt idx="3">
                  <c:v>2.1165365777598386</c:v>
                </c:pt>
                <c:pt idx="4">
                  <c:v>2.2701246800566683</c:v>
                </c:pt>
                <c:pt idx="5">
                  <c:v>2.4169342980297261</c:v>
                </c:pt>
                <c:pt idx="6">
                  <c:v>2.5579021589041662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298-42E6-B20F-5F509F5B322E}"/>
            </c:ext>
          </c:extLst>
        </c:ser>
        <c:ser>
          <c:idx val="12"/>
          <c:order val="14"/>
          <c:tx>
            <c:strRef>
              <c:f>'HT 2017-07-05 BIG JIM'!$BN$1</c:f>
              <c:strCache>
                <c:ptCount val="1"/>
                <c:pt idx="0">
                  <c:v>zl4a-m</c:v>
                </c:pt>
              </c:strCache>
            </c:strRef>
          </c:tx>
          <c:spPr>
            <a:ln w="6350" cap="rnd" cmpd="sng" algn="ctr">
              <a:solidFill>
                <a:schemeClr val="accent1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JIM'!$BN$1206:$BN$1212</c:f>
              <c:numCache>
                <c:formatCode>General</c:formatCode>
                <c:ptCount val="7"/>
                <c:pt idx="0">
                  <c:v>1.2787069096008907</c:v>
                </c:pt>
                <c:pt idx="1">
                  <c:v>1.5689233888550387</c:v>
                </c:pt>
                <c:pt idx="2">
                  <c:v>1.8651211440248774</c:v>
                </c:pt>
                <c:pt idx="3">
                  <c:v>2.1665375608424471</c:v>
                </c:pt>
                <c:pt idx="4">
                  <c:v>2.4725921380399418</c:v>
                </c:pt>
                <c:pt idx="5">
                  <c:v>2.7828272280869393</c:v>
                </c:pt>
                <c:pt idx="6">
                  <c:v>3.0968721637261587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298-42E6-B20F-5F509F5B322E}"/>
            </c:ext>
          </c:extLst>
        </c:ser>
        <c:ser>
          <c:idx val="13"/>
          <c:order val="15"/>
          <c:tx>
            <c:strRef>
              <c:f>'HT 2017-07-05 BIG JIM'!$BO$1</c:f>
              <c:strCache>
                <c:ptCount val="1"/>
                <c:pt idx="0">
                  <c:v>zl4b-m</c:v>
                </c:pt>
              </c:strCache>
            </c:strRef>
          </c:tx>
          <c:spPr>
            <a:ln w="6350" cap="rnd" cmpd="sng" algn="ctr">
              <a:solidFill>
                <a:schemeClr val="accent2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JIM'!$BO$1206:$BO$1212</c:f>
              <c:numCache>
                <c:formatCode>General</c:formatCode>
                <c:ptCount val="7"/>
                <c:pt idx="0">
                  <c:v>1.0620873989459096</c:v>
                </c:pt>
                <c:pt idx="1">
                  <c:v>1.3825249348568762</c:v>
                </c:pt>
                <c:pt idx="2">
                  <c:v>1.7277945320301602</c:v>
                </c:pt>
                <c:pt idx="3">
                  <c:v>2.0958521084874357</c:v>
                </c:pt>
                <c:pt idx="4">
                  <c:v>2.4850660015154444</c:v>
                </c:pt>
                <c:pt idx="5">
                  <c:v>2.8940955943286428</c:v>
                </c:pt>
                <c:pt idx="6">
                  <c:v>3.3218146100104065</c:v>
                </c:pt>
              </c:numCache>
            </c:numRef>
          </c:xVal>
          <c:yVal>
            <c:numRef>
              <c:f>'HT 2017-07-05 BIG JIM'!$BO$1206:$BO$1212</c:f>
              <c:numCache>
                <c:formatCode>General</c:formatCode>
                <c:ptCount val="7"/>
                <c:pt idx="0">
                  <c:v>1.0620873989459096</c:v>
                </c:pt>
                <c:pt idx="1">
                  <c:v>1.3825249348568762</c:v>
                </c:pt>
                <c:pt idx="2">
                  <c:v>1.7277945320301602</c:v>
                </c:pt>
                <c:pt idx="3">
                  <c:v>2.0958521084874357</c:v>
                </c:pt>
                <c:pt idx="4">
                  <c:v>2.4850660015154444</c:v>
                </c:pt>
                <c:pt idx="5">
                  <c:v>2.8940955943286428</c:v>
                </c:pt>
                <c:pt idx="6">
                  <c:v>3.3218146100104065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298-42E6-B20F-5F509F5B322E}"/>
            </c:ext>
          </c:extLst>
        </c:ser>
        <c:ser>
          <c:idx val="14"/>
          <c:order val="16"/>
          <c:tx>
            <c:strRef>
              <c:f>'HT 2017-07-05 BIG JIM'!$BP$1</c:f>
              <c:strCache>
                <c:ptCount val="1"/>
                <c:pt idx="0">
                  <c:v>xn6a-m</c:v>
                </c:pt>
              </c:strCache>
            </c:strRef>
          </c:tx>
          <c:spPr>
            <a:ln w="6350" cap="rnd" cmpd="sng" algn="ctr">
              <a:solidFill>
                <a:schemeClr val="accent3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JIM'!$BP$1206:$BP$1212</c:f>
              <c:numCache>
                <c:formatCode>General</c:formatCode>
                <c:ptCount val="7"/>
                <c:pt idx="0">
                  <c:v>1.4126389616974531</c:v>
                </c:pt>
                <c:pt idx="1">
                  <c:v>1.6132000050330906</c:v>
                </c:pt>
                <c:pt idx="2">
                  <c:v>1.8048310034730521</c:v>
                </c:pt>
                <c:pt idx="3">
                  <c:v>1.9891350277017816</c:v>
                </c:pt>
                <c:pt idx="4">
                  <c:v>2.1672636959942806</c:v>
                </c:pt>
                <c:pt idx="5">
                  <c:v>2.3400803630411011</c:v>
                </c:pt>
                <c:pt idx="6">
                  <c:v>2.5082538556174798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298-42E6-B20F-5F509F5B322E}"/>
            </c:ext>
          </c:extLst>
        </c:ser>
        <c:ser>
          <c:idx val="15"/>
          <c:order val="17"/>
          <c:tx>
            <c:strRef>
              <c:f>'HT 2017-07-05 BIG JIM'!$BQ$1</c:f>
              <c:strCache>
                <c:ptCount val="1"/>
                <c:pt idx="0">
                  <c:v>xn6b-m</c:v>
                </c:pt>
              </c:strCache>
            </c:strRef>
          </c:tx>
          <c:spPr>
            <a:ln w="6350" cap="rnd" cmpd="sng" algn="ctr">
              <a:solidFill>
                <a:schemeClr val="accent4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JIM'!$BQ$1206:$BQ$1212</c:f>
              <c:numCache>
                <c:formatCode>General</c:formatCode>
                <c:ptCount val="7"/>
                <c:pt idx="0">
                  <c:v>1.1579416410909524</c:v>
                </c:pt>
                <c:pt idx="1">
                  <c:v>1.4265072955801088</c:v>
                </c:pt>
                <c:pt idx="2">
                  <c:v>1.7016274748700262</c:v>
                </c:pt>
                <c:pt idx="3">
                  <c:v>1.9824862834166239</c:v>
                </c:pt>
                <c:pt idx="4">
                  <c:v>2.2684606375045564</c:v>
                </c:pt>
                <c:pt idx="5">
                  <c:v>2.5590579269955613</c:v>
                </c:pt>
                <c:pt idx="6">
                  <c:v>2.8538781664716537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298-42E6-B20F-5F509F5B322E}"/>
            </c:ext>
          </c:extLst>
        </c:ser>
        <c:ser>
          <c:idx val="16"/>
          <c:order val="18"/>
          <c:tx>
            <c:strRef>
              <c:f>'HT 2017-07-05 BIG JIM'!$BR$1</c:f>
              <c:strCache>
                <c:ptCount val="1"/>
                <c:pt idx="0">
                  <c:v>yn6a-m</c:v>
                </c:pt>
              </c:strCache>
            </c:strRef>
          </c:tx>
          <c:spPr>
            <a:ln w="6350" cap="rnd" cmpd="sng" algn="ctr">
              <a:solidFill>
                <a:schemeClr val="accent5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JIM'!$BR$1206:$BR$1212</c:f>
              <c:numCache>
                <c:formatCode>General</c:formatCode>
                <c:ptCount val="7"/>
                <c:pt idx="0">
                  <c:v>0.95483074700499271</c:v>
                </c:pt>
                <c:pt idx="1">
                  <c:v>1.2770521235474994</c:v>
                </c:pt>
                <c:pt idx="2">
                  <c:v>1.6329719548143486</c:v>
                </c:pt>
                <c:pt idx="3">
                  <c:v>2.0205388057977998</c:v>
                </c:pt>
                <c:pt idx="4">
                  <c:v>2.4380791905745114</c:v>
                </c:pt>
                <c:pt idx="5">
                  <c:v>2.884191893301177</c:v>
                </c:pt>
                <c:pt idx="6">
                  <c:v>3.3576798550376279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298-42E6-B20F-5F509F5B322E}"/>
            </c:ext>
          </c:extLst>
        </c:ser>
        <c:ser>
          <c:idx val="17"/>
          <c:order val="19"/>
          <c:tx>
            <c:strRef>
              <c:f>'HT 2017-07-05 BIG JIM'!$BS$1</c:f>
              <c:strCache>
                <c:ptCount val="1"/>
                <c:pt idx="0">
                  <c:v>yn6b-m</c:v>
                </c:pt>
              </c:strCache>
            </c:strRef>
          </c:tx>
          <c:spPr>
            <a:ln w="6350" cap="rnd" cmpd="sng" algn="ctr">
              <a:solidFill>
                <a:schemeClr val="accent6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JIM'!$BS$1206:$BS$1212</c:f>
              <c:numCache>
                <c:formatCode>General</c:formatCode>
                <c:ptCount val="7"/>
                <c:pt idx="0">
                  <c:v>1.3915951866153304</c:v>
                </c:pt>
                <c:pt idx="1">
                  <c:v>1.6171285647504294</c:v>
                </c:pt>
                <c:pt idx="2">
                  <c:v>1.8361032795983925</c:v>
                </c:pt>
                <c:pt idx="3">
                  <c:v>2.0496156335159013</c:v>
                </c:pt>
                <c:pt idx="4">
                  <c:v>2.2584643658423187</c:v>
                </c:pt>
                <c:pt idx="5">
                  <c:v>2.4632556552365923</c:v>
                </c:pt>
                <c:pt idx="6">
                  <c:v>2.6644642090782078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298-42E6-B20F-5F509F5B322E}"/>
            </c:ext>
          </c:extLst>
        </c:ser>
        <c:ser>
          <c:idx val="18"/>
          <c:order val="20"/>
          <c:tx>
            <c:strRef>
              <c:f>'HT 2017-07-05 BIG JIM'!$BT$1</c:f>
              <c:strCache>
                <c:ptCount val="1"/>
                <c:pt idx="0">
                  <c:v>zn6a-m</c:v>
                </c:pt>
              </c:strCache>
            </c:strRef>
          </c:tx>
          <c:spPr>
            <a:ln w="6350" cap="rnd" cmpd="sng" algn="ctr">
              <a:solidFill>
                <a:schemeClr val="accent1">
                  <a:tint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JIM'!$BT$1206:$BT$1212</c:f>
              <c:numCache>
                <c:formatCode>General</c:formatCode>
                <c:ptCount val="7"/>
                <c:pt idx="0">
                  <c:v>1.1495462006317272</c:v>
                </c:pt>
                <c:pt idx="1">
                  <c:v>1.4521416639610902</c:v>
                </c:pt>
                <c:pt idx="2">
                  <c:v>1.769339871915649</c:v>
                </c:pt>
                <c:pt idx="3">
                  <c:v>2.0996000701170563</c:v>
                </c:pt>
                <c:pt idx="4">
                  <c:v>2.4417216387134624</c:v>
                </c:pt>
                <c:pt idx="5">
                  <c:v>2.7947385705975383</c:v>
                </c:pt>
                <c:pt idx="6">
                  <c:v>3.1578542219340719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298-42E6-B20F-5F509F5B322E}"/>
            </c:ext>
          </c:extLst>
        </c:ser>
        <c:ser>
          <c:idx val="19"/>
          <c:order val="21"/>
          <c:tx>
            <c:strRef>
              <c:f>'HT 2017-07-05 BIG JIM'!$BU$1</c:f>
              <c:strCache>
                <c:ptCount val="1"/>
                <c:pt idx="0">
                  <c:v>zn6b-m</c:v>
                </c:pt>
              </c:strCache>
            </c:strRef>
          </c:tx>
          <c:spPr>
            <a:ln w="6350" cap="rnd" cmpd="sng" algn="ctr">
              <a:solidFill>
                <a:schemeClr val="accent2">
                  <a:tint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JIM'!$BU$1206:$BU$1212</c:f>
              <c:numCache>
                <c:formatCode>General</c:formatCode>
                <c:ptCount val="7"/>
                <c:pt idx="0">
                  <c:v>1.1064715499852129</c:v>
                </c:pt>
                <c:pt idx="1">
                  <c:v>1.4261679970769758</c:v>
                </c:pt>
                <c:pt idx="2">
                  <c:v>1.7675397592214059</c:v>
                </c:pt>
                <c:pt idx="3">
                  <c:v>2.1286360292941091</c:v>
                </c:pt>
                <c:pt idx="4">
                  <c:v>2.5079118700828187</c:v>
                </c:pt>
                <c:pt idx="5">
                  <c:v>2.9041066274583152</c:v>
                </c:pt>
                <c:pt idx="6">
                  <c:v>3.3161676377392468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298-42E6-B20F-5F509F5B322E}"/>
            </c:ext>
          </c:extLst>
        </c:ser>
        <c:ser>
          <c:idx val="6"/>
          <c:order val="22"/>
          <c:tx>
            <c:strRef>
              <c:f>'HT 2017-07-05 BIG JIM'!$BH$1</c:f>
              <c:strCache>
                <c:ptCount val="1"/>
                <c:pt idx="0">
                  <c:v>zk4a-m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JIM'!$BH$1206:$BH$1212</c:f>
              <c:numCache>
                <c:formatCode>General</c:formatCode>
                <c:ptCount val="7"/>
                <c:pt idx="0">
                  <c:v>1.5015288633585082</c:v>
                </c:pt>
                <c:pt idx="1">
                  <c:v>1.73949694665657</c:v>
                </c:pt>
                <c:pt idx="2">
                  <c:v>1.969889585358535</c:v>
                </c:pt>
                <c:pt idx="3">
                  <c:v>2.1939897229599148</c:v>
                </c:pt>
                <c:pt idx="4">
                  <c:v>2.4127297522712148</c:v>
                </c:pt>
                <c:pt idx="5">
                  <c:v>2.6268157524517726</c:v>
                </c:pt>
                <c:pt idx="6">
                  <c:v>2.836799605579432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298-42E6-B20F-5F509F5B3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507528"/>
        <c:axId val="301507920"/>
      </c:scatterChart>
      <c:valAx>
        <c:axId val="301507528"/>
        <c:scaling>
          <c:orientation val="minMax"/>
          <c:max val="1.3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THORAX</a:t>
                </a:r>
              </a:p>
            </c:rich>
          </c:tx>
          <c:layout>
            <c:manualLayout>
              <c:xMode val="edge"/>
              <c:yMode val="edge"/>
              <c:x val="0.4588569878643034"/>
              <c:y val="0.843624372305115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07920"/>
        <c:crosses val="autoZero"/>
        <c:crossBetween val="midCat"/>
        <c:majorUnit val="0.1"/>
      </c:valAx>
      <c:valAx>
        <c:axId val="301507920"/>
        <c:scaling>
          <c:orientation val="minMax"/>
          <c:max val="2.6"/>
          <c:min val="1.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WING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07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WING LENGTH VS THORAX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959413214743155"/>
          <c:y val="6.1460541594815316E-2"/>
          <c:w val="0.56989691596365177"/>
          <c:h val="0.71694041787804497"/>
        </c:manualLayout>
      </c:layout>
      <c:scatterChart>
        <c:scatterStyle val="lineMarker"/>
        <c:varyColors val="0"/>
        <c:ser>
          <c:idx val="20"/>
          <c:order val="0"/>
          <c:tx>
            <c:strRef>
              <c:f>'HT 2017-07-05 BIG JIM'!$V$1</c:f>
              <c:strCache>
                <c:ptCount val="1"/>
                <c:pt idx="0">
                  <c:v>wild-mx</c:v>
                </c:pt>
              </c:strCache>
            </c:strRef>
          </c:tx>
          <c:spPr>
            <a:ln w="19050" cap="rnd" cmpd="sng" algn="ctr">
              <a:noFill/>
              <a:prstDash val="dash"/>
              <a:round/>
            </a:ln>
          </c:spPr>
          <c:marker>
            <c:symbol val="circle"/>
            <c:size val="3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JIM'!$V$2:$V$1205</c:f>
              <c:numCache>
                <c:formatCode>General</c:formatCode>
                <c:ptCount val="1204"/>
                <c:pt idx="680">
                  <c:v>1.9636954957426571</c:v>
                </c:pt>
                <c:pt idx="681">
                  <c:v>1.94982050455933</c:v>
                </c:pt>
                <c:pt idx="682">
                  <c:v>2.0385534086699812</c:v>
                </c:pt>
                <c:pt idx="683">
                  <c:v>2.0255616505058542</c:v>
                </c:pt>
                <c:pt idx="684">
                  <c:v>2.0392400545301181</c:v>
                </c:pt>
                <c:pt idx="685">
                  <c:v>2.0620620747203513</c:v>
                </c:pt>
                <c:pt idx="686">
                  <c:v>1.9697715603592212</c:v>
                </c:pt>
                <c:pt idx="687">
                  <c:v>1.9720294115453754</c:v>
                </c:pt>
                <c:pt idx="688">
                  <c:v>1.9469976887505542</c:v>
                </c:pt>
                <c:pt idx="689">
                  <c:v>1.9921094347449892</c:v>
                </c:pt>
                <c:pt idx="690">
                  <c:v>1.9720294115453754</c:v>
                </c:pt>
                <c:pt idx="691">
                  <c:v>2.0615528128088298</c:v>
                </c:pt>
                <c:pt idx="692">
                  <c:v>1.9725364381932211</c:v>
                </c:pt>
                <c:pt idx="693">
                  <c:v>1.9588772294352701</c:v>
                </c:pt>
                <c:pt idx="694">
                  <c:v>2.0498048687619024</c:v>
                </c:pt>
                <c:pt idx="695">
                  <c:v>2.0448227307030797</c:v>
                </c:pt>
                <c:pt idx="696">
                  <c:v>1.9473315074737534</c:v>
                </c:pt>
                <c:pt idx="697">
                  <c:v>2.0357062656483622</c:v>
                </c:pt>
                <c:pt idx="698">
                  <c:v>2.0171762441591463</c:v>
                </c:pt>
                <c:pt idx="699">
                  <c:v>2.0235859260234048</c:v>
                </c:pt>
                <c:pt idx="700">
                  <c:v>1.9961963831246663</c:v>
                </c:pt>
                <c:pt idx="701">
                  <c:v>1.915097908724251</c:v>
                </c:pt>
                <c:pt idx="702">
                  <c:v>2.0706762180505187</c:v>
                </c:pt>
                <c:pt idx="703">
                  <c:v>1.9089525923919639</c:v>
                </c:pt>
                <c:pt idx="704">
                  <c:v>1.9664434901618708</c:v>
                </c:pt>
                <c:pt idx="705">
                  <c:v>2.0412986062798359</c:v>
                </c:pt>
                <c:pt idx="706">
                  <c:v>1.9991248085099642</c:v>
                </c:pt>
                <c:pt idx="707">
                  <c:v>1.9620907216538179</c:v>
                </c:pt>
                <c:pt idx="708">
                  <c:v>1.9960210419732554</c:v>
                </c:pt>
                <c:pt idx="709">
                  <c:v>1.969771560359221</c:v>
                </c:pt>
                <c:pt idx="710">
                  <c:v>1.9789138435010252</c:v>
                </c:pt>
                <c:pt idx="711">
                  <c:v>2.0155644370746373</c:v>
                </c:pt>
                <c:pt idx="712">
                  <c:v>2.049414550548522</c:v>
                </c:pt>
                <c:pt idx="713">
                  <c:v>2.0264747716169573</c:v>
                </c:pt>
                <c:pt idx="714">
                  <c:v>2.0317726250739767</c:v>
                </c:pt>
                <c:pt idx="715">
                  <c:v>2.005243127403757</c:v>
                </c:pt>
                <c:pt idx="716">
                  <c:v>1.9448650338776725</c:v>
                </c:pt>
                <c:pt idx="717">
                  <c:v>2.006389792637512</c:v>
                </c:pt>
                <c:pt idx="718">
                  <c:v>1.9190883252211188</c:v>
                </c:pt>
                <c:pt idx="719">
                  <c:v>1.9824479816630751</c:v>
                </c:pt>
                <c:pt idx="720">
                  <c:v>1.9490510511528425</c:v>
                </c:pt>
                <c:pt idx="721">
                  <c:v>2.078701517774979</c:v>
                </c:pt>
                <c:pt idx="722">
                  <c:v>2.0172506041639942</c:v>
                </c:pt>
                <c:pt idx="723">
                  <c:v>2.0185390756683406</c:v>
                </c:pt>
                <c:pt idx="724">
                  <c:v>2.0135789033459801</c:v>
                </c:pt>
                <c:pt idx="725">
                  <c:v>2.0931316251014889</c:v>
                </c:pt>
                <c:pt idx="726">
                  <c:v>2.0140506448448607</c:v>
                </c:pt>
                <c:pt idx="727">
                  <c:v>1.9729419656948861</c:v>
                </c:pt>
                <c:pt idx="728">
                  <c:v>2.0110942295178513</c:v>
                </c:pt>
                <c:pt idx="729">
                  <c:v>1.9924858845171274</c:v>
                </c:pt>
                <c:pt idx="730">
                  <c:v>1.9592090240706836</c:v>
                </c:pt>
                <c:pt idx="731">
                  <c:v>1.9455076458343721</c:v>
                </c:pt>
                <c:pt idx="732">
                  <c:v>1.9688829320200831</c:v>
                </c:pt>
                <c:pt idx="733">
                  <c:v>2.0353869410998984</c:v>
                </c:pt>
                <c:pt idx="734">
                  <c:v>2.0024235316236174</c:v>
                </c:pt>
                <c:pt idx="735">
                  <c:v>2.0573040611440985</c:v>
                </c:pt>
                <c:pt idx="736">
                  <c:v>1.9184629264074926</c:v>
                </c:pt>
                <c:pt idx="737">
                  <c:v>2.0483407919582133</c:v>
                </c:pt>
                <c:pt idx="738">
                  <c:v>1.9784084512557059</c:v>
                </c:pt>
                <c:pt idx="739">
                  <c:v>1.9921094347449895</c:v>
                </c:pt>
                <c:pt idx="740">
                  <c:v>1.9577793542685038</c:v>
                </c:pt>
                <c:pt idx="741">
                  <c:v>1.9642046736529264</c:v>
                </c:pt>
                <c:pt idx="742">
                  <c:v>1.9808079159777203</c:v>
                </c:pt>
                <c:pt idx="743">
                  <c:v>1.9444536507718562</c:v>
                </c:pt>
                <c:pt idx="744">
                  <c:v>1.9990497742677644</c:v>
                </c:pt>
                <c:pt idx="745">
                  <c:v>1.927200041511</c:v>
                </c:pt>
                <c:pt idx="746">
                  <c:v>1.9581624038878902</c:v>
                </c:pt>
                <c:pt idx="747">
                  <c:v>1.9928873525616042</c:v>
                </c:pt>
                <c:pt idx="748">
                  <c:v>1.9991248085099638</c:v>
                </c:pt>
                <c:pt idx="749">
                  <c:v>1.9642046736529262</c:v>
                </c:pt>
                <c:pt idx="750">
                  <c:v>2.0125854019146616</c:v>
                </c:pt>
                <c:pt idx="751">
                  <c:v>2.0169531476958014</c:v>
                </c:pt>
                <c:pt idx="752">
                  <c:v>1.9859506539690257</c:v>
                </c:pt>
                <c:pt idx="753">
                  <c:v>1.9747404892795408</c:v>
                </c:pt>
                <c:pt idx="754">
                  <c:v>1.9588006534611941</c:v>
                </c:pt>
                <c:pt idx="755">
                  <c:v>2.0035218990567585</c:v>
                </c:pt>
                <c:pt idx="756">
                  <c:v>1.9617339269126179</c:v>
                </c:pt>
                <c:pt idx="757">
                  <c:v>1.9777259668619414</c:v>
                </c:pt>
                <c:pt idx="758">
                  <c:v>1.9394071259021404</c:v>
                </c:pt>
                <c:pt idx="759">
                  <c:v>1.9384787850270633</c:v>
                </c:pt>
                <c:pt idx="760">
                  <c:v>1.9359752064528102</c:v>
                </c:pt>
                <c:pt idx="761">
                  <c:v>1.8983413813115912</c:v>
                </c:pt>
                <c:pt idx="762">
                  <c:v>1.8601075237738274</c:v>
                </c:pt>
                <c:pt idx="763">
                  <c:v>1.9578048932414078</c:v>
                </c:pt>
                <c:pt idx="764">
                  <c:v>1.8993156662334989</c:v>
                </c:pt>
                <c:pt idx="765">
                  <c:v>1.954328529188478</c:v>
                </c:pt>
                <c:pt idx="766">
                  <c:v>1.9453791404248171</c:v>
                </c:pt>
                <c:pt idx="767">
                  <c:v>1.9003157632351526</c:v>
                </c:pt>
                <c:pt idx="768">
                  <c:v>1.9577793542685038</c:v>
                </c:pt>
                <c:pt idx="769">
                  <c:v>1.9192967462067974</c:v>
                </c:pt>
                <c:pt idx="770">
                  <c:v>2.0024235316236174</c:v>
                </c:pt>
                <c:pt idx="771">
                  <c:v>1.9043371550227128</c:v>
                </c:pt>
                <c:pt idx="772">
                  <c:v>1.8693581786270921</c:v>
                </c:pt>
                <c:pt idx="773">
                  <c:v>1.9374467734624348</c:v>
                </c:pt>
                <c:pt idx="774">
                  <c:v>1.946535383701</c:v>
                </c:pt>
                <c:pt idx="775">
                  <c:v>1.8656098198712399</c:v>
                </c:pt>
                <c:pt idx="776">
                  <c:v>1.9544052803858265</c:v>
                </c:pt>
                <c:pt idx="777">
                  <c:v>1.9553260597659921</c:v>
                </c:pt>
                <c:pt idx="778">
                  <c:v>1.9018412131405713</c:v>
                </c:pt>
                <c:pt idx="779">
                  <c:v>1.9365174928205531</c:v>
                </c:pt>
                <c:pt idx="780">
                  <c:v>1.9876870981117727</c:v>
                </c:pt>
                <c:pt idx="781">
                  <c:v>1.8493782739072071</c:v>
                </c:pt>
                <c:pt idx="782">
                  <c:v>1.9293781381574737</c:v>
                </c:pt>
                <c:pt idx="783">
                  <c:v>1.8783237207680681</c:v>
                </c:pt>
                <c:pt idx="784">
                  <c:v>1.9312690128513945</c:v>
                </c:pt>
                <c:pt idx="785">
                  <c:v>1.9112822920751398</c:v>
                </c:pt>
                <c:pt idx="786">
                  <c:v>1.8917980864775183</c:v>
                </c:pt>
                <c:pt idx="787">
                  <c:v>1.8874321179846445</c:v>
                </c:pt>
                <c:pt idx="788">
                  <c:v>1.9544052803858265</c:v>
                </c:pt>
                <c:pt idx="789">
                  <c:v>1.800999722376436</c:v>
                </c:pt>
                <c:pt idx="790">
                  <c:v>1.8383960400305477</c:v>
                </c:pt>
                <c:pt idx="791">
                  <c:v>1.9166898549321951</c:v>
                </c:pt>
                <c:pt idx="792">
                  <c:v>1.9159592897553954</c:v>
                </c:pt>
                <c:pt idx="793">
                  <c:v>1.9119100397246727</c:v>
                </c:pt>
                <c:pt idx="794">
                  <c:v>1.8788294228055935</c:v>
                </c:pt>
                <c:pt idx="795">
                  <c:v>1.9436306233438494</c:v>
                </c:pt>
                <c:pt idx="796">
                  <c:v>1.8213182039391143</c:v>
                </c:pt>
                <c:pt idx="797">
                  <c:v>1.8828170383762728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55-4407-B61E-F41D85BC30CD}"/>
            </c:ext>
          </c:extLst>
        </c:ser>
        <c:ser>
          <c:idx val="1"/>
          <c:order val="1"/>
          <c:tx>
            <c:strRef>
              <c:f>'HT 2017-07-05 BIG JIM'!$X$1</c:f>
              <c:strCache>
                <c:ptCount val="1"/>
                <c:pt idx="0">
                  <c:v>sel-mx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C0000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JIM'!$X$2:$X$1205</c:f>
              <c:numCache>
                <c:formatCode>General</c:formatCode>
                <c:ptCount val="1204"/>
                <c:pt idx="595">
                  <c:v>1.9672569735548024</c:v>
                </c:pt>
                <c:pt idx="596">
                  <c:v>2.0416659863944449</c:v>
                </c:pt>
                <c:pt idx="597">
                  <c:v>1.9241881404893857</c:v>
                </c:pt>
                <c:pt idx="598">
                  <c:v>2.0225231766286389</c:v>
                </c:pt>
                <c:pt idx="599">
                  <c:v>1.9604081207748556</c:v>
                </c:pt>
                <c:pt idx="600">
                  <c:v>1.9918082237002634</c:v>
                </c:pt>
                <c:pt idx="601">
                  <c:v>2.0368603290358425</c:v>
                </c:pt>
                <c:pt idx="602">
                  <c:v>1.895521036549054</c:v>
                </c:pt>
                <c:pt idx="603">
                  <c:v>2.0368603290358425</c:v>
                </c:pt>
                <c:pt idx="604">
                  <c:v>2.0525106577067995</c:v>
                </c:pt>
                <c:pt idx="605">
                  <c:v>1.9887936041731427</c:v>
                </c:pt>
                <c:pt idx="606">
                  <c:v>2.0169779374103229</c:v>
                </c:pt>
                <c:pt idx="607">
                  <c:v>1.946175737183053</c:v>
                </c:pt>
                <c:pt idx="608">
                  <c:v>1.9856485086741811</c:v>
                </c:pt>
                <c:pt idx="609">
                  <c:v>1.9895728184713419</c:v>
                </c:pt>
                <c:pt idx="610">
                  <c:v>2.0193315725754397</c:v>
                </c:pt>
                <c:pt idx="611">
                  <c:v>1.9996499693696395</c:v>
                </c:pt>
                <c:pt idx="612">
                  <c:v>2.0064396327824068</c:v>
                </c:pt>
                <c:pt idx="613">
                  <c:v>2.0008498194517248</c:v>
                </c:pt>
                <c:pt idx="614">
                  <c:v>1.8989734068701436</c:v>
                </c:pt>
                <c:pt idx="615">
                  <c:v>2.0183656754909403</c:v>
                </c:pt>
                <c:pt idx="616">
                  <c:v>1.960229578391266</c:v>
                </c:pt>
                <c:pt idx="617">
                  <c:v>1.9018412131405713</c:v>
                </c:pt>
                <c:pt idx="618">
                  <c:v>1.8917980864775186</c:v>
                </c:pt>
                <c:pt idx="619">
                  <c:v>1.9119100397246727</c:v>
                </c:pt>
                <c:pt idx="620">
                  <c:v>1.9833809518093088</c:v>
                </c:pt>
                <c:pt idx="621">
                  <c:v>1.9601020381602585</c:v>
                </c:pt>
                <c:pt idx="622">
                  <c:v>2.0392400545301181</c:v>
                </c:pt>
                <c:pt idx="623">
                  <c:v>1.9190883252211191</c:v>
                </c:pt>
                <c:pt idx="624">
                  <c:v>1.9739554199626697</c:v>
                </c:pt>
                <c:pt idx="625">
                  <c:v>1.966443490161871</c:v>
                </c:pt>
                <c:pt idx="626">
                  <c:v>2.04</c:v>
                </c:pt>
                <c:pt idx="627">
                  <c:v>1.9550959055759898</c:v>
                </c:pt>
                <c:pt idx="628">
                  <c:v>1.9458931111445972</c:v>
                </c:pt>
                <c:pt idx="629">
                  <c:v>1.924811679100062</c:v>
                </c:pt>
                <c:pt idx="630">
                  <c:v>2.0056171120131583</c:v>
                </c:pt>
                <c:pt idx="631">
                  <c:v>1.9299999999999997</c:v>
                </c:pt>
                <c:pt idx="632">
                  <c:v>1.9602295783912658</c:v>
                </c:pt>
                <c:pt idx="633">
                  <c:v>1.9465096968677038</c:v>
                </c:pt>
                <c:pt idx="634">
                  <c:v>1.9553260597659921</c:v>
                </c:pt>
                <c:pt idx="635">
                  <c:v>1.9791412279066898</c:v>
                </c:pt>
                <c:pt idx="636">
                  <c:v>1.9723082923316018</c:v>
                </c:pt>
                <c:pt idx="637">
                  <c:v>1.9795959183631389</c:v>
                </c:pt>
                <c:pt idx="638">
                  <c:v>2.0374493858744072</c:v>
                </c:pt>
                <c:pt idx="639">
                  <c:v>2.005243127403757</c:v>
                </c:pt>
                <c:pt idx="640">
                  <c:v>2.0289159667172023</c:v>
                </c:pt>
                <c:pt idx="641">
                  <c:v>2.0088305055429641</c:v>
                </c:pt>
                <c:pt idx="642">
                  <c:v>2.0207176942858696</c:v>
                </c:pt>
                <c:pt idx="643">
                  <c:v>2.0400980368599937</c:v>
                </c:pt>
                <c:pt idx="644">
                  <c:v>1.9949185447030162</c:v>
                </c:pt>
                <c:pt idx="645">
                  <c:v>1.9553260597659921</c:v>
                </c:pt>
                <c:pt idx="646">
                  <c:v>1.9999999999999998</c:v>
                </c:pt>
                <c:pt idx="647">
                  <c:v>1.9420092687729378</c:v>
                </c:pt>
                <c:pt idx="648">
                  <c:v>1.9677398201998149</c:v>
                </c:pt>
                <c:pt idx="649">
                  <c:v>1.9751708786836644</c:v>
                </c:pt>
                <c:pt idx="650">
                  <c:v>2.0026232796010337</c:v>
                </c:pt>
                <c:pt idx="651">
                  <c:v>1.9694669329541941</c:v>
                </c:pt>
                <c:pt idx="652">
                  <c:v>1.9665706191235541</c:v>
                </c:pt>
                <c:pt idx="653">
                  <c:v>2.0171762441591463</c:v>
                </c:pt>
                <c:pt idx="654">
                  <c:v>2.0026232796010337</c:v>
                </c:pt>
                <c:pt idx="655">
                  <c:v>1.9764867821465439</c:v>
                </c:pt>
                <c:pt idx="656">
                  <c:v>1.9946177578674065</c:v>
                </c:pt>
                <c:pt idx="657">
                  <c:v>2.0092784774639876</c:v>
                </c:pt>
                <c:pt idx="658">
                  <c:v>2.0129580224137809</c:v>
                </c:pt>
                <c:pt idx="659">
                  <c:v>1.9610456394485061</c:v>
                </c:pt>
                <c:pt idx="660">
                  <c:v>1.9729419656948859</c:v>
                </c:pt>
                <c:pt idx="661">
                  <c:v>1.8930662957223656</c:v>
                </c:pt>
                <c:pt idx="662">
                  <c:v>2.0255616505058542</c:v>
                </c:pt>
                <c:pt idx="663">
                  <c:v>2.0205444810743467</c:v>
                </c:pt>
                <c:pt idx="664">
                  <c:v>1.9458931111445974</c:v>
                </c:pt>
                <c:pt idx="665">
                  <c:v>1.9523319389898841</c:v>
                </c:pt>
                <c:pt idx="666">
                  <c:v>2.0441624201613728</c:v>
                </c:pt>
                <c:pt idx="667">
                  <c:v>1.9553260597659918</c:v>
                </c:pt>
                <c:pt idx="668">
                  <c:v>2.0116162655934158</c:v>
                </c:pt>
                <c:pt idx="669">
                  <c:v>1.9513328778042971</c:v>
                </c:pt>
                <c:pt idx="670">
                  <c:v>1.9425756098540929</c:v>
                </c:pt>
                <c:pt idx="671">
                  <c:v>1.8921152184790442</c:v>
                </c:pt>
                <c:pt idx="672">
                  <c:v>1.9142622599842478</c:v>
                </c:pt>
                <c:pt idx="673">
                  <c:v>1.9485892332659542</c:v>
                </c:pt>
                <c:pt idx="674">
                  <c:v>1.9504102132628407</c:v>
                </c:pt>
                <c:pt idx="675">
                  <c:v>1.9949185447030164</c:v>
                </c:pt>
                <c:pt idx="676">
                  <c:v>1.9557607215607946</c:v>
                </c:pt>
                <c:pt idx="677">
                  <c:v>1.9398195792392652</c:v>
                </c:pt>
                <c:pt idx="678">
                  <c:v>1.9918082237002634</c:v>
                </c:pt>
                <c:pt idx="679">
                  <c:v>1.9695684806576286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55-4407-B61E-F41D85BC30CD}"/>
            </c:ext>
          </c:extLst>
        </c:ser>
        <c:ser>
          <c:idx val="2"/>
          <c:order val="2"/>
          <c:tx>
            <c:strRef>
              <c:f>'HT 2017-07-05 BIG JIM'!$BD$1</c:f>
              <c:strCache>
                <c:ptCount val="1"/>
                <c:pt idx="0">
                  <c:v>xk4a-m</c:v>
                </c:pt>
              </c:strCache>
            </c:strRef>
          </c:tx>
          <c:spPr>
            <a:ln w="6350" cap="rnd" cmpd="sng" algn="ctr">
              <a:solidFill>
                <a:schemeClr val="accent3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JIM'!$BD$1206:$BD$1212</c:f>
              <c:numCache>
                <c:formatCode>General</c:formatCode>
                <c:ptCount val="7"/>
                <c:pt idx="0">
                  <c:v>1.419746801658138</c:v>
                </c:pt>
                <c:pt idx="1">
                  <c:v>1.6271993914524352</c:v>
                </c:pt>
                <c:pt idx="2">
                  <c:v>1.8260762926908953</c:v>
                </c:pt>
                <c:pt idx="3">
                  <c:v>2.0178950761479539</c:v>
                </c:pt>
                <c:pt idx="4">
                  <c:v>2.2037491338566331</c:v>
                </c:pt>
                <c:pt idx="5">
                  <c:v>2.384460255268853</c:v>
                </c:pt>
                <c:pt idx="6">
                  <c:v>2.5606665001073483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55-4407-B61E-F41D85BC30CD}"/>
            </c:ext>
          </c:extLst>
        </c:ser>
        <c:ser>
          <c:idx val="3"/>
          <c:order val="3"/>
          <c:tx>
            <c:strRef>
              <c:f>'HT 2017-07-05 BIG JIM'!$BE$1</c:f>
              <c:strCache>
                <c:ptCount val="1"/>
                <c:pt idx="0">
                  <c:v>xk4b-m</c:v>
                </c:pt>
              </c:strCache>
            </c:strRef>
          </c:tx>
          <c:spPr>
            <a:ln w="6350" cap="rnd" cmpd="sng" algn="ctr">
              <a:solidFill>
                <a:schemeClr val="accent4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JIM'!$BE$1206:$BE$1212</c:f>
              <c:numCache>
                <c:formatCode>General</c:formatCode>
                <c:ptCount val="7"/>
                <c:pt idx="0">
                  <c:v>1.237264429319137</c:v>
                </c:pt>
                <c:pt idx="1">
                  <c:v>1.4939483849987216</c:v>
                </c:pt>
                <c:pt idx="2">
                  <c:v>1.7520975562811414</c:v>
                </c:pt>
                <c:pt idx="3">
                  <c:v>2.0115077311755596</c:v>
                </c:pt>
                <c:pt idx="4">
                  <c:v>2.2720254560633659</c:v>
                </c:pt>
                <c:pt idx="5">
                  <c:v>2.5335311023412923</c:v>
                </c:pt>
                <c:pt idx="6">
                  <c:v>2.7959287347296926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E55-4407-B61E-F41D85BC30CD}"/>
            </c:ext>
          </c:extLst>
        </c:ser>
        <c:ser>
          <c:idx val="8"/>
          <c:order val="4"/>
          <c:tx>
            <c:strRef>
              <c:f>'HT 2017-07-05 BIG JIM'!$BJ$1</c:f>
              <c:strCache>
                <c:ptCount val="1"/>
                <c:pt idx="0">
                  <c:v>xl4a-m</c:v>
                </c:pt>
              </c:strCache>
            </c:strRef>
          </c:tx>
          <c:spPr>
            <a:ln w="6350" cap="rnd" cmpd="sng" algn="ctr">
              <a:solidFill>
                <a:schemeClr val="accent3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JIM'!$BJ$1206:$BJ$1212</c:f>
              <c:numCache>
                <c:formatCode>General</c:formatCode>
                <c:ptCount val="7"/>
                <c:pt idx="0">
                  <c:v>1.3674390906367284</c:v>
                </c:pt>
                <c:pt idx="1">
                  <c:v>1.5924256922697777</c:v>
                </c:pt>
                <c:pt idx="2">
                  <c:v>1.8112950737730524</c:v>
                </c:pt>
                <c:pt idx="3">
                  <c:v>2.0250604960276708</c:v>
                </c:pt>
                <c:pt idx="4">
                  <c:v>2.234461459417842</c:v>
                </c:pt>
                <c:pt idx="5">
                  <c:v>2.4400600190717769</c:v>
                </c:pt>
                <c:pt idx="6">
                  <c:v>2.642296907161886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E55-4407-B61E-F41D85BC30CD}"/>
            </c:ext>
          </c:extLst>
        </c:ser>
        <c:ser>
          <c:idx val="9"/>
          <c:order val="5"/>
          <c:tx>
            <c:strRef>
              <c:f>'HT 2017-07-05 BIG JIM'!$BK$1</c:f>
              <c:strCache>
                <c:ptCount val="1"/>
                <c:pt idx="0">
                  <c:v>xl4b-m</c:v>
                </c:pt>
              </c:strCache>
            </c:strRef>
          </c:tx>
          <c:spPr>
            <a:ln w="6350" cap="rnd" cmpd="sng" algn="ctr">
              <a:solidFill>
                <a:schemeClr val="accent4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JIM'!$BK$1206:$BK$1212</c:f>
              <c:numCache>
                <c:formatCode>General</c:formatCode>
                <c:ptCount val="7"/>
                <c:pt idx="0">
                  <c:v>1.3765427178783718</c:v>
                </c:pt>
                <c:pt idx="1">
                  <c:v>1.5867760045456769</c:v>
                </c:pt>
                <c:pt idx="2">
                  <c:v>1.7893864960050954</c:v>
                </c:pt>
                <c:pt idx="3">
                  <c:v>1.9856921434602379</c:v>
                </c:pt>
                <c:pt idx="4">
                  <c:v>2.1766469348644706</c:v>
                </c:pt>
                <c:pt idx="5">
                  <c:v>2.3629707817463155</c:v>
                </c:pt>
                <c:pt idx="6">
                  <c:v>2.5452246405200949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E55-4407-B61E-F41D85BC30CD}"/>
            </c:ext>
          </c:extLst>
        </c:ser>
        <c:ser>
          <c:idx val="14"/>
          <c:order val="6"/>
          <c:tx>
            <c:strRef>
              <c:f>'HT 2017-07-05 BIG JIM'!$BP$1</c:f>
              <c:strCache>
                <c:ptCount val="1"/>
                <c:pt idx="0">
                  <c:v>xn6a-m</c:v>
                </c:pt>
              </c:strCache>
            </c:strRef>
          </c:tx>
          <c:spPr>
            <a:ln w="6350" cap="rnd" cmpd="sng" algn="ctr">
              <a:solidFill>
                <a:schemeClr val="accent3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JIM'!$BP$1206:$BP$1212</c:f>
              <c:numCache>
                <c:formatCode>General</c:formatCode>
                <c:ptCount val="7"/>
                <c:pt idx="0">
                  <c:v>1.4126389616974531</c:v>
                </c:pt>
                <c:pt idx="1">
                  <c:v>1.6132000050330906</c:v>
                </c:pt>
                <c:pt idx="2">
                  <c:v>1.8048310034730521</c:v>
                </c:pt>
                <c:pt idx="3">
                  <c:v>1.9891350277017816</c:v>
                </c:pt>
                <c:pt idx="4">
                  <c:v>2.1672636959942806</c:v>
                </c:pt>
                <c:pt idx="5">
                  <c:v>2.3400803630411011</c:v>
                </c:pt>
                <c:pt idx="6">
                  <c:v>2.5082538556174798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E55-4407-B61E-F41D85BC30CD}"/>
            </c:ext>
          </c:extLst>
        </c:ser>
        <c:ser>
          <c:idx val="15"/>
          <c:order val="7"/>
          <c:tx>
            <c:strRef>
              <c:f>'HT 2017-07-05 BIG JIM'!$BQ$1</c:f>
              <c:strCache>
                <c:ptCount val="1"/>
                <c:pt idx="0">
                  <c:v>xn6b-m</c:v>
                </c:pt>
              </c:strCache>
            </c:strRef>
          </c:tx>
          <c:spPr>
            <a:ln w="6350" cap="rnd" cmpd="sng" algn="ctr">
              <a:solidFill>
                <a:schemeClr val="accent4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JIM'!$BQ$1206:$BQ$1212</c:f>
              <c:numCache>
                <c:formatCode>General</c:formatCode>
                <c:ptCount val="7"/>
                <c:pt idx="0">
                  <c:v>1.1579416410909524</c:v>
                </c:pt>
                <c:pt idx="1">
                  <c:v>1.4265072955801088</c:v>
                </c:pt>
                <c:pt idx="2">
                  <c:v>1.7016274748700262</c:v>
                </c:pt>
                <c:pt idx="3">
                  <c:v>1.9824862834166239</c:v>
                </c:pt>
                <c:pt idx="4">
                  <c:v>2.2684606375045564</c:v>
                </c:pt>
                <c:pt idx="5">
                  <c:v>2.5590579269955613</c:v>
                </c:pt>
                <c:pt idx="6">
                  <c:v>2.8538781664716537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E55-4407-B61E-F41D85BC3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507528"/>
        <c:axId val="301507920"/>
      </c:scatterChart>
      <c:valAx>
        <c:axId val="301507528"/>
        <c:scaling>
          <c:orientation val="minMax"/>
          <c:max val="1.3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THORAX</a:t>
                </a:r>
              </a:p>
            </c:rich>
          </c:tx>
          <c:layout>
            <c:manualLayout>
              <c:xMode val="edge"/>
              <c:yMode val="edge"/>
              <c:x val="0.4588569878643034"/>
              <c:y val="0.843624372305115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07920"/>
        <c:crosses val="autoZero"/>
        <c:crossBetween val="midCat"/>
        <c:majorUnit val="0.1"/>
      </c:valAx>
      <c:valAx>
        <c:axId val="301507920"/>
        <c:scaling>
          <c:orientation val="minMax"/>
          <c:max val="2.6"/>
          <c:min val="1.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WING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07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WING LENGTH VS THORAX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959413214743155"/>
          <c:y val="6.1460541594815316E-2"/>
          <c:w val="0.56989691596365177"/>
          <c:h val="0.71694041787804497"/>
        </c:manualLayout>
      </c:layout>
      <c:scatterChart>
        <c:scatterStyle val="lineMarker"/>
        <c:varyColors val="0"/>
        <c:ser>
          <c:idx val="20"/>
          <c:order val="0"/>
          <c:tx>
            <c:strRef>
              <c:f>'HT 2017-07-05 BIG JIM'!$Z$1</c:f>
              <c:strCache>
                <c:ptCount val="1"/>
                <c:pt idx="0">
                  <c:v>wild-my</c:v>
                </c:pt>
              </c:strCache>
            </c:strRef>
          </c:tx>
          <c:spPr>
            <a:ln w="19050" cap="rnd" cmpd="sng" algn="ctr">
              <a:noFill/>
              <a:prstDash val="dash"/>
              <a:round/>
            </a:ln>
          </c:spPr>
          <c:marker>
            <c:symbol val="circle"/>
            <c:size val="3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JIM'!$Z$2:$Z$1205</c:f>
              <c:numCache>
                <c:formatCode>General</c:formatCode>
                <c:ptCount val="1204"/>
                <c:pt idx="879">
                  <c:v>2.2135265979879257</c:v>
                </c:pt>
                <c:pt idx="880">
                  <c:v>2.0795432190748042</c:v>
                </c:pt>
                <c:pt idx="881">
                  <c:v>2.1023082552280483</c:v>
                </c:pt>
                <c:pt idx="882">
                  <c:v>2.15188289644209</c:v>
                </c:pt>
                <c:pt idx="883">
                  <c:v>2.1645322820415496</c:v>
                </c:pt>
                <c:pt idx="884">
                  <c:v>2.1078899402008635</c:v>
                </c:pt>
                <c:pt idx="885">
                  <c:v>2.1137644144984558</c:v>
                </c:pt>
                <c:pt idx="886">
                  <c:v>2.106181378704123</c:v>
                </c:pt>
                <c:pt idx="887">
                  <c:v>2.1849027438309467</c:v>
                </c:pt>
                <c:pt idx="888">
                  <c:v>2.0565261972559452</c:v>
                </c:pt>
                <c:pt idx="889">
                  <c:v>2.0863365021012314</c:v>
                </c:pt>
                <c:pt idx="890">
                  <c:v>2.182773465112676</c:v>
                </c:pt>
                <c:pt idx="891">
                  <c:v>2.1198348992315417</c:v>
                </c:pt>
                <c:pt idx="892">
                  <c:v>2.167879147923149</c:v>
                </c:pt>
                <c:pt idx="893">
                  <c:v>2.1751321798916035</c:v>
                </c:pt>
                <c:pt idx="894">
                  <c:v>2.0930360723121808</c:v>
                </c:pt>
                <c:pt idx="895">
                  <c:v>2.1720497231877545</c:v>
                </c:pt>
                <c:pt idx="896">
                  <c:v>2.1330025785263365</c:v>
                </c:pt>
                <c:pt idx="897">
                  <c:v>2.0977368757782755</c:v>
                </c:pt>
                <c:pt idx="898">
                  <c:v>2.1079136604709405</c:v>
                </c:pt>
                <c:pt idx="899">
                  <c:v>2.1969296757065302</c:v>
                </c:pt>
                <c:pt idx="900">
                  <c:v>2.0443580899636933</c:v>
                </c:pt>
                <c:pt idx="901">
                  <c:v>2.097474672075923</c:v>
                </c:pt>
                <c:pt idx="902">
                  <c:v>2.008706051168264</c:v>
                </c:pt>
                <c:pt idx="903">
                  <c:v>2.1341274563624357</c:v>
                </c:pt>
                <c:pt idx="904">
                  <c:v>2.1513948963405114</c:v>
                </c:pt>
                <c:pt idx="905">
                  <c:v>2.1783020910791966</c:v>
                </c:pt>
                <c:pt idx="906">
                  <c:v>2.1799541279577421</c:v>
                </c:pt>
                <c:pt idx="907">
                  <c:v>2.1428252378577213</c:v>
                </c:pt>
                <c:pt idx="908">
                  <c:v>2.11322029140362</c:v>
                </c:pt>
                <c:pt idx="909">
                  <c:v>2.0670752284326763</c:v>
                </c:pt>
                <c:pt idx="910">
                  <c:v>2.1289668856043766</c:v>
                </c:pt>
                <c:pt idx="911">
                  <c:v>2.0554804791094465</c:v>
                </c:pt>
                <c:pt idx="912">
                  <c:v>1.9954197553397128</c:v>
                </c:pt>
                <c:pt idx="913">
                  <c:v>2.1385976713725285</c:v>
                </c:pt>
                <c:pt idx="914">
                  <c:v>2.1587033144922905</c:v>
                </c:pt>
                <c:pt idx="915">
                  <c:v>2.0750903594783532</c:v>
                </c:pt>
                <c:pt idx="916">
                  <c:v>2.1736835096213984</c:v>
                </c:pt>
                <c:pt idx="917">
                  <c:v>2.1437350582569668</c:v>
                </c:pt>
                <c:pt idx="918">
                  <c:v>2.0930838492521033</c:v>
                </c:pt>
                <c:pt idx="919">
                  <c:v>2.0439422692434341</c:v>
                </c:pt>
                <c:pt idx="920">
                  <c:v>2.0944211610848473</c:v>
                </c:pt>
                <c:pt idx="921">
                  <c:v>2.2132555207205513</c:v>
                </c:pt>
                <c:pt idx="922">
                  <c:v>2.1484878403193255</c:v>
                </c:pt>
                <c:pt idx="923">
                  <c:v>2.125323504786977</c:v>
                </c:pt>
                <c:pt idx="924">
                  <c:v>2.1455302374937526</c:v>
                </c:pt>
                <c:pt idx="925">
                  <c:v>2.105445321066306</c:v>
                </c:pt>
                <c:pt idx="926">
                  <c:v>2.1440615662802225</c:v>
                </c:pt>
                <c:pt idx="927">
                  <c:v>2.1881956036881167</c:v>
                </c:pt>
                <c:pt idx="928">
                  <c:v>2.1294130646729865</c:v>
                </c:pt>
                <c:pt idx="929">
                  <c:v>2.0796634343085421</c:v>
                </c:pt>
                <c:pt idx="930">
                  <c:v>2.1734764779035451</c:v>
                </c:pt>
                <c:pt idx="931">
                  <c:v>2.1262408142070832</c:v>
                </c:pt>
                <c:pt idx="932">
                  <c:v>2.112557691519926</c:v>
                </c:pt>
                <c:pt idx="933">
                  <c:v>2.0706037766796426</c:v>
                </c:pt>
                <c:pt idx="934">
                  <c:v>2.0925104539762756</c:v>
                </c:pt>
                <c:pt idx="935">
                  <c:v>2.0803124765284662</c:v>
                </c:pt>
                <c:pt idx="936">
                  <c:v>2.0752349264601344</c:v>
                </c:pt>
                <c:pt idx="937">
                  <c:v>2.1446211786700236</c:v>
                </c:pt>
                <c:pt idx="938">
                  <c:v>2.0940391591371923</c:v>
                </c:pt>
                <c:pt idx="939">
                  <c:v>2.1476731594914531</c:v>
                </c:pt>
                <c:pt idx="940">
                  <c:v>2.1378493866500512</c:v>
                </c:pt>
                <c:pt idx="941">
                  <c:v>2.1576144233852355</c:v>
                </c:pt>
                <c:pt idx="942">
                  <c:v>2.1213203435596424</c:v>
                </c:pt>
                <c:pt idx="943">
                  <c:v>2.128497122384712</c:v>
                </c:pt>
                <c:pt idx="944">
                  <c:v>2.1111608181282637</c:v>
                </c:pt>
                <c:pt idx="945">
                  <c:v>2.173131381210073</c:v>
                </c:pt>
                <c:pt idx="946">
                  <c:v>2.0715453169071631</c:v>
                </c:pt>
                <c:pt idx="947">
                  <c:v>2.15188289644209</c:v>
                </c:pt>
                <c:pt idx="948">
                  <c:v>2.139088590965788</c:v>
                </c:pt>
                <c:pt idx="949">
                  <c:v>2.1117765033260505</c:v>
                </c:pt>
                <c:pt idx="950">
                  <c:v>2.1458098704218882</c:v>
                </c:pt>
                <c:pt idx="951">
                  <c:v>2.0854256160314133</c:v>
                </c:pt>
                <c:pt idx="952">
                  <c:v>2.1335416564951339</c:v>
                </c:pt>
                <c:pt idx="953">
                  <c:v>2.1337759957408839</c:v>
                </c:pt>
                <c:pt idx="954">
                  <c:v>2.1660101569475612</c:v>
                </c:pt>
                <c:pt idx="955">
                  <c:v>2.1800917411888889</c:v>
                </c:pt>
                <c:pt idx="956">
                  <c:v>2.097474672075923</c:v>
                </c:pt>
                <c:pt idx="957">
                  <c:v>2.110923968313402</c:v>
                </c:pt>
                <c:pt idx="958">
                  <c:v>2.0086064821163951</c:v>
                </c:pt>
                <c:pt idx="959">
                  <c:v>2.0808652046684815</c:v>
                </c:pt>
                <c:pt idx="960">
                  <c:v>2.1242645786248002</c:v>
                </c:pt>
                <c:pt idx="961">
                  <c:v>2.0155644370746373</c:v>
                </c:pt>
                <c:pt idx="962">
                  <c:v>2.1850400453996262</c:v>
                </c:pt>
                <c:pt idx="963">
                  <c:v>2.1128653530218151</c:v>
                </c:pt>
                <c:pt idx="964">
                  <c:v>2.09995238041247</c:v>
                </c:pt>
                <c:pt idx="965">
                  <c:v>2.1148285982556603</c:v>
                </c:pt>
                <c:pt idx="966">
                  <c:v>2.1272752525237535</c:v>
                </c:pt>
                <c:pt idx="967">
                  <c:v>2.011591409804685</c:v>
                </c:pt>
                <c:pt idx="968">
                  <c:v>2.0961870145576231</c:v>
                </c:pt>
                <c:pt idx="969">
                  <c:v>2.0803124765284662</c:v>
                </c:pt>
                <c:pt idx="970">
                  <c:v>2.1600462958001616</c:v>
                </c:pt>
                <c:pt idx="971">
                  <c:v>2.063904067538024</c:v>
                </c:pt>
                <c:pt idx="972">
                  <c:v>2.063904067538024</c:v>
                </c:pt>
                <c:pt idx="973">
                  <c:v>2.0006249023742555</c:v>
                </c:pt>
                <c:pt idx="974">
                  <c:v>2.0944211610848473</c:v>
                </c:pt>
                <c:pt idx="975">
                  <c:v>1.9658077220318368</c:v>
                </c:pt>
                <c:pt idx="976">
                  <c:v>2.0622802913280243</c:v>
                </c:pt>
                <c:pt idx="977">
                  <c:v>2.0701932276963904</c:v>
                </c:pt>
                <c:pt idx="978">
                  <c:v>2.066615590766701</c:v>
                </c:pt>
                <c:pt idx="979">
                  <c:v>2.04</c:v>
                </c:pt>
                <c:pt idx="980">
                  <c:v>2.1019038988498027</c:v>
                </c:pt>
                <c:pt idx="981">
                  <c:v>2.0562587385832551</c:v>
                </c:pt>
                <c:pt idx="982">
                  <c:v>2.0226715007632849</c:v>
                </c:pt>
                <c:pt idx="983">
                  <c:v>2.0738611332488008</c:v>
                </c:pt>
                <c:pt idx="984">
                  <c:v>2.0768485741623053</c:v>
                </c:pt>
                <c:pt idx="985">
                  <c:v>2.0768485741623048</c:v>
                </c:pt>
                <c:pt idx="986">
                  <c:v>2.0957099035887579</c:v>
                </c:pt>
                <c:pt idx="987">
                  <c:v>2.048243149628481</c:v>
                </c:pt>
                <c:pt idx="988">
                  <c:v>2.0107958623390889</c:v>
                </c:pt>
                <c:pt idx="989">
                  <c:v>2.0894257584322062</c:v>
                </c:pt>
                <c:pt idx="990">
                  <c:v>2.0484140206510988</c:v>
                </c:pt>
                <c:pt idx="991">
                  <c:v>2.0099751242241783</c:v>
                </c:pt>
                <c:pt idx="992">
                  <c:v>2.0172506041639942</c:v>
                </c:pt>
                <c:pt idx="993">
                  <c:v>2.1261467494037185</c:v>
                </c:pt>
                <c:pt idx="994">
                  <c:v>2.056428943581567</c:v>
                </c:pt>
                <c:pt idx="995">
                  <c:v>2.0488289338058463</c:v>
                </c:pt>
                <c:pt idx="996">
                  <c:v>2.0580087463370997</c:v>
                </c:pt>
                <c:pt idx="997">
                  <c:v>2.1086725682286476</c:v>
                </c:pt>
                <c:pt idx="998">
                  <c:v>2.0666155907667005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4E-4F9A-B12D-3A96392F8CFC}"/>
            </c:ext>
          </c:extLst>
        </c:ser>
        <c:ser>
          <c:idx val="0"/>
          <c:order val="1"/>
          <c:tx>
            <c:strRef>
              <c:f>'HT 2017-07-05 BIG JIM'!$AI$1</c:f>
              <c:strCache>
                <c:ptCount val="1"/>
                <c:pt idx="0">
                  <c:v>fitwild-m</c:v>
                </c:pt>
              </c:strCache>
            </c:strRef>
          </c:tx>
          <c:spPr>
            <a:ln w="31750" cap="rnd" cmpd="sng" algn="ctr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JIM'!$G$1206:$G$1214</c:f>
              <c:numCache>
                <c:formatCode>General</c:formatCode>
                <c:ptCount val="9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</c:numCache>
            </c:numRef>
          </c:xVal>
          <c:yVal>
            <c:numRef>
              <c:f>'HT 2017-07-05 BIG JIM'!$AI$1206:$AI$1214</c:f>
              <c:numCache>
                <c:formatCode>General</c:formatCode>
                <c:ptCount val="9"/>
                <c:pt idx="0">
                  <c:v>0.91200866163948779</c:v>
                </c:pt>
                <c:pt idx="1">
                  <c:v>1.2525270139238316</c:v>
                </c:pt>
                <c:pt idx="2">
                  <c:v>1.6378921909425954</c:v>
                </c:pt>
                <c:pt idx="3">
                  <c:v>2.0663346239003633</c:v>
                </c:pt>
                <c:pt idx="4">
                  <c:v>2.5363798347821023</c:v>
                </c:pt>
                <c:pt idx="5">
                  <c:v>3.0467702406772248</c:v>
                </c:pt>
                <c:pt idx="6">
                  <c:v>3.5964137786907595</c:v>
                </c:pt>
                <c:pt idx="7">
                  <c:v>4.1843484521377796</c:v>
                </c:pt>
                <c:pt idx="8">
                  <c:v>4.8097169000118578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4E-4F9A-B12D-3A96392F8CFC}"/>
            </c:ext>
          </c:extLst>
        </c:ser>
        <c:ser>
          <c:idx val="21"/>
          <c:order val="2"/>
          <c:tx>
            <c:strRef>
              <c:f>'HT 2017-07-05 BIG JIM'!$W$1</c:f>
              <c:strCache>
                <c:ptCount val="1"/>
                <c:pt idx="0">
                  <c:v>wild-fx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</c:spPr>
          </c:marker>
          <c:xVal>
            <c:numRef>
              <c:f>'HT 2017-07-05 BIG JIM'!$G$1008:$G$1205</c:f>
              <c:numCache>
                <c:formatCode>General</c:formatCode>
                <c:ptCount val="198"/>
                <c:pt idx="0">
                  <c:v>2.3576471322061749</c:v>
                </c:pt>
                <c:pt idx="1">
                  <c:v>2.2461522655421202</c:v>
                </c:pt>
                <c:pt idx="2">
                  <c:v>2.2475764725588316</c:v>
                </c:pt>
                <c:pt idx="3">
                  <c:v>2.2770595073471398</c:v>
                </c:pt>
                <c:pt idx="4">
                  <c:v>2.3400213674238106</c:v>
                </c:pt>
                <c:pt idx="5">
                  <c:v>2.3194827009486407</c:v>
                </c:pt>
                <c:pt idx="6">
                  <c:v>2.2405579662218069</c:v>
                </c:pt>
                <c:pt idx="7">
                  <c:v>2.2494888308235717</c:v>
                </c:pt>
                <c:pt idx="8">
                  <c:v>2.3034105148670307</c:v>
                </c:pt>
                <c:pt idx="9">
                  <c:v>2.2514439810930225</c:v>
                </c:pt>
                <c:pt idx="10">
                  <c:v>2.2624102192131295</c:v>
                </c:pt>
                <c:pt idx="11">
                  <c:v>2.2953213282675695</c:v>
                </c:pt>
                <c:pt idx="12">
                  <c:v>2.3119256043393785</c:v>
                </c:pt>
                <c:pt idx="13">
                  <c:v>2.1840558600914948</c:v>
                </c:pt>
                <c:pt idx="14">
                  <c:v>2.1849027438309467</c:v>
                </c:pt>
                <c:pt idx="15">
                  <c:v>2.2411827234743713</c:v>
                </c:pt>
                <c:pt idx="16">
                  <c:v>2.2276669409945464</c:v>
                </c:pt>
                <c:pt idx="17">
                  <c:v>2.1918029108475974</c:v>
                </c:pt>
                <c:pt idx="18">
                  <c:v>2.1741205118392126</c:v>
                </c:pt>
                <c:pt idx="19">
                  <c:v>2.1958369702689677</c:v>
                </c:pt>
                <c:pt idx="20">
                  <c:v>2.2323530186778258</c:v>
                </c:pt>
                <c:pt idx="21">
                  <c:v>2.2633824246026122</c:v>
                </c:pt>
                <c:pt idx="22">
                  <c:v>2.18929212303886</c:v>
                </c:pt>
                <c:pt idx="23">
                  <c:v>2.1742354978244651</c:v>
                </c:pt>
                <c:pt idx="24">
                  <c:v>2.1708293346092411</c:v>
                </c:pt>
                <c:pt idx="25">
                  <c:v>2.1964744478368057</c:v>
                </c:pt>
                <c:pt idx="26">
                  <c:v>2.22784649381415</c:v>
                </c:pt>
                <c:pt idx="27">
                  <c:v>2.2472205054244228</c:v>
                </c:pt>
                <c:pt idx="28">
                  <c:v>2.2900873345791855</c:v>
                </c:pt>
                <c:pt idx="29">
                  <c:v>2.1741205118392126</c:v>
                </c:pt>
                <c:pt idx="30">
                  <c:v>2.2587828580897278</c:v>
                </c:pt>
                <c:pt idx="31">
                  <c:v>2.2226560687609771</c:v>
                </c:pt>
                <c:pt idx="32">
                  <c:v>2.211628359376864</c:v>
                </c:pt>
                <c:pt idx="33">
                  <c:v>2.2643321311150446</c:v>
                </c:pt>
                <c:pt idx="34">
                  <c:v>2.2717834403833477</c:v>
                </c:pt>
                <c:pt idx="35">
                  <c:v>2.2458851261807671</c:v>
                </c:pt>
                <c:pt idx="36">
                  <c:v>2.2714973035423132</c:v>
                </c:pt>
                <c:pt idx="37">
                  <c:v>2.2775864418282792</c:v>
                </c:pt>
                <c:pt idx="38">
                  <c:v>2.2228135324403619</c:v>
                </c:pt>
                <c:pt idx="39">
                  <c:v>2.3078344827998389</c:v>
                </c:pt>
                <c:pt idx="40">
                  <c:v>2.2141589825484527</c:v>
                </c:pt>
                <c:pt idx="41">
                  <c:v>2.271079038695043</c:v>
                </c:pt>
                <c:pt idx="42">
                  <c:v>2.2370739817896053</c:v>
                </c:pt>
                <c:pt idx="43">
                  <c:v>2.315728826957077</c:v>
                </c:pt>
                <c:pt idx="44">
                  <c:v>2.2194819215303379</c:v>
                </c:pt>
                <c:pt idx="45">
                  <c:v>2.205311769342376</c:v>
                </c:pt>
                <c:pt idx="46">
                  <c:v>2.2579636843846713</c:v>
                </c:pt>
                <c:pt idx="47">
                  <c:v>2.2724656213021133</c:v>
                </c:pt>
                <c:pt idx="48">
                  <c:v>2.2189411889457547</c:v>
                </c:pt>
                <c:pt idx="49">
                  <c:v>2.2329352879114071</c:v>
                </c:pt>
                <c:pt idx="50">
                  <c:v>2.2569448376068033</c:v>
                </c:pt>
                <c:pt idx="51">
                  <c:v>2.3216588896735026</c:v>
                </c:pt>
                <c:pt idx="52">
                  <c:v>2.2135040094836058</c:v>
                </c:pt>
                <c:pt idx="53">
                  <c:v>2.2165288177689004</c:v>
                </c:pt>
                <c:pt idx="54">
                  <c:v>2.173683509621398</c:v>
                </c:pt>
                <c:pt idx="55">
                  <c:v>2.2346588106464931</c:v>
                </c:pt>
                <c:pt idx="56">
                  <c:v>2.2983907413666635</c:v>
                </c:pt>
                <c:pt idx="57">
                  <c:v>2.2005681084665389</c:v>
                </c:pt>
                <c:pt idx="58">
                  <c:v>2.2994347131414714</c:v>
                </c:pt>
                <c:pt idx="59">
                  <c:v>2.28177562437677</c:v>
                </c:pt>
                <c:pt idx="60">
                  <c:v>2.2368057582186256</c:v>
                </c:pt>
                <c:pt idx="61">
                  <c:v>2.2260727750906981</c:v>
                </c:pt>
                <c:pt idx="62">
                  <c:v>2.3307724041613334</c:v>
                </c:pt>
                <c:pt idx="63">
                  <c:v>2.2541739063346466</c:v>
                </c:pt>
                <c:pt idx="64">
                  <c:v>2.2662965384079814</c:v>
                </c:pt>
                <c:pt idx="65">
                  <c:v>2.2135265979879257</c:v>
                </c:pt>
                <c:pt idx="66">
                  <c:v>2.2214634815814551</c:v>
                </c:pt>
                <c:pt idx="67">
                  <c:v>2.2629184695874485</c:v>
                </c:pt>
                <c:pt idx="68">
                  <c:v>2.2214634815814551</c:v>
                </c:pt>
                <c:pt idx="69">
                  <c:v>2.2748186740925087</c:v>
                </c:pt>
                <c:pt idx="70">
                  <c:v>2.2280035906613795</c:v>
                </c:pt>
                <c:pt idx="71">
                  <c:v>2.2257582977493309</c:v>
                </c:pt>
                <c:pt idx="72">
                  <c:v>2.2022942582679548</c:v>
                </c:pt>
                <c:pt idx="73">
                  <c:v>2.2418073066166948</c:v>
                </c:pt>
                <c:pt idx="74">
                  <c:v>2.2510886255321005</c:v>
                </c:pt>
                <c:pt idx="75">
                  <c:v>2.3108656386730928</c:v>
                </c:pt>
                <c:pt idx="76">
                  <c:v>2.2610838109190028</c:v>
                </c:pt>
                <c:pt idx="77">
                  <c:v>2.2227910383119687</c:v>
                </c:pt>
                <c:pt idx="78">
                  <c:v>2.2624102192131295</c:v>
                </c:pt>
                <c:pt idx="79">
                  <c:v>2.2587828580897278</c:v>
                </c:pt>
                <c:pt idx="80">
                  <c:v>2.2316137658654109</c:v>
                </c:pt>
                <c:pt idx="81">
                  <c:v>2.3157288269570766</c:v>
                </c:pt>
                <c:pt idx="82">
                  <c:v>2.240089283934906</c:v>
                </c:pt>
                <c:pt idx="83">
                  <c:v>2.3256181973832248</c:v>
                </c:pt>
                <c:pt idx="84">
                  <c:v>2.2537524265100637</c:v>
                </c:pt>
                <c:pt idx="85">
                  <c:v>2.295778734982969</c:v>
                </c:pt>
                <c:pt idx="86">
                  <c:v>2.2155134844996995</c:v>
                </c:pt>
                <c:pt idx="87">
                  <c:v>2.3343735776434755</c:v>
                </c:pt>
                <c:pt idx="88">
                  <c:v>2.2897379762758883</c:v>
                </c:pt>
                <c:pt idx="89">
                  <c:v>2.26503863101714</c:v>
                </c:pt>
                <c:pt idx="90">
                  <c:v>2.2737853900489378</c:v>
                </c:pt>
                <c:pt idx="91">
                  <c:v>2.2724656213021133</c:v>
                </c:pt>
                <c:pt idx="92">
                  <c:v>2.2316137658654109</c:v>
                </c:pt>
                <c:pt idx="93">
                  <c:v>2.2226560687609767</c:v>
                </c:pt>
                <c:pt idx="94">
                  <c:v>2.245551157288562</c:v>
                </c:pt>
                <c:pt idx="95">
                  <c:v>2.3706539182259396</c:v>
                </c:pt>
                <c:pt idx="96">
                  <c:v>2.3132660893204657</c:v>
                </c:pt>
                <c:pt idx="97">
                  <c:v>2.2811400658442702</c:v>
                </c:pt>
                <c:pt idx="98">
                  <c:v>2.3122499864850257</c:v>
                </c:pt>
                <c:pt idx="99">
                  <c:v>2.2071927872299693</c:v>
                </c:pt>
                <c:pt idx="100">
                  <c:v>2.2760711763914592</c:v>
                </c:pt>
                <c:pt idx="101">
                  <c:v>2.2588713996153036</c:v>
                </c:pt>
                <c:pt idx="102">
                  <c:v>2.2299103120977759</c:v>
                </c:pt>
                <c:pt idx="103">
                  <c:v>2.2301569451498251</c:v>
                </c:pt>
                <c:pt idx="104">
                  <c:v>2.2219135896789504</c:v>
                </c:pt>
                <c:pt idx="105">
                  <c:v>2.1110187114282053</c:v>
                </c:pt>
                <c:pt idx="106">
                  <c:v>2.3212496634356246</c:v>
                </c:pt>
                <c:pt idx="107">
                  <c:v>2.2896506283710623</c:v>
                </c:pt>
                <c:pt idx="108">
                  <c:v>2.2418296099391672</c:v>
                </c:pt>
                <c:pt idx="109">
                  <c:v>2.2545953073667122</c:v>
                </c:pt>
                <c:pt idx="110">
                  <c:v>2.1695391215647621</c:v>
                </c:pt>
                <c:pt idx="111">
                  <c:v>2.1971344974762013</c:v>
                </c:pt>
                <c:pt idx="112">
                  <c:v>2.1863439802556228</c:v>
                </c:pt>
                <c:pt idx="113">
                  <c:v>2.2242751628339512</c:v>
                </c:pt>
                <c:pt idx="114">
                  <c:v>2.211628359376864</c:v>
                </c:pt>
                <c:pt idx="115">
                  <c:v>2.1827734651126764</c:v>
                </c:pt>
                <c:pt idx="116">
                  <c:v>2.2141589825484527</c:v>
                </c:pt>
                <c:pt idx="117">
                  <c:v>2.2808112591795053</c:v>
                </c:pt>
                <c:pt idx="118">
                  <c:v>2.2246797522340152</c:v>
                </c:pt>
                <c:pt idx="119">
                  <c:v>2.1747873459260334</c:v>
                </c:pt>
                <c:pt idx="120">
                  <c:v>2.1749482752470231</c:v>
                </c:pt>
                <c:pt idx="121">
                  <c:v>2.3753947040439409</c:v>
                </c:pt>
                <c:pt idx="122">
                  <c:v>2.2726416347501868</c:v>
                </c:pt>
                <c:pt idx="123">
                  <c:v>2.2983907413666635</c:v>
                </c:pt>
                <c:pt idx="124">
                  <c:v>2.2552383466055201</c:v>
                </c:pt>
                <c:pt idx="125">
                  <c:v>2.1678099547700209</c:v>
                </c:pt>
                <c:pt idx="126">
                  <c:v>2.170023041352326</c:v>
                </c:pt>
                <c:pt idx="127">
                  <c:v>2.2339650847763934</c:v>
                </c:pt>
                <c:pt idx="128">
                  <c:v>2.2945587811167534</c:v>
                </c:pt>
                <c:pt idx="129">
                  <c:v>2.2205629916757594</c:v>
                </c:pt>
                <c:pt idx="130">
                  <c:v>2.20476756144497</c:v>
                </c:pt>
                <c:pt idx="131">
                  <c:v>2.2580744009000231</c:v>
                </c:pt>
                <c:pt idx="132">
                  <c:v>2.2737853900489382</c:v>
                </c:pt>
                <c:pt idx="133">
                  <c:v>2.2660317738284252</c:v>
                </c:pt>
                <c:pt idx="134">
                  <c:v>2.1661486560252508</c:v>
                </c:pt>
                <c:pt idx="135">
                  <c:v>2.2629184695874485</c:v>
                </c:pt>
                <c:pt idx="136">
                  <c:v>2.2367163432138639</c:v>
                </c:pt>
                <c:pt idx="137">
                  <c:v>2.266384786394402</c:v>
                </c:pt>
                <c:pt idx="138">
                  <c:v>2.2934035841953335</c:v>
                </c:pt>
                <c:pt idx="139">
                  <c:v>2.2760711763914592</c:v>
                </c:pt>
                <c:pt idx="140">
                  <c:v>2.2411827234743713</c:v>
                </c:pt>
                <c:pt idx="141">
                  <c:v>2.1513251730038396</c:v>
                </c:pt>
                <c:pt idx="142">
                  <c:v>2.228744040934266</c:v>
                </c:pt>
                <c:pt idx="143">
                  <c:v>2.1854976549975982</c:v>
                </c:pt>
                <c:pt idx="144">
                  <c:v>2.0838665984174711</c:v>
                </c:pt>
                <c:pt idx="145">
                  <c:v>2.1742354978244651</c:v>
                </c:pt>
                <c:pt idx="146">
                  <c:v>2.21054291973714</c:v>
                </c:pt>
                <c:pt idx="147">
                  <c:v>2.3104112188093273</c:v>
                </c:pt>
                <c:pt idx="148">
                  <c:v>2.2875751353780709</c:v>
                </c:pt>
                <c:pt idx="149">
                  <c:v>2.2865257488163127</c:v>
                </c:pt>
                <c:pt idx="150">
                  <c:v>2.2945587811167534</c:v>
                </c:pt>
                <c:pt idx="151">
                  <c:v>2.3122499864850257</c:v>
                </c:pt>
                <c:pt idx="152">
                  <c:v>2.3129418496797536</c:v>
                </c:pt>
                <c:pt idx="153">
                  <c:v>2.204835594777987</c:v>
                </c:pt>
                <c:pt idx="154">
                  <c:v>2.1854976549975982</c:v>
                </c:pt>
                <c:pt idx="155">
                  <c:v>2.1799541279577421</c:v>
                </c:pt>
                <c:pt idx="156">
                  <c:v>2.2155134844996995</c:v>
                </c:pt>
                <c:pt idx="157">
                  <c:v>2.1791053209975879</c:v>
                </c:pt>
                <c:pt idx="158">
                  <c:v>2.2297085011274453</c:v>
                </c:pt>
                <c:pt idx="159">
                  <c:v>2.2466196829904255</c:v>
                </c:pt>
                <c:pt idx="160">
                  <c:v>2.17846276075585</c:v>
                </c:pt>
                <c:pt idx="161">
                  <c:v>2.1109239683134016</c:v>
                </c:pt>
                <c:pt idx="162">
                  <c:v>2.1742354978244651</c:v>
                </c:pt>
                <c:pt idx="163">
                  <c:v>2.2723776094654689</c:v>
                </c:pt>
                <c:pt idx="164">
                  <c:v>2.1242645786248002</c:v>
                </c:pt>
                <c:pt idx="165">
                  <c:v>2.2408257406590097</c:v>
                </c:pt>
                <c:pt idx="166">
                  <c:v>2.1850400453996257</c:v>
                </c:pt>
                <c:pt idx="167">
                  <c:v>2.1172859986312664</c:v>
                </c:pt>
                <c:pt idx="168">
                  <c:v>2.1601157376399995</c:v>
                </c:pt>
                <c:pt idx="169">
                  <c:v>2.2370739817896057</c:v>
                </c:pt>
                <c:pt idx="170">
                  <c:v>2.116317556511782</c:v>
                </c:pt>
                <c:pt idx="171">
                  <c:v>2.1574522010927613</c:v>
                </c:pt>
                <c:pt idx="172">
                  <c:v>2.2411827234743709</c:v>
                </c:pt>
                <c:pt idx="173">
                  <c:v>2.3170886905770356</c:v>
                </c:pt>
                <c:pt idx="174">
                  <c:v>2.2360679774997898</c:v>
                </c:pt>
                <c:pt idx="175">
                  <c:v>2.1517667159801501</c:v>
                </c:pt>
                <c:pt idx="176">
                  <c:v>2.1953131895016709</c:v>
                </c:pt>
                <c:pt idx="177">
                  <c:v>2.1868927728629037</c:v>
                </c:pt>
                <c:pt idx="178">
                  <c:v>2.2063997824510411</c:v>
                </c:pt>
                <c:pt idx="179">
                  <c:v>2.1883555469804259</c:v>
                </c:pt>
                <c:pt idx="180">
                  <c:v>2.1535552001283831</c:v>
                </c:pt>
                <c:pt idx="181">
                  <c:v>2.2163483480716657</c:v>
                </c:pt>
                <c:pt idx="182">
                  <c:v>2.1446211786700236</c:v>
                </c:pt>
                <c:pt idx="183">
                  <c:v>2.2629184695874485</c:v>
                </c:pt>
                <c:pt idx="184">
                  <c:v>2.2354417907876734</c:v>
                </c:pt>
                <c:pt idx="185">
                  <c:v>2.16453228204155</c:v>
                </c:pt>
                <c:pt idx="186">
                  <c:v>2.1868927728629037</c:v>
                </c:pt>
                <c:pt idx="187">
                  <c:v>2.2027482833950867</c:v>
                </c:pt>
                <c:pt idx="188">
                  <c:v>2.1064187617850347</c:v>
                </c:pt>
                <c:pt idx="189">
                  <c:v>2.1805733191066978</c:v>
                </c:pt>
                <c:pt idx="190">
                  <c:v>2.125323504786977</c:v>
                </c:pt>
                <c:pt idx="191">
                  <c:v>2.1523243250030886</c:v>
                </c:pt>
                <c:pt idx="192">
                  <c:v>2.1965882636488794</c:v>
                </c:pt>
                <c:pt idx="193">
                  <c:v>2.2140009033421828</c:v>
                </c:pt>
                <c:pt idx="194">
                  <c:v>2.2437914341578185</c:v>
                </c:pt>
                <c:pt idx="195">
                  <c:v>2.1623135757794243</c:v>
                </c:pt>
                <c:pt idx="196">
                  <c:v>2.1923731434224423</c:v>
                </c:pt>
                <c:pt idx="197">
                  <c:v>2.1333776037073231</c:v>
                </c:pt>
              </c:numCache>
            </c:numRef>
          </c:xVal>
          <c:yVal>
            <c:numRef>
              <c:f>'HT 2017-07-05 BIG JIM'!$W$1008:$W$1205</c:f>
              <c:numCache>
                <c:formatCode>General</c:formatCode>
                <c:ptCount val="19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4E-4F9A-B12D-3A96392F8CFC}"/>
            </c:ext>
          </c:extLst>
        </c:ser>
        <c:ser>
          <c:idx val="22"/>
          <c:order val="3"/>
          <c:tx>
            <c:strRef>
              <c:f>'HT 2017-07-05 BIG JIM'!$AE$1</c:f>
              <c:strCache>
                <c:ptCount val="1"/>
                <c:pt idx="0">
                  <c:v>wild-fz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circle"/>
            <c:size val="3"/>
            <c:spPr>
              <a:noFill/>
              <a:ln w="6350" cap="flat" cmpd="sng" algn="ctr">
                <a:solidFill>
                  <a:srgbClr val="0070C0"/>
                </a:solidFill>
                <a:prstDash val="solid"/>
                <a:round/>
              </a:ln>
            </c:spPr>
          </c:marker>
          <c:xVal>
            <c:numRef>
              <c:f>'HT 2017-07-05 BIG JIM'!$G$1105:$G$1205</c:f>
              <c:numCache>
                <c:formatCode>General</c:formatCode>
                <c:ptCount val="101"/>
                <c:pt idx="0">
                  <c:v>2.2811400658442702</c:v>
                </c:pt>
                <c:pt idx="1">
                  <c:v>2.3122499864850257</c:v>
                </c:pt>
                <c:pt idx="2">
                  <c:v>2.2071927872299693</c:v>
                </c:pt>
                <c:pt idx="3">
                  <c:v>2.2760711763914592</c:v>
                </c:pt>
                <c:pt idx="4">
                  <c:v>2.2588713996153036</c:v>
                </c:pt>
                <c:pt idx="5">
                  <c:v>2.2299103120977759</c:v>
                </c:pt>
                <c:pt idx="6">
                  <c:v>2.2301569451498251</c:v>
                </c:pt>
                <c:pt idx="7">
                  <c:v>2.2219135896789504</c:v>
                </c:pt>
                <c:pt idx="8">
                  <c:v>2.1110187114282053</c:v>
                </c:pt>
                <c:pt idx="9">
                  <c:v>2.3212496634356246</c:v>
                </c:pt>
                <c:pt idx="10">
                  <c:v>2.2896506283710623</c:v>
                </c:pt>
                <c:pt idx="11">
                  <c:v>2.2418296099391672</c:v>
                </c:pt>
                <c:pt idx="12">
                  <c:v>2.2545953073667122</c:v>
                </c:pt>
                <c:pt idx="13">
                  <c:v>2.1695391215647621</c:v>
                </c:pt>
                <c:pt idx="14">
                  <c:v>2.1971344974762013</c:v>
                </c:pt>
                <c:pt idx="15">
                  <c:v>2.1863439802556228</c:v>
                </c:pt>
                <c:pt idx="16">
                  <c:v>2.2242751628339512</c:v>
                </c:pt>
                <c:pt idx="17">
                  <c:v>2.211628359376864</c:v>
                </c:pt>
                <c:pt idx="18">
                  <c:v>2.1827734651126764</c:v>
                </c:pt>
                <c:pt idx="19">
                  <c:v>2.2141589825484527</c:v>
                </c:pt>
                <c:pt idx="20">
                  <c:v>2.2808112591795053</c:v>
                </c:pt>
                <c:pt idx="21">
                  <c:v>2.2246797522340152</c:v>
                </c:pt>
                <c:pt idx="22">
                  <c:v>2.1747873459260334</c:v>
                </c:pt>
                <c:pt idx="23">
                  <c:v>2.1749482752470231</c:v>
                </c:pt>
                <c:pt idx="24">
                  <c:v>2.3753947040439409</c:v>
                </c:pt>
                <c:pt idx="25">
                  <c:v>2.2726416347501868</c:v>
                </c:pt>
                <c:pt idx="26">
                  <c:v>2.2983907413666635</c:v>
                </c:pt>
                <c:pt idx="27">
                  <c:v>2.2552383466055201</c:v>
                </c:pt>
                <c:pt idx="28">
                  <c:v>2.1678099547700209</c:v>
                </c:pt>
                <c:pt idx="29">
                  <c:v>2.170023041352326</c:v>
                </c:pt>
                <c:pt idx="30">
                  <c:v>2.2339650847763934</c:v>
                </c:pt>
                <c:pt idx="31">
                  <c:v>2.2945587811167534</c:v>
                </c:pt>
                <c:pt idx="32">
                  <c:v>2.2205629916757594</c:v>
                </c:pt>
                <c:pt idx="33">
                  <c:v>2.20476756144497</c:v>
                </c:pt>
                <c:pt idx="34">
                  <c:v>2.2580744009000231</c:v>
                </c:pt>
                <c:pt idx="35">
                  <c:v>2.2737853900489382</c:v>
                </c:pt>
                <c:pt idx="36">
                  <c:v>2.2660317738284252</c:v>
                </c:pt>
                <c:pt idx="37">
                  <c:v>2.1661486560252508</c:v>
                </c:pt>
                <c:pt idx="38">
                  <c:v>2.2629184695874485</c:v>
                </c:pt>
                <c:pt idx="39">
                  <c:v>2.2367163432138639</c:v>
                </c:pt>
                <c:pt idx="40">
                  <c:v>2.266384786394402</c:v>
                </c:pt>
                <c:pt idx="41">
                  <c:v>2.2934035841953335</c:v>
                </c:pt>
                <c:pt idx="42">
                  <c:v>2.2760711763914592</c:v>
                </c:pt>
                <c:pt idx="43">
                  <c:v>2.2411827234743713</c:v>
                </c:pt>
                <c:pt idx="44">
                  <c:v>2.1513251730038396</c:v>
                </c:pt>
                <c:pt idx="45">
                  <c:v>2.228744040934266</c:v>
                </c:pt>
                <c:pt idx="46">
                  <c:v>2.1854976549975982</c:v>
                </c:pt>
                <c:pt idx="47">
                  <c:v>2.0838665984174711</c:v>
                </c:pt>
                <c:pt idx="48">
                  <c:v>2.1742354978244651</c:v>
                </c:pt>
                <c:pt idx="49">
                  <c:v>2.21054291973714</c:v>
                </c:pt>
                <c:pt idx="50">
                  <c:v>2.3104112188093273</c:v>
                </c:pt>
                <c:pt idx="51">
                  <c:v>2.2875751353780709</c:v>
                </c:pt>
                <c:pt idx="52">
                  <c:v>2.2865257488163127</c:v>
                </c:pt>
                <c:pt idx="53">
                  <c:v>2.2945587811167534</c:v>
                </c:pt>
                <c:pt idx="54">
                  <c:v>2.3122499864850257</c:v>
                </c:pt>
                <c:pt idx="55">
                  <c:v>2.3129418496797536</c:v>
                </c:pt>
                <c:pt idx="56">
                  <c:v>2.204835594777987</c:v>
                </c:pt>
                <c:pt idx="57">
                  <c:v>2.1854976549975982</c:v>
                </c:pt>
                <c:pt idx="58">
                  <c:v>2.1799541279577421</c:v>
                </c:pt>
                <c:pt idx="59">
                  <c:v>2.2155134844996995</c:v>
                </c:pt>
                <c:pt idx="60">
                  <c:v>2.1791053209975879</c:v>
                </c:pt>
                <c:pt idx="61">
                  <c:v>2.2297085011274453</c:v>
                </c:pt>
                <c:pt idx="62">
                  <c:v>2.2466196829904255</c:v>
                </c:pt>
                <c:pt idx="63">
                  <c:v>2.17846276075585</c:v>
                </c:pt>
                <c:pt idx="64">
                  <c:v>2.1109239683134016</c:v>
                </c:pt>
                <c:pt idx="65">
                  <c:v>2.1742354978244651</c:v>
                </c:pt>
                <c:pt idx="66">
                  <c:v>2.2723776094654689</c:v>
                </c:pt>
                <c:pt idx="67">
                  <c:v>2.1242645786248002</c:v>
                </c:pt>
                <c:pt idx="68">
                  <c:v>2.2408257406590097</c:v>
                </c:pt>
                <c:pt idx="69">
                  <c:v>2.1850400453996257</c:v>
                </c:pt>
                <c:pt idx="70">
                  <c:v>2.1172859986312664</c:v>
                </c:pt>
                <c:pt idx="71">
                  <c:v>2.1601157376399995</c:v>
                </c:pt>
                <c:pt idx="72">
                  <c:v>2.2370739817896057</c:v>
                </c:pt>
                <c:pt idx="73">
                  <c:v>2.116317556511782</c:v>
                </c:pt>
                <c:pt idx="74">
                  <c:v>2.1574522010927613</c:v>
                </c:pt>
                <c:pt idx="75">
                  <c:v>2.2411827234743709</c:v>
                </c:pt>
                <c:pt idx="76">
                  <c:v>2.3170886905770356</c:v>
                </c:pt>
                <c:pt idx="77">
                  <c:v>2.2360679774997898</c:v>
                </c:pt>
                <c:pt idx="78">
                  <c:v>2.1517667159801501</c:v>
                </c:pt>
                <c:pt idx="79">
                  <c:v>2.1953131895016709</c:v>
                </c:pt>
                <c:pt idx="80">
                  <c:v>2.1868927728629037</c:v>
                </c:pt>
                <c:pt idx="81">
                  <c:v>2.2063997824510411</c:v>
                </c:pt>
                <c:pt idx="82">
                  <c:v>2.1883555469804259</c:v>
                </c:pt>
                <c:pt idx="83">
                  <c:v>2.1535552001283831</c:v>
                </c:pt>
                <c:pt idx="84">
                  <c:v>2.2163483480716657</c:v>
                </c:pt>
                <c:pt idx="85">
                  <c:v>2.1446211786700236</c:v>
                </c:pt>
                <c:pt idx="86">
                  <c:v>2.2629184695874485</c:v>
                </c:pt>
                <c:pt idx="87">
                  <c:v>2.2354417907876734</c:v>
                </c:pt>
                <c:pt idx="88">
                  <c:v>2.16453228204155</c:v>
                </c:pt>
                <c:pt idx="89">
                  <c:v>2.1868927728629037</c:v>
                </c:pt>
                <c:pt idx="90">
                  <c:v>2.2027482833950867</c:v>
                </c:pt>
                <c:pt idx="91">
                  <c:v>2.1064187617850347</c:v>
                </c:pt>
                <c:pt idx="92">
                  <c:v>2.1805733191066978</c:v>
                </c:pt>
                <c:pt idx="93">
                  <c:v>2.125323504786977</c:v>
                </c:pt>
                <c:pt idx="94">
                  <c:v>2.1523243250030886</c:v>
                </c:pt>
                <c:pt idx="95">
                  <c:v>2.1965882636488794</c:v>
                </c:pt>
                <c:pt idx="96">
                  <c:v>2.2140009033421828</c:v>
                </c:pt>
                <c:pt idx="97">
                  <c:v>2.2437914341578185</c:v>
                </c:pt>
                <c:pt idx="98">
                  <c:v>2.1623135757794243</c:v>
                </c:pt>
                <c:pt idx="99">
                  <c:v>2.1923731434224423</c:v>
                </c:pt>
                <c:pt idx="100">
                  <c:v>2.1333776037073231</c:v>
                </c:pt>
              </c:numCache>
            </c:numRef>
          </c:xVal>
          <c:yVal>
            <c:numRef>
              <c:f>'HT 2017-07-05 BIG JIM'!$AE$1105:$AE$1205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4E-4F9A-B12D-3A96392F8CFC}"/>
            </c:ext>
          </c:extLst>
        </c:ser>
        <c:ser>
          <c:idx val="1"/>
          <c:order val="4"/>
          <c:tx>
            <c:strRef>
              <c:f>'HT 2017-07-05 BIG JIM'!$AB$1</c:f>
              <c:strCache>
                <c:ptCount val="1"/>
                <c:pt idx="0">
                  <c:v>sel-my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C0000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JIM'!$AB$2:$AB$1205</c:f>
              <c:numCache>
                <c:formatCode>General</c:formatCode>
                <c:ptCount val="1204"/>
                <c:pt idx="798">
                  <c:v>2.1253235047869774</c:v>
                </c:pt>
                <c:pt idx="799">
                  <c:v>2.0582759776084449</c:v>
                </c:pt>
                <c:pt idx="800">
                  <c:v>2.1211553455605276</c:v>
                </c:pt>
                <c:pt idx="801">
                  <c:v>2.155736533067063</c:v>
                </c:pt>
                <c:pt idx="802">
                  <c:v>2.0927493877672023</c:v>
                </c:pt>
                <c:pt idx="803">
                  <c:v>2.1137644144984558</c:v>
                </c:pt>
                <c:pt idx="804">
                  <c:v>2.1332135383031861</c:v>
                </c:pt>
                <c:pt idx="805">
                  <c:v>2.0932271735289505</c:v>
                </c:pt>
                <c:pt idx="806">
                  <c:v>2.1428252378577213</c:v>
                </c:pt>
                <c:pt idx="807">
                  <c:v>2.0787015177749786</c:v>
                </c:pt>
                <c:pt idx="808">
                  <c:v>2.1876242821837577</c:v>
                </c:pt>
                <c:pt idx="809">
                  <c:v>2.1020228352708257</c:v>
                </c:pt>
                <c:pt idx="810">
                  <c:v>2.1660332407421636</c:v>
                </c:pt>
                <c:pt idx="811">
                  <c:v>2.0929644048573781</c:v>
                </c:pt>
                <c:pt idx="812">
                  <c:v>2.168893727225933</c:v>
                </c:pt>
                <c:pt idx="813">
                  <c:v>2.1079373804740973</c:v>
                </c:pt>
                <c:pt idx="814">
                  <c:v>2.1109239683134016</c:v>
                </c:pt>
                <c:pt idx="815">
                  <c:v>2.0894257584322062</c:v>
                </c:pt>
                <c:pt idx="816">
                  <c:v>2.0915305400591215</c:v>
                </c:pt>
                <c:pt idx="817">
                  <c:v>2.1577998053572998</c:v>
                </c:pt>
                <c:pt idx="818">
                  <c:v>2.1377558326431951</c:v>
                </c:pt>
                <c:pt idx="819">
                  <c:v>2.1080085388821366</c:v>
                </c:pt>
                <c:pt idx="820">
                  <c:v>2.110094784600919</c:v>
                </c:pt>
                <c:pt idx="821">
                  <c:v>2.1414014102918677</c:v>
                </c:pt>
                <c:pt idx="822">
                  <c:v>2.0981182044870588</c:v>
                </c:pt>
                <c:pt idx="823">
                  <c:v>2.0447249203743767</c:v>
                </c:pt>
                <c:pt idx="824">
                  <c:v>2.1247352776287216</c:v>
                </c:pt>
                <c:pt idx="825">
                  <c:v>2.0840585404445817</c:v>
                </c:pt>
                <c:pt idx="826">
                  <c:v>2.1023796041628637</c:v>
                </c:pt>
                <c:pt idx="827">
                  <c:v>2.1086725682286476</c:v>
                </c:pt>
                <c:pt idx="828">
                  <c:v>2.1050890717496968</c:v>
                </c:pt>
                <c:pt idx="829">
                  <c:v>2.1332838535928595</c:v>
                </c:pt>
                <c:pt idx="830">
                  <c:v>2.1435018077902339</c:v>
                </c:pt>
                <c:pt idx="831">
                  <c:v>2.0930838492521029</c:v>
                </c:pt>
                <c:pt idx="832">
                  <c:v>2.1574522010927613</c:v>
                </c:pt>
                <c:pt idx="833">
                  <c:v>2.1376856644511606</c:v>
                </c:pt>
                <c:pt idx="834">
                  <c:v>2.0709901013766339</c:v>
                </c:pt>
                <c:pt idx="835">
                  <c:v>2.0443580899636933</c:v>
                </c:pt>
                <c:pt idx="836">
                  <c:v>2.1287555049840741</c:v>
                </c:pt>
                <c:pt idx="837">
                  <c:v>2.0706037766796426</c:v>
                </c:pt>
                <c:pt idx="838">
                  <c:v>2.1466252583997982</c:v>
                </c:pt>
                <c:pt idx="839">
                  <c:v>2.087773934122179</c:v>
                </c:pt>
                <c:pt idx="840">
                  <c:v>2.1856349191939626</c:v>
                </c:pt>
                <c:pt idx="841">
                  <c:v>2.1128653530218151</c:v>
                </c:pt>
                <c:pt idx="842">
                  <c:v>2.154483696851754</c:v>
                </c:pt>
                <c:pt idx="843">
                  <c:v>2.1692625475031835</c:v>
                </c:pt>
                <c:pt idx="844">
                  <c:v>2.1495348334000077</c:v>
                </c:pt>
                <c:pt idx="845">
                  <c:v>2.1338462924962518</c:v>
                </c:pt>
                <c:pt idx="846">
                  <c:v>2.1337759957408839</c:v>
                </c:pt>
                <c:pt idx="847">
                  <c:v>2.1122736565132842</c:v>
                </c:pt>
                <c:pt idx="848">
                  <c:v>2.221823575354263</c:v>
                </c:pt>
                <c:pt idx="849">
                  <c:v>2.16453228204155</c:v>
                </c:pt>
                <c:pt idx="850">
                  <c:v>2.0416659863944444</c:v>
                </c:pt>
                <c:pt idx="851">
                  <c:v>2.110852908186641</c:v>
                </c:pt>
                <c:pt idx="852">
                  <c:v>2.110923968313402</c:v>
                </c:pt>
                <c:pt idx="853">
                  <c:v>2.1660332407421636</c:v>
                </c:pt>
                <c:pt idx="854">
                  <c:v>2.1560380330597142</c:v>
                </c:pt>
                <c:pt idx="855">
                  <c:v>2.1301643129110959</c:v>
                </c:pt>
                <c:pt idx="856">
                  <c:v>2.0607280266934791</c:v>
                </c:pt>
                <c:pt idx="857">
                  <c:v>2.1120606051910538</c:v>
                </c:pt>
                <c:pt idx="858">
                  <c:v>2.1115397225721324</c:v>
                </c:pt>
                <c:pt idx="859">
                  <c:v>2.1751321798916039</c:v>
                </c:pt>
                <c:pt idx="860">
                  <c:v>2.097474672075923</c:v>
                </c:pt>
                <c:pt idx="861">
                  <c:v>2.1351580737734621</c:v>
                </c:pt>
                <c:pt idx="862">
                  <c:v>2.1421717951648978</c:v>
                </c:pt>
                <c:pt idx="863">
                  <c:v>2.1252999788265186</c:v>
                </c:pt>
                <c:pt idx="864">
                  <c:v>2.1511159894343215</c:v>
                </c:pt>
                <c:pt idx="865">
                  <c:v>2.1476731594914531</c:v>
                </c:pt>
                <c:pt idx="866">
                  <c:v>2.1428252378577217</c:v>
                </c:pt>
                <c:pt idx="867">
                  <c:v>2.1211553455605272</c:v>
                </c:pt>
                <c:pt idx="868">
                  <c:v>2.1577998053572998</c:v>
                </c:pt>
                <c:pt idx="869">
                  <c:v>2.1066086489901248</c:v>
                </c:pt>
                <c:pt idx="870">
                  <c:v>2.0977368757782755</c:v>
                </c:pt>
                <c:pt idx="871">
                  <c:v>2.1174040710265958</c:v>
                </c:pt>
                <c:pt idx="872">
                  <c:v>2.1923731434224423</c:v>
                </c:pt>
                <c:pt idx="873">
                  <c:v>2.1497209121185938</c:v>
                </c:pt>
                <c:pt idx="874">
                  <c:v>2.087773934122179</c:v>
                </c:pt>
                <c:pt idx="875">
                  <c:v>2.125323504786977</c:v>
                </c:pt>
                <c:pt idx="876">
                  <c:v>2.0701932276963904</c:v>
                </c:pt>
                <c:pt idx="877">
                  <c:v>2.1107818456676188</c:v>
                </c:pt>
                <c:pt idx="878">
                  <c:v>2.1594675269612185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4E-4F9A-B12D-3A96392F8CFC}"/>
            </c:ext>
          </c:extLst>
        </c:ser>
        <c:ser>
          <c:idx val="4"/>
          <c:order val="5"/>
          <c:tx>
            <c:strRef>
              <c:f>'HT 2017-07-05 BIG JIM'!$BF$1</c:f>
              <c:strCache>
                <c:ptCount val="1"/>
                <c:pt idx="0">
                  <c:v>yk4a-m</c:v>
                </c:pt>
              </c:strCache>
            </c:strRef>
          </c:tx>
          <c:spPr>
            <a:ln w="6350" cap="rnd" cmpd="sng" algn="ctr">
              <a:solidFill>
                <a:schemeClr val="accent5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JIM'!$BF$1206:$BF$1212</c:f>
              <c:numCache>
                <c:formatCode>General</c:formatCode>
                <c:ptCount val="7"/>
                <c:pt idx="0">
                  <c:v>1.2785800600772987</c:v>
                </c:pt>
                <c:pt idx="1">
                  <c:v>1.5482371934888897</c:v>
                </c:pt>
                <c:pt idx="2">
                  <c:v>1.8201435284505951</c:v>
                </c:pt>
                <c:pt idx="3">
                  <c:v>2.0939903068771857</c:v>
                </c:pt>
                <c:pt idx="4">
                  <c:v>2.3695449820269934</c:v>
                </c:pt>
                <c:pt idx="5">
                  <c:v>2.6466259045252372</c:v>
                </c:pt>
                <c:pt idx="6">
                  <c:v>2.925087144794484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F4E-4F9A-B12D-3A96392F8CFC}"/>
            </c:ext>
          </c:extLst>
        </c:ser>
        <c:ser>
          <c:idx val="5"/>
          <c:order val="6"/>
          <c:tx>
            <c:strRef>
              <c:f>'HT 2017-07-05 BIG JIM'!$BG$1</c:f>
              <c:strCache>
                <c:ptCount val="1"/>
                <c:pt idx="0">
                  <c:v>yk4b-m</c:v>
                </c:pt>
              </c:strCache>
            </c:strRef>
          </c:tx>
          <c:spPr>
            <a:ln w="6350" cap="rnd" cmpd="sng" algn="ctr">
              <a:solidFill>
                <a:schemeClr val="accent6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JIM'!$BG$1206:$BG$1212</c:f>
              <c:numCache>
                <c:formatCode>General</c:formatCode>
                <c:ptCount val="7"/>
                <c:pt idx="0">
                  <c:v>1.4440356616716177</c:v>
                </c:pt>
                <c:pt idx="1">
                  <c:v>1.6700156514962747</c:v>
                </c:pt>
                <c:pt idx="2">
                  <c:v>1.8884559905022371</c:v>
                </c:pt>
                <c:pt idx="3">
                  <c:v>2.1006427914741606</c:v>
                </c:pt>
                <c:pt idx="4">
                  <c:v>2.3075094524474129</c:v>
                </c:pt>
                <c:pt idx="5">
                  <c:v>2.5097619610147768</c:v>
                </c:pt>
                <c:pt idx="6">
                  <c:v>2.7079515387610922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F4E-4F9A-B12D-3A96392F8CFC}"/>
            </c:ext>
          </c:extLst>
        </c:ser>
        <c:ser>
          <c:idx val="10"/>
          <c:order val="7"/>
          <c:tx>
            <c:strRef>
              <c:f>'HT 2017-07-05 BIG JIM'!$BL$1</c:f>
              <c:strCache>
                <c:ptCount val="1"/>
                <c:pt idx="0">
                  <c:v>yl4a-m</c:v>
                </c:pt>
              </c:strCache>
            </c:strRef>
          </c:tx>
          <c:spPr>
            <a:ln w="6350" cap="rnd" cmpd="sng" algn="ctr">
              <a:solidFill>
                <a:schemeClr val="accent5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JIM'!$BL$1206:$BL$1212</c:f>
              <c:numCache>
                <c:formatCode>General</c:formatCode>
                <c:ptCount val="7"/>
                <c:pt idx="0">
                  <c:v>1.3996729282585296</c:v>
                </c:pt>
                <c:pt idx="1">
                  <c:v>1.634055009850006</c:v>
                </c:pt>
                <c:pt idx="2">
                  <c:v>1.8625904667056279</c:v>
                </c:pt>
                <c:pt idx="3">
                  <c:v>2.0862372460450174</c:v>
                </c:pt>
                <c:pt idx="4">
                  <c:v>2.3056958956000098</c:v>
                </c:pt>
                <c:pt idx="5">
                  <c:v>2.521499801719933</c:v>
                </c:pt>
                <c:pt idx="6">
                  <c:v>2.734067867201321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F4E-4F9A-B12D-3A96392F8CFC}"/>
            </c:ext>
          </c:extLst>
        </c:ser>
        <c:ser>
          <c:idx val="11"/>
          <c:order val="8"/>
          <c:tx>
            <c:strRef>
              <c:f>'HT 2017-07-05 BIG JIM'!$BM$1</c:f>
              <c:strCache>
                <c:ptCount val="1"/>
                <c:pt idx="0">
                  <c:v>yl4b-m</c:v>
                </c:pt>
              </c:strCache>
            </c:strRef>
          </c:tx>
          <c:spPr>
            <a:ln w="6350" cap="rnd" cmpd="sng" algn="ctr">
              <a:solidFill>
                <a:schemeClr val="accent6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JIM'!$BM$1206:$BM$1212</c:f>
              <c:numCache>
                <c:formatCode>General</c:formatCode>
                <c:ptCount val="7"/>
                <c:pt idx="0">
                  <c:v>1.6003742359151678</c:v>
                </c:pt>
                <c:pt idx="1">
                  <c:v>1.7836765286614462</c:v>
                </c:pt>
                <c:pt idx="2">
                  <c:v>1.9549424139659066</c:v>
                </c:pt>
                <c:pt idx="3">
                  <c:v>2.1165365777598386</c:v>
                </c:pt>
                <c:pt idx="4">
                  <c:v>2.2701246800566683</c:v>
                </c:pt>
                <c:pt idx="5">
                  <c:v>2.4169342980297261</c:v>
                </c:pt>
                <c:pt idx="6">
                  <c:v>2.5579021589041662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F4E-4F9A-B12D-3A96392F8CFC}"/>
            </c:ext>
          </c:extLst>
        </c:ser>
        <c:ser>
          <c:idx val="16"/>
          <c:order val="9"/>
          <c:tx>
            <c:strRef>
              <c:f>'HT 2017-07-05 BIG JIM'!$BR$1</c:f>
              <c:strCache>
                <c:ptCount val="1"/>
                <c:pt idx="0">
                  <c:v>yn6a-m</c:v>
                </c:pt>
              </c:strCache>
            </c:strRef>
          </c:tx>
          <c:spPr>
            <a:ln w="6350" cap="rnd" cmpd="sng" algn="ctr">
              <a:solidFill>
                <a:schemeClr val="accent5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JIM'!$BR$1206:$BR$1212</c:f>
              <c:numCache>
                <c:formatCode>General</c:formatCode>
                <c:ptCount val="7"/>
                <c:pt idx="0">
                  <c:v>0.95483074700499271</c:v>
                </c:pt>
                <c:pt idx="1">
                  <c:v>1.2770521235474994</c:v>
                </c:pt>
                <c:pt idx="2">
                  <c:v>1.6329719548143486</c:v>
                </c:pt>
                <c:pt idx="3">
                  <c:v>2.0205388057977998</c:v>
                </c:pt>
                <c:pt idx="4">
                  <c:v>2.4380791905745114</c:v>
                </c:pt>
                <c:pt idx="5">
                  <c:v>2.884191893301177</c:v>
                </c:pt>
                <c:pt idx="6">
                  <c:v>3.3576798550376279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F4E-4F9A-B12D-3A96392F8CFC}"/>
            </c:ext>
          </c:extLst>
        </c:ser>
        <c:ser>
          <c:idx val="17"/>
          <c:order val="10"/>
          <c:tx>
            <c:strRef>
              <c:f>'HT 2017-07-05 BIG JIM'!$BS$1</c:f>
              <c:strCache>
                <c:ptCount val="1"/>
                <c:pt idx="0">
                  <c:v>yn6b-m</c:v>
                </c:pt>
              </c:strCache>
            </c:strRef>
          </c:tx>
          <c:spPr>
            <a:ln w="6350" cap="rnd" cmpd="sng" algn="ctr">
              <a:solidFill>
                <a:schemeClr val="accent6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JIM'!$BS$1206:$BS$1212</c:f>
              <c:numCache>
                <c:formatCode>General</c:formatCode>
                <c:ptCount val="7"/>
                <c:pt idx="0">
                  <c:v>1.3915951866153304</c:v>
                </c:pt>
                <c:pt idx="1">
                  <c:v>1.6171285647504294</c:v>
                </c:pt>
                <c:pt idx="2">
                  <c:v>1.8361032795983925</c:v>
                </c:pt>
                <c:pt idx="3">
                  <c:v>2.0496156335159013</c:v>
                </c:pt>
                <c:pt idx="4">
                  <c:v>2.2584643658423187</c:v>
                </c:pt>
                <c:pt idx="5">
                  <c:v>2.4632556552365923</c:v>
                </c:pt>
                <c:pt idx="6">
                  <c:v>2.6644642090782078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F4E-4F9A-B12D-3A96392F8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507528"/>
        <c:axId val="301507920"/>
      </c:scatterChart>
      <c:valAx>
        <c:axId val="301507528"/>
        <c:scaling>
          <c:orientation val="minMax"/>
          <c:max val="1.3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THORAX</a:t>
                </a:r>
              </a:p>
            </c:rich>
          </c:tx>
          <c:layout>
            <c:manualLayout>
              <c:xMode val="edge"/>
              <c:yMode val="edge"/>
              <c:x val="0.4588569878643034"/>
              <c:y val="0.843624372305115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07920"/>
        <c:crosses val="autoZero"/>
        <c:crossBetween val="midCat"/>
        <c:majorUnit val="0.1"/>
      </c:valAx>
      <c:valAx>
        <c:axId val="301507920"/>
        <c:scaling>
          <c:orientation val="minMax"/>
          <c:max val="2.6"/>
          <c:min val="1.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WING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07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WING LENGTH VS THORAX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959413214743155"/>
          <c:y val="6.1460541594815316E-2"/>
          <c:w val="0.56989691596365177"/>
          <c:h val="0.71694041787804497"/>
        </c:manualLayout>
      </c:layout>
      <c:scatterChart>
        <c:scatterStyle val="lineMarker"/>
        <c:varyColors val="0"/>
        <c:ser>
          <c:idx val="20"/>
          <c:order val="0"/>
          <c:tx>
            <c:strRef>
              <c:f>'HT 2017-07-05 BIG JIM'!$AD$1</c:f>
              <c:strCache>
                <c:ptCount val="1"/>
                <c:pt idx="0">
                  <c:v>wild-mz</c:v>
                </c:pt>
              </c:strCache>
            </c:strRef>
          </c:tx>
          <c:spPr>
            <a:ln w="19050" cap="rnd" cmpd="sng" algn="ctr">
              <a:noFill/>
              <a:prstDash val="dash"/>
              <a:round/>
            </a:ln>
          </c:spPr>
          <c:marker>
            <c:symbol val="circle"/>
            <c:size val="3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JIM'!$AD$2:$AD$1205</c:f>
              <c:numCache>
                <c:formatCode>General</c:formatCode>
                <c:ptCount val="1204"/>
                <c:pt idx="1083">
                  <c:v>2.2227910383119687</c:v>
                </c:pt>
                <c:pt idx="1084">
                  <c:v>2.2624102192131295</c:v>
                </c:pt>
                <c:pt idx="1085">
                  <c:v>2.2587828580897278</c:v>
                </c:pt>
                <c:pt idx="1086">
                  <c:v>2.2316137658654109</c:v>
                </c:pt>
                <c:pt idx="1087">
                  <c:v>2.3157288269570766</c:v>
                </c:pt>
                <c:pt idx="1088">
                  <c:v>2.240089283934906</c:v>
                </c:pt>
                <c:pt idx="1089">
                  <c:v>2.3256181973832248</c:v>
                </c:pt>
                <c:pt idx="1090">
                  <c:v>2.2537524265100637</c:v>
                </c:pt>
                <c:pt idx="1091">
                  <c:v>2.295778734982969</c:v>
                </c:pt>
                <c:pt idx="1092">
                  <c:v>2.2155134844996995</c:v>
                </c:pt>
                <c:pt idx="1093">
                  <c:v>2.3343735776434755</c:v>
                </c:pt>
                <c:pt idx="1094">
                  <c:v>2.2897379762758883</c:v>
                </c:pt>
                <c:pt idx="1095">
                  <c:v>2.26503863101714</c:v>
                </c:pt>
                <c:pt idx="1096">
                  <c:v>2.2737853900489378</c:v>
                </c:pt>
                <c:pt idx="1097">
                  <c:v>2.2724656213021133</c:v>
                </c:pt>
                <c:pt idx="1098">
                  <c:v>2.2316137658654109</c:v>
                </c:pt>
                <c:pt idx="1099">
                  <c:v>2.2226560687609767</c:v>
                </c:pt>
                <c:pt idx="1100">
                  <c:v>2.245551157288562</c:v>
                </c:pt>
                <c:pt idx="1101">
                  <c:v>2.3706539182259396</c:v>
                </c:pt>
                <c:pt idx="1102">
                  <c:v>2.3132660893204657</c:v>
                </c:pt>
                <c:pt idx="1103">
                  <c:v>2.2811400658442702</c:v>
                </c:pt>
                <c:pt idx="1104">
                  <c:v>2.3122499864850257</c:v>
                </c:pt>
                <c:pt idx="1105">
                  <c:v>2.2071927872299693</c:v>
                </c:pt>
                <c:pt idx="1106">
                  <c:v>2.2760711763914592</c:v>
                </c:pt>
                <c:pt idx="1107">
                  <c:v>2.2588713996153036</c:v>
                </c:pt>
                <c:pt idx="1108">
                  <c:v>2.2299103120977759</c:v>
                </c:pt>
                <c:pt idx="1109">
                  <c:v>2.2301569451498251</c:v>
                </c:pt>
                <c:pt idx="1110">
                  <c:v>2.2219135896789504</c:v>
                </c:pt>
                <c:pt idx="1111">
                  <c:v>2.1110187114282053</c:v>
                </c:pt>
                <c:pt idx="1112">
                  <c:v>2.3212496634356246</c:v>
                </c:pt>
                <c:pt idx="1113">
                  <c:v>2.2896506283710623</c:v>
                </c:pt>
                <c:pt idx="1114">
                  <c:v>2.2418296099391672</c:v>
                </c:pt>
                <c:pt idx="1115">
                  <c:v>2.2545953073667122</c:v>
                </c:pt>
                <c:pt idx="1116">
                  <c:v>2.1695391215647621</c:v>
                </c:pt>
                <c:pt idx="1117">
                  <c:v>2.1971344974762013</c:v>
                </c:pt>
                <c:pt idx="1118">
                  <c:v>2.1863439802556228</c:v>
                </c:pt>
                <c:pt idx="1119">
                  <c:v>2.2242751628339512</c:v>
                </c:pt>
                <c:pt idx="1120">
                  <c:v>2.211628359376864</c:v>
                </c:pt>
                <c:pt idx="1121">
                  <c:v>2.1827734651126764</c:v>
                </c:pt>
                <c:pt idx="1122">
                  <c:v>2.2141589825484527</c:v>
                </c:pt>
                <c:pt idx="1123">
                  <c:v>2.2808112591795053</c:v>
                </c:pt>
                <c:pt idx="1124">
                  <c:v>2.2246797522340152</c:v>
                </c:pt>
                <c:pt idx="1125">
                  <c:v>2.1747873459260334</c:v>
                </c:pt>
                <c:pt idx="1126">
                  <c:v>2.1749482752470231</c:v>
                </c:pt>
                <c:pt idx="1127">
                  <c:v>2.3753947040439409</c:v>
                </c:pt>
                <c:pt idx="1128">
                  <c:v>2.2726416347501868</c:v>
                </c:pt>
                <c:pt idx="1129">
                  <c:v>2.2983907413666635</c:v>
                </c:pt>
                <c:pt idx="1130">
                  <c:v>2.2552383466055201</c:v>
                </c:pt>
                <c:pt idx="1131">
                  <c:v>2.1678099547700209</c:v>
                </c:pt>
                <c:pt idx="1132">
                  <c:v>2.170023041352326</c:v>
                </c:pt>
                <c:pt idx="1133">
                  <c:v>2.2339650847763934</c:v>
                </c:pt>
                <c:pt idx="1134">
                  <c:v>2.2945587811167534</c:v>
                </c:pt>
                <c:pt idx="1135">
                  <c:v>2.2205629916757594</c:v>
                </c:pt>
                <c:pt idx="1136">
                  <c:v>2.20476756144497</c:v>
                </c:pt>
                <c:pt idx="1137">
                  <c:v>2.2580744009000231</c:v>
                </c:pt>
                <c:pt idx="1138">
                  <c:v>2.2737853900489382</c:v>
                </c:pt>
                <c:pt idx="1139">
                  <c:v>2.2660317738284252</c:v>
                </c:pt>
                <c:pt idx="1140">
                  <c:v>2.1661486560252508</c:v>
                </c:pt>
                <c:pt idx="1141">
                  <c:v>2.2629184695874485</c:v>
                </c:pt>
                <c:pt idx="1142">
                  <c:v>2.2367163432138639</c:v>
                </c:pt>
                <c:pt idx="1143">
                  <c:v>2.266384786394402</c:v>
                </c:pt>
                <c:pt idx="1144">
                  <c:v>2.2934035841953335</c:v>
                </c:pt>
                <c:pt idx="1145">
                  <c:v>2.2760711763914592</c:v>
                </c:pt>
                <c:pt idx="1146">
                  <c:v>2.2411827234743713</c:v>
                </c:pt>
                <c:pt idx="1147">
                  <c:v>2.1513251730038396</c:v>
                </c:pt>
                <c:pt idx="1148">
                  <c:v>2.228744040934266</c:v>
                </c:pt>
                <c:pt idx="1149">
                  <c:v>2.1854976549975982</c:v>
                </c:pt>
                <c:pt idx="1150">
                  <c:v>2.0838665984174711</c:v>
                </c:pt>
                <c:pt idx="1151">
                  <c:v>2.1742354978244651</c:v>
                </c:pt>
                <c:pt idx="1152">
                  <c:v>2.21054291973714</c:v>
                </c:pt>
                <c:pt idx="1153">
                  <c:v>2.3104112188093273</c:v>
                </c:pt>
                <c:pt idx="1154">
                  <c:v>2.2875751353780709</c:v>
                </c:pt>
                <c:pt idx="1155">
                  <c:v>2.2865257488163127</c:v>
                </c:pt>
                <c:pt idx="1156">
                  <c:v>2.2945587811167534</c:v>
                </c:pt>
                <c:pt idx="1157">
                  <c:v>2.3122499864850257</c:v>
                </c:pt>
                <c:pt idx="1158">
                  <c:v>2.3129418496797536</c:v>
                </c:pt>
                <c:pt idx="1159">
                  <c:v>2.204835594777987</c:v>
                </c:pt>
                <c:pt idx="1160">
                  <c:v>2.1854976549975982</c:v>
                </c:pt>
                <c:pt idx="1161">
                  <c:v>2.1799541279577421</c:v>
                </c:pt>
                <c:pt idx="1162">
                  <c:v>2.2155134844996995</c:v>
                </c:pt>
                <c:pt idx="1163">
                  <c:v>2.1791053209975879</c:v>
                </c:pt>
                <c:pt idx="1164">
                  <c:v>2.2297085011274453</c:v>
                </c:pt>
                <c:pt idx="1165">
                  <c:v>2.2466196829904255</c:v>
                </c:pt>
                <c:pt idx="1166">
                  <c:v>2.17846276075585</c:v>
                </c:pt>
                <c:pt idx="1167">
                  <c:v>2.1109239683134016</c:v>
                </c:pt>
                <c:pt idx="1168">
                  <c:v>2.1742354978244651</c:v>
                </c:pt>
                <c:pt idx="1169">
                  <c:v>2.2723776094654689</c:v>
                </c:pt>
                <c:pt idx="1170">
                  <c:v>2.1242645786248002</c:v>
                </c:pt>
                <c:pt idx="1171">
                  <c:v>2.2408257406590097</c:v>
                </c:pt>
                <c:pt idx="1172">
                  <c:v>2.1850400453996257</c:v>
                </c:pt>
                <c:pt idx="1173">
                  <c:v>2.1172859986312664</c:v>
                </c:pt>
                <c:pt idx="1174">
                  <c:v>2.1601157376399995</c:v>
                </c:pt>
                <c:pt idx="1175">
                  <c:v>2.2370739817896057</c:v>
                </c:pt>
                <c:pt idx="1176">
                  <c:v>2.116317556511782</c:v>
                </c:pt>
                <c:pt idx="1177">
                  <c:v>2.1574522010927613</c:v>
                </c:pt>
                <c:pt idx="1178">
                  <c:v>2.2411827234743709</c:v>
                </c:pt>
                <c:pt idx="1179">
                  <c:v>2.3170886905770356</c:v>
                </c:pt>
                <c:pt idx="1180">
                  <c:v>2.2360679774997898</c:v>
                </c:pt>
                <c:pt idx="1181">
                  <c:v>2.1517667159801501</c:v>
                </c:pt>
                <c:pt idx="1182">
                  <c:v>2.1953131895016709</c:v>
                </c:pt>
                <c:pt idx="1183">
                  <c:v>2.1868927728629037</c:v>
                </c:pt>
                <c:pt idx="1184">
                  <c:v>2.2063997824510411</c:v>
                </c:pt>
                <c:pt idx="1185">
                  <c:v>2.1883555469804259</c:v>
                </c:pt>
                <c:pt idx="1186">
                  <c:v>2.1535552001283831</c:v>
                </c:pt>
                <c:pt idx="1187">
                  <c:v>2.2163483480716657</c:v>
                </c:pt>
                <c:pt idx="1188">
                  <c:v>2.1446211786700236</c:v>
                </c:pt>
                <c:pt idx="1189">
                  <c:v>2.2629184695874485</c:v>
                </c:pt>
                <c:pt idx="1190">
                  <c:v>2.2354417907876734</c:v>
                </c:pt>
                <c:pt idx="1191">
                  <c:v>2.16453228204155</c:v>
                </c:pt>
                <c:pt idx="1192">
                  <c:v>2.1868927728629037</c:v>
                </c:pt>
                <c:pt idx="1193">
                  <c:v>2.2027482833950867</c:v>
                </c:pt>
                <c:pt idx="1194">
                  <c:v>2.1064187617850347</c:v>
                </c:pt>
                <c:pt idx="1195">
                  <c:v>2.1805733191066978</c:v>
                </c:pt>
                <c:pt idx="1196">
                  <c:v>2.125323504786977</c:v>
                </c:pt>
                <c:pt idx="1197">
                  <c:v>2.1523243250030886</c:v>
                </c:pt>
                <c:pt idx="1198">
                  <c:v>2.1965882636488794</c:v>
                </c:pt>
                <c:pt idx="1199">
                  <c:v>2.2140009033421828</c:v>
                </c:pt>
                <c:pt idx="1200">
                  <c:v>2.2437914341578185</c:v>
                </c:pt>
                <c:pt idx="1201">
                  <c:v>2.1623135757794243</c:v>
                </c:pt>
                <c:pt idx="1202">
                  <c:v>2.1923731434224423</c:v>
                </c:pt>
                <c:pt idx="1203">
                  <c:v>2.1333776037073231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7A-4EAB-8215-F3D3419BE4CE}"/>
            </c:ext>
          </c:extLst>
        </c:ser>
        <c:ser>
          <c:idx val="0"/>
          <c:order val="1"/>
          <c:tx>
            <c:strRef>
              <c:f>'HT 2017-07-05 BIG JIM'!$AI$1</c:f>
              <c:strCache>
                <c:ptCount val="1"/>
                <c:pt idx="0">
                  <c:v>fitwild-m</c:v>
                </c:pt>
              </c:strCache>
            </c:strRef>
          </c:tx>
          <c:spPr>
            <a:ln w="31750" cap="rnd" cmpd="sng" algn="ctr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JIM'!$G$1206:$G$1214</c:f>
              <c:numCache>
                <c:formatCode>General</c:formatCode>
                <c:ptCount val="9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</c:numCache>
            </c:numRef>
          </c:xVal>
          <c:yVal>
            <c:numRef>
              <c:f>'HT 2017-07-05 BIG JIM'!$AI$1206:$AI$1214</c:f>
              <c:numCache>
                <c:formatCode>General</c:formatCode>
                <c:ptCount val="9"/>
                <c:pt idx="0">
                  <c:v>0.91200866163948779</c:v>
                </c:pt>
                <c:pt idx="1">
                  <c:v>1.2525270139238316</c:v>
                </c:pt>
                <c:pt idx="2">
                  <c:v>1.6378921909425954</c:v>
                </c:pt>
                <c:pt idx="3">
                  <c:v>2.0663346239003633</c:v>
                </c:pt>
                <c:pt idx="4">
                  <c:v>2.5363798347821023</c:v>
                </c:pt>
                <c:pt idx="5">
                  <c:v>3.0467702406772248</c:v>
                </c:pt>
                <c:pt idx="6">
                  <c:v>3.5964137786907595</c:v>
                </c:pt>
                <c:pt idx="7">
                  <c:v>4.1843484521377796</c:v>
                </c:pt>
                <c:pt idx="8">
                  <c:v>4.8097169000118578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7A-4EAB-8215-F3D3419BE4CE}"/>
            </c:ext>
          </c:extLst>
        </c:ser>
        <c:ser>
          <c:idx val="21"/>
          <c:order val="2"/>
          <c:tx>
            <c:strRef>
              <c:f>'HT 2017-07-05 BIG JIM'!$W$1</c:f>
              <c:strCache>
                <c:ptCount val="1"/>
                <c:pt idx="0">
                  <c:v>wild-fx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0070C0"/>
                </a:solidFill>
                <a:prstDash val="solid"/>
                <a:round/>
              </a:ln>
            </c:spPr>
          </c:marker>
          <c:xVal>
            <c:numRef>
              <c:f>'HT 2017-07-05 BIG JIM'!$G$1008:$G$1205</c:f>
              <c:numCache>
                <c:formatCode>General</c:formatCode>
                <c:ptCount val="198"/>
                <c:pt idx="0">
                  <c:v>2.3576471322061749</c:v>
                </c:pt>
                <c:pt idx="1">
                  <c:v>2.2461522655421202</c:v>
                </c:pt>
                <c:pt idx="2">
                  <c:v>2.2475764725588316</c:v>
                </c:pt>
                <c:pt idx="3">
                  <c:v>2.2770595073471398</c:v>
                </c:pt>
                <c:pt idx="4">
                  <c:v>2.3400213674238106</c:v>
                </c:pt>
                <c:pt idx="5">
                  <c:v>2.3194827009486407</c:v>
                </c:pt>
                <c:pt idx="6">
                  <c:v>2.2405579662218069</c:v>
                </c:pt>
                <c:pt idx="7">
                  <c:v>2.2494888308235717</c:v>
                </c:pt>
                <c:pt idx="8">
                  <c:v>2.3034105148670307</c:v>
                </c:pt>
                <c:pt idx="9">
                  <c:v>2.2514439810930225</c:v>
                </c:pt>
                <c:pt idx="10">
                  <c:v>2.2624102192131295</c:v>
                </c:pt>
                <c:pt idx="11">
                  <c:v>2.2953213282675695</c:v>
                </c:pt>
                <c:pt idx="12">
                  <c:v>2.3119256043393785</c:v>
                </c:pt>
                <c:pt idx="13">
                  <c:v>2.1840558600914948</c:v>
                </c:pt>
                <c:pt idx="14">
                  <c:v>2.1849027438309467</c:v>
                </c:pt>
                <c:pt idx="15">
                  <c:v>2.2411827234743713</c:v>
                </c:pt>
                <c:pt idx="16">
                  <c:v>2.2276669409945464</c:v>
                </c:pt>
                <c:pt idx="17">
                  <c:v>2.1918029108475974</c:v>
                </c:pt>
                <c:pt idx="18">
                  <c:v>2.1741205118392126</c:v>
                </c:pt>
                <c:pt idx="19">
                  <c:v>2.1958369702689677</c:v>
                </c:pt>
                <c:pt idx="20">
                  <c:v>2.2323530186778258</c:v>
                </c:pt>
                <c:pt idx="21">
                  <c:v>2.2633824246026122</c:v>
                </c:pt>
                <c:pt idx="22">
                  <c:v>2.18929212303886</c:v>
                </c:pt>
                <c:pt idx="23">
                  <c:v>2.1742354978244651</c:v>
                </c:pt>
                <c:pt idx="24">
                  <c:v>2.1708293346092411</c:v>
                </c:pt>
                <c:pt idx="25">
                  <c:v>2.1964744478368057</c:v>
                </c:pt>
                <c:pt idx="26">
                  <c:v>2.22784649381415</c:v>
                </c:pt>
                <c:pt idx="27">
                  <c:v>2.2472205054244228</c:v>
                </c:pt>
                <c:pt idx="28">
                  <c:v>2.2900873345791855</c:v>
                </c:pt>
                <c:pt idx="29">
                  <c:v>2.1741205118392126</c:v>
                </c:pt>
                <c:pt idx="30">
                  <c:v>2.2587828580897278</c:v>
                </c:pt>
                <c:pt idx="31">
                  <c:v>2.2226560687609771</c:v>
                </c:pt>
                <c:pt idx="32">
                  <c:v>2.211628359376864</c:v>
                </c:pt>
                <c:pt idx="33">
                  <c:v>2.2643321311150446</c:v>
                </c:pt>
                <c:pt idx="34">
                  <c:v>2.2717834403833477</c:v>
                </c:pt>
                <c:pt idx="35">
                  <c:v>2.2458851261807671</c:v>
                </c:pt>
                <c:pt idx="36">
                  <c:v>2.2714973035423132</c:v>
                </c:pt>
                <c:pt idx="37">
                  <c:v>2.2775864418282792</c:v>
                </c:pt>
                <c:pt idx="38">
                  <c:v>2.2228135324403619</c:v>
                </c:pt>
                <c:pt idx="39">
                  <c:v>2.3078344827998389</c:v>
                </c:pt>
                <c:pt idx="40">
                  <c:v>2.2141589825484527</c:v>
                </c:pt>
                <c:pt idx="41">
                  <c:v>2.271079038695043</c:v>
                </c:pt>
                <c:pt idx="42">
                  <c:v>2.2370739817896053</c:v>
                </c:pt>
                <c:pt idx="43">
                  <c:v>2.315728826957077</c:v>
                </c:pt>
                <c:pt idx="44">
                  <c:v>2.2194819215303379</c:v>
                </c:pt>
                <c:pt idx="45">
                  <c:v>2.205311769342376</c:v>
                </c:pt>
                <c:pt idx="46">
                  <c:v>2.2579636843846713</c:v>
                </c:pt>
                <c:pt idx="47">
                  <c:v>2.2724656213021133</c:v>
                </c:pt>
                <c:pt idx="48">
                  <c:v>2.2189411889457547</c:v>
                </c:pt>
                <c:pt idx="49">
                  <c:v>2.2329352879114071</c:v>
                </c:pt>
                <c:pt idx="50">
                  <c:v>2.2569448376068033</c:v>
                </c:pt>
                <c:pt idx="51">
                  <c:v>2.3216588896735026</c:v>
                </c:pt>
                <c:pt idx="52">
                  <c:v>2.2135040094836058</c:v>
                </c:pt>
                <c:pt idx="53">
                  <c:v>2.2165288177689004</c:v>
                </c:pt>
                <c:pt idx="54">
                  <c:v>2.173683509621398</c:v>
                </c:pt>
                <c:pt idx="55">
                  <c:v>2.2346588106464931</c:v>
                </c:pt>
                <c:pt idx="56">
                  <c:v>2.2983907413666635</c:v>
                </c:pt>
                <c:pt idx="57">
                  <c:v>2.2005681084665389</c:v>
                </c:pt>
                <c:pt idx="58">
                  <c:v>2.2994347131414714</c:v>
                </c:pt>
                <c:pt idx="59">
                  <c:v>2.28177562437677</c:v>
                </c:pt>
                <c:pt idx="60">
                  <c:v>2.2368057582186256</c:v>
                </c:pt>
                <c:pt idx="61">
                  <c:v>2.2260727750906981</c:v>
                </c:pt>
                <c:pt idx="62">
                  <c:v>2.3307724041613334</c:v>
                </c:pt>
                <c:pt idx="63">
                  <c:v>2.2541739063346466</c:v>
                </c:pt>
                <c:pt idx="64">
                  <c:v>2.2662965384079814</c:v>
                </c:pt>
                <c:pt idx="65">
                  <c:v>2.2135265979879257</c:v>
                </c:pt>
                <c:pt idx="66">
                  <c:v>2.2214634815814551</c:v>
                </c:pt>
                <c:pt idx="67">
                  <c:v>2.2629184695874485</c:v>
                </c:pt>
                <c:pt idx="68">
                  <c:v>2.2214634815814551</c:v>
                </c:pt>
                <c:pt idx="69">
                  <c:v>2.2748186740925087</c:v>
                </c:pt>
                <c:pt idx="70">
                  <c:v>2.2280035906613795</c:v>
                </c:pt>
                <c:pt idx="71">
                  <c:v>2.2257582977493309</c:v>
                </c:pt>
                <c:pt idx="72">
                  <c:v>2.2022942582679548</c:v>
                </c:pt>
                <c:pt idx="73">
                  <c:v>2.2418073066166948</c:v>
                </c:pt>
                <c:pt idx="74">
                  <c:v>2.2510886255321005</c:v>
                </c:pt>
                <c:pt idx="75">
                  <c:v>2.3108656386730928</c:v>
                </c:pt>
                <c:pt idx="76">
                  <c:v>2.2610838109190028</c:v>
                </c:pt>
                <c:pt idx="77">
                  <c:v>2.2227910383119687</c:v>
                </c:pt>
                <c:pt idx="78">
                  <c:v>2.2624102192131295</c:v>
                </c:pt>
                <c:pt idx="79">
                  <c:v>2.2587828580897278</c:v>
                </c:pt>
                <c:pt idx="80">
                  <c:v>2.2316137658654109</c:v>
                </c:pt>
                <c:pt idx="81">
                  <c:v>2.3157288269570766</c:v>
                </c:pt>
                <c:pt idx="82">
                  <c:v>2.240089283934906</c:v>
                </c:pt>
                <c:pt idx="83">
                  <c:v>2.3256181973832248</c:v>
                </c:pt>
                <c:pt idx="84">
                  <c:v>2.2537524265100637</c:v>
                </c:pt>
                <c:pt idx="85">
                  <c:v>2.295778734982969</c:v>
                </c:pt>
                <c:pt idx="86">
                  <c:v>2.2155134844996995</c:v>
                </c:pt>
                <c:pt idx="87">
                  <c:v>2.3343735776434755</c:v>
                </c:pt>
                <c:pt idx="88">
                  <c:v>2.2897379762758883</c:v>
                </c:pt>
                <c:pt idx="89">
                  <c:v>2.26503863101714</c:v>
                </c:pt>
                <c:pt idx="90">
                  <c:v>2.2737853900489378</c:v>
                </c:pt>
                <c:pt idx="91">
                  <c:v>2.2724656213021133</c:v>
                </c:pt>
                <c:pt idx="92">
                  <c:v>2.2316137658654109</c:v>
                </c:pt>
                <c:pt idx="93">
                  <c:v>2.2226560687609767</c:v>
                </c:pt>
                <c:pt idx="94">
                  <c:v>2.245551157288562</c:v>
                </c:pt>
                <c:pt idx="95">
                  <c:v>2.3706539182259396</c:v>
                </c:pt>
                <c:pt idx="96">
                  <c:v>2.3132660893204657</c:v>
                </c:pt>
                <c:pt idx="97">
                  <c:v>2.2811400658442702</c:v>
                </c:pt>
                <c:pt idx="98">
                  <c:v>2.3122499864850257</c:v>
                </c:pt>
                <c:pt idx="99">
                  <c:v>2.2071927872299693</c:v>
                </c:pt>
                <c:pt idx="100">
                  <c:v>2.2760711763914592</c:v>
                </c:pt>
                <c:pt idx="101">
                  <c:v>2.2588713996153036</c:v>
                </c:pt>
                <c:pt idx="102">
                  <c:v>2.2299103120977759</c:v>
                </c:pt>
                <c:pt idx="103">
                  <c:v>2.2301569451498251</c:v>
                </c:pt>
                <c:pt idx="104">
                  <c:v>2.2219135896789504</c:v>
                </c:pt>
                <c:pt idx="105">
                  <c:v>2.1110187114282053</c:v>
                </c:pt>
                <c:pt idx="106">
                  <c:v>2.3212496634356246</c:v>
                </c:pt>
                <c:pt idx="107">
                  <c:v>2.2896506283710623</c:v>
                </c:pt>
                <c:pt idx="108">
                  <c:v>2.2418296099391672</c:v>
                </c:pt>
                <c:pt idx="109">
                  <c:v>2.2545953073667122</c:v>
                </c:pt>
                <c:pt idx="110">
                  <c:v>2.1695391215647621</c:v>
                </c:pt>
                <c:pt idx="111">
                  <c:v>2.1971344974762013</c:v>
                </c:pt>
                <c:pt idx="112">
                  <c:v>2.1863439802556228</c:v>
                </c:pt>
                <c:pt idx="113">
                  <c:v>2.2242751628339512</c:v>
                </c:pt>
                <c:pt idx="114">
                  <c:v>2.211628359376864</c:v>
                </c:pt>
                <c:pt idx="115">
                  <c:v>2.1827734651126764</c:v>
                </c:pt>
                <c:pt idx="116">
                  <c:v>2.2141589825484527</c:v>
                </c:pt>
                <c:pt idx="117">
                  <c:v>2.2808112591795053</c:v>
                </c:pt>
                <c:pt idx="118">
                  <c:v>2.2246797522340152</c:v>
                </c:pt>
                <c:pt idx="119">
                  <c:v>2.1747873459260334</c:v>
                </c:pt>
                <c:pt idx="120">
                  <c:v>2.1749482752470231</c:v>
                </c:pt>
                <c:pt idx="121">
                  <c:v>2.3753947040439409</c:v>
                </c:pt>
                <c:pt idx="122">
                  <c:v>2.2726416347501868</c:v>
                </c:pt>
                <c:pt idx="123">
                  <c:v>2.2983907413666635</c:v>
                </c:pt>
                <c:pt idx="124">
                  <c:v>2.2552383466055201</c:v>
                </c:pt>
                <c:pt idx="125">
                  <c:v>2.1678099547700209</c:v>
                </c:pt>
                <c:pt idx="126">
                  <c:v>2.170023041352326</c:v>
                </c:pt>
                <c:pt idx="127">
                  <c:v>2.2339650847763934</c:v>
                </c:pt>
                <c:pt idx="128">
                  <c:v>2.2945587811167534</c:v>
                </c:pt>
                <c:pt idx="129">
                  <c:v>2.2205629916757594</c:v>
                </c:pt>
                <c:pt idx="130">
                  <c:v>2.20476756144497</c:v>
                </c:pt>
                <c:pt idx="131">
                  <c:v>2.2580744009000231</c:v>
                </c:pt>
                <c:pt idx="132">
                  <c:v>2.2737853900489382</c:v>
                </c:pt>
                <c:pt idx="133">
                  <c:v>2.2660317738284252</c:v>
                </c:pt>
                <c:pt idx="134">
                  <c:v>2.1661486560252508</c:v>
                </c:pt>
                <c:pt idx="135">
                  <c:v>2.2629184695874485</c:v>
                </c:pt>
                <c:pt idx="136">
                  <c:v>2.2367163432138639</c:v>
                </c:pt>
                <c:pt idx="137">
                  <c:v>2.266384786394402</c:v>
                </c:pt>
                <c:pt idx="138">
                  <c:v>2.2934035841953335</c:v>
                </c:pt>
                <c:pt idx="139">
                  <c:v>2.2760711763914592</c:v>
                </c:pt>
                <c:pt idx="140">
                  <c:v>2.2411827234743713</c:v>
                </c:pt>
                <c:pt idx="141">
                  <c:v>2.1513251730038396</c:v>
                </c:pt>
                <c:pt idx="142">
                  <c:v>2.228744040934266</c:v>
                </c:pt>
                <c:pt idx="143">
                  <c:v>2.1854976549975982</c:v>
                </c:pt>
                <c:pt idx="144">
                  <c:v>2.0838665984174711</c:v>
                </c:pt>
                <c:pt idx="145">
                  <c:v>2.1742354978244651</c:v>
                </c:pt>
                <c:pt idx="146">
                  <c:v>2.21054291973714</c:v>
                </c:pt>
                <c:pt idx="147">
                  <c:v>2.3104112188093273</c:v>
                </c:pt>
                <c:pt idx="148">
                  <c:v>2.2875751353780709</c:v>
                </c:pt>
                <c:pt idx="149">
                  <c:v>2.2865257488163127</c:v>
                </c:pt>
                <c:pt idx="150">
                  <c:v>2.2945587811167534</c:v>
                </c:pt>
                <c:pt idx="151">
                  <c:v>2.3122499864850257</c:v>
                </c:pt>
                <c:pt idx="152">
                  <c:v>2.3129418496797536</c:v>
                </c:pt>
                <c:pt idx="153">
                  <c:v>2.204835594777987</c:v>
                </c:pt>
                <c:pt idx="154">
                  <c:v>2.1854976549975982</c:v>
                </c:pt>
                <c:pt idx="155">
                  <c:v>2.1799541279577421</c:v>
                </c:pt>
                <c:pt idx="156">
                  <c:v>2.2155134844996995</c:v>
                </c:pt>
                <c:pt idx="157">
                  <c:v>2.1791053209975879</c:v>
                </c:pt>
                <c:pt idx="158">
                  <c:v>2.2297085011274453</c:v>
                </c:pt>
                <c:pt idx="159">
                  <c:v>2.2466196829904255</c:v>
                </c:pt>
                <c:pt idx="160">
                  <c:v>2.17846276075585</c:v>
                </c:pt>
                <c:pt idx="161">
                  <c:v>2.1109239683134016</c:v>
                </c:pt>
                <c:pt idx="162">
                  <c:v>2.1742354978244651</c:v>
                </c:pt>
                <c:pt idx="163">
                  <c:v>2.2723776094654689</c:v>
                </c:pt>
                <c:pt idx="164">
                  <c:v>2.1242645786248002</c:v>
                </c:pt>
                <c:pt idx="165">
                  <c:v>2.2408257406590097</c:v>
                </c:pt>
                <c:pt idx="166">
                  <c:v>2.1850400453996257</c:v>
                </c:pt>
                <c:pt idx="167">
                  <c:v>2.1172859986312664</c:v>
                </c:pt>
                <c:pt idx="168">
                  <c:v>2.1601157376399995</c:v>
                </c:pt>
                <c:pt idx="169">
                  <c:v>2.2370739817896057</c:v>
                </c:pt>
                <c:pt idx="170">
                  <c:v>2.116317556511782</c:v>
                </c:pt>
                <c:pt idx="171">
                  <c:v>2.1574522010927613</c:v>
                </c:pt>
                <c:pt idx="172">
                  <c:v>2.2411827234743709</c:v>
                </c:pt>
                <c:pt idx="173">
                  <c:v>2.3170886905770356</c:v>
                </c:pt>
                <c:pt idx="174">
                  <c:v>2.2360679774997898</c:v>
                </c:pt>
                <c:pt idx="175">
                  <c:v>2.1517667159801501</c:v>
                </c:pt>
                <c:pt idx="176">
                  <c:v>2.1953131895016709</c:v>
                </c:pt>
                <c:pt idx="177">
                  <c:v>2.1868927728629037</c:v>
                </c:pt>
                <c:pt idx="178">
                  <c:v>2.2063997824510411</c:v>
                </c:pt>
                <c:pt idx="179">
                  <c:v>2.1883555469804259</c:v>
                </c:pt>
                <c:pt idx="180">
                  <c:v>2.1535552001283831</c:v>
                </c:pt>
                <c:pt idx="181">
                  <c:v>2.2163483480716657</c:v>
                </c:pt>
                <c:pt idx="182">
                  <c:v>2.1446211786700236</c:v>
                </c:pt>
                <c:pt idx="183">
                  <c:v>2.2629184695874485</c:v>
                </c:pt>
                <c:pt idx="184">
                  <c:v>2.2354417907876734</c:v>
                </c:pt>
                <c:pt idx="185">
                  <c:v>2.16453228204155</c:v>
                </c:pt>
                <c:pt idx="186">
                  <c:v>2.1868927728629037</c:v>
                </c:pt>
                <c:pt idx="187">
                  <c:v>2.2027482833950867</c:v>
                </c:pt>
                <c:pt idx="188">
                  <c:v>2.1064187617850347</c:v>
                </c:pt>
                <c:pt idx="189">
                  <c:v>2.1805733191066978</c:v>
                </c:pt>
                <c:pt idx="190">
                  <c:v>2.125323504786977</c:v>
                </c:pt>
                <c:pt idx="191">
                  <c:v>2.1523243250030886</c:v>
                </c:pt>
                <c:pt idx="192">
                  <c:v>2.1965882636488794</c:v>
                </c:pt>
                <c:pt idx="193">
                  <c:v>2.2140009033421828</c:v>
                </c:pt>
                <c:pt idx="194">
                  <c:v>2.2437914341578185</c:v>
                </c:pt>
                <c:pt idx="195">
                  <c:v>2.1623135757794243</c:v>
                </c:pt>
                <c:pt idx="196">
                  <c:v>2.1923731434224423</c:v>
                </c:pt>
                <c:pt idx="197">
                  <c:v>2.1333776037073231</c:v>
                </c:pt>
              </c:numCache>
            </c:numRef>
          </c:xVal>
          <c:yVal>
            <c:numRef>
              <c:f>'HT 2017-07-05 BIG JIM'!$W$1008:$W$1205</c:f>
              <c:numCache>
                <c:formatCode>General</c:formatCode>
                <c:ptCount val="19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7A-4EAB-8215-F3D3419BE4CE}"/>
            </c:ext>
          </c:extLst>
        </c:ser>
        <c:ser>
          <c:idx val="22"/>
          <c:order val="3"/>
          <c:tx>
            <c:strRef>
              <c:f>'HT 2017-07-05 BIG JIM'!$AE$1</c:f>
              <c:strCache>
                <c:ptCount val="1"/>
                <c:pt idx="0">
                  <c:v>wild-fz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circle"/>
            <c:size val="3"/>
            <c:spPr>
              <a:noFill/>
              <a:ln w="6350" cap="flat" cmpd="sng" algn="ctr">
                <a:solidFill>
                  <a:srgbClr val="0070C0"/>
                </a:solidFill>
                <a:prstDash val="solid"/>
                <a:round/>
              </a:ln>
            </c:spPr>
          </c:marker>
          <c:xVal>
            <c:numRef>
              <c:f>'HT 2017-07-05 BIG JIM'!$G$1105:$G$1205</c:f>
              <c:numCache>
                <c:formatCode>General</c:formatCode>
                <c:ptCount val="101"/>
                <c:pt idx="0">
                  <c:v>2.2811400658442702</c:v>
                </c:pt>
                <c:pt idx="1">
                  <c:v>2.3122499864850257</c:v>
                </c:pt>
                <c:pt idx="2">
                  <c:v>2.2071927872299693</c:v>
                </c:pt>
                <c:pt idx="3">
                  <c:v>2.2760711763914592</c:v>
                </c:pt>
                <c:pt idx="4">
                  <c:v>2.2588713996153036</c:v>
                </c:pt>
                <c:pt idx="5">
                  <c:v>2.2299103120977759</c:v>
                </c:pt>
                <c:pt idx="6">
                  <c:v>2.2301569451498251</c:v>
                </c:pt>
                <c:pt idx="7">
                  <c:v>2.2219135896789504</c:v>
                </c:pt>
                <c:pt idx="8">
                  <c:v>2.1110187114282053</c:v>
                </c:pt>
                <c:pt idx="9">
                  <c:v>2.3212496634356246</c:v>
                </c:pt>
                <c:pt idx="10">
                  <c:v>2.2896506283710623</c:v>
                </c:pt>
                <c:pt idx="11">
                  <c:v>2.2418296099391672</c:v>
                </c:pt>
                <c:pt idx="12">
                  <c:v>2.2545953073667122</c:v>
                </c:pt>
                <c:pt idx="13">
                  <c:v>2.1695391215647621</c:v>
                </c:pt>
                <c:pt idx="14">
                  <c:v>2.1971344974762013</c:v>
                </c:pt>
                <c:pt idx="15">
                  <c:v>2.1863439802556228</c:v>
                </c:pt>
                <c:pt idx="16">
                  <c:v>2.2242751628339512</c:v>
                </c:pt>
                <c:pt idx="17">
                  <c:v>2.211628359376864</c:v>
                </c:pt>
                <c:pt idx="18">
                  <c:v>2.1827734651126764</c:v>
                </c:pt>
                <c:pt idx="19">
                  <c:v>2.2141589825484527</c:v>
                </c:pt>
                <c:pt idx="20">
                  <c:v>2.2808112591795053</c:v>
                </c:pt>
                <c:pt idx="21">
                  <c:v>2.2246797522340152</c:v>
                </c:pt>
                <c:pt idx="22">
                  <c:v>2.1747873459260334</c:v>
                </c:pt>
                <c:pt idx="23">
                  <c:v>2.1749482752470231</c:v>
                </c:pt>
                <c:pt idx="24">
                  <c:v>2.3753947040439409</c:v>
                </c:pt>
                <c:pt idx="25">
                  <c:v>2.2726416347501868</c:v>
                </c:pt>
                <c:pt idx="26">
                  <c:v>2.2983907413666635</c:v>
                </c:pt>
                <c:pt idx="27">
                  <c:v>2.2552383466055201</c:v>
                </c:pt>
                <c:pt idx="28">
                  <c:v>2.1678099547700209</c:v>
                </c:pt>
                <c:pt idx="29">
                  <c:v>2.170023041352326</c:v>
                </c:pt>
                <c:pt idx="30">
                  <c:v>2.2339650847763934</c:v>
                </c:pt>
                <c:pt idx="31">
                  <c:v>2.2945587811167534</c:v>
                </c:pt>
                <c:pt idx="32">
                  <c:v>2.2205629916757594</c:v>
                </c:pt>
                <c:pt idx="33">
                  <c:v>2.20476756144497</c:v>
                </c:pt>
                <c:pt idx="34">
                  <c:v>2.2580744009000231</c:v>
                </c:pt>
                <c:pt idx="35">
                  <c:v>2.2737853900489382</c:v>
                </c:pt>
                <c:pt idx="36">
                  <c:v>2.2660317738284252</c:v>
                </c:pt>
                <c:pt idx="37">
                  <c:v>2.1661486560252508</c:v>
                </c:pt>
                <c:pt idx="38">
                  <c:v>2.2629184695874485</c:v>
                </c:pt>
                <c:pt idx="39">
                  <c:v>2.2367163432138639</c:v>
                </c:pt>
                <c:pt idx="40">
                  <c:v>2.266384786394402</c:v>
                </c:pt>
                <c:pt idx="41">
                  <c:v>2.2934035841953335</c:v>
                </c:pt>
                <c:pt idx="42">
                  <c:v>2.2760711763914592</c:v>
                </c:pt>
                <c:pt idx="43">
                  <c:v>2.2411827234743713</c:v>
                </c:pt>
                <c:pt idx="44">
                  <c:v>2.1513251730038396</c:v>
                </c:pt>
                <c:pt idx="45">
                  <c:v>2.228744040934266</c:v>
                </c:pt>
                <c:pt idx="46">
                  <c:v>2.1854976549975982</c:v>
                </c:pt>
                <c:pt idx="47">
                  <c:v>2.0838665984174711</c:v>
                </c:pt>
                <c:pt idx="48">
                  <c:v>2.1742354978244651</c:v>
                </c:pt>
                <c:pt idx="49">
                  <c:v>2.21054291973714</c:v>
                </c:pt>
                <c:pt idx="50">
                  <c:v>2.3104112188093273</c:v>
                </c:pt>
                <c:pt idx="51">
                  <c:v>2.2875751353780709</c:v>
                </c:pt>
                <c:pt idx="52">
                  <c:v>2.2865257488163127</c:v>
                </c:pt>
                <c:pt idx="53">
                  <c:v>2.2945587811167534</c:v>
                </c:pt>
                <c:pt idx="54">
                  <c:v>2.3122499864850257</c:v>
                </c:pt>
                <c:pt idx="55">
                  <c:v>2.3129418496797536</c:v>
                </c:pt>
                <c:pt idx="56">
                  <c:v>2.204835594777987</c:v>
                </c:pt>
                <c:pt idx="57">
                  <c:v>2.1854976549975982</c:v>
                </c:pt>
                <c:pt idx="58">
                  <c:v>2.1799541279577421</c:v>
                </c:pt>
                <c:pt idx="59">
                  <c:v>2.2155134844996995</c:v>
                </c:pt>
                <c:pt idx="60">
                  <c:v>2.1791053209975879</c:v>
                </c:pt>
                <c:pt idx="61">
                  <c:v>2.2297085011274453</c:v>
                </c:pt>
                <c:pt idx="62">
                  <c:v>2.2466196829904255</c:v>
                </c:pt>
                <c:pt idx="63">
                  <c:v>2.17846276075585</c:v>
                </c:pt>
                <c:pt idx="64">
                  <c:v>2.1109239683134016</c:v>
                </c:pt>
                <c:pt idx="65">
                  <c:v>2.1742354978244651</c:v>
                </c:pt>
                <c:pt idx="66">
                  <c:v>2.2723776094654689</c:v>
                </c:pt>
                <c:pt idx="67">
                  <c:v>2.1242645786248002</c:v>
                </c:pt>
                <c:pt idx="68">
                  <c:v>2.2408257406590097</c:v>
                </c:pt>
                <c:pt idx="69">
                  <c:v>2.1850400453996257</c:v>
                </c:pt>
                <c:pt idx="70">
                  <c:v>2.1172859986312664</c:v>
                </c:pt>
                <c:pt idx="71">
                  <c:v>2.1601157376399995</c:v>
                </c:pt>
                <c:pt idx="72">
                  <c:v>2.2370739817896057</c:v>
                </c:pt>
                <c:pt idx="73">
                  <c:v>2.116317556511782</c:v>
                </c:pt>
                <c:pt idx="74">
                  <c:v>2.1574522010927613</c:v>
                </c:pt>
                <c:pt idx="75">
                  <c:v>2.2411827234743709</c:v>
                </c:pt>
                <c:pt idx="76">
                  <c:v>2.3170886905770356</c:v>
                </c:pt>
                <c:pt idx="77">
                  <c:v>2.2360679774997898</c:v>
                </c:pt>
                <c:pt idx="78">
                  <c:v>2.1517667159801501</c:v>
                </c:pt>
                <c:pt idx="79">
                  <c:v>2.1953131895016709</c:v>
                </c:pt>
                <c:pt idx="80">
                  <c:v>2.1868927728629037</c:v>
                </c:pt>
                <c:pt idx="81">
                  <c:v>2.2063997824510411</c:v>
                </c:pt>
                <c:pt idx="82">
                  <c:v>2.1883555469804259</c:v>
                </c:pt>
                <c:pt idx="83">
                  <c:v>2.1535552001283831</c:v>
                </c:pt>
                <c:pt idx="84">
                  <c:v>2.2163483480716657</c:v>
                </c:pt>
                <c:pt idx="85">
                  <c:v>2.1446211786700236</c:v>
                </c:pt>
                <c:pt idx="86">
                  <c:v>2.2629184695874485</c:v>
                </c:pt>
                <c:pt idx="87">
                  <c:v>2.2354417907876734</c:v>
                </c:pt>
                <c:pt idx="88">
                  <c:v>2.16453228204155</c:v>
                </c:pt>
                <c:pt idx="89">
                  <c:v>2.1868927728629037</c:v>
                </c:pt>
                <c:pt idx="90">
                  <c:v>2.2027482833950867</c:v>
                </c:pt>
                <c:pt idx="91">
                  <c:v>2.1064187617850347</c:v>
                </c:pt>
                <c:pt idx="92">
                  <c:v>2.1805733191066978</c:v>
                </c:pt>
                <c:pt idx="93">
                  <c:v>2.125323504786977</c:v>
                </c:pt>
                <c:pt idx="94">
                  <c:v>2.1523243250030886</c:v>
                </c:pt>
                <c:pt idx="95">
                  <c:v>2.1965882636488794</c:v>
                </c:pt>
                <c:pt idx="96">
                  <c:v>2.2140009033421828</c:v>
                </c:pt>
                <c:pt idx="97">
                  <c:v>2.2437914341578185</c:v>
                </c:pt>
                <c:pt idx="98">
                  <c:v>2.1623135757794243</c:v>
                </c:pt>
                <c:pt idx="99">
                  <c:v>2.1923731434224423</c:v>
                </c:pt>
                <c:pt idx="100">
                  <c:v>2.1333776037073231</c:v>
                </c:pt>
              </c:numCache>
            </c:numRef>
          </c:xVal>
          <c:yVal>
            <c:numRef>
              <c:f>'HT 2017-07-05 BIG JIM'!$AE$1105:$AE$1205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7A-4EAB-8215-F3D3419BE4CE}"/>
            </c:ext>
          </c:extLst>
        </c:ser>
        <c:ser>
          <c:idx val="1"/>
          <c:order val="4"/>
          <c:tx>
            <c:strRef>
              <c:f>'HT 2017-07-05 BIG JIM'!$AF$1</c:f>
              <c:strCache>
                <c:ptCount val="1"/>
                <c:pt idx="0">
                  <c:v>sel-mz</c:v>
                </c:pt>
              </c:strCache>
            </c:strRef>
          </c:tx>
          <c:spPr>
            <a:ln w="28575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noFill/>
              <a:ln w="9525" cap="flat" cmpd="sng" algn="ctr">
                <a:solidFill>
                  <a:srgbClr val="C00000"/>
                </a:solidFill>
                <a:prstDash val="solid"/>
                <a:round/>
              </a:ln>
              <a:effectLst/>
            </c:spPr>
          </c:marker>
          <c:xVal>
            <c:numRef>
              <c:f>'HT 2017-07-05 BIG JIM'!$F$2:$F$1205</c:f>
              <c:numCache>
                <c:formatCode>General</c:formatCode>
                <c:ptCount val="1204"/>
                <c:pt idx="0">
                  <c:v>1.0331690523212</c:v>
                </c:pt>
                <c:pt idx="1">
                  <c:v>1.0183068602155201</c:v>
                </c:pt>
                <c:pt idx="2">
                  <c:v>1.0606308936589901</c:v>
                </c:pt>
                <c:pt idx="3">
                  <c:v>1.0589536576499501</c:v>
                </c:pt>
                <c:pt idx="4">
                  <c:v>1.0355318055549201</c:v>
                </c:pt>
                <c:pt idx="5">
                  <c:v>1.04060289618414</c:v>
                </c:pt>
                <c:pt idx="6">
                  <c:v>1.0405001745631299</c:v>
                </c:pt>
                <c:pt idx="7">
                  <c:v>1.0046736234209599</c:v>
                </c:pt>
                <c:pt idx="8">
                  <c:v>1.01852266237482</c:v>
                </c:pt>
                <c:pt idx="9">
                  <c:v>1.0323386370761001</c:v>
                </c:pt>
                <c:pt idx="10">
                  <c:v>1.0188396638242201</c:v>
                </c:pt>
                <c:pt idx="11">
                  <c:v>1.0171257259091899</c:v>
                </c:pt>
                <c:pt idx="12">
                  <c:v>1.0463802711827801</c:v>
                </c:pt>
                <c:pt idx="13">
                  <c:v>1.0366041679678299</c:v>
                </c:pt>
                <c:pt idx="14">
                  <c:v>1.03101561881241</c:v>
                </c:pt>
                <c:pt idx="15">
                  <c:v>1.0484699780106601</c:v>
                </c:pt>
                <c:pt idx="16">
                  <c:v>1.0535142245542599</c:v>
                </c:pt>
                <c:pt idx="17">
                  <c:v>1.02260137255117</c:v>
                </c:pt>
                <c:pt idx="18">
                  <c:v>1.04822529650096</c:v>
                </c:pt>
                <c:pt idx="19">
                  <c:v>1.07809879838098</c:v>
                </c:pt>
                <c:pt idx="20">
                  <c:v>1.03159798730285</c:v>
                </c:pt>
                <c:pt idx="21">
                  <c:v>1.0302863956561099</c:v>
                </c:pt>
                <c:pt idx="22">
                  <c:v>1.05760745007708</c:v>
                </c:pt>
                <c:pt idx="23">
                  <c:v>1.03344983734669</c:v>
                </c:pt>
                <c:pt idx="24">
                  <c:v>1.0482921016084501</c:v>
                </c:pt>
                <c:pt idx="25">
                  <c:v>1.02114180347437</c:v>
                </c:pt>
                <c:pt idx="26">
                  <c:v>1.0148021962903699</c:v>
                </c:pt>
                <c:pt idx="27">
                  <c:v>1.0534758704384499</c:v>
                </c:pt>
                <c:pt idx="28">
                  <c:v>1.0397535995507501</c:v>
                </c:pt>
                <c:pt idx="29">
                  <c:v>1.00088394403957</c:v>
                </c:pt>
                <c:pt idx="30">
                  <c:v>1.0504136795882</c:v>
                </c:pt>
                <c:pt idx="31">
                  <c:v>1.0757732271066101</c:v>
                </c:pt>
                <c:pt idx="32">
                  <c:v>1.04118310732466</c:v>
                </c:pt>
                <c:pt idx="33">
                  <c:v>1.0143216991034101</c:v>
                </c:pt>
                <c:pt idx="34">
                  <c:v>1.0128179563955499</c:v>
                </c:pt>
                <c:pt idx="35">
                  <c:v>1.03725329556691</c:v>
                </c:pt>
                <c:pt idx="36">
                  <c:v>1.0299585101923101</c:v>
                </c:pt>
                <c:pt idx="37">
                  <c:v>1.02217706446901</c:v>
                </c:pt>
                <c:pt idx="38">
                  <c:v>1.0619447956175501</c:v>
                </c:pt>
                <c:pt idx="39">
                  <c:v>1.04376970327628</c:v>
                </c:pt>
                <c:pt idx="40">
                  <c:v>1.0367337343515299</c:v>
                </c:pt>
                <c:pt idx="41">
                  <c:v>1.00767407206793</c:v>
                </c:pt>
                <c:pt idx="42">
                  <c:v>1.0037243912161899</c:v>
                </c:pt>
                <c:pt idx="43">
                  <c:v>1.0045863424817001</c:v>
                </c:pt>
                <c:pt idx="44">
                  <c:v>1.03302901088943</c:v>
                </c:pt>
                <c:pt idx="45">
                  <c:v>1.00313020514667</c:v>
                </c:pt>
                <c:pt idx="46">
                  <c:v>1.02637726722414</c:v>
                </c:pt>
                <c:pt idx="47">
                  <c:v>1.03522790173993</c:v>
                </c:pt>
                <c:pt idx="48">
                  <c:v>1.02649736087485</c:v>
                </c:pt>
                <c:pt idx="49">
                  <c:v>1.05853825870868</c:v>
                </c:pt>
                <c:pt idx="50">
                  <c:v>1.0423508296844901</c:v>
                </c:pt>
                <c:pt idx="51">
                  <c:v>1.01745635728413</c:v>
                </c:pt>
                <c:pt idx="52">
                  <c:v>1.0372091688314</c:v>
                </c:pt>
                <c:pt idx="53">
                  <c:v>1.0388693386391501</c:v>
                </c:pt>
                <c:pt idx="54">
                  <c:v>1.03869278685884</c:v>
                </c:pt>
                <c:pt idx="55">
                  <c:v>1.03435427190063</c:v>
                </c:pt>
                <c:pt idx="56">
                  <c:v>1.0676154343714499</c:v>
                </c:pt>
                <c:pt idx="57">
                  <c:v>1.0278459032140099</c:v>
                </c:pt>
                <c:pt idx="58">
                  <c:v>1.0527352043961899</c:v>
                </c:pt>
                <c:pt idx="59">
                  <c:v>1.0653926411802399</c:v>
                </c:pt>
                <c:pt idx="60">
                  <c:v>1.0469129242311199</c:v>
                </c:pt>
                <c:pt idx="61">
                  <c:v>1.00851316629913</c:v>
                </c:pt>
                <c:pt idx="62">
                  <c:v>1.05498890762902</c:v>
                </c:pt>
                <c:pt idx="63">
                  <c:v>1.0124956581378599</c:v>
                </c:pt>
                <c:pt idx="64">
                  <c:v>1.03564826685362</c:v>
                </c:pt>
                <c:pt idx="65">
                  <c:v>1.0311231303049</c:v>
                </c:pt>
                <c:pt idx="66">
                  <c:v>1.03770850429763</c:v>
                </c:pt>
                <c:pt idx="67">
                  <c:v>1.0267227049776999</c:v>
                </c:pt>
                <c:pt idx="68">
                  <c:v>1.0181992387147101</c:v>
                </c:pt>
                <c:pt idx="69">
                  <c:v>1.01584750428043</c:v>
                </c:pt>
                <c:pt idx="70">
                  <c:v>1.0124140574284599</c:v>
                </c:pt>
                <c:pt idx="71">
                  <c:v>0.98668639999981</c:v>
                </c:pt>
                <c:pt idx="72">
                  <c:v>1.0240604789349801</c:v>
                </c:pt>
                <c:pt idx="73">
                  <c:v>1.0224398575195199</c:v>
                </c:pt>
                <c:pt idx="74">
                  <c:v>1.05118988815234</c:v>
                </c:pt>
                <c:pt idx="75">
                  <c:v>1.0185882755704401</c:v>
                </c:pt>
                <c:pt idx="76">
                  <c:v>1.0270035511391999</c:v>
                </c:pt>
                <c:pt idx="77">
                  <c:v>1.0047970741279599</c:v>
                </c:pt>
                <c:pt idx="78">
                  <c:v>0.99240081623575704</c:v>
                </c:pt>
                <c:pt idx="79">
                  <c:v>0.87016872641089205</c:v>
                </c:pt>
                <c:pt idx="80">
                  <c:v>0.89334794674215801</c:v>
                </c:pt>
                <c:pt idx="81">
                  <c:v>0.88916448753952504</c:v>
                </c:pt>
                <c:pt idx="82">
                  <c:v>0.89390383972840404</c:v>
                </c:pt>
                <c:pt idx="83">
                  <c:v>0.92480958511765499</c:v>
                </c:pt>
                <c:pt idx="84">
                  <c:v>0.89123077970669695</c:v>
                </c:pt>
                <c:pt idx="85">
                  <c:v>0.92277021383902802</c:v>
                </c:pt>
                <c:pt idx="86">
                  <c:v>0.89378993565885201</c:v>
                </c:pt>
                <c:pt idx="87">
                  <c:v>0.89561566451521701</c:v>
                </c:pt>
                <c:pt idx="88">
                  <c:v>0.89869425079576704</c:v>
                </c:pt>
                <c:pt idx="89">
                  <c:v>0.88382854283419898</c:v>
                </c:pt>
                <c:pt idx="90">
                  <c:v>0.87766074081313195</c:v>
                </c:pt>
                <c:pt idx="91">
                  <c:v>0.913228282306357</c:v>
                </c:pt>
                <c:pt idx="92">
                  <c:v>0.90331415805624105</c:v>
                </c:pt>
                <c:pt idx="93">
                  <c:v>0.91821198152440198</c:v>
                </c:pt>
                <c:pt idx="94">
                  <c:v>0.88838985531480896</c:v>
                </c:pt>
                <c:pt idx="95">
                  <c:v>0.91497479384684299</c:v>
                </c:pt>
                <c:pt idx="96">
                  <c:v>0.90541459725533302</c:v>
                </c:pt>
                <c:pt idx="97">
                  <c:v>0.88452541731312795</c:v>
                </c:pt>
                <c:pt idx="98">
                  <c:v>0.87842683463845606</c:v>
                </c:pt>
                <c:pt idx="99">
                  <c:v>0.89442638663928198</c:v>
                </c:pt>
                <c:pt idx="100">
                  <c:v>0.89417779795082097</c:v>
                </c:pt>
                <c:pt idx="101">
                  <c:v>0.91045555923640697</c:v>
                </c:pt>
                <c:pt idx="102">
                  <c:v>0.89336887889343097</c:v>
                </c:pt>
                <c:pt idx="103">
                  <c:v>0.90554813796689204</c:v>
                </c:pt>
                <c:pt idx="104">
                  <c:v>0.90343337146516001</c:v>
                </c:pt>
                <c:pt idx="105">
                  <c:v>0.89566812059028</c:v>
                </c:pt>
                <c:pt idx="106">
                  <c:v>0.89269922342333197</c:v>
                </c:pt>
                <c:pt idx="107">
                  <c:v>0.90464263556068203</c:v>
                </c:pt>
                <c:pt idx="108">
                  <c:v>0.91094095941382103</c:v>
                </c:pt>
                <c:pt idx="109">
                  <c:v>0.89727116803623597</c:v>
                </c:pt>
                <c:pt idx="110">
                  <c:v>0.90352500806158398</c:v>
                </c:pt>
                <c:pt idx="111">
                  <c:v>0.90016477083733804</c:v>
                </c:pt>
                <c:pt idx="112">
                  <c:v>0.90170022508328496</c:v>
                </c:pt>
                <c:pt idx="113">
                  <c:v>0.87784469825709899</c:v>
                </c:pt>
                <c:pt idx="114">
                  <c:v>0.902254489228282</c:v>
                </c:pt>
                <c:pt idx="115">
                  <c:v>0.88857949556772298</c:v>
                </c:pt>
                <c:pt idx="116">
                  <c:v>0.89591894340363498</c:v>
                </c:pt>
                <c:pt idx="117">
                  <c:v>0.92165780403681297</c:v>
                </c:pt>
                <c:pt idx="118">
                  <c:v>0.90915055210668605</c:v>
                </c:pt>
                <c:pt idx="119">
                  <c:v>0.90378718472733299</c:v>
                </c:pt>
                <c:pt idx="120">
                  <c:v>0.89189618407925497</c:v>
                </c:pt>
                <c:pt idx="121">
                  <c:v>0.88595680607402505</c:v>
                </c:pt>
                <c:pt idx="122">
                  <c:v>0.90007962544120701</c:v>
                </c:pt>
                <c:pt idx="123">
                  <c:v>0.88474927741179998</c:v>
                </c:pt>
                <c:pt idx="124">
                  <c:v>0.87347775464178001</c:v>
                </c:pt>
                <c:pt idx="125">
                  <c:v>0.89227720672811695</c:v>
                </c:pt>
                <c:pt idx="126">
                  <c:v>0.88676712707772198</c:v>
                </c:pt>
                <c:pt idx="127">
                  <c:v>0.88842909335030895</c:v>
                </c:pt>
                <c:pt idx="128">
                  <c:v>0.88393075217658201</c:v>
                </c:pt>
                <c:pt idx="129">
                  <c:v>0.911053300674591</c:v>
                </c:pt>
                <c:pt idx="130">
                  <c:v>0.88665595628951799</c:v>
                </c:pt>
                <c:pt idx="131">
                  <c:v>0.89080923098237297</c:v>
                </c:pt>
                <c:pt idx="132">
                  <c:v>0.89981347806199397</c:v>
                </c:pt>
                <c:pt idx="133">
                  <c:v>0.89624606877778101</c:v>
                </c:pt>
                <c:pt idx="134">
                  <c:v>0.89168806726896099</c:v>
                </c:pt>
                <c:pt idx="135">
                  <c:v>0.89870395024243999</c:v>
                </c:pt>
                <c:pt idx="136">
                  <c:v>0.932899491154211</c:v>
                </c:pt>
                <c:pt idx="137">
                  <c:v>0.93766328888369299</c:v>
                </c:pt>
                <c:pt idx="138">
                  <c:v>0.92954324234341001</c:v>
                </c:pt>
                <c:pt idx="139">
                  <c:v>0.91127946611281396</c:v>
                </c:pt>
                <c:pt idx="140">
                  <c:v>0.895012564321087</c:v>
                </c:pt>
                <c:pt idx="141">
                  <c:v>0.90175746464514495</c:v>
                </c:pt>
                <c:pt idx="142">
                  <c:v>0.92774829136165604</c:v>
                </c:pt>
                <c:pt idx="143">
                  <c:v>0.89729749617766597</c:v>
                </c:pt>
                <c:pt idx="144">
                  <c:v>0.92481469027750796</c:v>
                </c:pt>
                <c:pt idx="145">
                  <c:v>0.88417505968747501</c:v>
                </c:pt>
                <c:pt idx="146">
                  <c:v>0.89763731216875597</c:v>
                </c:pt>
                <c:pt idx="147">
                  <c:v>0.90052196355707603</c:v>
                </c:pt>
                <c:pt idx="148">
                  <c:v>0.91023849087543995</c:v>
                </c:pt>
                <c:pt idx="149">
                  <c:v>0.89621311910558599</c:v>
                </c:pt>
                <c:pt idx="150">
                  <c:v>0.862556205825464</c:v>
                </c:pt>
                <c:pt idx="151">
                  <c:v>0.88405390146572205</c:v>
                </c:pt>
                <c:pt idx="152">
                  <c:v>0.88173367904253697</c:v>
                </c:pt>
                <c:pt idx="153">
                  <c:v>0.93561071187427403</c:v>
                </c:pt>
                <c:pt idx="154">
                  <c:v>0.86320199096022698</c:v>
                </c:pt>
                <c:pt idx="155">
                  <c:v>0.882945849952673</c:v>
                </c:pt>
                <c:pt idx="156">
                  <c:v>0.86734604103829005</c:v>
                </c:pt>
                <c:pt idx="157">
                  <c:v>0.89602978495761998</c:v>
                </c:pt>
                <c:pt idx="158">
                  <c:v>0.87438337493451201</c:v>
                </c:pt>
                <c:pt idx="159">
                  <c:v>0.85974313785074497</c:v>
                </c:pt>
                <c:pt idx="160">
                  <c:v>0.88737040248028598</c:v>
                </c:pt>
                <c:pt idx="161">
                  <c:v>0.89895319200335</c:v>
                </c:pt>
                <c:pt idx="162">
                  <c:v>0.90460960577529403</c:v>
                </c:pt>
                <c:pt idx="163">
                  <c:v>0.904674621530832</c:v>
                </c:pt>
                <c:pt idx="164">
                  <c:v>0.902345063781408</c:v>
                </c:pt>
                <c:pt idx="165">
                  <c:v>0.87531861477581496</c:v>
                </c:pt>
                <c:pt idx="166">
                  <c:v>0.89519102598923195</c:v>
                </c:pt>
                <c:pt idx="167">
                  <c:v>0.861163886864309</c:v>
                </c:pt>
                <c:pt idx="168">
                  <c:v>0.89027398147744197</c:v>
                </c:pt>
                <c:pt idx="169">
                  <c:v>0.888894175784261</c:v>
                </c:pt>
                <c:pt idx="170">
                  <c:v>0.85980904096603705</c:v>
                </c:pt>
                <c:pt idx="171">
                  <c:v>0.87044075014924305</c:v>
                </c:pt>
                <c:pt idx="172">
                  <c:v>0.88274816304072901</c:v>
                </c:pt>
                <c:pt idx="173">
                  <c:v>0.83786279428413801</c:v>
                </c:pt>
                <c:pt idx="174">
                  <c:v>0.87306342356758504</c:v>
                </c:pt>
                <c:pt idx="175">
                  <c:v>0.89152075946104403</c:v>
                </c:pt>
                <c:pt idx="176">
                  <c:v>0.86304462041874197</c:v>
                </c:pt>
                <c:pt idx="177">
                  <c:v>0.85958660667449704</c:v>
                </c:pt>
                <c:pt idx="178">
                  <c:v>0.877712520589085</c:v>
                </c:pt>
                <c:pt idx="179">
                  <c:v>0.86759859733084699</c:v>
                </c:pt>
                <c:pt idx="180">
                  <c:v>0.892370007952769</c:v>
                </c:pt>
                <c:pt idx="181">
                  <c:v>0.86573673557039599</c:v>
                </c:pt>
                <c:pt idx="182">
                  <c:v>0.87122904475109897</c:v>
                </c:pt>
                <c:pt idx="183">
                  <c:v>0.89433127103212995</c:v>
                </c:pt>
                <c:pt idx="184">
                  <c:v>0.87579075638541604</c:v>
                </c:pt>
                <c:pt idx="185">
                  <c:v>0.88531306804925203</c:v>
                </c:pt>
                <c:pt idx="186">
                  <c:v>0.86917053692415602</c:v>
                </c:pt>
                <c:pt idx="187">
                  <c:v>0.851159246523988</c:v>
                </c:pt>
                <c:pt idx="188">
                  <c:v>0.88933878617025497</c:v>
                </c:pt>
                <c:pt idx="189">
                  <c:v>0.89569586220434405</c:v>
                </c:pt>
                <c:pt idx="190">
                  <c:v>0.86587667607234198</c:v>
                </c:pt>
                <c:pt idx="191">
                  <c:v>0.90231928590517296</c:v>
                </c:pt>
                <c:pt idx="192">
                  <c:v>0.86787299786690497</c:v>
                </c:pt>
                <c:pt idx="193">
                  <c:v>0.87635801993865403</c:v>
                </c:pt>
                <c:pt idx="194">
                  <c:v>0.85557575013403397</c:v>
                </c:pt>
                <c:pt idx="195">
                  <c:v>0.89686348562180296</c:v>
                </c:pt>
                <c:pt idx="196">
                  <c:v>1.05842695633464</c:v>
                </c:pt>
                <c:pt idx="197">
                  <c:v>1.05542039984639</c:v>
                </c:pt>
                <c:pt idx="198">
                  <c:v>1.0337721218570699</c:v>
                </c:pt>
                <c:pt idx="199">
                  <c:v>1.07884958761054</c:v>
                </c:pt>
                <c:pt idx="200">
                  <c:v>1.0604547659583901</c:v>
                </c:pt>
                <c:pt idx="201">
                  <c:v>1.0463997974037</c:v>
                </c:pt>
                <c:pt idx="202">
                  <c:v>1.0307221988512201</c:v>
                </c:pt>
                <c:pt idx="203">
                  <c:v>1.08878811422116</c:v>
                </c:pt>
                <c:pt idx="204">
                  <c:v>1.0229655765528201</c:v>
                </c:pt>
                <c:pt idx="205">
                  <c:v>1.04949532996924</c:v>
                </c:pt>
                <c:pt idx="206">
                  <c:v>1.06246755706716</c:v>
                </c:pt>
                <c:pt idx="207">
                  <c:v>1.0611223012200699</c:v>
                </c:pt>
                <c:pt idx="208">
                  <c:v>1.0174075607436499</c:v>
                </c:pt>
                <c:pt idx="209">
                  <c:v>1.0544083261295401</c:v>
                </c:pt>
                <c:pt idx="210">
                  <c:v>1.084057756909</c:v>
                </c:pt>
                <c:pt idx="211">
                  <c:v>1.0140395193531699</c:v>
                </c:pt>
                <c:pt idx="212">
                  <c:v>1.06572257940473</c:v>
                </c:pt>
                <c:pt idx="213">
                  <c:v>1.0545494182536499</c:v>
                </c:pt>
                <c:pt idx="214">
                  <c:v>1.06560015765816</c:v>
                </c:pt>
                <c:pt idx="215">
                  <c:v>1.07125408458233</c:v>
                </c:pt>
                <c:pt idx="216">
                  <c:v>1.07056465595905</c:v>
                </c:pt>
                <c:pt idx="217">
                  <c:v>1.06111792739615</c:v>
                </c:pt>
                <c:pt idx="218">
                  <c:v>1.0892643113068701</c:v>
                </c:pt>
                <c:pt idx="219">
                  <c:v>1.0444207713924101</c:v>
                </c:pt>
                <c:pt idx="220">
                  <c:v>1.0700626763260299</c:v>
                </c:pt>
                <c:pt idx="221">
                  <c:v>1.0782924210784901</c:v>
                </c:pt>
                <c:pt idx="222">
                  <c:v>1.02205295750487</c:v>
                </c:pt>
                <c:pt idx="223">
                  <c:v>1.0646679868011899</c:v>
                </c:pt>
                <c:pt idx="224">
                  <c:v>1.02766097304486</c:v>
                </c:pt>
                <c:pt idx="225">
                  <c:v>1.0497945785988501</c:v>
                </c:pt>
                <c:pt idx="226">
                  <c:v>1.0809977342152</c:v>
                </c:pt>
                <c:pt idx="227">
                  <c:v>1.06163161529589</c:v>
                </c:pt>
                <c:pt idx="228">
                  <c:v>1.07838161034652</c:v>
                </c:pt>
                <c:pt idx="229">
                  <c:v>1.0751311520981801</c:v>
                </c:pt>
                <c:pt idx="230">
                  <c:v>1.0444233308461199</c:v>
                </c:pt>
                <c:pt idx="231">
                  <c:v>1.04894171405323</c:v>
                </c:pt>
                <c:pt idx="232">
                  <c:v>1.07535111662512</c:v>
                </c:pt>
                <c:pt idx="233">
                  <c:v>1.0622368717969399</c:v>
                </c:pt>
                <c:pt idx="234">
                  <c:v>1.08095661445397</c:v>
                </c:pt>
                <c:pt idx="235">
                  <c:v>1.02449362968118</c:v>
                </c:pt>
                <c:pt idx="236">
                  <c:v>1.0033906770080601</c:v>
                </c:pt>
                <c:pt idx="237">
                  <c:v>1.04076827594035</c:v>
                </c:pt>
                <c:pt idx="238">
                  <c:v>1.0652578521601299</c:v>
                </c:pt>
                <c:pt idx="239">
                  <c:v>1.0386998046790299</c:v>
                </c:pt>
                <c:pt idx="240">
                  <c:v>1.04359652305268</c:v>
                </c:pt>
                <c:pt idx="241">
                  <c:v>1.0325574541381499</c:v>
                </c:pt>
                <c:pt idx="242">
                  <c:v>1.02307331233892</c:v>
                </c:pt>
                <c:pt idx="243">
                  <c:v>1.0554056143122701</c:v>
                </c:pt>
                <c:pt idx="244">
                  <c:v>1.01310350014831</c:v>
                </c:pt>
                <c:pt idx="245">
                  <c:v>1.0331202860580899</c:v>
                </c:pt>
                <c:pt idx="246">
                  <c:v>1.03872241419172</c:v>
                </c:pt>
                <c:pt idx="247">
                  <c:v>1.0449701871436401</c:v>
                </c:pt>
                <c:pt idx="248">
                  <c:v>1.0581593294487399</c:v>
                </c:pt>
                <c:pt idx="249">
                  <c:v>1.03975789391309</c:v>
                </c:pt>
                <c:pt idx="250">
                  <c:v>1.0537459836785501</c:v>
                </c:pt>
                <c:pt idx="251">
                  <c:v>1.0281657178846699</c:v>
                </c:pt>
                <c:pt idx="252">
                  <c:v>1.0736737520430699</c:v>
                </c:pt>
                <c:pt idx="253">
                  <c:v>1.0240938743022101</c:v>
                </c:pt>
                <c:pt idx="254">
                  <c:v>1.0520043791190199</c:v>
                </c:pt>
                <c:pt idx="255">
                  <c:v>1.0351610973620999</c:v>
                </c:pt>
                <c:pt idx="256">
                  <c:v>1.01841255802458</c:v>
                </c:pt>
                <c:pt idx="257">
                  <c:v>1.0602231559320201</c:v>
                </c:pt>
                <c:pt idx="258">
                  <c:v>1.04730194737973</c:v>
                </c:pt>
                <c:pt idx="259">
                  <c:v>1.0543959595802299</c:v>
                </c:pt>
                <c:pt idx="260">
                  <c:v>1.0538023333531901</c:v>
                </c:pt>
                <c:pt idx="261">
                  <c:v>1.05343168099472</c:v>
                </c:pt>
                <c:pt idx="262">
                  <c:v>1.02798907778725</c:v>
                </c:pt>
                <c:pt idx="263">
                  <c:v>1.07200657838515</c:v>
                </c:pt>
                <c:pt idx="264">
                  <c:v>1.0584972613797701</c:v>
                </c:pt>
                <c:pt idx="265">
                  <c:v>1.03961774972599</c:v>
                </c:pt>
                <c:pt idx="266">
                  <c:v>1.0314276798487501</c:v>
                </c:pt>
                <c:pt idx="267">
                  <c:v>1.01819444198694</c:v>
                </c:pt>
                <c:pt idx="268">
                  <c:v>1.0526302134993999</c:v>
                </c:pt>
                <c:pt idx="269">
                  <c:v>1.0449774554151401</c:v>
                </c:pt>
                <c:pt idx="270">
                  <c:v>1.04701208202301</c:v>
                </c:pt>
                <c:pt idx="271">
                  <c:v>1.04226093940551</c:v>
                </c:pt>
                <c:pt idx="272">
                  <c:v>1.0307618427435601</c:v>
                </c:pt>
                <c:pt idx="273">
                  <c:v>0.93133025890043997</c:v>
                </c:pt>
                <c:pt idx="274">
                  <c:v>0.93043619996495197</c:v>
                </c:pt>
                <c:pt idx="275">
                  <c:v>0.92619772933477595</c:v>
                </c:pt>
                <c:pt idx="276">
                  <c:v>0.89741093567414398</c:v>
                </c:pt>
                <c:pt idx="277">
                  <c:v>0.94612599684895904</c:v>
                </c:pt>
                <c:pt idx="278">
                  <c:v>0.89246853196325604</c:v>
                </c:pt>
                <c:pt idx="279">
                  <c:v>0.93886546097713697</c:v>
                </c:pt>
                <c:pt idx="280">
                  <c:v>0.87927842809052403</c:v>
                </c:pt>
                <c:pt idx="281">
                  <c:v>0.90881055685602996</c:v>
                </c:pt>
                <c:pt idx="282">
                  <c:v>0.90977133503348895</c:v>
                </c:pt>
                <c:pt idx="283">
                  <c:v>0.93911818053323703</c:v>
                </c:pt>
                <c:pt idx="284">
                  <c:v>0.90766294820291105</c:v>
                </c:pt>
                <c:pt idx="285">
                  <c:v>0.908535399386039</c:v>
                </c:pt>
                <c:pt idx="286">
                  <c:v>0.91612667908094703</c:v>
                </c:pt>
                <c:pt idx="287">
                  <c:v>0.92186735042122003</c:v>
                </c:pt>
                <c:pt idx="288">
                  <c:v>0.91521529113545796</c:v>
                </c:pt>
                <c:pt idx="289">
                  <c:v>0.90980557106070303</c:v>
                </c:pt>
                <c:pt idx="290">
                  <c:v>0.92675606498295704</c:v>
                </c:pt>
                <c:pt idx="291">
                  <c:v>0.91297147329198103</c:v>
                </c:pt>
                <c:pt idx="292">
                  <c:v>0.93553422624288995</c:v>
                </c:pt>
                <c:pt idx="293">
                  <c:v>0.90016626326715499</c:v>
                </c:pt>
                <c:pt idx="294">
                  <c:v>0.90327098506354897</c:v>
                </c:pt>
                <c:pt idx="295">
                  <c:v>0.94123143968454503</c:v>
                </c:pt>
                <c:pt idx="296">
                  <c:v>0.93410510047350104</c:v>
                </c:pt>
                <c:pt idx="297">
                  <c:v>0.894065555599312</c:v>
                </c:pt>
                <c:pt idx="298">
                  <c:v>0.91014470062020603</c:v>
                </c:pt>
                <c:pt idx="299">
                  <c:v>0.91602505957661196</c:v>
                </c:pt>
                <c:pt idx="300">
                  <c:v>0.940693134888827</c:v>
                </c:pt>
                <c:pt idx="301">
                  <c:v>0.91488818919386905</c:v>
                </c:pt>
                <c:pt idx="302">
                  <c:v>0.957470817805126</c:v>
                </c:pt>
                <c:pt idx="303">
                  <c:v>0.88963816964558395</c:v>
                </c:pt>
                <c:pt idx="304">
                  <c:v>0.92611672888001995</c:v>
                </c:pt>
                <c:pt idx="305">
                  <c:v>0.88653211968366497</c:v>
                </c:pt>
                <c:pt idx="306">
                  <c:v>0.92186851063524899</c:v>
                </c:pt>
                <c:pt idx="307">
                  <c:v>0.91753438643699903</c:v>
                </c:pt>
                <c:pt idx="308">
                  <c:v>0.91382727399237496</c:v>
                </c:pt>
                <c:pt idx="309">
                  <c:v>0.89801987883981005</c:v>
                </c:pt>
                <c:pt idx="310">
                  <c:v>0.89995681544744699</c:v>
                </c:pt>
                <c:pt idx="311">
                  <c:v>0.89480709229539901</c:v>
                </c:pt>
                <c:pt idx="312">
                  <c:v>0.89534018624240197</c:v>
                </c:pt>
                <c:pt idx="313">
                  <c:v>0.90770589074257402</c:v>
                </c:pt>
                <c:pt idx="314">
                  <c:v>0.92283842501846203</c:v>
                </c:pt>
                <c:pt idx="315">
                  <c:v>0.91787506774083105</c:v>
                </c:pt>
                <c:pt idx="316">
                  <c:v>0.937962414774825</c:v>
                </c:pt>
                <c:pt idx="317">
                  <c:v>0.939453189942415</c:v>
                </c:pt>
                <c:pt idx="318">
                  <c:v>0.91978065938189801</c:v>
                </c:pt>
                <c:pt idx="319">
                  <c:v>0.90524803013505895</c:v>
                </c:pt>
                <c:pt idx="320">
                  <c:v>0.93053219100304796</c:v>
                </c:pt>
                <c:pt idx="321">
                  <c:v>0.94623213203235401</c:v>
                </c:pt>
                <c:pt idx="322">
                  <c:v>0.90782632335591396</c:v>
                </c:pt>
                <c:pt idx="323">
                  <c:v>0.905239770379759</c:v>
                </c:pt>
                <c:pt idx="324">
                  <c:v>0.92196122789233204</c:v>
                </c:pt>
                <c:pt idx="325">
                  <c:v>0.89366414161264396</c:v>
                </c:pt>
                <c:pt idx="326">
                  <c:v>0.91710028838292301</c:v>
                </c:pt>
                <c:pt idx="327">
                  <c:v>0.89378611041760003</c:v>
                </c:pt>
                <c:pt idx="328">
                  <c:v>0.88660012237517105</c:v>
                </c:pt>
                <c:pt idx="329">
                  <c:v>0.901071167028206</c:v>
                </c:pt>
                <c:pt idx="330">
                  <c:v>0.90242245286644696</c:v>
                </c:pt>
                <c:pt idx="331">
                  <c:v>0.906631714911178</c:v>
                </c:pt>
                <c:pt idx="332">
                  <c:v>0.91634473088972801</c:v>
                </c:pt>
                <c:pt idx="333">
                  <c:v>0.91699084474912695</c:v>
                </c:pt>
                <c:pt idx="334">
                  <c:v>0.914128646927166</c:v>
                </c:pt>
                <c:pt idx="335">
                  <c:v>0.90620606713567697</c:v>
                </c:pt>
                <c:pt idx="336">
                  <c:v>0.90392503341360497</c:v>
                </c:pt>
                <c:pt idx="337">
                  <c:v>0.88423724543721804</c:v>
                </c:pt>
                <c:pt idx="338">
                  <c:v>0.92630338468574402</c:v>
                </c:pt>
                <c:pt idx="339">
                  <c:v>0.90590116610008797</c:v>
                </c:pt>
                <c:pt idx="340">
                  <c:v>0.88155816221949301</c:v>
                </c:pt>
                <c:pt idx="341">
                  <c:v>0.89966402977661597</c:v>
                </c:pt>
                <c:pt idx="342">
                  <c:v>0.91056389512816405</c:v>
                </c:pt>
                <c:pt idx="343">
                  <c:v>0.887302820999186</c:v>
                </c:pt>
                <c:pt idx="344">
                  <c:v>0.912373802675154</c:v>
                </c:pt>
                <c:pt idx="345">
                  <c:v>0.87006825012754097</c:v>
                </c:pt>
                <c:pt idx="346">
                  <c:v>0.89836597302801602</c:v>
                </c:pt>
                <c:pt idx="347">
                  <c:v>0.91242908185641203</c:v>
                </c:pt>
                <c:pt idx="348">
                  <c:v>0.91082257650654197</c:v>
                </c:pt>
                <c:pt idx="349">
                  <c:v>0.92925108350014896</c:v>
                </c:pt>
                <c:pt idx="350">
                  <c:v>0.87805624630065204</c:v>
                </c:pt>
                <c:pt idx="351">
                  <c:v>0.90739445953949105</c:v>
                </c:pt>
                <c:pt idx="352">
                  <c:v>0.92064629383317698</c:v>
                </c:pt>
                <c:pt idx="353">
                  <c:v>0.90959530766257601</c:v>
                </c:pt>
                <c:pt idx="354">
                  <c:v>0.93745351204572103</c:v>
                </c:pt>
                <c:pt idx="355">
                  <c:v>0.86805018095162501</c:v>
                </c:pt>
                <c:pt idx="356">
                  <c:v>0.91660874500427403</c:v>
                </c:pt>
                <c:pt idx="357">
                  <c:v>0.87766246193935604</c:v>
                </c:pt>
                <c:pt idx="358">
                  <c:v>0.88995572590174199</c:v>
                </c:pt>
                <c:pt idx="359">
                  <c:v>0.92201468199584602</c:v>
                </c:pt>
                <c:pt idx="360">
                  <c:v>0.89468701900270498</c:v>
                </c:pt>
                <c:pt idx="361">
                  <c:v>0.91886615022701901</c:v>
                </c:pt>
                <c:pt idx="362">
                  <c:v>0.89010814829824803</c:v>
                </c:pt>
                <c:pt idx="363">
                  <c:v>0.93737670761844705</c:v>
                </c:pt>
                <c:pt idx="364">
                  <c:v>0.92951566629693705</c:v>
                </c:pt>
                <c:pt idx="365">
                  <c:v>0.90406143211845902</c:v>
                </c:pt>
                <c:pt idx="366">
                  <c:v>0.94596280787397102</c:v>
                </c:pt>
                <c:pt idx="367">
                  <c:v>0.89280564806780305</c:v>
                </c:pt>
                <c:pt idx="368">
                  <c:v>0.89281261938232304</c:v>
                </c:pt>
                <c:pt idx="369">
                  <c:v>0.89697273303520797</c:v>
                </c:pt>
                <c:pt idx="370">
                  <c:v>0.90641402352641898</c:v>
                </c:pt>
                <c:pt idx="371">
                  <c:v>0.90891000475902795</c:v>
                </c:pt>
                <c:pt idx="372">
                  <c:v>0.924755787414969</c:v>
                </c:pt>
                <c:pt idx="373">
                  <c:v>0.92360101138861594</c:v>
                </c:pt>
                <c:pt idx="374">
                  <c:v>0.87517271929805995</c:v>
                </c:pt>
                <c:pt idx="375">
                  <c:v>0.897263641169607</c:v>
                </c:pt>
                <c:pt idx="376">
                  <c:v>0.88033112029189298</c:v>
                </c:pt>
                <c:pt idx="377">
                  <c:v>0.93792044583836898</c:v>
                </c:pt>
                <c:pt idx="378">
                  <c:v>0.91967117808304399</c:v>
                </c:pt>
                <c:pt idx="379">
                  <c:v>0.93033962237259005</c:v>
                </c:pt>
                <c:pt idx="380">
                  <c:v>0.90891946429370396</c:v>
                </c:pt>
                <c:pt idx="381">
                  <c:v>0.88167602445623094</c:v>
                </c:pt>
                <c:pt idx="382">
                  <c:v>0.91913711576199397</c:v>
                </c:pt>
                <c:pt idx="383">
                  <c:v>0.89727046225752605</c:v>
                </c:pt>
                <c:pt idx="384">
                  <c:v>0.91166101701991697</c:v>
                </c:pt>
                <c:pt idx="385">
                  <c:v>0.93254761940014996</c:v>
                </c:pt>
                <c:pt idx="386">
                  <c:v>0.93534176874702202</c:v>
                </c:pt>
                <c:pt idx="387">
                  <c:v>0.90149430439373801</c:v>
                </c:pt>
                <c:pt idx="388">
                  <c:v>0.89485976929867606</c:v>
                </c:pt>
                <c:pt idx="389">
                  <c:v>0.90705325603645304</c:v>
                </c:pt>
                <c:pt idx="390">
                  <c:v>0.87903093911512398</c:v>
                </c:pt>
                <c:pt idx="391">
                  <c:v>0.90148229947033598</c:v>
                </c:pt>
                <c:pt idx="392">
                  <c:v>0.90869368008602502</c:v>
                </c:pt>
                <c:pt idx="393">
                  <c:v>0.88907091172340802</c:v>
                </c:pt>
                <c:pt idx="394">
                  <c:v>1.05712866389797</c:v>
                </c:pt>
                <c:pt idx="395">
                  <c:v>1.0788485673469801</c:v>
                </c:pt>
                <c:pt idx="396">
                  <c:v>1.06833792992611</c:v>
                </c:pt>
                <c:pt idx="397">
                  <c:v>1.0624031551503701</c:v>
                </c:pt>
                <c:pt idx="398">
                  <c:v>1.0768113735114799</c:v>
                </c:pt>
                <c:pt idx="399">
                  <c:v>1.0768545625808701</c:v>
                </c:pt>
                <c:pt idx="400">
                  <c:v>1.05796306476611</c:v>
                </c:pt>
                <c:pt idx="401">
                  <c:v>1.08538731476326</c:v>
                </c:pt>
                <c:pt idx="402">
                  <c:v>1.0757168414218901</c:v>
                </c:pt>
                <c:pt idx="403">
                  <c:v>1.0769977276028799</c:v>
                </c:pt>
                <c:pt idx="404">
                  <c:v>1.0882461952278799</c:v>
                </c:pt>
                <c:pt idx="405">
                  <c:v>1.04279087543799</c:v>
                </c:pt>
                <c:pt idx="406">
                  <c:v>1.05753677752718</c:v>
                </c:pt>
                <c:pt idx="407">
                  <c:v>1.07899653889336</c:v>
                </c:pt>
                <c:pt idx="408">
                  <c:v>1.06192991081218</c:v>
                </c:pt>
                <c:pt idx="409">
                  <c:v>1.0680890370893099</c:v>
                </c:pt>
                <c:pt idx="410">
                  <c:v>1.0935902319758599</c:v>
                </c:pt>
                <c:pt idx="411">
                  <c:v>1.07661970577584</c:v>
                </c:pt>
                <c:pt idx="412">
                  <c:v>1.0513198220990001</c:v>
                </c:pt>
                <c:pt idx="413">
                  <c:v>1.05630292938551</c:v>
                </c:pt>
                <c:pt idx="414">
                  <c:v>1.0571339128224</c:v>
                </c:pt>
                <c:pt idx="415">
                  <c:v>1.0564131402252599</c:v>
                </c:pt>
                <c:pt idx="416">
                  <c:v>1.07050792502198</c:v>
                </c:pt>
                <c:pt idx="417">
                  <c:v>1.04694824302736</c:v>
                </c:pt>
                <c:pt idx="418">
                  <c:v>1.05851346332548</c:v>
                </c:pt>
                <c:pt idx="419">
                  <c:v>1.0962446514633</c:v>
                </c:pt>
                <c:pt idx="420">
                  <c:v>1.03673089288764</c:v>
                </c:pt>
                <c:pt idx="421">
                  <c:v>1.0678890970291399</c:v>
                </c:pt>
                <c:pt idx="422">
                  <c:v>1.10337432639139</c:v>
                </c:pt>
                <c:pt idx="423">
                  <c:v>1.0577277888569501</c:v>
                </c:pt>
                <c:pt idx="424">
                  <c:v>1.0954765148851899</c:v>
                </c:pt>
                <c:pt idx="425">
                  <c:v>1.1043983464996401</c:v>
                </c:pt>
                <c:pt idx="426">
                  <c:v>1.05892239134294</c:v>
                </c:pt>
                <c:pt idx="427">
                  <c:v>1.0862976540645499</c:v>
                </c:pt>
                <c:pt idx="428">
                  <c:v>1.0528231731633</c:v>
                </c:pt>
                <c:pt idx="429">
                  <c:v>1.0863816497404699</c:v>
                </c:pt>
                <c:pt idx="430">
                  <c:v>1.0768083227015901</c:v>
                </c:pt>
                <c:pt idx="431">
                  <c:v>1.0504462263747401</c:v>
                </c:pt>
                <c:pt idx="432">
                  <c:v>1.05990822424687</c:v>
                </c:pt>
                <c:pt idx="433">
                  <c:v>1.0406736589232699</c:v>
                </c:pt>
                <c:pt idx="434">
                  <c:v>1.04194021674951</c:v>
                </c:pt>
                <c:pt idx="435">
                  <c:v>1.0452588804916101</c:v>
                </c:pt>
                <c:pt idx="436">
                  <c:v>1.0302926579271301</c:v>
                </c:pt>
                <c:pt idx="437">
                  <c:v>1.07105866026485</c:v>
                </c:pt>
                <c:pt idx="438">
                  <c:v>1.04915890873437</c:v>
                </c:pt>
                <c:pt idx="439">
                  <c:v>1.0582859866215399</c:v>
                </c:pt>
                <c:pt idx="440">
                  <c:v>1.0754977671746999</c:v>
                </c:pt>
                <c:pt idx="441">
                  <c:v>1.0315916304931401</c:v>
                </c:pt>
                <c:pt idx="442">
                  <c:v>1.01844571517459</c:v>
                </c:pt>
                <c:pt idx="443">
                  <c:v>1.03923918855842</c:v>
                </c:pt>
                <c:pt idx="444">
                  <c:v>1.0480200504571699</c:v>
                </c:pt>
                <c:pt idx="445">
                  <c:v>1.0521608952044701</c:v>
                </c:pt>
                <c:pt idx="446">
                  <c:v>1.0454269113582999</c:v>
                </c:pt>
                <c:pt idx="447">
                  <c:v>1.0592789342136899</c:v>
                </c:pt>
                <c:pt idx="448">
                  <c:v>1.0340312191712</c:v>
                </c:pt>
                <c:pt idx="449">
                  <c:v>1.04385267227678</c:v>
                </c:pt>
                <c:pt idx="450">
                  <c:v>1.02274384662367</c:v>
                </c:pt>
                <c:pt idx="451">
                  <c:v>1.0964422727957599</c:v>
                </c:pt>
                <c:pt idx="452">
                  <c:v>1.0556431667519299</c:v>
                </c:pt>
                <c:pt idx="453">
                  <c:v>1.06461474817683</c:v>
                </c:pt>
                <c:pt idx="454">
                  <c:v>1.0561603869218099</c:v>
                </c:pt>
                <c:pt idx="455">
                  <c:v>1.0442815414651601</c:v>
                </c:pt>
                <c:pt idx="456">
                  <c:v>1.0225158853718701</c:v>
                </c:pt>
                <c:pt idx="457">
                  <c:v>1.0716978754079001</c:v>
                </c:pt>
                <c:pt idx="458">
                  <c:v>1.0703597031624299</c:v>
                </c:pt>
                <c:pt idx="459">
                  <c:v>1.0655044474975199</c:v>
                </c:pt>
                <c:pt idx="460">
                  <c:v>1.04648612065887</c:v>
                </c:pt>
                <c:pt idx="461">
                  <c:v>1.0615410858998799</c:v>
                </c:pt>
                <c:pt idx="462">
                  <c:v>1.0519542422114301</c:v>
                </c:pt>
                <c:pt idx="463">
                  <c:v>1.0822719643812699</c:v>
                </c:pt>
                <c:pt idx="464">
                  <c:v>1.0601018856776201</c:v>
                </c:pt>
                <c:pt idx="465">
                  <c:v>1.0365133572770799</c:v>
                </c:pt>
                <c:pt idx="466">
                  <c:v>1.0355374258615899</c:v>
                </c:pt>
                <c:pt idx="467">
                  <c:v>1.0929899162576</c:v>
                </c:pt>
                <c:pt idx="468">
                  <c:v>1.05515007222059</c:v>
                </c:pt>
                <c:pt idx="469">
                  <c:v>1.06604607457081</c:v>
                </c:pt>
                <c:pt idx="470">
                  <c:v>1.0472644910926401</c:v>
                </c:pt>
                <c:pt idx="471">
                  <c:v>1.0331557969132701</c:v>
                </c:pt>
                <c:pt idx="472">
                  <c:v>1.06051858232761</c:v>
                </c:pt>
                <c:pt idx="473">
                  <c:v>0.92469966765337996</c:v>
                </c:pt>
                <c:pt idx="474">
                  <c:v>0.90481497349534801</c:v>
                </c:pt>
                <c:pt idx="475">
                  <c:v>0.93248941218616099</c:v>
                </c:pt>
                <c:pt idx="476">
                  <c:v>0.93774934251596698</c:v>
                </c:pt>
                <c:pt idx="477">
                  <c:v>0.93019168025478205</c:v>
                </c:pt>
                <c:pt idx="478">
                  <c:v>0.89709889649628605</c:v>
                </c:pt>
                <c:pt idx="479">
                  <c:v>0.93009296368535699</c:v>
                </c:pt>
                <c:pt idx="480">
                  <c:v>0.917128900171162</c:v>
                </c:pt>
                <c:pt idx="481">
                  <c:v>0.92678865834721802</c:v>
                </c:pt>
                <c:pt idx="482">
                  <c:v>0.94098634821676796</c:v>
                </c:pt>
                <c:pt idx="483">
                  <c:v>0.90798083194954005</c:v>
                </c:pt>
                <c:pt idx="484">
                  <c:v>0.96696867619098703</c:v>
                </c:pt>
                <c:pt idx="485">
                  <c:v>0.953672751425515</c:v>
                </c:pt>
                <c:pt idx="486">
                  <c:v>0.93123103102935201</c:v>
                </c:pt>
                <c:pt idx="487">
                  <c:v>0.95827389909648897</c:v>
                </c:pt>
                <c:pt idx="488">
                  <c:v>0.94455854542010997</c:v>
                </c:pt>
                <c:pt idx="489">
                  <c:v>0.94364307540971004</c:v>
                </c:pt>
                <c:pt idx="490">
                  <c:v>0.91436810070129204</c:v>
                </c:pt>
                <c:pt idx="491">
                  <c:v>0.91755140917172695</c:v>
                </c:pt>
                <c:pt idx="492">
                  <c:v>0.96294794344163903</c:v>
                </c:pt>
                <c:pt idx="493">
                  <c:v>0.94905957254701501</c:v>
                </c:pt>
                <c:pt idx="494">
                  <c:v>0.93179361265093696</c:v>
                </c:pt>
                <c:pt idx="495">
                  <c:v>0.948805780825701</c:v>
                </c:pt>
                <c:pt idx="496">
                  <c:v>0.92989071800228496</c:v>
                </c:pt>
                <c:pt idx="497">
                  <c:v>0.92427984320188605</c:v>
                </c:pt>
                <c:pt idx="498">
                  <c:v>0.94041571640908195</c:v>
                </c:pt>
                <c:pt idx="499">
                  <c:v>0.93750720217773498</c:v>
                </c:pt>
                <c:pt idx="500">
                  <c:v>0.91995818318076295</c:v>
                </c:pt>
                <c:pt idx="501">
                  <c:v>0.90399410516538803</c:v>
                </c:pt>
                <c:pt idx="502">
                  <c:v>0.96247609385181399</c:v>
                </c:pt>
                <c:pt idx="503">
                  <c:v>0.95919364154554498</c:v>
                </c:pt>
                <c:pt idx="504">
                  <c:v>0.93019957068242298</c:v>
                </c:pt>
                <c:pt idx="505">
                  <c:v>0.90023078690285996</c:v>
                </c:pt>
                <c:pt idx="506">
                  <c:v>0.94355348840255204</c:v>
                </c:pt>
                <c:pt idx="507">
                  <c:v>0.94310665869383103</c:v>
                </c:pt>
                <c:pt idx="508">
                  <c:v>0.90417312173781805</c:v>
                </c:pt>
                <c:pt idx="509">
                  <c:v>0.96164313060682605</c:v>
                </c:pt>
                <c:pt idx="510">
                  <c:v>0.92117435201156805</c:v>
                </c:pt>
                <c:pt idx="511">
                  <c:v>0.94972591040634902</c:v>
                </c:pt>
                <c:pt idx="512">
                  <c:v>0.92714320663405303</c:v>
                </c:pt>
                <c:pt idx="513">
                  <c:v>0.93909789814035405</c:v>
                </c:pt>
                <c:pt idx="514">
                  <c:v>0.931923637272283</c:v>
                </c:pt>
                <c:pt idx="515">
                  <c:v>0.94537756490971603</c:v>
                </c:pt>
                <c:pt idx="516">
                  <c:v>0.91491883153147002</c:v>
                </c:pt>
                <c:pt idx="517">
                  <c:v>0.93080323913904595</c:v>
                </c:pt>
                <c:pt idx="518">
                  <c:v>0.89949663187876105</c:v>
                </c:pt>
                <c:pt idx="519">
                  <c:v>0.92313781780116999</c:v>
                </c:pt>
                <c:pt idx="520">
                  <c:v>0.90645879706700005</c:v>
                </c:pt>
                <c:pt idx="521">
                  <c:v>0.92393655371304995</c:v>
                </c:pt>
                <c:pt idx="522">
                  <c:v>0.91830827750903499</c:v>
                </c:pt>
                <c:pt idx="523">
                  <c:v>0.93548328642187895</c:v>
                </c:pt>
                <c:pt idx="524">
                  <c:v>0.91854497665700097</c:v>
                </c:pt>
                <c:pt idx="525">
                  <c:v>0.93430997755524503</c:v>
                </c:pt>
                <c:pt idx="526">
                  <c:v>0.92147742696402102</c:v>
                </c:pt>
                <c:pt idx="527">
                  <c:v>0.89481832571273401</c:v>
                </c:pt>
                <c:pt idx="528">
                  <c:v>0.93056020190434197</c:v>
                </c:pt>
                <c:pt idx="529">
                  <c:v>0.89362252447136403</c:v>
                </c:pt>
                <c:pt idx="530">
                  <c:v>0.91523388330447897</c:v>
                </c:pt>
                <c:pt idx="531">
                  <c:v>0.93049261870376898</c:v>
                </c:pt>
                <c:pt idx="532">
                  <c:v>0.94820124691818797</c:v>
                </c:pt>
                <c:pt idx="533">
                  <c:v>0.94181963791067402</c:v>
                </c:pt>
                <c:pt idx="534">
                  <c:v>0.90041210963111795</c:v>
                </c:pt>
                <c:pt idx="535">
                  <c:v>0.948735767603481</c:v>
                </c:pt>
                <c:pt idx="536">
                  <c:v>0.93659372688305098</c:v>
                </c:pt>
                <c:pt idx="537">
                  <c:v>0.93525900656929095</c:v>
                </c:pt>
                <c:pt idx="538">
                  <c:v>0.95055386834085198</c:v>
                </c:pt>
                <c:pt idx="539">
                  <c:v>0.91920094103868299</c:v>
                </c:pt>
                <c:pt idx="540">
                  <c:v>0.940104223468615</c:v>
                </c:pt>
                <c:pt idx="541">
                  <c:v>0.90685260452695604</c:v>
                </c:pt>
                <c:pt idx="542">
                  <c:v>0.95487479846878398</c:v>
                </c:pt>
                <c:pt idx="543">
                  <c:v>0.91913126601497697</c:v>
                </c:pt>
                <c:pt idx="544">
                  <c:v>0.925614017838439</c:v>
                </c:pt>
                <c:pt idx="545">
                  <c:v>0.893219855912042</c:v>
                </c:pt>
                <c:pt idx="546">
                  <c:v>0.92991229111903495</c:v>
                </c:pt>
                <c:pt idx="547">
                  <c:v>0.88899526642037197</c:v>
                </c:pt>
                <c:pt idx="548">
                  <c:v>0.89835171621651499</c:v>
                </c:pt>
                <c:pt idx="549">
                  <c:v>0.921456066772114</c:v>
                </c:pt>
                <c:pt idx="550">
                  <c:v>0.92102675065978701</c:v>
                </c:pt>
                <c:pt idx="551">
                  <c:v>0.91808085710568099</c:v>
                </c:pt>
                <c:pt idx="552">
                  <c:v>0.93990726406833902</c:v>
                </c:pt>
                <c:pt idx="553">
                  <c:v>0.90669613715410702</c:v>
                </c:pt>
                <c:pt idx="554">
                  <c:v>0.92112605530243097</c:v>
                </c:pt>
                <c:pt idx="555">
                  <c:v>0.95424031810452403</c:v>
                </c:pt>
                <c:pt idx="556">
                  <c:v>0.94328855875545004</c:v>
                </c:pt>
                <c:pt idx="557">
                  <c:v>0.946618162729985</c:v>
                </c:pt>
                <c:pt idx="558">
                  <c:v>0.94598169385567699</c:v>
                </c:pt>
                <c:pt idx="559">
                  <c:v>0.91660826444546795</c:v>
                </c:pt>
                <c:pt idx="560">
                  <c:v>0.93448859369616599</c:v>
                </c:pt>
                <c:pt idx="561">
                  <c:v>0.95780430492467705</c:v>
                </c:pt>
                <c:pt idx="562">
                  <c:v>0.91576479813237899</c:v>
                </c:pt>
                <c:pt idx="563">
                  <c:v>0.91623366066702305</c:v>
                </c:pt>
                <c:pt idx="564">
                  <c:v>0.91530425563992401</c:v>
                </c:pt>
                <c:pt idx="565">
                  <c:v>0.92754855440671502</c:v>
                </c:pt>
                <c:pt idx="566">
                  <c:v>0.93823789943773905</c:v>
                </c:pt>
                <c:pt idx="567">
                  <c:v>0.92809943133698902</c:v>
                </c:pt>
                <c:pt idx="568">
                  <c:v>0.94176982050589297</c:v>
                </c:pt>
                <c:pt idx="569">
                  <c:v>0.953274869630515</c:v>
                </c:pt>
                <c:pt idx="570">
                  <c:v>0.97403718913590498</c:v>
                </c:pt>
                <c:pt idx="571">
                  <c:v>0.95998966101133199</c:v>
                </c:pt>
                <c:pt idx="572">
                  <c:v>0.93425129650822003</c:v>
                </c:pt>
                <c:pt idx="573">
                  <c:v>0.91394703381278897</c:v>
                </c:pt>
                <c:pt idx="574">
                  <c:v>0.89972260353357303</c:v>
                </c:pt>
                <c:pt idx="575">
                  <c:v>0.93316729714511104</c:v>
                </c:pt>
                <c:pt idx="576">
                  <c:v>0.93344770630040996</c:v>
                </c:pt>
                <c:pt idx="577">
                  <c:v>0.89876515305182403</c:v>
                </c:pt>
                <c:pt idx="578">
                  <c:v>0.93572806226299399</c:v>
                </c:pt>
                <c:pt idx="579">
                  <c:v>0.94017986433460299</c:v>
                </c:pt>
                <c:pt idx="580">
                  <c:v>0.897755821098983</c:v>
                </c:pt>
                <c:pt idx="581">
                  <c:v>0.92869561806659295</c:v>
                </c:pt>
                <c:pt idx="582">
                  <c:v>0.91251048084225905</c:v>
                </c:pt>
                <c:pt idx="583">
                  <c:v>0.92218747019608005</c:v>
                </c:pt>
                <c:pt idx="584">
                  <c:v>0.95460226253009195</c:v>
                </c:pt>
                <c:pt idx="585">
                  <c:v>0.92528125465043198</c:v>
                </c:pt>
                <c:pt idx="586">
                  <c:v>0.92414315170124195</c:v>
                </c:pt>
                <c:pt idx="587">
                  <c:v>0.891265704305503</c:v>
                </c:pt>
                <c:pt idx="588">
                  <c:v>0.92255900628593002</c:v>
                </c:pt>
                <c:pt idx="589">
                  <c:v>0.93606726478542501</c:v>
                </c:pt>
                <c:pt idx="590">
                  <c:v>0.93533284854180798</c:v>
                </c:pt>
                <c:pt idx="591">
                  <c:v>0.90949626333676004</c:v>
                </c:pt>
                <c:pt idx="592">
                  <c:v>0.90065232230705805</c:v>
                </c:pt>
                <c:pt idx="593">
                  <c:v>0.928709680071518</c:v>
                </c:pt>
                <c:pt idx="594">
                  <c:v>0.92334375731215201</c:v>
                </c:pt>
                <c:pt idx="595">
                  <c:v>0.86940189324841</c:v>
                </c:pt>
                <c:pt idx="596">
                  <c:v>0.97063197692715797</c:v>
                </c:pt>
                <c:pt idx="597">
                  <c:v>0.92809924454067205</c:v>
                </c:pt>
                <c:pt idx="598">
                  <c:v>0.97345174377407495</c:v>
                </c:pt>
                <c:pt idx="599">
                  <c:v>0.92578475799832904</c:v>
                </c:pt>
                <c:pt idx="600">
                  <c:v>0.91410924232126201</c:v>
                </c:pt>
                <c:pt idx="601">
                  <c:v>0.94953344780292603</c:v>
                </c:pt>
                <c:pt idx="602">
                  <c:v>0.89606910654393601</c:v>
                </c:pt>
                <c:pt idx="603">
                  <c:v>0.93766511120352003</c:v>
                </c:pt>
                <c:pt idx="604">
                  <c:v>0.95087221264430399</c:v>
                </c:pt>
                <c:pt idx="605">
                  <c:v>0.92851341820028899</c:v>
                </c:pt>
                <c:pt idx="606">
                  <c:v>0.93460015637053495</c:v>
                </c:pt>
                <c:pt idx="607">
                  <c:v>0.87028168246308402</c:v>
                </c:pt>
                <c:pt idx="608">
                  <c:v>0.95296769261759995</c:v>
                </c:pt>
                <c:pt idx="609">
                  <c:v>0.89308080488656005</c:v>
                </c:pt>
                <c:pt idx="610">
                  <c:v>0.90676178121662199</c:v>
                </c:pt>
                <c:pt idx="611">
                  <c:v>0.93992321671799095</c:v>
                </c:pt>
                <c:pt idx="612">
                  <c:v>0.93038115829410895</c:v>
                </c:pt>
                <c:pt idx="613">
                  <c:v>0.93151632733871503</c:v>
                </c:pt>
                <c:pt idx="614">
                  <c:v>0.90485097964744399</c:v>
                </c:pt>
                <c:pt idx="615">
                  <c:v>0.96582183379154796</c:v>
                </c:pt>
                <c:pt idx="616">
                  <c:v>0.92184068905628302</c:v>
                </c:pt>
                <c:pt idx="617">
                  <c:v>0.922122772403142</c:v>
                </c:pt>
                <c:pt idx="618">
                  <c:v>0.909755571060339</c:v>
                </c:pt>
                <c:pt idx="619">
                  <c:v>0.90951448266609802</c:v>
                </c:pt>
                <c:pt idx="620">
                  <c:v>0.96317509263104295</c:v>
                </c:pt>
                <c:pt idx="621">
                  <c:v>0.94688812188846605</c:v>
                </c:pt>
                <c:pt idx="622">
                  <c:v>0.94295085203078499</c:v>
                </c:pt>
                <c:pt idx="623">
                  <c:v>0.92098469509218595</c:v>
                </c:pt>
                <c:pt idx="624">
                  <c:v>0.95131148422774003</c:v>
                </c:pt>
                <c:pt idx="625">
                  <c:v>0.94841860636754505</c:v>
                </c:pt>
                <c:pt idx="626">
                  <c:v>0.92946797029934503</c:v>
                </c:pt>
                <c:pt idx="627">
                  <c:v>0.92958589278061898</c:v>
                </c:pt>
                <c:pt idx="628">
                  <c:v>0.93660056699917305</c:v>
                </c:pt>
                <c:pt idx="629">
                  <c:v>0.94187654541889998</c:v>
                </c:pt>
                <c:pt idx="630">
                  <c:v>0.94874877398281499</c:v>
                </c:pt>
                <c:pt idx="631">
                  <c:v>0.93924897327865198</c:v>
                </c:pt>
                <c:pt idx="632">
                  <c:v>0.92672190124025899</c:v>
                </c:pt>
                <c:pt idx="633">
                  <c:v>0.949813839648182</c:v>
                </c:pt>
                <c:pt idx="634">
                  <c:v>0.92851708051675297</c:v>
                </c:pt>
                <c:pt idx="635">
                  <c:v>0.97958970254154598</c:v>
                </c:pt>
                <c:pt idx="636">
                  <c:v>0.934751269045075</c:v>
                </c:pt>
                <c:pt idx="637">
                  <c:v>0.93856446349192701</c:v>
                </c:pt>
                <c:pt idx="638">
                  <c:v>0.92724610029927701</c:v>
                </c:pt>
                <c:pt idx="639">
                  <c:v>0.95932090945674897</c:v>
                </c:pt>
                <c:pt idx="640">
                  <c:v>0.91174211105833403</c:v>
                </c:pt>
                <c:pt idx="641">
                  <c:v>0.95147880177368105</c:v>
                </c:pt>
                <c:pt idx="642">
                  <c:v>0.94128212686179102</c:v>
                </c:pt>
                <c:pt idx="643">
                  <c:v>0.94408385363635305</c:v>
                </c:pt>
                <c:pt idx="644">
                  <c:v>0.90747578315136102</c:v>
                </c:pt>
                <c:pt idx="645">
                  <c:v>0.89767520995199002</c:v>
                </c:pt>
                <c:pt idx="646">
                  <c:v>0.93063655711906401</c:v>
                </c:pt>
                <c:pt idx="647">
                  <c:v>0.92530836215138101</c:v>
                </c:pt>
                <c:pt idx="648">
                  <c:v>0.90463284272955402</c:v>
                </c:pt>
                <c:pt idx="649">
                  <c:v>0.94063973553520996</c:v>
                </c:pt>
                <c:pt idx="650">
                  <c:v>0.93433549143404604</c:v>
                </c:pt>
                <c:pt idx="651">
                  <c:v>0.91538463436020001</c:v>
                </c:pt>
                <c:pt idx="652">
                  <c:v>0.91924095108416304</c:v>
                </c:pt>
                <c:pt idx="653">
                  <c:v>0.94825840151381002</c:v>
                </c:pt>
                <c:pt idx="654">
                  <c:v>0.92415621521178004</c:v>
                </c:pt>
                <c:pt idx="655">
                  <c:v>0.93831229781335601</c:v>
                </c:pt>
                <c:pt idx="656">
                  <c:v>0.91867160890674904</c:v>
                </c:pt>
                <c:pt idx="657">
                  <c:v>0.92368075407749495</c:v>
                </c:pt>
                <c:pt idx="658">
                  <c:v>0.95921497121905497</c:v>
                </c:pt>
                <c:pt idx="659">
                  <c:v>0.93535741832442199</c:v>
                </c:pt>
                <c:pt idx="660">
                  <c:v>0.92304780749795101</c:v>
                </c:pt>
                <c:pt idx="661">
                  <c:v>0.89001197242490604</c:v>
                </c:pt>
                <c:pt idx="662">
                  <c:v>0.963234800794043</c:v>
                </c:pt>
                <c:pt idx="663">
                  <c:v>0.92186743978000196</c:v>
                </c:pt>
                <c:pt idx="664">
                  <c:v>0.91169651889101799</c:v>
                </c:pt>
                <c:pt idx="665">
                  <c:v>0.93979927899329496</c:v>
                </c:pt>
                <c:pt idx="666">
                  <c:v>0.90925907545540496</c:v>
                </c:pt>
                <c:pt idx="667">
                  <c:v>0.91251891215778402</c:v>
                </c:pt>
                <c:pt idx="668">
                  <c:v>0.93115522232496295</c:v>
                </c:pt>
                <c:pt idx="669">
                  <c:v>0.91667429249056198</c:v>
                </c:pt>
                <c:pt idx="670">
                  <c:v>0.90389058153991297</c:v>
                </c:pt>
                <c:pt idx="671">
                  <c:v>0.91949393741225705</c:v>
                </c:pt>
                <c:pt idx="672">
                  <c:v>0.90844438288175</c:v>
                </c:pt>
                <c:pt idx="673">
                  <c:v>0.93049201644705704</c:v>
                </c:pt>
                <c:pt idx="674">
                  <c:v>0.92040692650879297</c:v>
                </c:pt>
                <c:pt idx="675">
                  <c:v>0.91819053174745602</c:v>
                </c:pt>
                <c:pt idx="676">
                  <c:v>0.90237175810908798</c:v>
                </c:pt>
                <c:pt idx="677">
                  <c:v>0.91001954959760301</c:v>
                </c:pt>
                <c:pt idx="678">
                  <c:v>0.94811577535038605</c:v>
                </c:pt>
                <c:pt idx="679">
                  <c:v>0.95350193261055005</c:v>
                </c:pt>
                <c:pt idx="680">
                  <c:v>0.78843936087065902</c:v>
                </c:pt>
                <c:pt idx="681">
                  <c:v>0.77423548041285595</c:v>
                </c:pt>
                <c:pt idx="682">
                  <c:v>0.805427427678024</c:v>
                </c:pt>
                <c:pt idx="683">
                  <c:v>0.82313790334435499</c:v>
                </c:pt>
                <c:pt idx="684">
                  <c:v>0.79541036255751396</c:v>
                </c:pt>
                <c:pt idx="685">
                  <c:v>0.81512938920025402</c:v>
                </c:pt>
                <c:pt idx="686">
                  <c:v>0.76495053792982104</c:v>
                </c:pt>
                <c:pt idx="687">
                  <c:v>0.80793947417573697</c:v>
                </c:pt>
                <c:pt idx="688">
                  <c:v>0.77616894730710795</c:v>
                </c:pt>
                <c:pt idx="689">
                  <c:v>0.78378445211594505</c:v>
                </c:pt>
                <c:pt idx="690">
                  <c:v>0.74858463455618196</c:v>
                </c:pt>
                <c:pt idx="691">
                  <c:v>0.80541775791710002</c:v>
                </c:pt>
                <c:pt idx="692">
                  <c:v>0.81305541515214896</c:v>
                </c:pt>
                <c:pt idx="693">
                  <c:v>0.79241769662516703</c:v>
                </c:pt>
                <c:pt idx="694">
                  <c:v>0.77793069412434102</c:v>
                </c:pt>
                <c:pt idx="695">
                  <c:v>0.82553598900884695</c:v>
                </c:pt>
                <c:pt idx="696">
                  <c:v>0.75574260982017805</c:v>
                </c:pt>
                <c:pt idx="697">
                  <c:v>0.77678236182900795</c:v>
                </c:pt>
                <c:pt idx="698">
                  <c:v>0.80588191004780796</c:v>
                </c:pt>
                <c:pt idx="699">
                  <c:v>0.79749055742832098</c:v>
                </c:pt>
                <c:pt idx="700">
                  <c:v>0.77799153239990304</c:v>
                </c:pt>
                <c:pt idx="701">
                  <c:v>0.758643517466843</c:v>
                </c:pt>
                <c:pt idx="702">
                  <c:v>0.784236953143302</c:v>
                </c:pt>
                <c:pt idx="703">
                  <c:v>0.77868862864411503</c:v>
                </c:pt>
                <c:pt idx="704">
                  <c:v>0.78395540978976896</c:v>
                </c:pt>
                <c:pt idx="705">
                  <c:v>0.81769178166965895</c:v>
                </c:pt>
                <c:pt idx="706">
                  <c:v>0.78750504664290499</c:v>
                </c:pt>
                <c:pt idx="707">
                  <c:v>0.78154344558032796</c:v>
                </c:pt>
                <c:pt idx="708">
                  <c:v>0.79438976484496204</c:v>
                </c:pt>
                <c:pt idx="709">
                  <c:v>0.80492883601491405</c:v>
                </c:pt>
                <c:pt idx="710">
                  <c:v>0.77238726843591599</c:v>
                </c:pt>
                <c:pt idx="711">
                  <c:v>0.78731489688706202</c:v>
                </c:pt>
                <c:pt idx="712">
                  <c:v>0.82945875478132403</c:v>
                </c:pt>
                <c:pt idx="713">
                  <c:v>0.82039799341195496</c:v>
                </c:pt>
                <c:pt idx="714">
                  <c:v>0.79048510625553703</c:v>
                </c:pt>
                <c:pt idx="715">
                  <c:v>0.79953140320849503</c:v>
                </c:pt>
                <c:pt idx="716">
                  <c:v>0.785290647064537</c:v>
                </c:pt>
                <c:pt idx="717">
                  <c:v>0.80008735856174895</c:v>
                </c:pt>
                <c:pt idx="718">
                  <c:v>0.80040351775806495</c:v>
                </c:pt>
                <c:pt idx="719">
                  <c:v>0.77414074567385605</c:v>
                </c:pt>
                <c:pt idx="720">
                  <c:v>0.79222740809347203</c:v>
                </c:pt>
                <c:pt idx="721">
                  <c:v>0.79837015326885497</c:v>
                </c:pt>
                <c:pt idx="722">
                  <c:v>0.79486824322000804</c:v>
                </c:pt>
                <c:pt idx="723">
                  <c:v>0.79648881002043503</c:v>
                </c:pt>
                <c:pt idx="724">
                  <c:v>0.81302579081045501</c:v>
                </c:pt>
                <c:pt idx="725">
                  <c:v>0.80025327509590605</c:v>
                </c:pt>
                <c:pt idx="726">
                  <c:v>0.80823711430063405</c:v>
                </c:pt>
                <c:pt idx="727">
                  <c:v>0.77135937859265402</c:v>
                </c:pt>
                <c:pt idx="728">
                  <c:v>0.80985447167325497</c:v>
                </c:pt>
                <c:pt idx="729">
                  <c:v>0.77764807350716703</c:v>
                </c:pt>
                <c:pt idx="730">
                  <c:v>0.78404403647221399</c:v>
                </c:pt>
                <c:pt idx="731">
                  <c:v>0.74632820387891596</c:v>
                </c:pt>
                <c:pt idx="732">
                  <c:v>0.76111281222043803</c:v>
                </c:pt>
                <c:pt idx="733">
                  <c:v>0.78080624196662896</c:v>
                </c:pt>
                <c:pt idx="734">
                  <c:v>0.80332477252829204</c:v>
                </c:pt>
                <c:pt idx="735">
                  <c:v>0.81091875848347506</c:v>
                </c:pt>
                <c:pt idx="736">
                  <c:v>0.74792593895119497</c:v>
                </c:pt>
                <c:pt idx="737">
                  <c:v>0.82456884125984298</c:v>
                </c:pt>
                <c:pt idx="738">
                  <c:v>0.78902656656825498</c:v>
                </c:pt>
                <c:pt idx="739">
                  <c:v>0.80333068554623299</c:v>
                </c:pt>
                <c:pt idx="740">
                  <c:v>0.79742703428723405</c:v>
                </c:pt>
                <c:pt idx="741">
                  <c:v>0.77265336759008296</c:v>
                </c:pt>
                <c:pt idx="742">
                  <c:v>0.79237144022933004</c:v>
                </c:pt>
                <c:pt idx="743">
                  <c:v>0.777583565656638</c:v>
                </c:pt>
                <c:pt idx="744">
                  <c:v>0.81055254083855899</c:v>
                </c:pt>
                <c:pt idx="745">
                  <c:v>0.78700172670060897</c:v>
                </c:pt>
                <c:pt idx="746">
                  <c:v>0.80311472410014995</c:v>
                </c:pt>
                <c:pt idx="747">
                  <c:v>0.81509190484368399</c:v>
                </c:pt>
                <c:pt idx="748">
                  <c:v>0.78102292570700105</c:v>
                </c:pt>
                <c:pt idx="749">
                  <c:v>0.78860978258441605</c:v>
                </c:pt>
                <c:pt idx="750">
                  <c:v>0.79598192327985595</c:v>
                </c:pt>
                <c:pt idx="751">
                  <c:v>0.79617130666632097</c:v>
                </c:pt>
                <c:pt idx="752">
                  <c:v>0.80035168045320204</c:v>
                </c:pt>
                <c:pt idx="753">
                  <c:v>0.80490376608591296</c:v>
                </c:pt>
                <c:pt idx="754">
                  <c:v>0.79261108004399505</c:v>
                </c:pt>
                <c:pt idx="755">
                  <c:v>0.81197024544901397</c:v>
                </c:pt>
                <c:pt idx="756">
                  <c:v>0.79959825692532904</c:v>
                </c:pt>
                <c:pt idx="757">
                  <c:v>0.76783403594624999</c:v>
                </c:pt>
                <c:pt idx="758">
                  <c:v>0.797270293615022</c:v>
                </c:pt>
                <c:pt idx="759">
                  <c:v>0.77769621882071305</c:v>
                </c:pt>
                <c:pt idx="760">
                  <c:v>0.77267897038464695</c:v>
                </c:pt>
                <c:pt idx="761">
                  <c:v>0.75041254145930103</c:v>
                </c:pt>
                <c:pt idx="762">
                  <c:v>0.74048406725065596</c:v>
                </c:pt>
                <c:pt idx="763">
                  <c:v>0.78994446873893398</c:v>
                </c:pt>
                <c:pt idx="764">
                  <c:v>0.76986154818205998</c:v>
                </c:pt>
                <c:pt idx="765">
                  <c:v>0.75546758080788201</c:v>
                </c:pt>
                <c:pt idx="766">
                  <c:v>0.76514973432508604</c:v>
                </c:pt>
                <c:pt idx="767">
                  <c:v>0.72771731370471904</c:v>
                </c:pt>
                <c:pt idx="768">
                  <c:v>0.764239401394611</c:v>
                </c:pt>
                <c:pt idx="769">
                  <c:v>0.74447654228466398</c:v>
                </c:pt>
                <c:pt idx="770">
                  <c:v>0.78165467206223604</c:v>
                </c:pt>
                <c:pt idx="771">
                  <c:v>0.74460949714178903</c:v>
                </c:pt>
                <c:pt idx="772">
                  <c:v>0.76039807253231395</c:v>
                </c:pt>
                <c:pt idx="773">
                  <c:v>0.74403721496007702</c:v>
                </c:pt>
                <c:pt idx="774">
                  <c:v>0.78125023467773602</c:v>
                </c:pt>
                <c:pt idx="775">
                  <c:v>0.77680284684410195</c:v>
                </c:pt>
                <c:pt idx="776">
                  <c:v>0.80514725779872798</c:v>
                </c:pt>
                <c:pt idx="777">
                  <c:v>0.79404618399595195</c:v>
                </c:pt>
                <c:pt idx="778">
                  <c:v>0.75777991481249696</c:v>
                </c:pt>
                <c:pt idx="779">
                  <c:v>0.77119464057880904</c:v>
                </c:pt>
                <c:pt idx="780">
                  <c:v>0.80104224928353696</c:v>
                </c:pt>
                <c:pt idx="781">
                  <c:v>0.76676282044233102</c:v>
                </c:pt>
                <c:pt idx="782">
                  <c:v>0.79104186215393701</c:v>
                </c:pt>
                <c:pt idx="783">
                  <c:v>0.75910608989050898</c:v>
                </c:pt>
                <c:pt idx="784">
                  <c:v>0.78851439788247701</c:v>
                </c:pt>
                <c:pt idx="785">
                  <c:v>0.75771386083412995</c:v>
                </c:pt>
                <c:pt idx="786">
                  <c:v>0.74987874490220696</c:v>
                </c:pt>
                <c:pt idx="787">
                  <c:v>0.76411269804122495</c:v>
                </c:pt>
                <c:pt idx="788">
                  <c:v>0.79740767161980397</c:v>
                </c:pt>
                <c:pt idx="789">
                  <c:v>0.73622372493826904</c:v>
                </c:pt>
                <c:pt idx="790">
                  <c:v>0.75306897977579701</c:v>
                </c:pt>
                <c:pt idx="791">
                  <c:v>0.77248925972256099</c:v>
                </c:pt>
                <c:pt idx="792">
                  <c:v>0.77911040069206805</c:v>
                </c:pt>
                <c:pt idx="793">
                  <c:v>0.78101688831371097</c:v>
                </c:pt>
                <c:pt idx="794">
                  <c:v>0.77621530133656502</c:v>
                </c:pt>
                <c:pt idx="795">
                  <c:v>0.77381828977932099</c:v>
                </c:pt>
                <c:pt idx="796">
                  <c:v>0.76561404690470802</c:v>
                </c:pt>
                <c:pt idx="797">
                  <c:v>0.76375453758204004</c:v>
                </c:pt>
                <c:pt idx="798">
                  <c:v>0.93849828357809695</c:v>
                </c:pt>
                <c:pt idx="799">
                  <c:v>0.93725051976235196</c:v>
                </c:pt>
                <c:pt idx="800">
                  <c:v>0.92871474222494499</c:v>
                </c:pt>
                <c:pt idx="801">
                  <c:v>0.98390869214913501</c:v>
                </c:pt>
                <c:pt idx="802">
                  <c:v>0.96813990809814399</c:v>
                </c:pt>
                <c:pt idx="803">
                  <c:v>0.94156393610435296</c:v>
                </c:pt>
                <c:pt idx="804">
                  <c:v>0.96673655489483601</c:v>
                </c:pt>
                <c:pt idx="805">
                  <c:v>0.92835173515358804</c:v>
                </c:pt>
                <c:pt idx="806">
                  <c:v>0.92826538905941303</c:v>
                </c:pt>
                <c:pt idx="807">
                  <c:v>0.96563200987493403</c:v>
                </c:pt>
                <c:pt idx="808">
                  <c:v>0.95877446682101397</c:v>
                </c:pt>
                <c:pt idx="809">
                  <c:v>0.92276571782190397</c:v>
                </c:pt>
                <c:pt idx="810">
                  <c:v>0.93596706683296604</c:v>
                </c:pt>
                <c:pt idx="811">
                  <c:v>0.92025343371479895</c:v>
                </c:pt>
                <c:pt idx="812">
                  <c:v>0.93608919404344504</c:v>
                </c:pt>
                <c:pt idx="813">
                  <c:v>0.92681864182447604</c:v>
                </c:pt>
                <c:pt idx="814">
                  <c:v>0.94894457742831295</c:v>
                </c:pt>
                <c:pt idx="815">
                  <c:v>0.92450846852579904</c:v>
                </c:pt>
                <c:pt idx="816">
                  <c:v>0.92883666262680697</c:v>
                </c:pt>
                <c:pt idx="817">
                  <c:v>0.95956683023384304</c:v>
                </c:pt>
                <c:pt idx="818">
                  <c:v>0.97777800103865598</c:v>
                </c:pt>
                <c:pt idx="819">
                  <c:v>0.95982446282070999</c:v>
                </c:pt>
                <c:pt idx="820">
                  <c:v>0.94812380410187702</c:v>
                </c:pt>
                <c:pt idx="821">
                  <c:v>0.960667253259749</c:v>
                </c:pt>
                <c:pt idx="822">
                  <c:v>0.94409838485844799</c:v>
                </c:pt>
                <c:pt idx="823">
                  <c:v>0.93627381331000303</c:v>
                </c:pt>
                <c:pt idx="824">
                  <c:v>0.96360686387072603</c:v>
                </c:pt>
                <c:pt idx="825">
                  <c:v>0.94508166156336704</c:v>
                </c:pt>
                <c:pt idx="826">
                  <c:v>0.94040405985136399</c:v>
                </c:pt>
                <c:pt idx="827">
                  <c:v>0.92709388428394401</c:v>
                </c:pt>
                <c:pt idx="828">
                  <c:v>0.96624123645017101</c:v>
                </c:pt>
                <c:pt idx="829">
                  <c:v>0.93707612093588699</c:v>
                </c:pt>
                <c:pt idx="830">
                  <c:v>0.96001963623217101</c:v>
                </c:pt>
                <c:pt idx="831">
                  <c:v>0.91957190033379699</c:v>
                </c:pt>
                <c:pt idx="832">
                  <c:v>0.96691083375521603</c:v>
                </c:pt>
                <c:pt idx="833">
                  <c:v>0.93765588661299504</c:v>
                </c:pt>
                <c:pt idx="834">
                  <c:v>0.95279933042033504</c:v>
                </c:pt>
                <c:pt idx="835">
                  <c:v>0.95323546447476104</c:v>
                </c:pt>
                <c:pt idx="836">
                  <c:v>0.98078044076020399</c:v>
                </c:pt>
                <c:pt idx="837">
                  <c:v>0.92882684112843605</c:v>
                </c:pt>
                <c:pt idx="838">
                  <c:v>0.96125376235973004</c:v>
                </c:pt>
                <c:pt idx="839">
                  <c:v>0.94140243056138095</c:v>
                </c:pt>
                <c:pt idx="840">
                  <c:v>0.95356860340999405</c:v>
                </c:pt>
                <c:pt idx="841">
                  <c:v>0.94667349350181396</c:v>
                </c:pt>
                <c:pt idx="842">
                  <c:v>0.93418637980692099</c:v>
                </c:pt>
                <c:pt idx="843">
                  <c:v>0.92862176338661195</c:v>
                </c:pt>
                <c:pt idx="844">
                  <c:v>0.92673483126199796</c:v>
                </c:pt>
                <c:pt idx="845">
                  <c:v>0.958208017574527</c:v>
                </c:pt>
                <c:pt idx="846">
                  <c:v>0.95940657648510097</c:v>
                </c:pt>
                <c:pt idx="847">
                  <c:v>0.91834795471735198</c:v>
                </c:pt>
                <c:pt idx="848">
                  <c:v>0.95596629328170202</c:v>
                </c:pt>
                <c:pt idx="849">
                  <c:v>0.92719170162434605</c:v>
                </c:pt>
                <c:pt idx="850">
                  <c:v>0.92394195918104205</c:v>
                </c:pt>
                <c:pt idx="851">
                  <c:v>0.93561646673495902</c:v>
                </c:pt>
                <c:pt idx="852">
                  <c:v>0.91633393143713404</c:v>
                </c:pt>
                <c:pt idx="853">
                  <c:v>0.93600894055740202</c:v>
                </c:pt>
                <c:pt idx="854">
                  <c:v>0.92707782895943602</c:v>
                </c:pt>
                <c:pt idx="855">
                  <c:v>0.94378519653950599</c:v>
                </c:pt>
                <c:pt idx="856">
                  <c:v>0.92266064222641797</c:v>
                </c:pt>
                <c:pt idx="857">
                  <c:v>0.91957732522332603</c:v>
                </c:pt>
                <c:pt idx="858">
                  <c:v>0.91601082372104603</c:v>
                </c:pt>
                <c:pt idx="859">
                  <c:v>0.96521268552894701</c:v>
                </c:pt>
                <c:pt idx="860">
                  <c:v>0.910239617041667</c:v>
                </c:pt>
                <c:pt idx="861">
                  <c:v>0.966344858502309</c:v>
                </c:pt>
                <c:pt idx="862">
                  <c:v>0.93238718505281304</c:v>
                </c:pt>
                <c:pt idx="863">
                  <c:v>0.92928546904298603</c:v>
                </c:pt>
                <c:pt idx="864">
                  <c:v>0.92486619949693305</c:v>
                </c:pt>
                <c:pt idx="865">
                  <c:v>0.927759261071743</c:v>
                </c:pt>
                <c:pt idx="866">
                  <c:v>0.93503410434950296</c:v>
                </c:pt>
                <c:pt idx="867">
                  <c:v>0.92607888172360997</c:v>
                </c:pt>
                <c:pt idx="868">
                  <c:v>0.92934205815421</c:v>
                </c:pt>
                <c:pt idx="869">
                  <c:v>0.89274441449039099</c:v>
                </c:pt>
                <c:pt idx="870">
                  <c:v>0.91187027599320902</c:v>
                </c:pt>
                <c:pt idx="871">
                  <c:v>0.90342518143898598</c:v>
                </c:pt>
                <c:pt idx="872">
                  <c:v>0.920433643914643</c:v>
                </c:pt>
                <c:pt idx="873">
                  <c:v>0.94060334984897298</c:v>
                </c:pt>
                <c:pt idx="874">
                  <c:v>0.92141619906223604</c:v>
                </c:pt>
                <c:pt idx="875">
                  <c:v>0.91176777934405695</c:v>
                </c:pt>
                <c:pt idx="876">
                  <c:v>0.91558660301255801</c:v>
                </c:pt>
                <c:pt idx="877">
                  <c:v>0.90523668333339802</c:v>
                </c:pt>
                <c:pt idx="878">
                  <c:v>0.94818319191491196</c:v>
                </c:pt>
                <c:pt idx="879">
                  <c:v>0.81708471024380502</c:v>
                </c:pt>
                <c:pt idx="880">
                  <c:v>0.80166342725766504</c:v>
                </c:pt>
                <c:pt idx="881">
                  <c:v>0.81374621357140697</c:v>
                </c:pt>
                <c:pt idx="882">
                  <c:v>0.81425226677796603</c:v>
                </c:pt>
                <c:pt idx="883">
                  <c:v>0.84455893678350202</c:v>
                </c:pt>
                <c:pt idx="884">
                  <c:v>0.82219026820068797</c:v>
                </c:pt>
                <c:pt idx="885">
                  <c:v>0.807478292174866</c:v>
                </c:pt>
                <c:pt idx="886">
                  <c:v>0.81420524333567801</c:v>
                </c:pt>
                <c:pt idx="887">
                  <c:v>0.82127005443309797</c:v>
                </c:pt>
                <c:pt idx="888">
                  <c:v>0.79899307538293796</c:v>
                </c:pt>
                <c:pt idx="889">
                  <c:v>0.78875340722406595</c:v>
                </c:pt>
                <c:pt idx="890">
                  <c:v>0.83442916932414402</c:v>
                </c:pt>
                <c:pt idx="891">
                  <c:v>0.81092025561688097</c:v>
                </c:pt>
                <c:pt idx="892">
                  <c:v>0.82181742913656497</c:v>
                </c:pt>
                <c:pt idx="893">
                  <c:v>0.82377049212137399</c:v>
                </c:pt>
                <c:pt idx="894">
                  <c:v>0.78438726873798603</c:v>
                </c:pt>
                <c:pt idx="895">
                  <c:v>0.83791252021301799</c:v>
                </c:pt>
                <c:pt idx="896">
                  <c:v>0.81051000930272998</c:v>
                </c:pt>
                <c:pt idx="897">
                  <c:v>0.80341039582198903</c:v>
                </c:pt>
                <c:pt idx="898">
                  <c:v>0.79677524107446995</c:v>
                </c:pt>
                <c:pt idx="899">
                  <c:v>0.85145351236464095</c:v>
                </c:pt>
                <c:pt idx="900">
                  <c:v>0.76975596779959599</c:v>
                </c:pt>
                <c:pt idx="901">
                  <c:v>0.81932975102015604</c:v>
                </c:pt>
                <c:pt idx="902">
                  <c:v>0.80248115059547998</c:v>
                </c:pt>
                <c:pt idx="903">
                  <c:v>0.82109862566657599</c:v>
                </c:pt>
                <c:pt idx="904">
                  <c:v>0.81244556085097097</c:v>
                </c:pt>
                <c:pt idx="905">
                  <c:v>0.81102589617234899</c:v>
                </c:pt>
                <c:pt idx="906">
                  <c:v>0.81739508167318398</c:v>
                </c:pt>
                <c:pt idx="907">
                  <c:v>0.80290437314419105</c:v>
                </c:pt>
                <c:pt idx="908">
                  <c:v>0.80653087885419095</c:v>
                </c:pt>
                <c:pt idx="909">
                  <c:v>0.82518796144314699</c:v>
                </c:pt>
                <c:pt idx="910">
                  <c:v>0.79559291578458702</c:v>
                </c:pt>
                <c:pt idx="911">
                  <c:v>0.77668703399179195</c:v>
                </c:pt>
                <c:pt idx="912">
                  <c:v>0.73966688743336895</c:v>
                </c:pt>
                <c:pt idx="913">
                  <c:v>0.81815048224686104</c:v>
                </c:pt>
                <c:pt idx="914">
                  <c:v>0.83078433755370695</c:v>
                </c:pt>
                <c:pt idx="915">
                  <c:v>0.78094687251009598</c:v>
                </c:pt>
                <c:pt idx="916">
                  <c:v>0.85368490974674205</c:v>
                </c:pt>
                <c:pt idx="917">
                  <c:v>0.81231689905502402</c:v>
                </c:pt>
                <c:pt idx="918">
                  <c:v>0.76540450967420604</c:v>
                </c:pt>
                <c:pt idx="919">
                  <c:v>0.78634599470162103</c:v>
                </c:pt>
                <c:pt idx="920">
                  <c:v>0.81096104136772895</c:v>
                </c:pt>
                <c:pt idx="921">
                  <c:v>0.83086712240778005</c:v>
                </c:pt>
                <c:pt idx="922">
                  <c:v>0.818224928232968</c:v>
                </c:pt>
                <c:pt idx="923">
                  <c:v>0.81557343979355301</c:v>
                </c:pt>
                <c:pt idx="924">
                  <c:v>0.85633380073415999</c:v>
                </c:pt>
                <c:pt idx="925">
                  <c:v>0.83575499213803695</c:v>
                </c:pt>
                <c:pt idx="926">
                  <c:v>0.80222307945631399</c:v>
                </c:pt>
                <c:pt idx="927">
                  <c:v>0.79780561480508805</c:v>
                </c:pt>
                <c:pt idx="928">
                  <c:v>0.83171764573469498</c:v>
                </c:pt>
                <c:pt idx="929">
                  <c:v>0.77909117548092499</c:v>
                </c:pt>
                <c:pt idx="930">
                  <c:v>0.83378118342002905</c:v>
                </c:pt>
                <c:pt idx="931">
                  <c:v>0.80058498809345902</c:v>
                </c:pt>
                <c:pt idx="932">
                  <c:v>0.82626425630165101</c:v>
                </c:pt>
                <c:pt idx="933">
                  <c:v>0.79579771837148705</c:v>
                </c:pt>
                <c:pt idx="934">
                  <c:v>0.80605709687787397</c:v>
                </c:pt>
                <c:pt idx="935">
                  <c:v>0.81317422030661302</c:v>
                </c:pt>
                <c:pt idx="936">
                  <c:v>0.83079318538915403</c:v>
                </c:pt>
                <c:pt idx="937">
                  <c:v>0.82266420746069202</c:v>
                </c:pt>
                <c:pt idx="938">
                  <c:v>0.81113252097120003</c:v>
                </c:pt>
                <c:pt idx="939">
                  <c:v>0.82489330565993002</c:v>
                </c:pt>
                <c:pt idx="940">
                  <c:v>0.82487689811003095</c:v>
                </c:pt>
                <c:pt idx="941">
                  <c:v>0.83327958500114996</c:v>
                </c:pt>
                <c:pt idx="942">
                  <c:v>0.789519927054392</c:v>
                </c:pt>
                <c:pt idx="943">
                  <c:v>0.80749067267679497</c:v>
                </c:pt>
                <c:pt idx="944">
                  <c:v>0.82468177461493897</c:v>
                </c:pt>
                <c:pt idx="945">
                  <c:v>0.84458053644023201</c:v>
                </c:pt>
                <c:pt idx="946">
                  <c:v>0.78902124148843999</c:v>
                </c:pt>
                <c:pt idx="947">
                  <c:v>0.82627451262363205</c:v>
                </c:pt>
                <c:pt idx="948">
                  <c:v>0.78932444600506202</c:v>
                </c:pt>
                <c:pt idx="949">
                  <c:v>0.79380599542902897</c:v>
                </c:pt>
                <c:pt idx="950">
                  <c:v>0.80485835604357103</c:v>
                </c:pt>
                <c:pt idx="951">
                  <c:v>0.82238270606916097</c:v>
                </c:pt>
                <c:pt idx="952">
                  <c:v>0.79668590574255604</c:v>
                </c:pt>
                <c:pt idx="953">
                  <c:v>0.80647630950585103</c:v>
                </c:pt>
                <c:pt idx="954">
                  <c:v>0.82793777015851899</c:v>
                </c:pt>
                <c:pt idx="955">
                  <c:v>0.80738628244329702</c:v>
                </c:pt>
                <c:pt idx="956">
                  <c:v>0.77765033524975702</c:v>
                </c:pt>
                <c:pt idx="957">
                  <c:v>0.79387557976641898</c:v>
                </c:pt>
                <c:pt idx="958">
                  <c:v>0.79658516575800598</c:v>
                </c:pt>
                <c:pt idx="959">
                  <c:v>0.80883201291472395</c:v>
                </c:pt>
                <c:pt idx="960">
                  <c:v>0.83168848846687504</c:v>
                </c:pt>
                <c:pt idx="961">
                  <c:v>0.80586710653371196</c:v>
                </c:pt>
                <c:pt idx="962">
                  <c:v>0.831858585807287</c:v>
                </c:pt>
                <c:pt idx="963">
                  <c:v>0.80391805089334401</c:v>
                </c:pt>
                <c:pt idx="964">
                  <c:v>0.81803089504311099</c:v>
                </c:pt>
                <c:pt idx="965">
                  <c:v>0.81760401485365797</c:v>
                </c:pt>
                <c:pt idx="966">
                  <c:v>0.82317921946186801</c:v>
                </c:pt>
                <c:pt idx="967">
                  <c:v>0.81448967615266699</c:v>
                </c:pt>
                <c:pt idx="968">
                  <c:v>0.81494705054082595</c:v>
                </c:pt>
                <c:pt idx="969">
                  <c:v>0.806506133164686</c:v>
                </c:pt>
                <c:pt idx="970">
                  <c:v>0.81185292758414696</c:v>
                </c:pt>
                <c:pt idx="971">
                  <c:v>0.82254975024072097</c:v>
                </c:pt>
                <c:pt idx="972">
                  <c:v>0.80420574470436501</c:v>
                </c:pt>
                <c:pt idx="973">
                  <c:v>0.77943804140482098</c:v>
                </c:pt>
                <c:pt idx="974">
                  <c:v>0.83430604494812199</c:v>
                </c:pt>
                <c:pt idx="975">
                  <c:v>0.80396154621875604</c:v>
                </c:pt>
                <c:pt idx="976">
                  <c:v>0.83281492893071596</c:v>
                </c:pt>
                <c:pt idx="977">
                  <c:v>0.81590072426925797</c:v>
                </c:pt>
                <c:pt idx="978">
                  <c:v>0.803941705045502</c:v>
                </c:pt>
                <c:pt idx="979">
                  <c:v>0.78613444144647704</c:v>
                </c:pt>
                <c:pt idx="980">
                  <c:v>0.83444650932504205</c:v>
                </c:pt>
                <c:pt idx="981">
                  <c:v>0.791708836624889</c:v>
                </c:pt>
                <c:pt idx="982">
                  <c:v>0.79364518973849596</c:v>
                </c:pt>
                <c:pt idx="983">
                  <c:v>0.80777546752734597</c:v>
                </c:pt>
                <c:pt idx="984">
                  <c:v>0.81686364801857003</c:v>
                </c:pt>
                <c:pt idx="985">
                  <c:v>0.80665372233685895</c:v>
                </c:pt>
                <c:pt idx="986">
                  <c:v>0.827796333386004</c:v>
                </c:pt>
                <c:pt idx="987">
                  <c:v>0.79916628287270797</c:v>
                </c:pt>
                <c:pt idx="988">
                  <c:v>0.82351706727313301</c:v>
                </c:pt>
                <c:pt idx="989">
                  <c:v>0.78721780200160296</c:v>
                </c:pt>
                <c:pt idx="990">
                  <c:v>0.80043215924516897</c:v>
                </c:pt>
                <c:pt idx="991">
                  <c:v>0.79086452554230702</c:v>
                </c:pt>
                <c:pt idx="992">
                  <c:v>0.777147675570521</c:v>
                </c:pt>
                <c:pt idx="993">
                  <c:v>0.82085028273921701</c:v>
                </c:pt>
                <c:pt idx="994">
                  <c:v>0.81551991549450298</c:v>
                </c:pt>
                <c:pt idx="995">
                  <c:v>0.81666145131794399</c:v>
                </c:pt>
                <c:pt idx="996">
                  <c:v>0.79783929774380402</c:v>
                </c:pt>
                <c:pt idx="997">
                  <c:v>0.81746261790122698</c:v>
                </c:pt>
                <c:pt idx="998">
                  <c:v>0.80647810450185797</c:v>
                </c:pt>
                <c:pt idx="999">
                  <c:v>0.98136114014756504</c:v>
                </c:pt>
                <c:pt idx="1000">
                  <c:v>0.96795275610957499</c:v>
                </c:pt>
                <c:pt idx="1001">
                  <c:v>0.95254029150289099</c:v>
                </c:pt>
                <c:pt idx="1002">
                  <c:v>0.97493452109464795</c:v>
                </c:pt>
                <c:pt idx="1003">
                  <c:v>0.96506620319563396</c:v>
                </c:pt>
                <c:pt idx="1004">
                  <c:v>0.966119195520732</c:v>
                </c:pt>
                <c:pt idx="1005">
                  <c:v>0.97220428333320297</c:v>
                </c:pt>
                <c:pt idx="1006">
                  <c:v>0.96069780430944796</c:v>
                </c:pt>
                <c:pt idx="1007">
                  <c:v>0.91841145318267803</c:v>
                </c:pt>
                <c:pt idx="1008">
                  <c:v>0.914192141263521</c:v>
                </c:pt>
                <c:pt idx="1009">
                  <c:v>0.97148964990289099</c:v>
                </c:pt>
                <c:pt idx="1010">
                  <c:v>0.96192318202169302</c:v>
                </c:pt>
                <c:pt idx="1011">
                  <c:v>0.95678699529183797</c:v>
                </c:pt>
                <c:pt idx="1012">
                  <c:v>0.93801450444647105</c:v>
                </c:pt>
                <c:pt idx="1013">
                  <c:v>0.91960699730808904</c:v>
                </c:pt>
                <c:pt idx="1014">
                  <c:v>0.951922961248022</c:v>
                </c:pt>
                <c:pt idx="1015">
                  <c:v>0.94312985474580802</c:v>
                </c:pt>
                <c:pt idx="1016">
                  <c:v>0.96891370681246702</c:v>
                </c:pt>
                <c:pt idx="1017">
                  <c:v>0.97825672346968295</c:v>
                </c:pt>
                <c:pt idx="1018">
                  <c:v>0.95167434306481102</c:v>
                </c:pt>
                <c:pt idx="1019">
                  <c:v>0.95131861939236395</c:v>
                </c:pt>
                <c:pt idx="1020">
                  <c:v>0.96802041473757505</c:v>
                </c:pt>
                <c:pt idx="1021">
                  <c:v>0.963793178615034</c:v>
                </c:pt>
                <c:pt idx="1022">
                  <c:v>0.96422881699537999</c:v>
                </c:pt>
                <c:pt idx="1023">
                  <c:v>0.95857772375314099</c:v>
                </c:pt>
                <c:pt idx="1024">
                  <c:v>0.95921303290890902</c:v>
                </c:pt>
                <c:pt idx="1025">
                  <c:v>0.95759664217472895</c:v>
                </c:pt>
                <c:pt idx="1026">
                  <c:v>0.95723444670454605</c:v>
                </c:pt>
                <c:pt idx="1027">
                  <c:v>0.98053347752082998</c:v>
                </c:pt>
                <c:pt idx="1028">
                  <c:v>0.94420596547962898</c:v>
                </c:pt>
                <c:pt idx="1029">
                  <c:v>0.96061293539307802</c:v>
                </c:pt>
                <c:pt idx="1030">
                  <c:v>0.94002311616278</c:v>
                </c:pt>
                <c:pt idx="1031">
                  <c:v>0.97178292180308101</c:v>
                </c:pt>
                <c:pt idx="1032">
                  <c:v>0.94373806058799403</c:v>
                </c:pt>
                <c:pt idx="1033">
                  <c:v>0.97153848353099204</c:v>
                </c:pt>
                <c:pt idx="1034">
                  <c:v>0.96542628308925904</c:v>
                </c:pt>
                <c:pt idx="1035">
                  <c:v>0.962173389437464</c:v>
                </c:pt>
                <c:pt idx="1036">
                  <c:v>0.96725096347015704</c:v>
                </c:pt>
                <c:pt idx="1037">
                  <c:v>0.96208892298815096</c:v>
                </c:pt>
                <c:pt idx="1038">
                  <c:v>0.97914006005394705</c:v>
                </c:pt>
                <c:pt idx="1039">
                  <c:v>0.97711648099068005</c:v>
                </c:pt>
                <c:pt idx="1040">
                  <c:v>0.95472883238384698</c:v>
                </c:pt>
                <c:pt idx="1041">
                  <c:v>0.92042522167820295</c:v>
                </c:pt>
                <c:pt idx="1042">
                  <c:v>0.94890813108310601</c:v>
                </c:pt>
                <c:pt idx="1043">
                  <c:v>0.95705558162316595</c:v>
                </c:pt>
                <c:pt idx="1044">
                  <c:v>0.93770156410611605</c:v>
                </c:pt>
                <c:pt idx="1045">
                  <c:v>0.954482941857557</c:v>
                </c:pt>
                <c:pt idx="1046">
                  <c:v>0.93214683337218296</c:v>
                </c:pt>
                <c:pt idx="1047">
                  <c:v>0.963534200202814</c:v>
                </c:pt>
                <c:pt idx="1048">
                  <c:v>0.93059973522518402</c:v>
                </c:pt>
                <c:pt idx="1049">
                  <c:v>0.95945334257115999</c:v>
                </c:pt>
                <c:pt idx="1050">
                  <c:v>0.92238565838898501</c:v>
                </c:pt>
                <c:pt idx="1051">
                  <c:v>0.92484247772547801</c:v>
                </c:pt>
                <c:pt idx="1052">
                  <c:v>0.95145962256829397</c:v>
                </c:pt>
                <c:pt idx="1053">
                  <c:v>0.95470186299239401</c:v>
                </c:pt>
                <c:pt idx="1054">
                  <c:v>0.92747377831560995</c:v>
                </c:pt>
                <c:pt idx="1055">
                  <c:v>0.93097783580556603</c:v>
                </c:pt>
                <c:pt idx="1056">
                  <c:v>0.94675692335453698</c:v>
                </c:pt>
                <c:pt idx="1057">
                  <c:v>0.934353689841665</c:v>
                </c:pt>
                <c:pt idx="1058">
                  <c:v>0.93114848536813399</c:v>
                </c:pt>
                <c:pt idx="1059">
                  <c:v>0.94348531749574605</c:v>
                </c:pt>
                <c:pt idx="1060">
                  <c:v>0.94937944386436801</c:v>
                </c:pt>
                <c:pt idx="1061">
                  <c:v>0.93826301371105603</c:v>
                </c:pt>
                <c:pt idx="1062">
                  <c:v>0.96096689404203195</c:v>
                </c:pt>
                <c:pt idx="1063">
                  <c:v>0.94512366648498702</c:v>
                </c:pt>
                <c:pt idx="1064">
                  <c:v>0.97083832873256704</c:v>
                </c:pt>
                <c:pt idx="1065">
                  <c:v>0.93774190269194002</c:v>
                </c:pt>
                <c:pt idx="1066">
                  <c:v>0.96290405896850495</c:v>
                </c:pt>
                <c:pt idx="1067">
                  <c:v>0.93577955226437104</c:v>
                </c:pt>
                <c:pt idx="1068">
                  <c:v>0.97695666049557695</c:v>
                </c:pt>
                <c:pt idx="1069">
                  <c:v>0.95459072811781098</c:v>
                </c:pt>
                <c:pt idx="1070">
                  <c:v>0.95626285741580697</c:v>
                </c:pt>
                <c:pt idx="1071">
                  <c:v>0.95231214307891798</c:v>
                </c:pt>
                <c:pt idx="1072">
                  <c:v>0.95023694449443896</c:v>
                </c:pt>
                <c:pt idx="1073">
                  <c:v>0.96158778156744495</c:v>
                </c:pt>
                <c:pt idx="1074">
                  <c:v>0.95728524872293397</c:v>
                </c:pt>
                <c:pt idx="1075">
                  <c:v>0.95700510317202203</c:v>
                </c:pt>
                <c:pt idx="1076">
                  <c:v>0.95803680567497795</c:v>
                </c:pt>
                <c:pt idx="1077">
                  <c:v>0.94811271689288301</c:v>
                </c:pt>
                <c:pt idx="1078">
                  <c:v>0.96074250828338303</c:v>
                </c:pt>
                <c:pt idx="1079">
                  <c:v>0.96068248375632503</c:v>
                </c:pt>
                <c:pt idx="1080">
                  <c:v>0.97022777991436604</c:v>
                </c:pt>
                <c:pt idx="1081">
                  <c:v>0.96720456562386503</c:v>
                </c:pt>
                <c:pt idx="1082">
                  <c:v>0.93704185346398605</c:v>
                </c:pt>
                <c:pt idx="1083">
                  <c:v>0.81207450500300504</c:v>
                </c:pt>
                <c:pt idx="1084">
                  <c:v>0.79533669483325198</c:v>
                </c:pt>
                <c:pt idx="1085">
                  <c:v>0.83750567743092996</c:v>
                </c:pt>
                <c:pt idx="1086">
                  <c:v>0.85256752419461901</c:v>
                </c:pt>
                <c:pt idx="1087">
                  <c:v>0.842739935145282</c:v>
                </c:pt>
                <c:pt idx="1088">
                  <c:v>0.83936712261967095</c:v>
                </c:pt>
                <c:pt idx="1089">
                  <c:v>0.82817070728737296</c:v>
                </c:pt>
                <c:pt idx="1090">
                  <c:v>0.85484438912184402</c:v>
                </c:pt>
                <c:pt idx="1091">
                  <c:v>0.84282368235928196</c:v>
                </c:pt>
                <c:pt idx="1092">
                  <c:v>0.83690324448807996</c:v>
                </c:pt>
                <c:pt idx="1093">
                  <c:v>0.84386099673104598</c:v>
                </c:pt>
                <c:pt idx="1094">
                  <c:v>0.83736756133286805</c:v>
                </c:pt>
                <c:pt idx="1095">
                  <c:v>0.85511827025195997</c:v>
                </c:pt>
                <c:pt idx="1096">
                  <c:v>0.84033992492782394</c:v>
                </c:pt>
                <c:pt idx="1097">
                  <c:v>0.84806806228369203</c:v>
                </c:pt>
                <c:pt idx="1098">
                  <c:v>0.81259700536457602</c:v>
                </c:pt>
                <c:pt idx="1099">
                  <c:v>0.79373961681846705</c:v>
                </c:pt>
                <c:pt idx="1100">
                  <c:v>0.81981077364133603</c:v>
                </c:pt>
                <c:pt idx="1101">
                  <c:v>0.85451072849370902</c:v>
                </c:pt>
                <c:pt idx="1102">
                  <c:v>0.85336970180413396</c:v>
                </c:pt>
                <c:pt idx="1103">
                  <c:v>0.84704173854923603</c:v>
                </c:pt>
                <c:pt idx="1104">
                  <c:v>0.84099064833415604</c:v>
                </c:pt>
                <c:pt idx="1105">
                  <c:v>0.81927800964901498</c:v>
                </c:pt>
                <c:pt idx="1106">
                  <c:v>0.84546368825616502</c:v>
                </c:pt>
                <c:pt idx="1107">
                  <c:v>0.80556316206447798</c:v>
                </c:pt>
                <c:pt idx="1108">
                  <c:v>0.82045507174343701</c:v>
                </c:pt>
                <c:pt idx="1109">
                  <c:v>0.84197648299184402</c:v>
                </c:pt>
                <c:pt idx="1110">
                  <c:v>0.83414450644125304</c:v>
                </c:pt>
                <c:pt idx="1111">
                  <c:v>0.79663106205338996</c:v>
                </c:pt>
                <c:pt idx="1112">
                  <c:v>0.87878278400393794</c:v>
                </c:pt>
                <c:pt idx="1113">
                  <c:v>0.81897174884147805</c:v>
                </c:pt>
                <c:pt idx="1114">
                  <c:v>0.83906081069776295</c:v>
                </c:pt>
                <c:pt idx="1115">
                  <c:v>0.83353933150053905</c:v>
                </c:pt>
                <c:pt idx="1116">
                  <c:v>0.81829425637644404</c:v>
                </c:pt>
                <c:pt idx="1117">
                  <c:v>0.805561244665841</c:v>
                </c:pt>
                <c:pt idx="1118">
                  <c:v>0.78607095246402103</c:v>
                </c:pt>
                <c:pt idx="1119">
                  <c:v>0.829009633475429</c:v>
                </c:pt>
                <c:pt idx="1120">
                  <c:v>0.80051156988179695</c:v>
                </c:pt>
                <c:pt idx="1121">
                  <c:v>0.81439346486639297</c:v>
                </c:pt>
                <c:pt idx="1122">
                  <c:v>0.82032162658751495</c:v>
                </c:pt>
                <c:pt idx="1123">
                  <c:v>0.84497470716622802</c:v>
                </c:pt>
                <c:pt idx="1124">
                  <c:v>0.830370477475186</c:v>
                </c:pt>
                <c:pt idx="1125">
                  <c:v>0.82276368177943005</c:v>
                </c:pt>
                <c:pt idx="1126">
                  <c:v>0.81055503462754797</c:v>
                </c:pt>
                <c:pt idx="1127">
                  <c:v>0.85460431129556702</c:v>
                </c:pt>
                <c:pt idx="1128">
                  <c:v>0.84769855220673695</c:v>
                </c:pt>
                <c:pt idx="1129">
                  <c:v>0.84389091133233596</c:v>
                </c:pt>
                <c:pt idx="1130">
                  <c:v>0.80562635276285399</c:v>
                </c:pt>
                <c:pt idx="1131">
                  <c:v>0.80559767739759902</c:v>
                </c:pt>
                <c:pt idx="1132">
                  <c:v>0.80095801015286205</c:v>
                </c:pt>
                <c:pt idx="1133">
                  <c:v>0.80921478863532503</c:v>
                </c:pt>
                <c:pt idx="1134">
                  <c:v>0.81030105214936898</c:v>
                </c:pt>
                <c:pt idx="1135">
                  <c:v>0.81221927876458799</c:v>
                </c:pt>
                <c:pt idx="1136">
                  <c:v>0.835191554635483</c:v>
                </c:pt>
                <c:pt idx="1137">
                  <c:v>0.84518194425878201</c:v>
                </c:pt>
                <c:pt idx="1138">
                  <c:v>0.84872782050985696</c:v>
                </c:pt>
                <c:pt idx="1139">
                  <c:v>0.83405251397595004</c:v>
                </c:pt>
                <c:pt idx="1140">
                  <c:v>0.829325743997259</c:v>
                </c:pt>
                <c:pt idx="1141">
                  <c:v>0.84790164574649396</c:v>
                </c:pt>
                <c:pt idx="1142">
                  <c:v>0.80559996377763499</c:v>
                </c:pt>
                <c:pt idx="1143">
                  <c:v>0.81063015376731995</c:v>
                </c:pt>
                <c:pt idx="1144">
                  <c:v>0.824494412772658</c:v>
                </c:pt>
                <c:pt idx="1145">
                  <c:v>0.83183381238870802</c:v>
                </c:pt>
                <c:pt idx="1146">
                  <c:v>0.83268173535509105</c:v>
                </c:pt>
                <c:pt idx="1147">
                  <c:v>0.82149521763028499</c:v>
                </c:pt>
                <c:pt idx="1148">
                  <c:v>0.81094391285776402</c:v>
                </c:pt>
                <c:pt idx="1149">
                  <c:v>0.80895762298746399</c:v>
                </c:pt>
                <c:pt idx="1150">
                  <c:v>0.80228678587667202</c:v>
                </c:pt>
                <c:pt idx="1151">
                  <c:v>0.832509716416027</c:v>
                </c:pt>
                <c:pt idx="1152">
                  <c:v>0.826394703015225</c:v>
                </c:pt>
                <c:pt idx="1153">
                  <c:v>0.85389001584102597</c:v>
                </c:pt>
                <c:pt idx="1154">
                  <c:v>0.84158875525058396</c:v>
                </c:pt>
                <c:pt idx="1155">
                  <c:v>0.83873995944764701</c:v>
                </c:pt>
                <c:pt idx="1156">
                  <c:v>0.84864925264570801</c:v>
                </c:pt>
                <c:pt idx="1157">
                  <c:v>0.84641252107782705</c:v>
                </c:pt>
                <c:pt idx="1158">
                  <c:v>0.869986986566472</c:v>
                </c:pt>
                <c:pt idx="1159">
                  <c:v>0.84064595536560005</c:v>
                </c:pt>
                <c:pt idx="1160">
                  <c:v>0.83424882873636996</c:v>
                </c:pt>
                <c:pt idx="1161">
                  <c:v>0.83815046361318202</c:v>
                </c:pt>
                <c:pt idx="1162">
                  <c:v>0.82133137461604</c:v>
                </c:pt>
                <c:pt idx="1163">
                  <c:v>0.83888084852796896</c:v>
                </c:pt>
                <c:pt idx="1164">
                  <c:v>0.84883579614821703</c:v>
                </c:pt>
                <c:pt idx="1165">
                  <c:v>0.82920008657448496</c:v>
                </c:pt>
                <c:pt idx="1166">
                  <c:v>0.81465297631338096</c:v>
                </c:pt>
                <c:pt idx="1167">
                  <c:v>0.81346609918905399</c:v>
                </c:pt>
                <c:pt idx="1168">
                  <c:v>0.81655984206906196</c:v>
                </c:pt>
                <c:pt idx="1169">
                  <c:v>0.85339979000736299</c:v>
                </c:pt>
                <c:pt idx="1170">
                  <c:v>0.82761699382972898</c:v>
                </c:pt>
                <c:pt idx="1171">
                  <c:v>0.83295918971664495</c:v>
                </c:pt>
                <c:pt idx="1172">
                  <c:v>0.84733368672595299</c:v>
                </c:pt>
                <c:pt idx="1173">
                  <c:v>0.83306516179988099</c:v>
                </c:pt>
                <c:pt idx="1174">
                  <c:v>0.80443520711702998</c:v>
                </c:pt>
                <c:pt idx="1175">
                  <c:v>0.82008950682662196</c:v>
                </c:pt>
                <c:pt idx="1176">
                  <c:v>0.81795616045363395</c:v>
                </c:pt>
                <c:pt idx="1177">
                  <c:v>0.81025043460795698</c:v>
                </c:pt>
                <c:pt idx="1178">
                  <c:v>0.80263876462749895</c:v>
                </c:pt>
                <c:pt idx="1179">
                  <c:v>0.86168452211765001</c:v>
                </c:pt>
                <c:pt idx="1180">
                  <c:v>0.83888363006431599</c:v>
                </c:pt>
                <c:pt idx="1181">
                  <c:v>0.83889528151203996</c:v>
                </c:pt>
                <c:pt idx="1182">
                  <c:v>0.85020013727982402</c:v>
                </c:pt>
                <c:pt idx="1183">
                  <c:v>0.82003531859396295</c:v>
                </c:pt>
                <c:pt idx="1184">
                  <c:v>0.81808908338987896</c:v>
                </c:pt>
                <c:pt idx="1185">
                  <c:v>0.82982678728506498</c:v>
                </c:pt>
                <c:pt idx="1186">
                  <c:v>0.81148397415886597</c:v>
                </c:pt>
                <c:pt idx="1187">
                  <c:v>0.81238185903093896</c:v>
                </c:pt>
                <c:pt idx="1188">
                  <c:v>0.811216265519493</c:v>
                </c:pt>
                <c:pt idx="1189">
                  <c:v>0.82382333928979301</c:v>
                </c:pt>
                <c:pt idx="1190">
                  <c:v>0.83413461402241595</c:v>
                </c:pt>
                <c:pt idx="1191">
                  <c:v>0.81959681931397299</c:v>
                </c:pt>
                <c:pt idx="1192">
                  <c:v>0.80562234310699199</c:v>
                </c:pt>
                <c:pt idx="1193">
                  <c:v>0.78957395276183295</c:v>
                </c:pt>
                <c:pt idx="1194">
                  <c:v>0.83105479242560298</c:v>
                </c:pt>
                <c:pt idx="1195">
                  <c:v>0.81005366296727799</c:v>
                </c:pt>
                <c:pt idx="1196">
                  <c:v>0.81557952627893604</c:v>
                </c:pt>
                <c:pt idx="1197">
                  <c:v>0.80017138776728503</c:v>
                </c:pt>
                <c:pt idx="1198">
                  <c:v>0.80872273846315501</c:v>
                </c:pt>
                <c:pt idx="1199">
                  <c:v>0.81876358437038699</c:v>
                </c:pt>
                <c:pt idx="1200">
                  <c:v>0.80543172748593295</c:v>
                </c:pt>
                <c:pt idx="1201">
                  <c:v>0.81180751668553897</c:v>
                </c:pt>
                <c:pt idx="1202">
                  <c:v>0.82537822356368895</c:v>
                </c:pt>
                <c:pt idx="1203">
                  <c:v>0.80934958275353197</c:v>
                </c:pt>
              </c:numCache>
            </c:numRef>
          </c:xVal>
          <c:yVal>
            <c:numRef>
              <c:f>'HT 2017-07-05 BIG JIM'!$AF$2:$AF$1205</c:f>
              <c:numCache>
                <c:formatCode>General</c:formatCode>
                <c:ptCount val="1204"/>
                <c:pt idx="999">
                  <c:v>2.2532199182503247</c:v>
                </c:pt>
                <c:pt idx="1000">
                  <c:v>2.2585393509965681</c:v>
                </c:pt>
                <c:pt idx="1001">
                  <c:v>2.3068810112357334</c:v>
                </c:pt>
                <c:pt idx="1002">
                  <c:v>2.2631835983852482</c:v>
                </c:pt>
                <c:pt idx="1003">
                  <c:v>2.2631173190977085</c:v>
                </c:pt>
                <c:pt idx="1004">
                  <c:v>2.3020860105565126</c:v>
                </c:pt>
                <c:pt idx="1005">
                  <c:v>2.2981731875557156</c:v>
                </c:pt>
                <c:pt idx="1006">
                  <c:v>2.3576471322061749</c:v>
                </c:pt>
                <c:pt idx="1007">
                  <c:v>2.2461522655421202</c:v>
                </c:pt>
                <c:pt idx="1008">
                  <c:v>2.2475764725588316</c:v>
                </c:pt>
                <c:pt idx="1009">
                  <c:v>2.2770595073471398</c:v>
                </c:pt>
                <c:pt idx="1010">
                  <c:v>2.3400213674238106</c:v>
                </c:pt>
                <c:pt idx="1011">
                  <c:v>2.3194827009486407</c:v>
                </c:pt>
                <c:pt idx="1012">
                  <c:v>2.2405579662218069</c:v>
                </c:pt>
                <c:pt idx="1013">
                  <c:v>2.2494888308235717</c:v>
                </c:pt>
                <c:pt idx="1014">
                  <c:v>2.3034105148670307</c:v>
                </c:pt>
                <c:pt idx="1015">
                  <c:v>2.2514439810930225</c:v>
                </c:pt>
                <c:pt idx="1016">
                  <c:v>2.2624102192131295</c:v>
                </c:pt>
                <c:pt idx="1017">
                  <c:v>2.2953213282675695</c:v>
                </c:pt>
                <c:pt idx="1018">
                  <c:v>2.3119256043393785</c:v>
                </c:pt>
                <c:pt idx="1019">
                  <c:v>2.1840558600914948</c:v>
                </c:pt>
                <c:pt idx="1020">
                  <c:v>2.1849027438309467</c:v>
                </c:pt>
                <c:pt idx="1021">
                  <c:v>2.2411827234743713</c:v>
                </c:pt>
                <c:pt idx="1022">
                  <c:v>2.2276669409945464</c:v>
                </c:pt>
                <c:pt idx="1023">
                  <c:v>2.1918029108475974</c:v>
                </c:pt>
                <c:pt idx="1024">
                  <c:v>2.1741205118392126</c:v>
                </c:pt>
                <c:pt idx="1025">
                  <c:v>2.1958369702689677</c:v>
                </c:pt>
                <c:pt idx="1026">
                  <c:v>2.2323530186778258</c:v>
                </c:pt>
                <c:pt idx="1027">
                  <c:v>2.2633824246026122</c:v>
                </c:pt>
                <c:pt idx="1028">
                  <c:v>2.18929212303886</c:v>
                </c:pt>
                <c:pt idx="1029">
                  <c:v>2.1742354978244651</c:v>
                </c:pt>
                <c:pt idx="1030">
                  <c:v>2.1708293346092411</c:v>
                </c:pt>
                <c:pt idx="1031">
                  <c:v>2.1964744478368057</c:v>
                </c:pt>
                <c:pt idx="1032">
                  <c:v>2.22784649381415</c:v>
                </c:pt>
                <c:pt idx="1033">
                  <c:v>2.2472205054244228</c:v>
                </c:pt>
                <c:pt idx="1034">
                  <c:v>2.2900873345791855</c:v>
                </c:pt>
                <c:pt idx="1035">
                  <c:v>2.1741205118392126</c:v>
                </c:pt>
                <c:pt idx="1036">
                  <c:v>2.2587828580897278</c:v>
                </c:pt>
                <c:pt idx="1037">
                  <c:v>2.2226560687609771</c:v>
                </c:pt>
                <c:pt idx="1038">
                  <c:v>2.211628359376864</c:v>
                </c:pt>
                <c:pt idx="1039">
                  <c:v>2.2643321311150446</c:v>
                </c:pt>
                <c:pt idx="1040">
                  <c:v>2.2717834403833477</c:v>
                </c:pt>
                <c:pt idx="1041">
                  <c:v>2.2458851261807671</c:v>
                </c:pt>
                <c:pt idx="1042">
                  <c:v>2.2714973035423132</c:v>
                </c:pt>
                <c:pt idx="1043">
                  <c:v>2.2775864418282792</c:v>
                </c:pt>
                <c:pt idx="1044">
                  <c:v>2.2228135324403619</c:v>
                </c:pt>
                <c:pt idx="1045">
                  <c:v>2.3078344827998389</c:v>
                </c:pt>
                <c:pt idx="1046">
                  <c:v>2.2141589825484527</c:v>
                </c:pt>
                <c:pt idx="1047">
                  <c:v>2.271079038695043</c:v>
                </c:pt>
                <c:pt idx="1048">
                  <c:v>2.2370739817896053</c:v>
                </c:pt>
                <c:pt idx="1049">
                  <c:v>2.315728826957077</c:v>
                </c:pt>
                <c:pt idx="1050">
                  <c:v>2.2194819215303379</c:v>
                </c:pt>
                <c:pt idx="1051">
                  <c:v>2.205311769342376</c:v>
                </c:pt>
                <c:pt idx="1052">
                  <c:v>2.2579636843846713</c:v>
                </c:pt>
                <c:pt idx="1053">
                  <c:v>2.2724656213021133</c:v>
                </c:pt>
                <c:pt idx="1054">
                  <c:v>2.2189411889457547</c:v>
                </c:pt>
                <c:pt idx="1055">
                  <c:v>2.2329352879114071</c:v>
                </c:pt>
                <c:pt idx="1056">
                  <c:v>2.2569448376068033</c:v>
                </c:pt>
                <c:pt idx="1057">
                  <c:v>2.3216588896735026</c:v>
                </c:pt>
                <c:pt idx="1058">
                  <c:v>2.2135040094836058</c:v>
                </c:pt>
                <c:pt idx="1059">
                  <c:v>2.2165288177689004</c:v>
                </c:pt>
                <c:pt idx="1060">
                  <c:v>2.173683509621398</c:v>
                </c:pt>
                <c:pt idx="1061">
                  <c:v>2.2346588106464931</c:v>
                </c:pt>
                <c:pt idx="1062">
                  <c:v>2.2983907413666635</c:v>
                </c:pt>
                <c:pt idx="1063">
                  <c:v>2.2005681084665389</c:v>
                </c:pt>
                <c:pt idx="1064">
                  <c:v>2.2994347131414714</c:v>
                </c:pt>
                <c:pt idx="1065">
                  <c:v>2.28177562437677</c:v>
                </c:pt>
                <c:pt idx="1066">
                  <c:v>2.2368057582186256</c:v>
                </c:pt>
                <c:pt idx="1067">
                  <c:v>2.2260727750906981</c:v>
                </c:pt>
                <c:pt idx="1068">
                  <c:v>2.3307724041613334</c:v>
                </c:pt>
                <c:pt idx="1069">
                  <c:v>2.2541739063346466</c:v>
                </c:pt>
                <c:pt idx="1070">
                  <c:v>2.2662965384079814</c:v>
                </c:pt>
                <c:pt idx="1071">
                  <c:v>2.2135265979879257</c:v>
                </c:pt>
                <c:pt idx="1072">
                  <c:v>2.2214634815814551</c:v>
                </c:pt>
                <c:pt idx="1073">
                  <c:v>2.2629184695874485</c:v>
                </c:pt>
                <c:pt idx="1074">
                  <c:v>2.2214634815814551</c:v>
                </c:pt>
                <c:pt idx="1075">
                  <c:v>2.2748186740925087</c:v>
                </c:pt>
                <c:pt idx="1076">
                  <c:v>2.2280035906613795</c:v>
                </c:pt>
                <c:pt idx="1077">
                  <c:v>2.2257582977493309</c:v>
                </c:pt>
                <c:pt idx="1078">
                  <c:v>2.2022942582679548</c:v>
                </c:pt>
                <c:pt idx="1079">
                  <c:v>2.2418073066166948</c:v>
                </c:pt>
                <c:pt idx="1080">
                  <c:v>2.2510886255321005</c:v>
                </c:pt>
                <c:pt idx="1081">
                  <c:v>2.3108656386730928</c:v>
                </c:pt>
                <c:pt idx="1082">
                  <c:v>2.2610838109190028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7A-4EAB-8215-F3D3419BE4CE}"/>
            </c:ext>
          </c:extLst>
        </c:ser>
        <c:ser>
          <c:idx val="7"/>
          <c:order val="5"/>
          <c:tx>
            <c:strRef>
              <c:f>'HT 2017-07-05 BIG JIM'!$BI$1</c:f>
              <c:strCache>
                <c:ptCount val="1"/>
                <c:pt idx="0">
                  <c:v>zk4b-m</c:v>
                </c:pt>
              </c:strCache>
            </c:strRef>
          </c:tx>
          <c:spPr>
            <a:ln w="6350" cap="rnd" cmpd="sng" algn="ctr">
              <a:solidFill>
                <a:schemeClr val="bg1">
                  <a:alpha val="1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JIM'!$BI$1206:$BI$1212</c:f>
              <c:numCache>
                <c:formatCode>General</c:formatCode>
                <c:ptCount val="7"/>
                <c:pt idx="0">
                  <c:v>1.4280579806006419</c:v>
                </c:pt>
                <c:pt idx="1">
                  <c:v>1.6798708471850829</c:v>
                </c:pt>
                <c:pt idx="2">
                  <c:v>1.9271175355508787</c:v>
                </c:pt>
                <c:pt idx="3">
                  <c:v>2.1705213380136472</c:v>
                </c:pt>
                <c:pt idx="4">
                  <c:v>2.4106144424585811</c:v>
                </c:pt>
                <c:pt idx="5">
                  <c:v>2.6478042065057039</c:v>
                </c:pt>
                <c:pt idx="6">
                  <c:v>2.88241206117879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97A-4EAB-8215-F3D3419BE4CE}"/>
            </c:ext>
          </c:extLst>
        </c:ser>
        <c:ser>
          <c:idx val="12"/>
          <c:order val="6"/>
          <c:tx>
            <c:strRef>
              <c:f>'HT 2017-07-05 BIG JIM'!$BN$1</c:f>
              <c:strCache>
                <c:ptCount val="1"/>
                <c:pt idx="0">
                  <c:v>zl4a-m</c:v>
                </c:pt>
              </c:strCache>
            </c:strRef>
          </c:tx>
          <c:spPr>
            <a:ln w="6350" cap="rnd" cmpd="sng" algn="ctr">
              <a:solidFill>
                <a:schemeClr val="accent1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JIM'!$BN$1206:$BN$1212</c:f>
              <c:numCache>
                <c:formatCode>General</c:formatCode>
                <c:ptCount val="7"/>
                <c:pt idx="0">
                  <c:v>1.2787069096008907</c:v>
                </c:pt>
                <c:pt idx="1">
                  <c:v>1.5689233888550387</c:v>
                </c:pt>
                <c:pt idx="2">
                  <c:v>1.8651211440248774</c:v>
                </c:pt>
                <c:pt idx="3">
                  <c:v>2.1665375608424471</c:v>
                </c:pt>
                <c:pt idx="4">
                  <c:v>2.4725921380399418</c:v>
                </c:pt>
                <c:pt idx="5">
                  <c:v>2.7828272280869393</c:v>
                </c:pt>
                <c:pt idx="6">
                  <c:v>3.0968721637261587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97A-4EAB-8215-F3D3419BE4CE}"/>
            </c:ext>
          </c:extLst>
        </c:ser>
        <c:ser>
          <c:idx val="13"/>
          <c:order val="7"/>
          <c:tx>
            <c:strRef>
              <c:f>'HT 2017-07-05 BIG JIM'!$BO$1</c:f>
              <c:strCache>
                <c:ptCount val="1"/>
                <c:pt idx="0">
                  <c:v>zl4b-m</c:v>
                </c:pt>
              </c:strCache>
            </c:strRef>
          </c:tx>
          <c:spPr>
            <a:ln w="6350" cap="rnd" cmpd="sng" algn="ctr">
              <a:solidFill>
                <a:schemeClr val="accent2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JIM'!$BO$1206:$BO$1212</c:f>
              <c:numCache>
                <c:formatCode>General</c:formatCode>
                <c:ptCount val="7"/>
                <c:pt idx="0">
                  <c:v>1.0620873989459096</c:v>
                </c:pt>
                <c:pt idx="1">
                  <c:v>1.3825249348568762</c:v>
                </c:pt>
                <c:pt idx="2">
                  <c:v>1.7277945320301602</c:v>
                </c:pt>
                <c:pt idx="3">
                  <c:v>2.0958521084874357</c:v>
                </c:pt>
                <c:pt idx="4">
                  <c:v>2.4850660015154444</c:v>
                </c:pt>
                <c:pt idx="5">
                  <c:v>2.8940955943286428</c:v>
                </c:pt>
                <c:pt idx="6">
                  <c:v>3.3218146100104065</c:v>
                </c:pt>
              </c:numCache>
            </c:numRef>
          </c:xVal>
          <c:yVal>
            <c:numRef>
              <c:f>'HT 2017-07-05 BIG JIM'!$BO$1206:$BO$1212</c:f>
              <c:numCache>
                <c:formatCode>General</c:formatCode>
                <c:ptCount val="7"/>
                <c:pt idx="0">
                  <c:v>1.0620873989459096</c:v>
                </c:pt>
                <c:pt idx="1">
                  <c:v>1.3825249348568762</c:v>
                </c:pt>
                <c:pt idx="2">
                  <c:v>1.7277945320301602</c:v>
                </c:pt>
                <c:pt idx="3">
                  <c:v>2.0958521084874357</c:v>
                </c:pt>
                <c:pt idx="4">
                  <c:v>2.4850660015154444</c:v>
                </c:pt>
                <c:pt idx="5">
                  <c:v>2.8940955943286428</c:v>
                </c:pt>
                <c:pt idx="6">
                  <c:v>3.3218146100104065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97A-4EAB-8215-F3D3419BE4CE}"/>
            </c:ext>
          </c:extLst>
        </c:ser>
        <c:ser>
          <c:idx val="18"/>
          <c:order val="8"/>
          <c:tx>
            <c:strRef>
              <c:f>'HT 2017-07-05 BIG JIM'!$BT$1</c:f>
              <c:strCache>
                <c:ptCount val="1"/>
                <c:pt idx="0">
                  <c:v>zn6a-m</c:v>
                </c:pt>
              </c:strCache>
            </c:strRef>
          </c:tx>
          <c:spPr>
            <a:ln w="6350" cap="rnd" cmpd="sng" algn="ctr">
              <a:solidFill>
                <a:schemeClr val="accent1">
                  <a:tint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JIM'!$BT$1206:$BT$1212</c:f>
              <c:numCache>
                <c:formatCode>General</c:formatCode>
                <c:ptCount val="7"/>
                <c:pt idx="0">
                  <c:v>1.1495462006317272</c:v>
                </c:pt>
                <c:pt idx="1">
                  <c:v>1.4521416639610902</c:v>
                </c:pt>
                <c:pt idx="2">
                  <c:v>1.769339871915649</c:v>
                </c:pt>
                <c:pt idx="3">
                  <c:v>2.0996000701170563</c:v>
                </c:pt>
                <c:pt idx="4">
                  <c:v>2.4417216387134624</c:v>
                </c:pt>
                <c:pt idx="5">
                  <c:v>2.7947385705975383</c:v>
                </c:pt>
                <c:pt idx="6">
                  <c:v>3.1578542219340719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97A-4EAB-8215-F3D3419BE4CE}"/>
            </c:ext>
          </c:extLst>
        </c:ser>
        <c:ser>
          <c:idx val="19"/>
          <c:order val="9"/>
          <c:tx>
            <c:strRef>
              <c:f>'HT 2017-07-05 BIG JIM'!$BU$1</c:f>
              <c:strCache>
                <c:ptCount val="1"/>
                <c:pt idx="0">
                  <c:v>zn6b-m</c:v>
                </c:pt>
              </c:strCache>
            </c:strRef>
          </c:tx>
          <c:spPr>
            <a:ln w="6350" cap="rnd" cmpd="sng" algn="ctr">
              <a:solidFill>
                <a:schemeClr val="accent2">
                  <a:tint val="58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JIM'!$BU$1206:$BU$1212</c:f>
              <c:numCache>
                <c:formatCode>General</c:formatCode>
                <c:ptCount val="7"/>
                <c:pt idx="0">
                  <c:v>1.1064715499852129</c:v>
                </c:pt>
                <c:pt idx="1">
                  <c:v>1.4261679970769758</c:v>
                </c:pt>
                <c:pt idx="2">
                  <c:v>1.7675397592214059</c:v>
                </c:pt>
                <c:pt idx="3">
                  <c:v>2.1286360292941091</c:v>
                </c:pt>
                <c:pt idx="4">
                  <c:v>2.5079118700828187</c:v>
                </c:pt>
                <c:pt idx="5">
                  <c:v>2.9041066274583152</c:v>
                </c:pt>
                <c:pt idx="6">
                  <c:v>3.3161676377392468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97A-4EAB-8215-F3D3419BE4CE}"/>
            </c:ext>
          </c:extLst>
        </c:ser>
        <c:ser>
          <c:idx val="6"/>
          <c:order val="10"/>
          <c:tx>
            <c:strRef>
              <c:f>'HT 2017-07-05 BIG JIM'!$BH$1</c:f>
              <c:strCache>
                <c:ptCount val="1"/>
                <c:pt idx="0">
                  <c:v>zk4a-m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'HT 2017-07-05 BIG JIM'!$G$1206:$G$1212</c:f>
              <c:numCache>
                <c:formatCode>General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</c:numCache>
            </c:numRef>
          </c:xVal>
          <c:yVal>
            <c:numRef>
              <c:f>'HT 2017-07-05 BIG JIM'!$BH$1206:$BH$1212</c:f>
              <c:numCache>
                <c:formatCode>General</c:formatCode>
                <c:ptCount val="7"/>
                <c:pt idx="0">
                  <c:v>1.5015288633585082</c:v>
                </c:pt>
                <c:pt idx="1">
                  <c:v>1.73949694665657</c:v>
                </c:pt>
                <c:pt idx="2">
                  <c:v>1.969889585358535</c:v>
                </c:pt>
                <c:pt idx="3">
                  <c:v>2.1939897229599148</c:v>
                </c:pt>
                <c:pt idx="4">
                  <c:v>2.4127297522712148</c:v>
                </c:pt>
                <c:pt idx="5">
                  <c:v>2.6268157524517726</c:v>
                </c:pt>
                <c:pt idx="6">
                  <c:v>2.836799605579432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97A-4EAB-8215-F3D3419BE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507528"/>
        <c:axId val="301507920"/>
      </c:scatterChart>
      <c:valAx>
        <c:axId val="301507528"/>
        <c:scaling>
          <c:orientation val="minMax"/>
          <c:max val="1.3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THORAX</a:t>
                </a:r>
              </a:p>
            </c:rich>
          </c:tx>
          <c:layout>
            <c:manualLayout>
              <c:xMode val="edge"/>
              <c:yMode val="edge"/>
              <c:x val="0.4588569878643034"/>
              <c:y val="0.843624372305115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07920"/>
        <c:crosses val="autoZero"/>
        <c:crossBetween val="midCat"/>
        <c:majorUnit val="0.1"/>
      </c:valAx>
      <c:valAx>
        <c:axId val="301507920"/>
        <c:scaling>
          <c:orientation val="minMax"/>
          <c:max val="2.6"/>
          <c:min val="1.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WING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07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533400</xdr:colOff>
      <xdr:row>0</xdr:row>
      <xdr:rowOff>0</xdr:rowOff>
    </xdr:from>
    <xdr:to>
      <xdr:col>16</xdr:col>
      <xdr:colOff>279163</xdr:colOff>
      <xdr:row>33</xdr:row>
      <xdr:rowOff>22087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7C135F-561F-4C60-A02F-5521F2AEBA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0.51898</cdr:x>
      <cdr:y>0.63405</cdr:y>
    </cdr:from>
    <cdr:to>
      <cdr:x>0.80652</cdr:x>
      <cdr:y>0.7913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4527134" y="3999984"/>
          <a:ext cx="2508233" cy="992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Arial Black" panose="020B0A04020102020204" pitchFamily="34" charset="0"/>
            </a:rPr>
            <a:t>Shows MAR exponential fitted lines</a:t>
          </a:r>
          <a:r>
            <a:rPr lang="en-US" sz="1100" baseline="0">
              <a:latin typeface="Arial Black" panose="020B0A04020102020204" pitchFamily="34" charset="0"/>
            </a:rPr>
            <a:t> for all 18 wild samples, individually and pooled--</a:t>
          </a:r>
          <a:r>
            <a:rPr lang="en-US" sz="1100" u="sng" baseline="0">
              <a:latin typeface="Arial Black" panose="020B0A04020102020204" pitchFamily="34" charset="0"/>
            </a:rPr>
            <a:t>males</a:t>
          </a:r>
          <a:r>
            <a:rPr lang="en-US" sz="1100" baseline="0">
              <a:latin typeface="Arial Black" panose="020B0A04020102020204" pitchFamily="34" charset="0"/>
            </a:rPr>
            <a:t>.</a:t>
          </a:r>
          <a:endParaRPr lang="en-US" sz="1100">
            <a:latin typeface="Arial Black" panose="020B0A040201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326572</xdr:colOff>
      <xdr:row>0</xdr:row>
      <xdr:rowOff>0</xdr:rowOff>
    </xdr:from>
    <xdr:to>
      <xdr:col>16</xdr:col>
      <xdr:colOff>72335</xdr:colOff>
      <xdr:row>33</xdr:row>
      <xdr:rowOff>22087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0.47921</cdr:x>
      <cdr:y>0.66098</cdr:y>
    </cdr:from>
    <cdr:to>
      <cdr:x>0.78036</cdr:x>
      <cdr:y>0.80188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286116" y="4051143"/>
          <a:ext cx="2693543" cy="8635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effectLst/>
              <a:latin typeface="Arial Black" panose="020B0A04020102020204" pitchFamily="34" charset="0"/>
              <a:ea typeface="+mn-ea"/>
              <a:cs typeface="+mn-cs"/>
            </a:rPr>
            <a:t>Shows MAR exponential fitted lines</a:t>
          </a:r>
          <a:r>
            <a:rPr lang="en-US" sz="1100" baseline="0">
              <a:effectLst/>
              <a:latin typeface="Arial Black" panose="020B0A04020102020204" pitchFamily="34" charset="0"/>
              <a:ea typeface="+mn-ea"/>
              <a:cs typeface="+mn-cs"/>
            </a:rPr>
            <a:t> for all 18 wild samples, individually and pooled--</a:t>
          </a:r>
          <a:r>
            <a:rPr lang="en-US" sz="1100" u="sng" baseline="0">
              <a:effectLst/>
              <a:latin typeface="Arial Black" panose="020B0A04020102020204" pitchFamily="34" charset="0"/>
              <a:ea typeface="+mn-ea"/>
              <a:cs typeface="+mn-cs"/>
            </a:rPr>
            <a:t>females</a:t>
          </a:r>
          <a:r>
            <a:rPr lang="en-US" sz="1100" baseline="0">
              <a:effectLst/>
              <a:latin typeface="Arial Black" panose="020B0A04020102020204" pitchFamily="34" charset="0"/>
              <a:ea typeface="+mn-ea"/>
              <a:cs typeface="+mn-cs"/>
            </a:rPr>
            <a:t>.</a:t>
          </a:r>
          <a:endParaRPr lang="en-US">
            <a:effectLst/>
            <a:latin typeface="Arial Black" panose="020B0A04020102020204" pitchFamily="34" charset="0"/>
          </a:endParaRPr>
        </a:p>
        <a:p xmlns:a="http://schemas.openxmlformats.org/drawingml/2006/main">
          <a:endParaRPr lang="en-US" sz="1100">
            <a:latin typeface="Arial Black" panose="020B0A04020102020204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533400</xdr:colOff>
      <xdr:row>0</xdr:row>
      <xdr:rowOff>0</xdr:rowOff>
    </xdr:from>
    <xdr:to>
      <xdr:col>16</xdr:col>
      <xdr:colOff>279163</xdr:colOff>
      <xdr:row>33</xdr:row>
      <xdr:rowOff>22087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0.51898</cdr:x>
      <cdr:y>0.63405</cdr:y>
    </cdr:from>
    <cdr:to>
      <cdr:x>0.80652</cdr:x>
      <cdr:y>0.7913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4527134" y="3999984"/>
          <a:ext cx="2508233" cy="992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Arial Black" panose="020B0A04020102020204" pitchFamily="34" charset="0"/>
            </a:rPr>
            <a:t>Shows MAR exponential fitted lines</a:t>
          </a:r>
          <a:r>
            <a:rPr lang="en-US" sz="1100" baseline="0">
              <a:latin typeface="Arial Black" panose="020B0A04020102020204" pitchFamily="34" charset="0"/>
            </a:rPr>
            <a:t> for all 18 wild samples, individually and pooled--</a:t>
          </a:r>
          <a:r>
            <a:rPr lang="en-US" sz="1100" u="sng" baseline="0">
              <a:latin typeface="Arial Black" panose="020B0A04020102020204" pitchFamily="34" charset="0"/>
            </a:rPr>
            <a:t>males</a:t>
          </a:r>
          <a:r>
            <a:rPr lang="en-US" sz="1100" baseline="0">
              <a:latin typeface="Arial Black" panose="020B0A04020102020204" pitchFamily="34" charset="0"/>
            </a:rPr>
            <a:t>.</a:t>
          </a:r>
          <a:endParaRPr lang="en-US" sz="1100">
            <a:latin typeface="Arial Black" panose="020B0A04020102020204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326572</xdr:colOff>
      <xdr:row>0</xdr:row>
      <xdr:rowOff>0</xdr:rowOff>
    </xdr:from>
    <xdr:to>
      <xdr:col>16</xdr:col>
      <xdr:colOff>72335</xdr:colOff>
      <xdr:row>33</xdr:row>
      <xdr:rowOff>22087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1F3DA0-FA1A-4FEE-AA4A-977BA4E6D3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0.47921</cdr:x>
      <cdr:y>0.66098</cdr:y>
    </cdr:from>
    <cdr:to>
      <cdr:x>0.78036</cdr:x>
      <cdr:y>0.80188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286116" y="4051143"/>
          <a:ext cx="2693543" cy="8635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effectLst/>
              <a:latin typeface="Arial Black" panose="020B0A04020102020204" pitchFamily="34" charset="0"/>
              <a:ea typeface="+mn-ea"/>
              <a:cs typeface="+mn-cs"/>
            </a:rPr>
            <a:t>Shows MAR exponential fitted lines</a:t>
          </a:r>
          <a:r>
            <a:rPr lang="en-US" sz="1100" baseline="0">
              <a:effectLst/>
              <a:latin typeface="Arial Black" panose="020B0A04020102020204" pitchFamily="34" charset="0"/>
              <a:ea typeface="+mn-ea"/>
              <a:cs typeface="+mn-cs"/>
            </a:rPr>
            <a:t> for all 18 wild samples, individually and pooled--</a:t>
          </a:r>
          <a:r>
            <a:rPr lang="en-US" sz="1100" u="sng" baseline="0">
              <a:effectLst/>
              <a:latin typeface="Arial Black" panose="020B0A04020102020204" pitchFamily="34" charset="0"/>
              <a:ea typeface="+mn-ea"/>
              <a:cs typeface="+mn-cs"/>
            </a:rPr>
            <a:t>females</a:t>
          </a:r>
          <a:r>
            <a:rPr lang="en-US" sz="1100" baseline="0">
              <a:effectLst/>
              <a:latin typeface="Arial Black" panose="020B0A04020102020204" pitchFamily="34" charset="0"/>
              <a:ea typeface="+mn-ea"/>
              <a:cs typeface="+mn-cs"/>
            </a:rPr>
            <a:t>.</a:t>
          </a:r>
          <a:endParaRPr lang="en-US">
            <a:effectLst/>
            <a:latin typeface="Arial Black" panose="020B0A04020102020204" pitchFamily="34" charset="0"/>
          </a:endParaRPr>
        </a:p>
        <a:p xmlns:a="http://schemas.openxmlformats.org/drawingml/2006/main">
          <a:endParaRPr lang="en-US" sz="1100">
            <a:latin typeface="Arial Black" panose="020B0A04020102020204" pitchFamily="34" charset="0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326572</xdr:colOff>
      <xdr:row>0</xdr:row>
      <xdr:rowOff>0</xdr:rowOff>
    </xdr:from>
    <xdr:to>
      <xdr:col>16</xdr:col>
      <xdr:colOff>72335</xdr:colOff>
      <xdr:row>33</xdr:row>
      <xdr:rowOff>22087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94746-97C9-44E1-BE83-81B8CEFF59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0.47921</cdr:x>
      <cdr:y>0.66098</cdr:y>
    </cdr:from>
    <cdr:to>
      <cdr:x>0.78036</cdr:x>
      <cdr:y>0.80188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286116" y="4051143"/>
          <a:ext cx="2693543" cy="8635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effectLst/>
              <a:latin typeface="Arial Black" panose="020B0A04020102020204" pitchFamily="34" charset="0"/>
              <a:ea typeface="+mn-ea"/>
              <a:cs typeface="+mn-cs"/>
            </a:rPr>
            <a:t>Shows MAR exponential fitted lines</a:t>
          </a:r>
          <a:r>
            <a:rPr lang="en-US" sz="1100" baseline="0">
              <a:effectLst/>
              <a:latin typeface="Arial Black" panose="020B0A04020102020204" pitchFamily="34" charset="0"/>
              <a:ea typeface="+mn-ea"/>
              <a:cs typeface="+mn-cs"/>
            </a:rPr>
            <a:t> for all 18 wild samples, individually and pooled--</a:t>
          </a:r>
          <a:r>
            <a:rPr lang="en-US" sz="1100" u="sng" baseline="0">
              <a:effectLst/>
              <a:latin typeface="Arial Black" panose="020B0A04020102020204" pitchFamily="34" charset="0"/>
              <a:ea typeface="+mn-ea"/>
              <a:cs typeface="+mn-cs"/>
            </a:rPr>
            <a:t>females</a:t>
          </a:r>
          <a:r>
            <a:rPr lang="en-US" sz="1100" baseline="0">
              <a:effectLst/>
              <a:latin typeface="Arial Black" panose="020B0A04020102020204" pitchFamily="34" charset="0"/>
              <a:ea typeface="+mn-ea"/>
              <a:cs typeface="+mn-cs"/>
            </a:rPr>
            <a:t>.</a:t>
          </a:r>
          <a:endParaRPr lang="en-US">
            <a:effectLst/>
            <a:latin typeface="Arial Black" panose="020B0A04020102020204" pitchFamily="34" charset="0"/>
          </a:endParaRPr>
        </a:p>
        <a:p xmlns:a="http://schemas.openxmlformats.org/drawingml/2006/main">
          <a:endParaRPr lang="en-US" sz="1100">
            <a:latin typeface="Arial Black" panose="020B0A04020102020204" pitchFamily="34" charset="0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326572</xdr:colOff>
      <xdr:row>0</xdr:row>
      <xdr:rowOff>0</xdr:rowOff>
    </xdr:from>
    <xdr:to>
      <xdr:col>16</xdr:col>
      <xdr:colOff>72335</xdr:colOff>
      <xdr:row>33</xdr:row>
      <xdr:rowOff>22087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30F0D-45E2-4F26-B21E-E640EFCA2A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0.47921</cdr:x>
      <cdr:y>0.66098</cdr:y>
    </cdr:from>
    <cdr:to>
      <cdr:x>0.78036</cdr:x>
      <cdr:y>0.80188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286116" y="4051143"/>
          <a:ext cx="2693543" cy="8635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effectLst/>
              <a:latin typeface="Arial Black" panose="020B0A04020102020204" pitchFamily="34" charset="0"/>
              <a:ea typeface="+mn-ea"/>
              <a:cs typeface="+mn-cs"/>
            </a:rPr>
            <a:t>Shows MAR exponential fitted lines</a:t>
          </a:r>
          <a:r>
            <a:rPr lang="en-US" sz="1100" baseline="0">
              <a:effectLst/>
              <a:latin typeface="Arial Black" panose="020B0A04020102020204" pitchFamily="34" charset="0"/>
              <a:ea typeface="+mn-ea"/>
              <a:cs typeface="+mn-cs"/>
            </a:rPr>
            <a:t> for all 18 wild samples, individually and pooled--</a:t>
          </a:r>
          <a:r>
            <a:rPr lang="en-US" sz="1100" u="sng" baseline="0">
              <a:effectLst/>
              <a:latin typeface="Arial Black" panose="020B0A04020102020204" pitchFamily="34" charset="0"/>
              <a:ea typeface="+mn-ea"/>
              <a:cs typeface="+mn-cs"/>
            </a:rPr>
            <a:t>females</a:t>
          </a:r>
          <a:r>
            <a:rPr lang="en-US" sz="1100" baseline="0">
              <a:effectLst/>
              <a:latin typeface="Arial Black" panose="020B0A04020102020204" pitchFamily="34" charset="0"/>
              <a:ea typeface="+mn-ea"/>
              <a:cs typeface="+mn-cs"/>
            </a:rPr>
            <a:t>.</a:t>
          </a:r>
          <a:endParaRPr lang="en-US">
            <a:effectLst/>
            <a:latin typeface="Arial Black" panose="020B0A04020102020204" pitchFamily="34" charset="0"/>
          </a:endParaRPr>
        </a:p>
        <a:p xmlns:a="http://schemas.openxmlformats.org/drawingml/2006/main">
          <a:endParaRPr lang="en-US" sz="1100">
            <a:latin typeface="Arial Black" panose="020B0A04020102020204" pitchFamily="34" charset="0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326572</xdr:colOff>
      <xdr:row>0</xdr:row>
      <xdr:rowOff>0</xdr:rowOff>
    </xdr:from>
    <xdr:to>
      <xdr:col>16</xdr:col>
      <xdr:colOff>72335</xdr:colOff>
      <xdr:row>33</xdr:row>
      <xdr:rowOff>22087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8EAADA-407D-43D0-A2E4-7425AFEEED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0.47921</cdr:x>
      <cdr:y>0.66098</cdr:y>
    </cdr:from>
    <cdr:to>
      <cdr:x>0.78036</cdr:x>
      <cdr:y>0.80188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286116" y="4051143"/>
          <a:ext cx="2693543" cy="8635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effectLst/>
              <a:latin typeface="Arial Black" panose="020B0A04020102020204" pitchFamily="34" charset="0"/>
              <a:ea typeface="+mn-ea"/>
              <a:cs typeface="+mn-cs"/>
            </a:rPr>
            <a:t>Shows MAR exponential fitted lines</a:t>
          </a:r>
          <a:r>
            <a:rPr lang="en-US" sz="1100" baseline="0">
              <a:effectLst/>
              <a:latin typeface="Arial Black" panose="020B0A04020102020204" pitchFamily="34" charset="0"/>
              <a:ea typeface="+mn-ea"/>
              <a:cs typeface="+mn-cs"/>
            </a:rPr>
            <a:t> for all 18 wild samples, individually and pooled--</a:t>
          </a:r>
          <a:r>
            <a:rPr lang="en-US" sz="1100" u="sng" baseline="0">
              <a:effectLst/>
              <a:latin typeface="Arial Black" panose="020B0A04020102020204" pitchFamily="34" charset="0"/>
              <a:ea typeface="+mn-ea"/>
              <a:cs typeface="+mn-cs"/>
            </a:rPr>
            <a:t>females</a:t>
          </a:r>
          <a:r>
            <a:rPr lang="en-US" sz="1100" baseline="0">
              <a:effectLst/>
              <a:latin typeface="Arial Black" panose="020B0A04020102020204" pitchFamily="34" charset="0"/>
              <a:ea typeface="+mn-ea"/>
              <a:cs typeface="+mn-cs"/>
            </a:rPr>
            <a:t>.</a:t>
          </a:r>
          <a:endParaRPr lang="en-US">
            <a:effectLst/>
            <a:latin typeface="Arial Black" panose="020B0A04020102020204" pitchFamily="34" charset="0"/>
          </a:endParaRPr>
        </a:p>
        <a:p xmlns:a="http://schemas.openxmlformats.org/drawingml/2006/main">
          <a:endParaRPr lang="en-US" sz="1100">
            <a:latin typeface="Arial Black" panose="020B0A04020102020204" pitchFamily="34" charset="0"/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533400</xdr:colOff>
      <xdr:row>0</xdr:row>
      <xdr:rowOff>0</xdr:rowOff>
    </xdr:from>
    <xdr:to>
      <xdr:col>16</xdr:col>
      <xdr:colOff>279163</xdr:colOff>
      <xdr:row>33</xdr:row>
      <xdr:rowOff>22087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34D9D5-77E2-4886-89DE-5C3F25A528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0.51898</cdr:x>
      <cdr:y>0.63405</cdr:y>
    </cdr:from>
    <cdr:to>
      <cdr:x>0.80652</cdr:x>
      <cdr:y>0.7913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4527134" y="3999984"/>
          <a:ext cx="2508233" cy="992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Arial Black" panose="020B0A04020102020204" pitchFamily="34" charset="0"/>
            </a:rPr>
            <a:t>Shows MAR exponential fitted lines</a:t>
          </a:r>
          <a:r>
            <a:rPr lang="en-US" sz="1100" baseline="0">
              <a:latin typeface="Arial Black" panose="020B0A04020102020204" pitchFamily="34" charset="0"/>
            </a:rPr>
            <a:t> for all 18 wild samples, individually and pooled--</a:t>
          </a:r>
          <a:r>
            <a:rPr lang="en-US" sz="1100" u="sng" baseline="0">
              <a:latin typeface="Arial Black" panose="020B0A04020102020204" pitchFamily="34" charset="0"/>
            </a:rPr>
            <a:t>males</a:t>
          </a:r>
          <a:r>
            <a:rPr lang="en-US" sz="1100" baseline="0">
              <a:latin typeface="Arial Black" panose="020B0A04020102020204" pitchFamily="34" charset="0"/>
            </a:rPr>
            <a:t>.</a:t>
          </a:r>
          <a:endParaRPr lang="en-US" sz="1100">
            <a:latin typeface="Arial Black" panose="020B0A04020102020204" pitchFamily="34" charset="0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533400</xdr:colOff>
      <xdr:row>0</xdr:row>
      <xdr:rowOff>0</xdr:rowOff>
    </xdr:from>
    <xdr:to>
      <xdr:col>16</xdr:col>
      <xdr:colOff>279163</xdr:colOff>
      <xdr:row>33</xdr:row>
      <xdr:rowOff>22087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8E0FDB-60B2-41D7-BA52-4C504C644A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0.51898</cdr:x>
      <cdr:y>0.63405</cdr:y>
    </cdr:from>
    <cdr:to>
      <cdr:x>0.80652</cdr:x>
      <cdr:y>0.7913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4527134" y="3999984"/>
          <a:ext cx="2508233" cy="992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Arial Black" panose="020B0A04020102020204" pitchFamily="34" charset="0"/>
            </a:rPr>
            <a:t>Shows MAR exponential fitted lines</a:t>
          </a:r>
          <a:r>
            <a:rPr lang="en-US" sz="1100" baseline="0">
              <a:latin typeface="Arial Black" panose="020B0A04020102020204" pitchFamily="34" charset="0"/>
            </a:rPr>
            <a:t> for all 18 wild samples, individually and pooled--</a:t>
          </a:r>
          <a:r>
            <a:rPr lang="en-US" sz="1100" u="sng" baseline="0">
              <a:latin typeface="Arial Black" panose="020B0A04020102020204" pitchFamily="34" charset="0"/>
            </a:rPr>
            <a:t>males</a:t>
          </a:r>
          <a:r>
            <a:rPr lang="en-US" sz="1100" baseline="0">
              <a:latin typeface="Arial Black" panose="020B0A04020102020204" pitchFamily="34" charset="0"/>
            </a:rPr>
            <a:t>.</a:t>
          </a:r>
          <a:endParaRPr lang="en-US" sz="1100">
            <a:latin typeface="Arial Black" panose="020B0A04020102020204" pitchFamily="34" charset="0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533400</xdr:colOff>
      <xdr:row>0</xdr:row>
      <xdr:rowOff>0</xdr:rowOff>
    </xdr:from>
    <xdr:to>
      <xdr:col>16</xdr:col>
      <xdr:colOff>279163</xdr:colOff>
      <xdr:row>33</xdr:row>
      <xdr:rowOff>22087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965DA-1B07-4D16-94DD-29FB025263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0.51898</cdr:x>
      <cdr:y>0.63405</cdr:y>
    </cdr:from>
    <cdr:to>
      <cdr:x>0.80652</cdr:x>
      <cdr:y>0.7913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4527134" y="3999984"/>
          <a:ext cx="2508233" cy="992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Arial Black" panose="020B0A04020102020204" pitchFamily="34" charset="0"/>
            </a:rPr>
            <a:t>Shows MAR exponential fitted lines</a:t>
          </a:r>
          <a:r>
            <a:rPr lang="en-US" sz="1100" baseline="0">
              <a:latin typeface="Arial Black" panose="020B0A04020102020204" pitchFamily="34" charset="0"/>
            </a:rPr>
            <a:t> for all 18 wild samples, individually and pooled--</a:t>
          </a:r>
          <a:r>
            <a:rPr lang="en-US" sz="1100" u="sng" baseline="0">
              <a:latin typeface="Arial Black" panose="020B0A04020102020204" pitchFamily="34" charset="0"/>
            </a:rPr>
            <a:t>males</a:t>
          </a:r>
          <a:r>
            <a:rPr lang="en-US" sz="1100" baseline="0">
              <a:latin typeface="Arial Black" panose="020B0A04020102020204" pitchFamily="34" charset="0"/>
            </a:rPr>
            <a:t>.</a:t>
          </a:r>
          <a:endParaRPr lang="en-US" sz="1100">
            <a:latin typeface="Arial Black" panose="020B0A04020102020204" pitchFamily="34" charset="0"/>
          </a:endParaRP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533400</xdr:colOff>
      <xdr:row>0</xdr:row>
      <xdr:rowOff>0</xdr:rowOff>
    </xdr:from>
    <xdr:to>
      <xdr:col>16</xdr:col>
      <xdr:colOff>279163</xdr:colOff>
      <xdr:row>33</xdr:row>
      <xdr:rowOff>22087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D574F3-BF61-45F1-899B-62A951C0ED4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0.51898</cdr:x>
      <cdr:y>0.63405</cdr:y>
    </cdr:from>
    <cdr:to>
      <cdr:x>0.80652</cdr:x>
      <cdr:y>0.7913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4527134" y="3999984"/>
          <a:ext cx="2508233" cy="992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Arial Black" panose="020B0A04020102020204" pitchFamily="34" charset="0"/>
            </a:rPr>
            <a:t>Shows MAR exponential fitted lines</a:t>
          </a:r>
          <a:r>
            <a:rPr lang="en-US" sz="1100" baseline="0">
              <a:latin typeface="Arial Black" panose="020B0A04020102020204" pitchFamily="34" charset="0"/>
            </a:rPr>
            <a:t> for all 18 wild samples, individually and pooled--</a:t>
          </a:r>
          <a:r>
            <a:rPr lang="en-US" sz="1100" u="sng" baseline="0">
              <a:latin typeface="Arial Black" panose="020B0A04020102020204" pitchFamily="34" charset="0"/>
            </a:rPr>
            <a:t>males</a:t>
          </a:r>
          <a:r>
            <a:rPr lang="en-US" sz="1100" baseline="0">
              <a:latin typeface="Arial Black" panose="020B0A04020102020204" pitchFamily="34" charset="0"/>
            </a:rPr>
            <a:t>.</a:t>
          </a:r>
          <a:endParaRPr lang="en-US" sz="1100">
            <a:latin typeface="Arial Black" panose="020B0A040201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214"/>
  <sheetViews>
    <sheetView tabSelected="1" zoomScale="80" zoomScaleNormal="80" workbookViewId="0">
      <pane xSplit="6" ySplit="1" topLeftCell="J2" activePane="bottomRight" state="frozen"/>
      <selection pane="topRight"/>
      <selection pane="bottomLeft"/>
      <selection pane="bottomRight" activeCell="V881" sqref="V881:V1000"/>
    </sheetView>
  </sheetViews>
  <sheetFormatPr defaultColWidth="9" defaultRowHeight="15.75"/>
  <cols>
    <col min="1" max="1" width="6" style="3" customWidth="1"/>
    <col min="2" max="2" width="4.7109375" style="3" customWidth="1"/>
    <col min="3" max="3" width="6.28515625" style="3" customWidth="1"/>
    <col min="4" max="4" width="4.140625" style="3" customWidth="1"/>
    <col min="5" max="5" width="4.42578125" style="3" customWidth="1"/>
    <col min="6" max="6" width="15" style="3" bestFit="1" customWidth="1"/>
    <col min="7" max="9" width="12" style="3" customWidth="1"/>
    <col min="15" max="15" width="9.85546875" bestFit="1" customWidth="1"/>
    <col min="22" max="22" width="9" style="7"/>
    <col min="24" max="24" width="9" style="7"/>
    <col min="26" max="26" width="9" style="7"/>
    <col min="28" max="28" width="9" style="7"/>
    <col min="30" max="30" width="9" style="7"/>
    <col min="32" max="32" width="9" style="7"/>
    <col min="35" max="35" width="10.140625" bestFit="1" customWidth="1"/>
    <col min="56" max="73" width="12.85546875"/>
    <col min="77" max="77" width="12.85546875"/>
    <col min="79" max="79" width="13.5703125" customWidth="1"/>
    <col min="80" max="84" width="11.140625" customWidth="1"/>
    <col min="87" max="87" width="13.5703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108</v>
      </c>
      <c r="H1" s="1" t="s">
        <v>6</v>
      </c>
      <c r="I1" s="1" t="s">
        <v>7</v>
      </c>
      <c r="J1" s="1" t="s">
        <v>30</v>
      </c>
      <c r="K1" s="1" t="s">
        <v>129</v>
      </c>
      <c r="L1" s="1" t="s">
        <v>55</v>
      </c>
      <c r="M1" s="1" t="s">
        <v>130</v>
      </c>
      <c r="N1" s="1" t="s">
        <v>131</v>
      </c>
      <c r="O1" s="1" t="s">
        <v>128</v>
      </c>
      <c r="P1" s="1" t="s">
        <v>8</v>
      </c>
      <c r="Q1" s="1" t="s">
        <v>132</v>
      </c>
      <c r="R1" s="1" t="s">
        <v>133</v>
      </c>
      <c r="S1" s="1" t="s">
        <v>32</v>
      </c>
      <c r="T1" s="1" t="s">
        <v>134</v>
      </c>
      <c r="U1" s="1" t="s">
        <v>135</v>
      </c>
      <c r="V1" s="6" t="s">
        <v>9</v>
      </c>
      <c r="W1" s="1" t="s">
        <v>33</v>
      </c>
      <c r="X1" s="6" t="s">
        <v>137</v>
      </c>
      <c r="Y1" s="1" t="s">
        <v>138</v>
      </c>
      <c r="Z1" s="6" t="s">
        <v>10</v>
      </c>
      <c r="AA1" s="1" t="s">
        <v>34</v>
      </c>
      <c r="AB1" s="6" t="s">
        <v>139</v>
      </c>
      <c r="AC1" s="1" t="s">
        <v>140</v>
      </c>
      <c r="AD1" s="6" t="s">
        <v>11</v>
      </c>
      <c r="AE1" s="1" t="s">
        <v>35</v>
      </c>
      <c r="AF1" s="6" t="s">
        <v>141</v>
      </c>
      <c r="AG1" s="1" t="s">
        <v>142</v>
      </c>
      <c r="AH1" s="1" t="s">
        <v>36</v>
      </c>
      <c r="AI1" s="1" t="s">
        <v>136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12</v>
      </c>
      <c r="BE1" s="1" t="s">
        <v>13</v>
      </c>
      <c r="BF1" s="1" t="s">
        <v>14</v>
      </c>
      <c r="BG1" s="1" t="s">
        <v>15</v>
      </c>
      <c r="BH1" s="1" t="s">
        <v>16</v>
      </c>
      <c r="BI1" s="1" t="s">
        <v>17</v>
      </c>
      <c r="BJ1" s="1" t="s">
        <v>18</v>
      </c>
      <c r="BK1" s="1" t="s">
        <v>19</v>
      </c>
      <c r="BL1" s="1" t="s">
        <v>20</v>
      </c>
      <c r="BM1" s="1" t="s">
        <v>21</v>
      </c>
      <c r="BN1" s="1" t="s">
        <v>22</v>
      </c>
      <c r="BO1" s="1" t="s">
        <v>23</v>
      </c>
      <c r="BP1" s="1" t="s">
        <v>24</v>
      </c>
      <c r="BQ1" s="1" t="s">
        <v>25</v>
      </c>
      <c r="BR1" s="1" t="s">
        <v>26</v>
      </c>
      <c r="BS1" s="1" t="s">
        <v>27</v>
      </c>
      <c r="BT1" s="1" t="s">
        <v>28</v>
      </c>
      <c r="BU1" s="1" t="s">
        <v>29</v>
      </c>
      <c r="BV1" s="1" t="s">
        <v>30</v>
      </c>
      <c r="BW1" s="1" t="s">
        <v>31</v>
      </c>
      <c r="BX1" s="1" t="s">
        <v>32</v>
      </c>
      <c r="BY1" s="1" t="s">
        <v>33</v>
      </c>
      <c r="BZ1" s="1"/>
      <c r="CA1" s="1" t="s">
        <v>57</v>
      </c>
      <c r="CB1" s="1" t="s">
        <v>58</v>
      </c>
      <c r="CC1" s="1" t="s">
        <v>59</v>
      </c>
      <c r="CD1" s="1" t="s">
        <v>60</v>
      </c>
      <c r="CE1" s="1" t="s">
        <v>61</v>
      </c>
      <c r="CF1" s="1" t="s">
        <v>62</v>
      </c>
      <c r="CG1" s="1"/>
      <c r="CH1" s="1" t="s">
        <v>63</v>
      </c>
      <c r="CI1" s="2" t="s">
        <v>64</v>
      </c>
      <c r="CJ1" s="2" t="s">
        <v>65</v>
      </c>
      <c r="CK1" s="2" t="s">
        <v>66</v>
      </c>
      <c r="CL1" s="2" t="s">
        <v>67</v>
      </c>
      <c r="CM1" s="2" t="s">
        <v>68</v>
      </c>
      <c r="CN1" s="2" t="s">
        <v>69</v>
      </c>
      <c r="CP1" t="s">
        <v>70</v>
      </c>
      <c r="CQ1" t="s">
        <v>71</v>
      </c>
      <c r="CS1" s="4" t="s">
        <v>72</v>
      </c>
      <c r="CT1" s="4" t="s">
        <v>73</v>
      </c>
      <c r="CU1" s="4" t="s">
        <v>74</v>
      </c>
      <c r="CV1" s="4" t="s">
        <v>75</v>
      </c>
    </row>
    <row r="2" spans="1:100">
      <c r="A2" s="3" t="s">
        <v>76</v>
      </c>
      <c r="B2" s="3" t="s">
        <v>77</v>
      </c>
      <c r="C2" s="3" t="s">
        <v>78</v>
      </c>
      <c r="D2" s="3" t="s">
        <v>79</v>
      </c>
      <c r="E2" s="3">
        <v>1</v>
      </c>
      <c r="F2" s="3">
        <v>1.0331690523212</v>
      </c>
      <c r="G2" s="3">
        <v>2.2461077445216202</v>
      </c>
      <c r="H2" s="3">
        <f t="shared" ref="H2:H65" si="0">LN(F2)</f>
        <v>3.2630828559427678E-2</v>
      </c>
      <c r="I2" s="3">
        <f t="shared" ref="I2:I65" si="1">LN(G2)</f>
        <v>0.80919882690278611</v>
      </c>
      <c r="L2">
        <v>2.2461077445216202</v>
      </c>
      <c r="M2">
        <f>LN(L2)</f>
        <v>0.80919882690278611</v>
      </c>
      <c r="Y2">
        <f>G2</f>
        <v>2.2461077445216202</v>
      </c>
      <c r="CI2" s="2">
        <f>STDEV(N2:N1205)</f>
        <v>3.2942005124549284E-2</v>
      </c>
      <c r="CJ2" s="2">
        <f>STDEV(O2:O1205)</f>
        <v>5.7324401739410252E-2</v>
      </c>
      <c r="CK2" s="2">
        <f>CJ2/CI2</f>
        <v>1.7401612780604705</v>
      </c>
      <c r="CL2" s="2">
        <f>AVERAGE(T2:T1205)</f>
        <v>0.80747355603296178</v>
      </c>
      <c r="CM2" s="2">
        <f>AVERAGE(P2:P1205)</f>
        <v>2.1000420149382908</v>
      </c>
      <c r="CN2" s="2">
        <f>CM2/(CL2^CK2)</f>
        <v>3.0467702406772248</v>
      </c>
      <c r="CP2">
        <f>AVERAGE(G1008:G1205)</f>
        <v>2.2338269027328397</v>
      </c>
      <c r="CQ2" t="e">
        <f>AVERAGE(S1008:S1205)</f>
        <v>#DIV/0!</v>
      </c>
      <c r="CS2" s="5">
        <f>AVERAGE(G1008:G1205)</f>
        <v>2.2338269027328397</v>
      </c>
      <c r="CT2" s="5" t="e">
        <f>AVERAGE(#REF!)</f>
        <v>#REF!</v>
      </c>
      <c r="CU2" s="4">
        <f>STDEV(I1008:I1205)/STDEV(H1008:H1205)</f>
        <v>0.3388834564720391</v>
      </c>
      <c r="CV2" s="5" t="e">
        <f>-CU2*CS2+CT2</f>
        <v>#REF!</v>
      </c>
    </row>
    <row r="3" spans="1:100">
      <c r="A3" s="3" t="s">
        <v>76</v>
      </c>
      <c r="B3" s="3" t="s">
        <v>77</v>
      </c>
      <c r="C3" s="3" t="s">
        <v>78</v>
      </c>
      <c r="D3" s="3" t="s">
        <v>79</v>
      </c>
      <c r="E3" s="3">
        <v>2</v>
      </c>
      <c r="F3" s="3">
        <v>1.0183068602155201</v>
      </c>
      <c r="G3" s="3">
        <v>2.2774766738651788</v>
      </c>
      <c r="H3" s="3">
        <f t="shared" si="0"/>
        <v>1.8141307102496139E-2</v>
      </c>
      <c r="I3" s="3">
        <f t="shared" si="1"/>
        <v>0.82306810810838682</v>
      </c>
      <c r="L3">
        <v>2.2774766738651788</v>
      </c>
      <c r="M3">
        <f t="shared" ref="M3:M66" si="2">LN(L3)</f>
        <v>0.82306810810838682</v>
      </c>
      <c r="Y3">
        <f t="shared" ref="Y3:Y66" si="3">G3</f>
        <v>2.2774766738651788</v>
      </c>
    </row>
    <row r="4" spans="1:100">
      <c r="A4" s="3" t="s">
        <v>76</v>
      </c>
      <c r="B4" s="3" t="s">
        <v>77</v>
      </c>
      <c r="C4" s="3" t="s">
        <v>78</v>
      </c>
      <c r="D4" s="3" t="s">
        <v>79</v>
      </c>
      <c r="E4" s="3">
        <v>3</v>
      </c>
      <c r="F4" s="3">
        <v>1.0606308936589901</v>
      </c>
      <c r="G4" s="3">
        <v>2.3032585612562047</v>
      </c>
      <c r="H4" s="3">
        <f t="shared" si="0"/>
        <v>5.8863913770163048E-2</v>
      </c>
      <c r="I4" s="3">
        <f t="shared" si="1"/>
        <v>0.83432488603297339</v>
      </c>
      <c r="L4">
        <v>2.3032585612562047</v>
      </c>
      <c r="M4">
        <f t="shared" si="2"/>
        <v>0.83432488603297339</v>
      </c>
      <c r="Y4">
        <f t="shared" si="3"/>
        <v>2.3032585612562047</v>
      </c>
      <c r="CH4" s="1" t="s">
        <v>80</v>
      </c>
      <c r="CI4" s="2" t="s">
        <v>64</v>
      </c>
      <c r="CJ4" s="2" t="s">
        <v>65</v>
      </c>
      <c r="CK4" s="2" t="s">
        <v>66</v>
      </c>
      <c r="CL4" s="2" t="s">
        <v>67</v>
      </c>
      <c r="CM4" s="2" t="s">
        <v>68</v>
      </c>
      <c r="CN4" s="2" t="s">
        <v>69</v>
      </c>
    </row>
    <row r="5" spans="1:100">
      <c r="A5" s="3" t="s">
        <v>76</v>
      </c>
      <c r="B5" s="3" t="s">
        <v>77</v>
      </c>
      <c r="C5" s="3" t="s">
        <v>78</v>
      </c>
      <c r="D5" s="3" t="s">
        <v>79</v>
      </c>
      <c r="E5" s="3">
        <v>4</v>
      </c>
      <c r="F5" s="3">
        <v>1.0589536576499501</v>
      </c>
      <c r="G5" s="3">
        <v>2.2529092303064493</v>
      </c>
      <c r="H5" s="3">
        <f t="shared" si="0"/>
        <v>5.7281305180118064E-2</v>
      </c>
      <c r="I5" s="3">
        <f t="shared" si="1"/>
        <v>0.81222237227031102</v>
      </c>
      <c r="L5">
        <v>2.2529092303064493</v>
      </c>
      <c r="M5">
        <f t="shared" si="2"/>
        <v>0.81222237227031102</v>
      </c>
      <c r="Y5">
        <f t="shared" si="3"/>
        <v>2.2529092303064493</v>
      </c>
      <c r="CI5" s="2">
        <f>STDEV(H716:H1007)</f>
        <v>8.0825228437646196E-2</v>
      </c>
      <c r="CJ5" s="2">
        <f>STDEV(I716:I1007)</f>
        <v>4.5387018276913681E-2</v>
      </c>
      <c r="CK5" s="2">
        <f>CJ5/CI5</f>
        <v>0.56154519021159532</v>
      </c>
      <c r="CL5" s="2">
        <f>AVERAGE(G716:G1007)</f>
        <v>2.070335522561682</v>
      </c>
      <c r="CM5" s="2" t="e">
        <f>AVERAGE(#REF!)</f>
        <v>#REF!</v>
      </c>
      <c r="CN5" s="2" t="e">
        <f>CM5/(CL5^CK5)</f>
        <v>#REF!</v>
      </c>
      <c r="CP5">
        <f>AVERAGE(G716:G1007)</f>
        <v>2.070335522561682</v>
      </c>
      <c r="CQ5" t="e">
        <f>AVERAGE(BV716:BV1007)</f>
        <v>#DIV/0!</v>
      </c>
      <c r="CS5" s="5">
        <f>AVERAGE(G716:G1007)</f>
        <v>2.070335522561682</v>
      </c>
      <c r="CT5" s="5" t="e">
        <f>AVERAGE(#REF!)</f>
        <v>#REF!</v>
      </c>
      <c r="CU5" s="4">
        <f>STDEV(I716:I1007)/STDEV(H716:H1007)</f>
        <v>0.56154519021159532</v>
      </c>
      <c r="CV5" s="5" t="e">
        <f>-CU5*CS5+CT5</f>
        <v>#REF!</v>
      </c>
    </row>
    <row r="6" spans="1:100">
      <c r="A6" s="3" t="s">
        <v>76</v>
      </c>
      <c r="B6" s="3" t="s">
        <v>77</v>
      </c>
      <c r="C6" s="3" t="s">
        <v>78</v>
      </c>
      <c r="D6" s="3" t="s">
        <v>79</v>
      </c>
      <c r="E6" s="3">
        <v>5</v>
      </c>
      <c r="F6" s="3">
        <v>1.0355318055549201</v>
      </c>
      <c r="G6" s="3">
        <v>2.2821262015935928</v>
      </c>
      <c r="H6" s="3">
        <f t="shared" si="0"/>
        <v>3.4915116548309741E-2</v>
      </c>
      <c r="I6" s="3">
        <f t="shared" si="1"/>
        <v>0.82510755297540272</v>
      </c>
      <c r="L6">
        <v>2.2821262015935928</v>
      </c>
      <c r="M6">
        <f t="shared" si="2"/>
        <v>0.82510755297540272</v>
      </c>
      <c r="Y6">
        <f t="shared" si="3"/>
        <v>2.2821262015935928</v>
      </c>
    </row>
    <row r="7" spans="1:100">
      <c r="A7" s="3" t="s">
        <v>76</v>
      </c>
      <c r="B7" s="3" t="s">
        <v>77</v>
      </c>
      <c r="C7" s="3" t="s">
        <v>78</v>
      </c>
      <c r="D7" s="3" t="s">
        <v>79</v>
      </c>
      <c r="E7" s="3">
        <v>6</v>
      </c>
      <c r="F7" s="3">
        <v>1.04060289618414</v>
      </c>
      <c r="G7" s="3">
        <v>2.2067623342806995</v>
      </c>
      <c r="H7" s="3">
        <f t="shared" si="0"/>
        <v>3.9800253056950702E-2</v>
      </c>
      <c r="I7" s="3">
        <f t="shared" si="1"/>
        <v>0.79152643424469404</v>
      </c>
      <c r="L7">
        <v>2.2067623342806995</v>
      </c>
      <c r="M7">
        <f t="shared" si="2"/>
        <v>0.79152643424469404</v>
      </c>
      <c r="Y7">
        <f t="shared" si="3"/>
        <v>2.2067623342806995</v>
      </c>
      <c r="CH7" s="1" t="s">
        <v>81</v>
      </c>
      <c r="CI7" s="2" t="s">
        <v>64</v>
      </c>
      <c r="CJ7" s="2" t="s">
        <v>65</v>
      </c>
      <c r="CK7" s="2" t="s">
        <v>66</v>
      </c>
      <c r="CL7" s="2" t="s">
        <v>67</v>
      </c>
      <c r="CM7" s="2" t="s">
        <v>68</v>
      </c>
      <c r="CN7" s="2" t="s">
        <v>69</v>
      </c>
    </row>
    <row r="8" spans="1:100">
      <c r="A8" s="3" t="s">
        <v>76</v>
      </c>
      <c r="B8" s="3" t="s">
        <v>77</v>
      </c>
      <c r="C8" s="3" t="s">
        <v>78</v>
      </c>
      <c r="D8" s="3" t="s">
        <v>79</v>
      </c>
      <c r="E8" s="3">
        <v>7</v>
      </c>
      <c r="F8" s="3">
        <v>1.0405001745631299</v>
      </c>
      <c r="G8" s="3">
        <v>2.156965461012299</v>
      </c>
      <c r="H8" s="3">
        <f t="shared" si="0"/>
        <v>3.9701534620043451E-2</v>
      </c>
      <c r="I8" s="3">
        <f t="shared" si="1"/>
        <v>0.76870235476713433</v>
      </c>
      <c r="L8">
        <v>2.156965461012299</v>
      </c>
      <c r="M8">
        <f t="shared" si="2"/>
        <v>0.76870235476713433</v>
      </c>
      <c r="Y8">
        <f t="shared" si="3"/>
        <v>2.156965461012299</v>
      </c>
      <c r="CI8" s="2">
        <f>STDEV(T2:T1205)</f>
        <v>2.6421950082573961E-2</v>
      </c>
      <c r="CJ8" s="2">
        <f>STDEV(P2:P1205)</f>
        <v>0.11980488376552409</v>
      </c>
      <c r="CK8" s="2">
        <f>CJ8/CI8</f>
        <v>4.5342937743470673</v>
      </c>
      <c r="CL8" s="2">
        <f>AVERAGE(U2:U1205)</f>
        <v>0.91042551528760218</v>
      </c>
      <c r="CM8" s="2">
        <f>AVERAGE(S2:S1205)</f>
        <v>2.4195561013420086</v>
      </c>
      <c r="CN8" s="2">
        <f>CM8/(CL8^CK8)</f>
        <v>3.7028273787956851</v>
      </c>
      <c r="CP8">
        <f>AVERAGE(G287:G715)</f>
        <v>2.3558019669961374</v>
      </c>
      <c r="CQ8" t="e">
        <f>AVERAGE(BX287:BX715)</f>
        <v>#DIV/0!</v>
      </c>
      <c r="CS8" s="5">
        <f>AVERAGE(G287:G715)</f>
        <v>2.3558019669961374</v>
      </c>
      <c r="CT8" s="5" t="e">
        <f>AVERAGE(#REF!)</f>
        <v>#REF!</v>
      </c>
      <c r="CU8" s="4">
        <f>STDEV(I287:I715)/STDEV(H287:H715)</f>
        <v>1.4158526312312163</v>
      </c>
      <c r="CV8" s="5" t="e">
        <f>-CU8*CS8+CT8</f>
        <v>#REF!</v>
      </c>
    </row>
    <row r="9" spans="1:100">
      <c r="A9" s="3" t="s">
        <v>76</v>
      </c>
      <c r="B9" s="3" t="s">
        <v>77</v>
      </c>
      <c r="C9" s="3" t="s">
        <v>78</v>
      </c>
      <c r="D9" s="3" t="s">
        <v>79</v>
      </c>
      <c r="E9" s="3">
        <v>8</v>
      </c>
      <c r="F9" s="3">
        <v>1.0046736234209599</v>
      </c>
      <c r="G9" s="3">
        <v>2.2314345161801188</v>
      </c>
      <c r="H9" s="3">
        <f t="shared" si="0"/>
        <v>4.6627359524589792E-3</v>
      </c>
      <c r="I9" s="3">
        <f t="shared" si="1"/>
        <v>0.80264465945388352</v>
      </c>
      <c r="L9">
        <v>2.2314345161801188</v>
      </c>
      <c r="M9">
        <f t="shared" si="2"/>
        <v>0.80264465945388352</v>
      </c>
      <c r="Y9">
        <f t="shared" si="3"/>
        <v>2.2314345161801188</v>
      </c>
    </row>
    <row r="10" spans="1:100">
      <c r="A10" s="3" t="s">
        <v>76</v>
      </c>
      <c r="B10" s="3" t="s">
        <v>77</v>
      </c>
      <c r="C10" s="3" t="s">
        <v>78</v>
      </c>
      <c r="D10" s="3" t="s">
        <v>79</v>
      </c>
      <c r="E10" s="3">
        <v>9</v>
      </c>
      <c r="F10" s="3">
        <v>1.01852266237482</v>
      </c>
      <c r="G10" s="3">
        <v>2.2022942582679548</v>
      </c>
      <c r="H10" s="3">
        <f t="shared" si="0"/>
        <v>1.8353207173379824E-2</v>
      </c>
      <c r="I10" s="3">
        <f t="shared" si="1"/>
        <v>0.78949966164676677</v>
      </c>
      <c r="L10">
        <v>2.2022942582679548</v>
      </c>
      <c r="M10">
        <f t="shared" si="2"/>
        <v>0.78949966164676677</v>
      </c>
      <c r="Y10">
        <f t="shared" si="3"/>
        <v>2.2022942582679548</v>
      </c>
      <c r="CH10" s="1" t="s">
        <v>82</v>
      </c>
      <c r="CI10" s="2" t="s">
        <v>64</v>
      </c>
      <c r="CJ10" s="2" t="s">
        <v>65</v>
      </c>
      <c r="CK10" s="2" t="s">
        <v>66</v>
      </c>
      <c r="CL10" s="2" t="s">
        <v>67</v>
      </c>
      <c r="CM10" s="2" t="s">
        <v>68</v>
      </c>
      <c r="CN10" s="2" t="s">
        <v>69</v>
      </c>
    </row>
    <row r="11" spans="1:100">
      <c r="A11" s="3" t="s">
        <v>76</v>
      </c>
      <c r="B11" s="3" t="s">
        <v>77</v>
      </c>
      <c r="C11" s="3" t="s">
        <v>78</v>
      </c>
      <c r="D11" s="3" t="s">
        <v>79</v>
      </c>
      <c r="E11" s="3">
        <v>10</v>
      </c>
      <c r="F11" s="3">
        <v>1.0323386370761001</v>
      </c>
      <c r="G11" s="3">
        <v>2.235732542143626</v>
      </c>
      <c r="H11" s="3">
        <f t="shared" si="0"/>
        <v>3.1826749935945198E-2</v>
      </c>
      <c r="I11" s="3">
        <f t="shared" si="1"/>
        <v>0.80456893371254923</v>
      </c>
      <c r="L11">
        <v>2.235732542143626</v>
      </c>
      <c r="M11">
        <f t="shared" si="2"/>
        <v>0.80456893371254923</v>
      </c>
      <c r="Y11">
        <f t="shared" si="3"/>
        <v>2.235732542143626</v>
      </c>
      <c r="CI11" s="2">
        <f>STDEV(H2:H286)</f>
        <v>7.8878240882714779E-2</v>
      </c>
      <c r="CJ11" s="2">
        <f>STDEV(I2:I286)</f>
        <v>3.8197090523385158E-2</v>
      </c>
      <c r="CK11" s="2">
        <f>CJ11/CI11</f>
        <v>0.48425383345174972</v>
      </c>
      <c r="CL11" s="2">
        <f>AVERAGE(G2:G286)</f>
        <v>2.3124618330779056</v>
      </c>
      <c r="CM11" s="2" t="e">
        <f>AVERAGE(#REF!)</f>
        <v>#REF!</v>
      </c>
      <c r="CN11" s="2" t="e">
        <f>CM11/(CL11^CK11)</f>
        <v>#REF!</v>
      </c>
      <c r="CP11">
        <f>AVERAGE(G2:G286)</f>
        <v>2.3124618330779056</v>
      </c>
      <c r="CQ11" t="e">
        <f>AVERAGE(BB2:BB286)</f>
        <v>#DIV/0!</v>
      </c>
      <c r="CS11" s="5">
        <f>AVERAGE(G2:G286)</f>
        <v>2.3124618330779056</v>
      </c>
      <c r="CT11" s="5" t="e">
        <f>AVERAGE(#REF!)</f>
        <v>#REF!</v>
      </c>
      <c r="CU11" s="4">
        <f>STDEV(I2:I286)/STDEV(H2:H286)</f>
        <v>0.48425383345174972</v>
      </c>
      <c r="CV11" s="5" t="e">
        <f>-CU11*CS11+CT11</f>
        <v>#REF!</v>
      </c>
    </row>
    <row r="12" spans="1:100">
      <c r="A12" s="3" t="s">
        <v>76</v>
      </c>
      <c r="B12" s="3" t="s">
        <v>77</v>
      </c>
      <c r="C12" s="3" t="s">
        <v>78</v>
      </c>
      <c r="D12" s="3" t="s">
        <v>79</v>
      </c>
      <c r="E12" s="3">
        <v>11</v>
      </c>
      <c r="F12" s="3">
        <v>1.0188396638242201</v>
      </c>
      <c r="G12" s="3">
        <v>2.2949074055394916</v>
      </c>
      <c r="H12" s="3">
        <f t="shared" si="0"/>
        <v>1.8664395269755017E-2</v>
      </c>
      <c r="I12" s="3">
        <f t="shared" si="1"/>
        <v>0.8306924965284237</v>
      </c>
      <c r="L12">
        <v>2.2949074055394916</v>
      </c>
      <c r="M12">
        <f t="shared" si="2"/>
        <v>0.8306924965284237</v>
      </c>
      <c r="Y12">
        <f t="shared" si="3"/>
        <v>2.2949074055394916</v>
      </c>
    </row>
    <row r="13" spans="1:100">
      <c r="A13" s="3" t="s">
        <v>76</v>
      </c>
      <c r="B13" s="3" t="s">
        <v>77</v>
      </c>
      <c r="C13" s="3" t="s">
        <v>78</v>
      </c>
      <c r="D13" s="3" t="s">
        <v>79</v>
      </c>
      <c r="E13" s="3">
        <v>12</v>
      </c>
      <c r="F13" s="3">
        <v>1.0171257259091899</v>
      </c>
      <c r="G13" s="3">
        <v>2.2079175709251468</v>
      </c>
      <c r="H13" s="3">
        <f t="shared" si="0"/>
        <v>1.6980733721724608E-2</v>
      </c>
      <c r="I13" s="3">
        <f t="shared" si="1"/>
        <v>0.79204979570945355</v>
      </c>
      <c r="L13">
        <v>2.2079175709251468</v>
      </c>
      <c r="M13">
        <f t="shared" si="2"/>
        <v>0.79204979570945355</v>
      </c>
      <c r="Y13">
        <f t="shared" si="3"/>
        <v>2.2079175709251468</v>
      </c>
    </row>
    <row r="14" spans="1:100">
      <c r="A14" s="3" t="s">
        <v>76</v>
      </c>
      <c r="B14" s="3" t="s">
        <v>77</v>
      </c>
      <c r="C14" s="3" t="s">
        <v>78</v>
      </c>
      <c r="D14" s="3" t="s">
        <v>79</v>
      </c>
      <c r="E14" s="3">
        <v>13</v>
      </c>
      <c r="F14" s="3">
        <v>1.0463802711827801</v>
      </c>
      <c r="G14" s="3">
        <v>2.2041778512633687</v>
      </c>
      <c r="H14" s="3">
        <f t="shared" si="0"/>
        <v>4.5336847551066962E-2</v>
      </c>
      <c r="I14" s="3">
        <f t="shared" si="1"/>
        <v>0.79035458280061444</v>
      </c>
      <c r="L14">
        <v>2.2041778512633687</v>
      </c>
      <c r="M14">
        <f t="shared" si="2"/>
        <v>0.79035458280061444</v>
      </c>
      <c r="Y14">
        <f t="shared" si="3"/>
        <v>2.2041778512633687</v>
      </c>
    </row>
    <row r="15" spans="1:100">
      <c r="A15" s="3" t="s">
        <v>76</v>
      </c>
      <c r="B15" s="3" t="s">
        <v>77</v>
      </c>
      <c r="C15" s="3" t="s">
        <v>78</v>
      </c>
      <c r="D15" s="3" t="s">
        <v>79</v>
      </c>
      <c r="E15" s="3">
        <v>14</v>
      </c>
      <c r="F15" s="3">
        <v>1.0366041679678299</v>
      </c>
      <c r="G15" s="3">
        <v>2.3277671704876326</v>
      </c>
      <c r="H15" s="3">
        <f t="shared" si="0"/>
        <v>3.5950147571704387E-2</v>
      </c>
      <c r="I15" s="3">
        <f t="shared" si="1"/>
        <v>0.8449095121904564</v>
      </c>
      <c r="L15">
        <v>2.3277671704876326</v>
      </c>
      <c r="M15">
        <f t="shared" si="2"/>
        <v>0.8449095121904564</v>
      </c>
      <c r="Y15">
        <f t="shared" si="3"/>
        <v>2.3277671704876326</v>
      </c>
      <c r="CI15" s="1" t="s">
        <v>83</v>
      </c>
      <c r="CJ15" t="e">
        <f>(CQ5-CQ2)/(CP5-CP2)</f>
        <v>#DIV/0!</v>
      </c>
    </row>
    <row r="16" spans="1:100">
      <c r="A16" s="3" t="s">
        <v>76</v>
      </c>
      <c r="B16" s="3" t="s">
        <v>77</v>
      </c>
      <c r="C16" s="3" t="s">
        <v>78</v>
      </c>
      <c r="D16" s="3" t="s">
        <v>79</v>
      </c>
      <c r="E16" s="3">
        <v>15</v>
      </c>
      <c r="F16" s="3">
        <v>1.03101561881241</v>
      </c>
      <c r="G16" s="3">
        <v>2.2181523843054607</v>
      </c>
      <c r="H16" s="3">
        <f t="shared" si="0"/>
        <v>3.0544354107669654E-2</v>
      </c>
      <c r="I16" s="3">
        <f t="shared" si="1"/>
        <v>0.79667459004225771</v>
      </c>
      <c r="L16">
        <v>2.2181523843054607</v>
      </c>
      <c r="M16">
        <f t="shared" si="2"/>
        <v>0.79667459004225771</v>
      </c>
      <c r="Y16">
        <f t="shared" si="3"/>
        <v>2.2181523843054607</v>
      </c>
    </row>
    <row r="17" spans="1:92">
      <c r="A17" s="3" t="s">
        <v>76</v>
      </c>
      <c r="B17" s="3" t="s">
        <v>77</v>
      </c>
      <c r="C17" s="3" t="s">
        <v>78</v>
      </c>
      <c r="D17" s="3" t="s">
        <v>79</v>
      </c>
      <c r="E17" s="3">
        <v>16</v>
      </c>
      <c r="F17" s="3">
        <v>1.0484699780106601</v>
      </c>
      <c r="G17" s="3">
        <v>2.2861539755668248</v>
      </c>
      <c r="H17" s="3">
        <f t="shared" si="0"/>
        <v>4.733193767441838E-2</v>
      </c>
      <c r="I17" s="3">
        <f t="shared" si="1"/>
        <v>0.82687091899531218</v>
      </c>
      <c r="L17">
        <v>2.2861539755668248</v>
      </c>
      <c r="M17">
        <f t="shared" si="2"/>
        <v>0.82687091899531218</v>
      </c>
      <c r="Y17">
        <f t="shared" si="3"/>
        <v>2.2861539755668248</v>
      </c>
    </row>
    <row r="18" spans="1:92">
      <c r="A18" s="3" t="s">
        <v>76</v>
      </c>
      <c r="B18" s="3" t="s">
        <v>77</v>
      </c>
      <c r="C18" s="3" t="s">
        <v>78</v>
      </c>
      <c r="D18" s="3" t="s">
        <v>79</v>
      </c>
      <c r="E18" s="3">
        <v>17</v>
      </c>
      <c r="F18" s="3">
        <v>1.0535142245542599</v>
      </c>
      <c r="G18" s="3">
        <v>2.2184679398179274</v>
      </c>
      <c r="H18" s="3">
        <f t="shared" si="0"/>
        <v>5.2131456358195404E-2</v>
      </c>
      <c r="I18" s="3">
        <f t="shared" si="1"/>
        <v>0.79681684044456647</v>
      </c>
      <c r="L18">
        <v>2.2184679398179274</v>
      </c>
      <c r="M18">
        <f t="shared" si="2"/>
        <v>0.79681684044456647</v>
      </c>
      <c r="Y18">
        <f t="shared" si="3"/>
        <v>2.2184679398179274</v>
      </c>
      <c r="CI18" s="1" t="s">
        <v>84</v>
      </c>
      <c r="CJ18" t="e">
        <f>(CQ11-CQ8)/(CP11-CP8)</f>
        <v>#DIV/0!</v>
      </c>
    </row>
    <row r="19" spans="1:92">
      <c r="A19" s="3" t="s">
        <v>76</v>
      </c>
      <c r="B19" s="3" t="s">
        <v>77</v>
      </c>
      <c r="C19" s="3" t="s">
        <v>78</v>
      </c>
      <c r="D19" s="3" t="s">
        <v>79</v>
      </c>
      <c r="E19" s="3">
        <v>19</v>
      </c>
      <c r="F19" s="3">
        <v>1.02260137255117</v>
      </c>
      <c r="G19" s="3">
        <v>2.2552383466055201</v>
      </c>
      <c r="H19" s="3">
        <f t="shared" si="0"/>
        <v>2.2349745879925394E-2</v>
      </c>
      <c r="I19" s="3">
        <f t="shared" si="1"/>
        <v>0.81325566431169438</v>
      </c>
      <c r="L19">
        <v>2.2552383466055201</v>
      </c>
      <c r="M19">
        <f t="shared" si="2"/>
        <v>0.81325566431169438</v>
      </c>
      <c r="Y19">
        <f t="shared" si="3"/>
        <v>2.2552383466055201</v>
      </c>
    </row>
    <row r="20" spans="1:92">
      <c r="A20" s="3" t="s">
        <v>76</v>
      </c>
      <c r="B20" s="3" t="s">
        <v>77</v>
      </c>
      <c r="C20" s="3" t="s">
        <v>78</v>
      </c>
      <c r="D20" s="3" t="s">
        <v>79</v>
      </c>
      <c r="E20" s="3">
        <v>20</v>
      </c>
      <c r="F20" s="3">
        <v>1.04822529650096</v>
      </c>
      <c r="G20" s="3">
        <v>2.2049489790015553</v>
      </c>
      <c r="H20" s="3">
        <f t="shared" si="0"/>
        <v>4.7098540371734159E-2</v>
      </c>
      <c r="I20" s="3">
        <f t="shared" si="1"/>
        <v>0.79070436985629888</v>
      </c>
      <c r="L20">
        <v>2.2049489790015553</v>
      </c>
      <c r="M20">
        <f t="shared" si="2"/>
        <v>0.79070436985629888</v>
      </c>
      <c r="Y20">
        <f t="shared" si="3"/>
        <v>2.2049489790015553</v>
      </c>
    </row>
    <row r="21" spans="1:92">
      <c r="A21" s="3" t="s">
        <v>76</v>
      </c>
      <c r="B21" s="3" t="s">
        <v>77</v>
      </c>
      <c r="C21" s="3" t="s">
        <v>78</v>
      </c>
      <c r="D21" s="3" t="s">
        <v>75</v>
      </c>
      <c r="E21" s="3">
        <v>1</v>
      </c>
      <c r="F21" s="3">
        <v>1.07809879838098</v>
      </c>
      <c r="G21" s="3">
        <v>2.2238030488332368</v>
      </c>
      <c r="H21" s="3">
        <f t="shared" si="0"/>
        <v>7.5199117991290948E-2</v>
      </c>
      <c r="I21" s="3">
        <f t="shared" si="1"/>
        <v>0.7992188152876174</v>
      </c>
      <c r="L21">
        <v>2.2238030488332368</v>
      </c>
      <c r="M21">
        <f t="shared" si="2"/>
        <v>0.7992188152876174</v>
      </c>
      <c r="Y21">
        <f t="shared" si="3"/>
        <v>2.2238030488332368</v>
      </c>
      <c r="CI21" s="1" t="s">
        <v>85</v>
      </c>
      <c r="CJ21" t="e">
        <f>(CQ8-CQ2)/(CP8-CP2)</f>
        <v>#DIV/0!</v>
      </c>
    </row>
    <row r="22" spans="1:92">
      <c r="A22" s="3" t="s">
        <v>76</v>
      </c>
      <c r="B22" s="3" t="s">
        <v>77</v>
      </c>
      <c r="C22" s="3" t="s">
        <v>78</v>
      </c>
      <c r="D22" s="3" t="s">
        <v>75</v>
      </c>
      <c r="E22" s="3">
        <v>2</v>
      </c>
      <c r="F22" s="3">
        <v>1.03159798730285</v>
      </c>
      <c r="G22" s="3">
        <v>2.2604866732630828</v>
      </c>
      <c r="H22" s="3">
        <f t="shared" si="0"/>
        <v>3.1109043978994676E-2</v>
      </c>
      <c r="I22" s="3">
        <f t="shared" si="1"/>
        <v>0.81558013225320802</v>
      </c>
      <c r="L22">
        <v>2.2604866732630828</v>
      </c>
      <c r="M22">
        <f t="shared" si="2"/>
        <v>0.81558013225320802</v>
      </c>
      <c r="Y22">
        <f t="shared" si="3"/>
        <v>2.2604866732630828</v>
      </c>
    </row>
    <row r="23" spans="1:92">
      <c r="A23" s="3" t="s">
        <v>76</v>
      </c>
      <c r="B23" s="3" t="s">
        <v>77</v>
      </c>
      <c r="C23" s="3" t="s">
        <v>78</v>
      </c>
      <c r="D23" s="3" t="s">
        <v>75</v>
      </c>
      <c r="E23" s="3">
        <v>3</v>
      </c>
      <c r="F23" s="3">
        <v>1.0302863956561099</v>
      </c>
      <c r="G23" s="3">
        <v>2.2405579662218069</v>
      </c>
      <c r="H23" s="3">
        <f t="shared" si="0"/>
        <v>2.9836817626743697E-2</v>
      </c>
      <c r="I23" s="3">
        <f t="shared" si="1"/>
        <v>0.80672492691197795</v>
      </c>
      <c r="L23">
        <v>2.2405579662218069</v>
      </c>
      <c r="M23">
        <f t="shared" si="2"/>
        <v>0.80672492691197795</v>
      </c>
      <c r="Y23">
        <f t="shared" si="3"/>
        <v>2.2405579662218069</v>
      </c>
    </row>
    <row r="24" spans="1:92">
      <c r="A24" s="3" t="s">
        <v>76</v>
      </c>
      <c r="B24" s="3" t="s">
        <v>77</v>
      </c>
      <c r="C24" s="3" t="s">
        <v>78</v>
      </c>
      <c r="D24" s="3" t="s">
        <v>75</v>
      </c>
      <c r="E24" s="3">
        <v>4</v>
      </c>
      <c r="F24" s="3">
        <v>1.05760745007708</v>
      </c>
      <c r="G24" s="3">
        <v>2.2226560687609771</v>
      </c>
      <c r="H24" s="3">
        <f t="shared" si="0"/>
        <v>5.6009234414490308E-2</v>
      </c>
      <c r="I24" s="3">
        <f t="shared" si="1"/>
        <v>0.79870290810513089</v>
      </c>
      <c r="L24">
        <v>2.2226560687609771</v>
      </c>
      <c r="M24">
        <f t="shared" si="2"/>
        <v>0.79870290810513089</v>
      </c>
      <c r="Y24">
        <f t="shared" si="3"/>
        <v>2.2226560687609771</v>
      </c>
      <c r="CI24" s="1" t="s">
        <v>86</v>
      </c>
      <c r="CJ24" t="e">
        <f>(CQ11-CQ5)/(CP11-CP5)</f>
        <v>#DIV/0!</v>
      </c>
    </row>
    <row r="25" spans="1:92">
      <c r="A25" s="3" t="s">
        <v>76</v>
      </c>
      <c r="B25" s="3" t="s">
        <v>77</v>
      </c>
      <c r="C25" s="3" t="s">
        <v>78</v>
      </c>
      <c r="D25" s="3" t="s">
        <v>75</v>
      </c>
      <c r="E25" s="3">
        <v>5</v>
      </c>
      <c r="F25" s="3">
        <v>1.03344983734669</v>
      </c>
      <c r="G25" s="3">
        <v>2.2316361710637334</v>
      </c>
      <c r="H25" s="3">
        <f t="shared" si="0"/>
        <v>3.2902562287036127E-2</v>
      </c>
      <c r="I25" s="3">
        <f t="shared" si="1"/>
        <v>0.80273502543635744</v>
      </c>
      <c r="L25">
        <v>2.2316361710637334</v>
      </c>
      <c r="M25">
        <f t="shared" si="2"/>
        <v>0.80273502543635744</v>
      </c>
      <c r="Y25">
        <f t="shared" si="3"/>
        <v>2.2316361710637334</v>
      </c>
    </row>
    <row r="26" spans="1:92">
      <c r="A26" s="3" t="s">
        <v>76</v>
      </c>
      <c r="B26" s="3" t="s">
        <v>77</v>
      </c>
      <c r="C26" s="3" t="s">
        <v>78</v>
      </c>
      <c r="D26" s="3" t="s">
        <v>75</v>
      </c>
      <c r="E26" s="3">
        <v>6</v>
      </c>
      <c r="F26" s="3">
        <v>1.0482921016084501</v>
      </c>
      <c r="G26" s="3">
        <v>2.2192341021172148</v>
      </c>
      <c r="H26" s="3">
        <f t="shared" si="0"/>
        <v>4.7162269971663055E-2</v>
      </c>
      <c r="I26" s="3">
        <f t="shared" si="1"/>
        <v>0.79716213731202612</v>
      </c>
      <c r="L26">
        <v>2.2192341021172148</v>
      </c>
      <c r="M26">
        <f t="shared" si="2"/>
        <v>0.79716213731202612</v>
      </c>
      <c r="Y26">
        <f t="shared" si="3"/>
        <v>2.2192341021172148</v>
      </c>
      <c r="CG26" t="s">
        <v>87</v>
      </c>
      <c r="CH26" s="1" t="s">
        <v>37</v>
      </c>
      <c r="CI26" s="2" t="s">
        <v>64</v>
      </c>
      <c r="CJ26" s="2" t="s">
        <v>65</v>
      </c>
      <c r="CK26" s="2" t="s">
        <v>66</v>
      </c>
      <c r="CL26" s="2" t="s">
        <v>67</v>
      </c>
      <c r="CM26" s="2" t="s">
        <v>68</v>
      </c>
      <c r="CN26" s="2" t="s">
        <v>69</v>
      </c>
    </row>
    <row r="27" spans="1:92">
      <c r="A27" s="3" t="s">
        <v>76</v>
      </c>
      <c r="B27" s="3" t="s">
        <v>77</v>
      </c>
      <c r="C27" s="3" t="s">
        <v>78</v>
      </c>
      <c r="D27" s="3" t="s">
        <v>75</v>
      </c>
      <c r="E27" s="3">
        <v>7</v>
      </c>
      <c r="F27" s="3">
        <v>1.02114180347437</v>
      </c>
      <c r="G27" s="3">
        <v>2.2085742007005331</v>
      </c>
      <c r="H27" s="3">
        <f t="shared" si="0"/>
        <v>2.0921416389152118E-2</v>
      </c>
      <c r="I27" s="3">
        <f t="shared" si="1"/>
        <v>0.79234714927159222</v>
      </c>
      <c r="L27">
        <v>2.2085742007005331</v>
      </c>
      <c r="M27">
        <f t="shared" si="2"/>
        <v>0.79234714927159222</v>
      </c>
      <c r="Y27">
        <f t="shared" si="3"/>
        <v>2.2085742007005331</v>
      </c>
      <c r="CH27" s="1"/>
      <c r="CI27" s="2">
        <f>STDEV(H81:H98)</f>
        <v>1.705387941083384E-2</v>
      </c>
      <c r="CJ27" s="2">
        <f>STDEV(I81:I98)</f>
        <v>1.7546749742344249E-2</v>
      </c>
      <c r="CK27" s="2">
        <f>CJ27/CI27</f>
        <v>1.0289007749871446</v>
      </c>
      <c r="CL27" s="2">
        <f>AVERAGE(F81:F98)</f>
        <v>0.89880657677808395</v>
      </c>
      <c r="CM27" s="2">
        <f>AVERAGE(G81:G98)</f>
        <v>2.3294619895599418</v>
      </c>
      <c r="CN27" s="2">
        <f>CM27/(CL27^CK27)</f>
        <v>2.5997313316745378</v>
      </c>
    </row>
    <row r="28" spans="1:92">
      <c r="A28" s="3" t="s">
        <v>76</v>
      </c>
      <c r="B28" s="3" t="s">
        <v>77</v>
      </c>
      <c r="C28" s="3" t="s">
        <v>78</v>
      </c>
      <c r="D28" s="3" t="s">
        <v>75</v>
      </c>
      <c r="E28" s="3">
        <v>8</v>
      </c>
      <c r="F28" s="3">
        <v>1.0148021962903699</v>
      </c>
      <c r="G28" s="3">
        <v>2.2514439810930229</v>
      </c>
      <c r="H28" s="3">
        <f t="shared" si="0"/>
        <v>1.4693712999979579E-2</v>
      </c>
      <c r="I28" s="3">
        <f t="shared" si="1"/>
        <v>0.81157177974510619</v>
      </c>
      <c r="L28">
        <v>2.2514439810930229</v>
      </c>
      <c r="M28">
        <f t="shared" si="2"/>
        <v>0.81157177974510619</v>
      </c>
      <c r="Y28">
        <f t="shared" si="3"/>
        <v>2.2514439810930229</v>
      </c>
      <c r="CH28" s="1"/>
    </row>
    <row r="29" spans="1:92">
      <c r="A29" s="3" t="s">
        <v>76</v>
      </c>
      <c r="B29" s="3" t="s">
        <v>77</v>
      </c>
      <c r="C29" s="3" t="s">
        <v>78</v>
      </c>
      <c r="D29" s="3" t="s">
        <v>75</v>
      </c>
      <c r="E29" s="3">
        <v>9</v>
      </c>
      <c r="F29" s="3">
        <v>1.0534758704384499</v>
      </c>
      <c r="G29" s="3">
        <v>2.2051077071199949</v>
      </c>
      <c r="H29" s="3">
        <f t="shared" si="0"/>
        <v>5.2095049812283897E-2</v>
      </c>
      <c r="I29" s="3">
        <f t="shared" si="1"/>
        <v>0.79077635447228245</v>
      </c>
      <c r="L29">
        <v>2.2051077071199949</v>
      </c>
      <c r="M29">
        <f t="shared" si="2"/>
        <v>0.79077635447228245</v>
      </c>
      <c r="Y29">
        <f t="shared" si="3"/>
        <v>2.2051077071199949</v>
      </c>
      <c r="CG29" t="s">
        <v>88</v>
      </c>
      <c r="CH29" s="1" t="s">
        <v>38</v>
      </c>
      <c r="CI29" s="2" t="s">
        <v>64</v>
      </c>
      <c r="CJ29" s="2" t="s">
        <v>65</v>
      </c>
      <c r="CK29" s="2" t="s">
        <v>66</v>
      </c>
      <c r="CL29" s="2" t="s">
        <v>67</v>
      </c>
      <c r="CM29" s="2" t="s">
        <v>68</v>
      </c>
      <c r="CN29" s="2" t="s">
        <v>69</v>
      </c>
    </row>
    <row r="30" spans="1:92">
      <c r="A30" s="3" t="s">
        <v>76</v>
      </c>
      <c r="B30" s="3" t="s">
        <v>77</v>
      </c>
      <c r="C30" s="3" t="s">
        <v>78</v>
      </c>
      <c r="D30" s="3" t="s">
        <v>75</v>
      </c>
      <c r="E30" s="3">
        <v>10</v>
      </c>
      <c r="F30" s="3">
        <v>1.0397535995507501</v>
      </c>
      <c r="G30" s="3">
        <v>2.1991361940543839</v>
      </c>
      <c r="H30" s="3">
        <f t="shared" si="0"/>
        <v>3.8983761573578773E-2</v>
      </c>
      <c r="I30" s="3">
        <f t="shared" si="1"/>
        <v>0.78806464419517985</v>
      </c>
      <c r="L30">
        <v>2.1991361940543839</v>
      </c>
      <c r="M30">
        <f t="shared" si="2"/>
        <v>0.78806464419517985</v>
      </c>
      <c r="Y30">
        <f t="shared" si="3"/>
        <v>2.1991361940543839</v>
      </c>
      <c r="CH30" s="1"/>
      <c r="CI30" s="2">
        <f>STDEV(H99:H116)</f>
        <v>1.0730945541493847E-2</v>
      </c>
      <c r="CJ30" s="2">
        <f>STDEV(I99:I116)</f>
        <v>1.8411192856313506E-2</v>
      </c>
      <c r="CK30" s="2">
        <f>CJ30/CI30</f>
        <v>1.7157102125923656</v>
      </c>
      <c r="CL30" s="2">
        <f>AVERAGE(F99:F116)</f>
        <v>0.89728187125530645</v>
      </c>
      <c r="CM30" s="2">
        <f>AVERAGE(G99:G116)</f>
        <v>2.2914737511878149</v>
      </c>
      <c r="CN30" s="2">
        <f>CM30/(CL30^CK30)</f>
        <v>2.7597850977026877</v>
      </c>
    </row>
    <row r="31" spans="1:92">
      <c r="A31" s="3" t="s">
        <v>76</v>
      </c>
      <c r="B31" s="3" t="s">
        <v>77</v>
      </c>
      <c r="C31" s="3" t="s">
        <v>78</v>
      </c>
      <c r="D31" s="3" t="s">
        <v>75</v>
      </c>
      <c r="E31" s="3">
        <v>11</v>
      </c>
      <c r="F31" s="3">
        <v>1.00088394403957</v>
      </c>
      <c r="G31" s="3">
        <v>2.1912781658201226</v>
      </c>
      <c r="H31" s="3">
        <f t="shared" si="0"/>
        <v>8.8355359111027859E-4</v>
      </c>
      <c r="I31" s="3">
        <f t="shared" si="1"/>
        <v>0.78448501093915124</v>
      </c>
      <c r="L31">
        <v>2.1912781658201226</v>
      </c>
      <c r="M31">
        <f t="shared" si="2"/>
        <v>0.78448501093915124</v>
      </c>
      <c r="Y31">
        <f t="shared" si="3"/>
        <v>2.1912781658201226</v>
      </c>
      <c r="CH31" s="1"/>
    </row>
    <row r="32" spans="1:92">
      <c r="A32" s="3" t="s">
        <v>76</v>
      </c>
      <c r="B32" s="3" t="s">
        <v>77</v>
      </c>
      <c r="C32" s="3" t="s">
        <v>78</v>
      </c>
      <c r="D32" s="3" t="s">
        <v>75</v>
      </c>
      <c r="E32" s="3">
        <v>12</v>
      </c>
      <c r="F32" s="3">
        <v>1.0504136795882</v>
      </c>
      <c r="G32" s="3">
        <v>2.2747747141200598</v>
      </c>
      <c r="H32" s="3">
        <f t="shared" si="0"/>
        <v>4.9184067139660177E-2</v>
      </c>
      <c r="I32" s="3">
        <f t="shared" si="1"/>
        <v>0.82188102073902713</v>
      </c>
      <c r="L32">
        <v>2.2747747141200598</v>
      </c>
      <c r="M32">
        <f t="shared" si="2"/>
        <v>0.82188102073902713</v>
      </c>
      <c r="Y32">
        <f t="shared" si="3"/>
        <v>2.2747747141200598</v>
      </c>
      <c r="CG32" t="s">
        <v>89</v>
      </c>
      <c r="CH32" s="1" t="s">
        <v>39</v>
      </c>
      <c r="CI32" s="2" t="s">
        <v>64</v>
      </c>
      <c r="CJ32" s="2" t="s">
        <v>65</v>
      </c>
      <c r="CK32" s="2" t="s">
        <v>66</v>
      </c>
      <c r="CL32" s="2" t="s">
        <v>67</v>
      </c>
      <c r="CM32" s="2" t="s">
        <v>68</v>
      </c>
      <c r="CN32" s="2" t="s">
        <v>69</v>
      </c>
    </row>
    <row r="33" spans="1:92">
      <c r="A33" s="3" t="s">
        <v>76</v>
      </c>
      <c r="B33" s="3" t="s">
        <v>77</v>
      </c>
      <c r="C33" s="3" t="s">
        <v>78</v>
      </c>
      <c r="D33" s="3" t="s">
        <v>75</v>
      </c>
      <c r="E33" s="3">
        <v>13</v>
      </c>
      <c r="F33" s="3">
        <v>1.0757732271066101</v>
      </c>
      <c r="G33" s="3">
        <v>2.2107012462112561</v>
      </c>
      <c r="H33" s="3">
        <f t="shared" si="0"/>
        <v>7.3039684050407963E-2</v>
      </c>
      <c r="I33" s="3">
        <f t="shared" si="1"/>
        <v>0.79330977117671009</v>
      </c>
      <c r="L33">
        <v>2.2107012462112561</v>
      </c>
      <c r="M33">
        <f t="shared" si="2"/>
        <v>0.79330977117671009</v>
      </c>
      <c r="Y33">
        <f t="shared" si="3"/>
        <v>2.2107012462112561</v>
      </c>
      <c r="CH33" s="1"/>
      <c r="CI33" s="2">
        <f>STDEV(H275:H293)</f>
        <v>1.8522712382157931E-2</v>
      </c>
      <c r="CJ33" s="2">
        <f>STDEV(I275:I293)</f>
        <v>1.7050117223779943E-2</v>
      </c>
      <c r="CK33" s="2">
        <f>CJ33/CI33</f>
        <v>0.92049786618743423</v>
      </c>
      <c r="CL33" s="2">
        <f>AVERAGE(F275:F293)</f>
        <v>0.91677654693363997</v>
      </c>
      <c r="CM33" s="2">
        <f>AVERAGE(G275:G293)</f>
        <v>2.4440230551821727</v>
      </c>
      <c r="CN33" s="2">
        <f>CM33/(CL33^CK33)</f>
        <v>2.6475347621869014</v>
      </c>
    </row>
    <row r="34" spans="1:92">
      <c r="A34" s="3" t="s">
        <v>76</v>
      </c>
      <c r="B34" s="3" t="s">
        <v>77</v>
      </c>
      <c r="C34" s="3" t="s">
        <v>78</v>
      </c>
      <c r="D34" s="3" t="s">
        <v>75</v>
      </c>
      <c r="E34" s="3">
        <v>14</v>
      </c>
      <c r="F34" s="3">
        <v>1.04118310732466</v>
      </c>
      <c r="G34" s="3">
        <v>2.2689424849475581</v>
      </c>
      <c r="H34" s="3">
        <f t="shared" si="0"/>
        <v>4.0357669769874441E-2</v>
      </c>
      <c r="I34" s="3">
        <f t="shared" si="1"/>
        <v>0.81931385728232098</v>
      </c>
      <c r="L34">
        <v>2.2689424849475581</v>
      </c>
      <c r="M34">
        <f t="shared" si="2"/>
        <v>0.81931385728232098</v>
      </c>
      <c r="Y34">
        <f t="shared" si="3"/>
        <v>2.2689424849475581</v>
      </c>
      <c r="CH34" s="1"/>
    </row>
    <row r="35" spans="1:92">
      <c r="A35" s="3" t="s">
        <v>76</v>
      </c>
      <c r="B35" s="3" t="s">
        <v>77</v>
      </c>
      <c r="C35" s="3" t="s">
        <v>78</v>
      </c>
      <c r="D35" s="3" t="s">
        <v>75</v>
      </c>
      <c r="E35" s="3">
        <v>15</v>
      </c>
      <c r="F35" s="3">
        <v>1.0143216991034101</v>
      </c>
      <c r="G35" s="3">
        <v>2.229102958591191</v>
      </c>
      <c r="H35" s="3">
        <f t="shared" si="0"/>
        <v>1.4220112351904998E-2</v>
      </c>
      <c r="I35" s="3">
        <f t="shared" si="1"/>
        <v>0.80159924382204073</v>
      </c>
      <c r="L35">
        <v>2.229102958591191</v>
      </c>
      <c r="M35">
        <f t="shared" si="2"/>
        <v>0.80159924382204073</v>
      </c>
      <c r="Y35">
        <f t="shared" si="3"/>
        <v>2.229102958591191</v>
      </c>
      <c r="CG35" t="s">
        <v>76</v>
      </c>
      <c r="CH35" s="1" t="s">
        <v>40</v>
      </c>
      <c r="CI35" s="2" t="s">
        <v>64</v>
      </c>
      <c r="CJ35" s="2" t="s">
        <v>65</v>
      </c>
      <c r="CK35" s="2" t="s">
        <v>66</v>
      </c>
      <c r="CL35" s="2" t="s">
        <v>67</v>
      </c>
      <c r="CM35" s="2" t="s">
        <v>68</v>
      </c>
      <c r="CN35" s="2" t="s">
        <v>69</v>
      </c>
    </row>
    <row r="36" spans="1:92">
      <c r="A36" s="3" t="s">
        <v>76</v>
      </c>
      <c r="B36" s="3" t="s">
        <v>77</v>
      </c>
      <c r="C36" s="3" t="s">
        <v>78</v>
      </c>
      <c r="D36" s="3" t="s">
        <v>75</v>
      </c>
      <c r="E36" s="3">
        <v>16</v>
      </c>
      <c r="F36" s="3">
        <v>1.0128179563955499</v>
      </c>
      <c r="G36" s="3">
        <v>2.1800000000000002</v>
      </c>
      <c r="H36" s="3">
        <f t="shared" si="0"/>
        <v>1.2736501709091082E-2</v>
      </c>
      <c r="I36" s="3">
        <f t="shared" si="1"/>
        <v>0.77932487680099771</v>
      </c>
      <c r="L36">
        <v>2.1800000000000002</v>
      </c>
      <c r="M36">
        <f t="shared" si="2"/>
        <v>0.77932487680099771</v>
      </c>
      <c r="Y36">
        <f t="shared" si="3"/>
        <v>2.1800000000000002</v>
      </c>
      <c r="CH36" s="1"/>
      <c r="CI36" s="2">
        <f>STDEV(H294:H315)</f>
        <v>2.0856581965060846E-2</v>
      </c>
      <c r="CJ36" s="2">
        <f>STDEV(I294:I315)</f>
        <v>1.7975965241587823E-2</v>
      </c>
      <c r="CK36" s="2">
        <f>CJ36/CI36</f>
        <v>0.86188452507229318</v>
      </c>
      <c r="CL36" s="2">
        <f>AVERAGE(F294:F315)</f>
        <v>0.913588296602596</v>
      </c>
      <c r="CM36" s="2">
        <f>AVERAGE(G294:G315)</f>
        <v>2.4502693250433918</v>
      </c>
      <c r="CN36" s="2">
        <f>CM36/(CL36^CK36)</f>
        <v>2.6487583336146692</v>
      </c>
    </row>
    <row r="37" spans="1:92">
      <c r="A37" s="3" t="s">
        <v>76</v>
      </c>
      <c r="B37" s="3" t="s">
        <v>77</v>
      </c>
      <c r="C37" s="3" t="s">
        <v>78</v>
      </c>
      <c r="D37" s="3" t="s">
        <v>75</v>
      </c>
      <c r="E37" s="3">
        <v>17</v>
      </c>
      <c r="F37" s="3">
        <v>1.03725329556691</v>
      </c>
      <c r="G37" s="3">
        <v>2.1669563908856126</v>
      </c>
      <c r="H37" s="3">
        <f t="shared" si="0"/>
        <v>3.6576157441420794E-2</v>
      </c>
      <c r="I37" s="3">
        <f t="shared" si="1"/>
        <v>0.77332359816419327</v>
      </c>
      <c r="L37">
        <v>2.1669563908856126</v>
      </c>
      <c r="M37">
        <f t="shared" si="2"/>
        <v>0.77332359816419327</v>
      </c>
      <c r="Y37">
        <f t="shared" si="3"/>
        <v>2.1669563908856126</v>
      </c>
      <c r="CH37" s="1"/>
    </row>
    <row r="38" spans="1:92">
      <c r="A38" s="3" t="s">
        <v>76</v>
      </c>
      <c r="B38" s="3" t="s">
        <v>77</v>
      </c>
      <c r="C38" s="3" t="s">
        <v>78</v>
      </c>
      <c r="D38" s="3" t="s">
        <v>75</v>
      </c>
      <c r="E38" s="3">
        <v>19</v>
      </c>
      <c r="F38" s="3">
        <v>1.0299585101923101</v>
      </c>
      <c r="G38" s="3">
        <v>2.2029071700822982</v>
      </c>
      <c r="H38" s="3">
        <f t="shared" si="0"/>
        <v>2.9518520063539146E-2</v>
      </c>
      <c r="I38" s="3">
        <f t="shared" si="1"/>
        <v>0.78977792897608978</v>
      </c>
      <c r="L38">
        <v>2.2029071700822982</v>
      </c>
      <c r="M38">
        <f t="shared" si="2"/>
        <v>0.78977792897608978</v>
      </c>
      <c r="Y38">
        <f t="shared" si="3"/>
        <v>2.2029071700822982</v>
      </c>
      <c r="CG38" t="s">
        <v>90</v>
      </c>
      <c r="CH38" s="1" t="s">
        <v>41</v>
      </c>
      <c r="CI38" s="2" t="s">
        <v>64</v>
      </c>
      <c r="CJ38" s="2" t="s">
        <v>65</v>
      </c>
      <c r="CK38" s="2" t="s">
        <v>66</v>
      </c>
      <c r="CL38" s="2" t="s">
        <v>67</v>
      </c>
      <c r="CM38" s="2" t="s">
        <v>68</v>
      </c>
      <c r="CN38" s="2" t="s">
        <v>69</v>
      </c>
    </row>
    <row r="39" spans="1:92">
      <c r="A39" s="3" t="s">
        <v>76</v>
      </c>
      <c r="B39" s="3" t="s">
        <v>77</v>
      </c>
      <c r="C39" s="3" t="s">
        <v>78</v>
      </c>
      <c r="D39" s="3" t="s">
        <v>75</v>
      </c>
      <c r="E39" s="3">
        <v>20</v>
      </c>
      <c r="F39" s="3">
        <v>1.02217706446901</v>
      </c>
      <c r="G39" s="3">
        <v>2.2228135324403619</v>
      </c>
      <c r="H39" s="3">
        <f t="shared" si="0"/>
        <v>2.1934729680059259E-2</v>
      </c>
      <c r="I39" s="3">
        <f t="shared" si="1"/>
        <v>0.79877375042037613</v>
      </c>
      <c r="L39">
        <v>2.2228135324403619</v>
      </c>
      <c r="M39">
        <f t="shared" si="2"/>
        <v>0.79877375042037613</v>
      </c>
      <c r="Y39">
        <f t="shared" si="3"/>
        <v>2.2228135324403619</v>
      </c>
      <c r="CH39" s="1"/>
      <c r="CI39" s="2">
        <f>STDEV(H475:H494)</f>
        <v>2.0740032973097212E-2</v>
      </c>
      <c r="CJ39" s="2">
        <f>STDEV(I475:I494)</f>
        <v>2.3154839573242294E-2</v>
      </c>
      <c r="CK39" s="2">
        <f>CJ39/CI39</f>
        <v>1.1164321485543167</v>
      </c>
      <c r="CL39" s="2">
        <f>AVERAGE(F475:F494)</f>
        <v>0.93216185534293938</v>
      </c>
      <c r="CM39" s="2">
        <f>AVERAGE(G475:G494)</f>
        <v>2.5859664713211696</v>
      </c>
      <c r="CN39" s="2">
        <f>CM39/(CL39^CK39)</f>
        <v>2.7969438812057064</v>
      </c>
    </row>
    <row r="40" spans="1:92">
      <c r="A40" s="3" t="s">
        <v>76</v>
      </c>
      <c r="B40" s="3" t="s">
        <v>77</v>
      </c>
      <c r="C40" s="3" t="s">
        <v>78</v>
      </c>
      <c r="D40" s="3" t="s">
        <v>75</v>
      </c>
      <c r="E40" s="3">
        <v>21</v>
      </c>
      <c r="F40" s="3">
        <v>1.0619447956175501</v>
      </c>
      <c r="G40" s="3">
        <v>2.2415396494374127</v>
      </c>
      <c r="H40" s="3">
        <f t="shared" si="0"/>
        <v>6.0101939940930021E-2</v>
      </c>
      <c r="I40" s="3">
        <f t="shared" si="1"/>
        <v>0.80716297325343811</v>
      </c>
      <c r="L40">
        <v>2.2415396494374127</v>
      </c>
      <c r="M40">
        <f t="shared" si="2"/>
        <v>0.80716297325343811</v>
      </c>
      <c r="Y40">
        <f t="shared" si="3"/>
        <v>2.2415396494374127</v>
      </c>
      <c r="CH40" s="1"/>
    </row>
    <row r="41" spans="1:92">
      <c r="A41" s="3" t="s">
        <v>76</v>
      </c>
      <c r="B41" s="3" t="s">
        <v>103</v>
      </c>
      <c r="C41" s="3" t="s">
        <v>78</v>
      </c>
      <c r="D41" s="3" t="s">
        <v>79</v>
      </c>
      <c r="E41" s="3">
        <v>1</v>
      </c>
      <c r="F41" s="3">
        <v>1.04376970327628</v>
      </c>
      <c r="G41" s="3">
        <v>2.3097185975785015</v>
      </c>
      <c r="H41" s="3">
        <f t="shared" si="0"/>
        <v>4.2838874395200441E-2</v>
      </c>
      <c r="I41" s="3">
        <f t="shared" si="1"/>
        <v>0.83712569788305113</v>
      </c>
      <c r="L41">
        <v>2.3097185975785015</v>
      </c>
      <c r="M41">
        <f t="shared" si="2"/>
        <v>0.83712569788305113</v>
      </c>
      <c r="Y41">
        <f t="shared" si="3"/>
        <v>2.3097185975785015</v>
      </c>
      <c r="CG41" t="s">
        <v>91</v>
      </c>
      <c r="CH41" s="1" t="s">
        <v>42</v>
      </c>
      <c r="CI41" s="2" t="s">
        <v>64</v>
      </c>
      <c r="CJ41" s="2" t="s">
        <v>65</v>
      </c>
      <c r="CK41" s="2" t="s">
        <v>66</v>
      </c>
      <c r="CL41" s="2" t="s">
        <v>67</v>
      </c>
      <c r="CM41" s="2" t="s">
        <v>68</v>
      </c>
      <c r="CN41" s="2" t="s">
        <v>69</v>
      </c>
    </row>
    <row r="42" spans="1:92">
      <c r="A42" s="3" t="s">
        <v>76</v>
      </c>
      <c r="B42" s="3" t="s">
        <v>103</v>
      </c>
      <c r="C42" s="3" t="s">
        <v>78</v>
      </c>
      <c r="D42" s="3" t="s">
        <v>79</v>
      </c>
      <c r="E42" s="3">
        <v>2</v>
      </c>
      <c r="F42" s="3">
        <v>1.0367337343515299</v>
      </c>
      <c r="G42" s="3">
        <v>2.2542404485768595</v>
      </c>
      <c r="H42" s="3">
        <f t="shared" si="0"/>
        <v>3.6075130946313712E-2</v>
      </c>
      <c r="I42" s="3">
        <f t="shared" si="1"/>
        <v>0.81281308631531246</v>
      </c>
      <c r="L42">
        <v>2.2542404485768595</v>
      </c>
      <c r="M42">
        <f t="shared" si="2"/>
        <v>0.81281308631531246</v>
      </c>
      <c r="Y42">
        <f t="shared" si="3"/>
        <v>2.2542404485768595</v>
      </c>
      <c r="CH42" s="1"/>
      <c r="CI42" s="2">
        <f>STDEV(H495:H514)</f>
        <v>2.0002900964979725E-2</v>
      </c>
      <c r="CJ42" s="2">
        <f>STDEV(I495:I514)</f>
        <v>2.1996284570855784E-2</v>
      </c>
      <c r="CK42" s="2">
        <f>CJ42/CI42</f>
        <v>1.0996547255503586</v>
      </c>
      <c r="CL42" s="2">
        <f>AVERAGE(F495:F514)</f>
        <v>0.93441623478182156</v>
      </c>
      <c r="CM42" s="2">
        <f>AVERAGE(G495:G514)</f>
        <v>2.5709815222689016</v>
      </c>
      <c r="CN42" s="2">
        <f>CM42/(CL42^CK42)</f>
        <v>2.7700931337608159</v>
      </c>
    </row>
    <row r="43" spans="1:92">
      <c r="A43" s="3" t="s">
        <v>76</v>
      </c>
      <c r="B43" s="3" t="s">
        <v>103</v>
      </c>
      <c r="C43" s="3" t="s">
        <v>78</v>
      </c>
      <c r="D43" s="3" t="s">
        <v>79</v>
      </c>
      <c r="E43" s="3">
        <v>3</v>
      </c>
      <c r="F43" s="3">
        <v>1.00767407206793</v>
      </c>
      <c r="G43" s="3">
        <v>2.2029298672449835</v>
      </c>
      <c r="H43" s="3">
        <f t="shared" si="0"/>
        <v>7.6447761606887781E-3</v>
      </c>
      <c r="I43" s="3">
        <f t="shared" si="1"/>
        <v>0.78978823219996896</v>
      </c>
      <c r="L43">
        <v>2.2029298672449835</v>
      </c>
      <c r="M43">
        <f t="shared" si="2"/>
        <v>0.78978823219996896</v>
      </c>
      <c r="Y43">
        <f t="shared" si="3"/>
        <v>2.2029298672449835</v>
      </c>
      <c r="CH43" s="1"/>
    </row>
    <row r="44" spans="1:92">
      <c r="A44" s="3" t="s">
        <v>76</v>
      </c>
      <c r="B44" s="3" t="s">
        <v>103</v>
      </c>
      <c r="C44" s="3" t="s">
        <v>78</v>
      </c>
      <c r="D44" s="3" t="s">
        <v>79</v>
      </c>
      <c r="E44" s="3">
        <v>4</v>
      </c>
      <c r="F44" s="3">
        <v>1.0037243912161899</v>
      </c>
      <c r="G44" s="3">
        <v>2.2228360263411244</v>
      </c>
      <c r="H44" s="3">
        <f t="shared" si="0"/>
        <v>3.7174728437205907E-3</v>
      </c>
      <c r="I44" s="3">
        <f t="shared" si="1"/>
        <v>0.7987838699318065</v>
      </c>
      <c r="L44">
        <v>2.2228360263411244</v>
      </c>
      <c r="M44">
        <f t="shared" si="2"/>
        <v>0.7987838699318065</v>
      </c>
      <c r="Y44">
        <f t="shared" si="3"/>
        <v>2.2228360263411244</v>
      </c>
      <c r="CG44" t="s">
        <v>92</v>
      </c>
      <c r="CH44" s="1" t="s">
        <v>43</v>
      </c>
      <c r="CI44" s="2" t="s">
        <v>64</v>
      </c>
      <c r="CJ44" s="2" t="s">
        <v>65</v>
      </c>
      <c r="CK44" s="2" t="s">
        <v>66</v>
      </c>
      <c r="CL44" s="2" t="s">
        <v>67</v>
      </c>
      <c r="CM44" s="2" t="s">
        <v>68</v>
      </c>
      <c r="CN44" s="2" t="s">
        <v>69</v>
      </c>
    </row>
    <row r="45" spans="1:92">
      <c r="A45" s="3" t="s">
        <v>76</v>
      </c>
      <c r="B45" s="3" t="s">
        <v>103</v>
      </c>
      <c r="C45" s="3" t="s">
        <v>78</v>
      </c>
      <c r="D45" s="3" t="s">
        <v>79</v>
      </c>
      <c r="E45" s="3">
        <v>5</v>
      </c>
      <c r="F45" s="3">
        <v>1.0045863424817001</v>
      </c>
      <c r="G45" s="3">
        <v>2.2588713996153036</v>
      </c>
      <c r="H45" s="3">
        <f t="shared" si="0"/>
        <v>4.5758572600091522E-3</v>
      </c>
      <c r="I45" s="3">
        <f t="shared" si="1"/>
        <v>0.81486530785093148</v>
      </c>
      <c r="L45">
        <v>2.2588713996153036</v>
      </c>
      <c r="M45">
        <f t="shared" si="2"/>
        <v>0.81486530785093148</v>
      </c>
      <c r="Y45">
        <f t="shared" si="3"/>
        <v>2.2588713996153036</v>
      </c>
      <c r="CH45" s="1"/>
      <c r="CI45" s="2">
        <f>STDEV(H117:H135)</f>
        <v>1.2635400999702347E-2</v>
      </c>
      <c r="CJ45" s="2">
        <f>STDEV(I117:I135)</f>
        <v>2.5608995992908289E-2</v>
      </c>
      <c r="CK45" s="2">
        <f>CJ45/CI45</f>
        <v>2.026765592442342</v>
      </c>
      <c r="CL45" s="2">
        <f>AVERAGE(F117:F135)</f>
        <v>0.89427557061101293</v>
      </c>
      <c r="CM45" s="2">
        <f>AVERAGE(G117:G135)</f>
        <v>2.3201503410222646</v>
      </c>
      <c r="CN45" s="2">
        <f>CM45/(CL45^CK45)</f>
        <v>2.9098613138277889</v>
      </c>
    </row>
    <row r="46" spans="1:92">
      <c r="A46" s="3" t="s">
        <v>76</v>
      </c>
      <c r="B46" s="3" t="s">
        <v>103</v>
      </c>
      <c r="C46" s="3" t="s">
        <v>78</v>
      </c>
      <c r="D46" s="3" t="s">
        <v>79</v>
      </c>
      <c r="E46" s="3">
        <v>6</v>
      </c>
      <c r="F46" s="3">
        <v>1.03302901088943</v>
      </c>
      <c r="G46" s="3">
        <v>2.291244203484212</v>
      </c>
      <c r="H46" s="3">
        <f t="shared" si="0"/>
        <v>3.2495273856828766E-2</v>
      </c>
      <c r="I46" s="3">
        <f t="shared" si="1"/>
        <v>0.82909499031989764</v>
      </c>
      <c r="L46">
        <v>2.291244203484212</v>
      </c>
      <c r="M46">
        <f t="shared" si="2"/>
        <v>0.82909499031989764</v>
      </c>
      <c r="Y46">
        <f t="shared" si="3"/>
        <v>2.291244203484212</v>
      </c>
      <c r="CH46" s="1"/>
    </row>
    <row r="47" spans="1:92">
      <c r="A47" s="3" t="s">
        <v>76</v>
      </c>
      <c r="B47" s="3" t="s">
        <v>103</v>
      </c>
      <c r="C47" s="3" t="s">
        <v>78</v>
      </c>
      <c r="D47" s="3" t="s">
        <v>79</v>
      </c>
      <c r="E47" s="3">
        <v>7</v>
      </c>
      <c r="F47" s="3">
        <v>1.00313020514667</v>
      </c>
      <c r="G47" s="3">
        <v>2.2961271741782947</v>
      </c>
      <c r="H47" s="3">
        <f t="shared" si="0"/>
        <v>3.1253162540409406E-3</v>
      </c>
      <c r="I47" s="3">
        <f t="shared" si="1"/>
        <v>0.83122386637385781</v>
      </c>
      <c r="L47">
        <v>2.2961271741782947</v>
      </c>
      <c r="M47">
        <f t="shared" si="2"/>
        <v>0.83122386637385781</v>
      </c>
      <c r="Y47">
        <f t="shared" si="3"/>
        <v>2.2961271741782947</v>
      </c>
      <c r="CG47" t="s">
        <v>93</v>
      </c>
      <c r="CH47" s="1" t="s">
        <v>44</v>
      </c>
      <c r="CI47" s="2" t="s">
        <v>64</v>
      </c>
      <c r="CJ47" s="2" t="s">
        <v>65</v>
      </c>
      <c r="CK47" s="2" t="s">
        <v>66</v>
      </c>
      <c r="CL47" s="2" t="s">
        <v>67</v>
      </c>
      <c r="CM47" s="2" t="s">
        <v>68</v>
      </c>
      <c r="CN47" s="2" t="s">
        <v>69</v>
      </c>
    </row>
    <row r="48" spans="1:92">
      <c r="A48" s="3" t="s">
        <v>76</v>
      </c>
      <c r="B48" s="3" t="s">
        <v>103</v>
      </c>
      <c r="C48" s="3" t="s">
        <v>78</v>
      </c>
      <c r="D48" s="3" t="s">
        <v>79</v>
      </c>
      <c r="E48" s="3">
        <v>8</v>
      </c>
      <c r="F48" s="3">
        <v>1.02637726722414</v>
      </c>
      <c r="G48" s="3">
        <v>2.2777181564012703</v>
      </c>
      <c r="H48" s="3">
        <f t="shared" si="0"/>
        <v>2.6035386007123587E-2</v>
      </c>
      <c r="I48" s="3">
        <f t="shared" si="1"/>
        <v>0.82317413322709887</v>
      </c>
      <c r="L48">
        <v>2.2777181564012703</v>
      </c>
      <c r="M48">
        <f t="shared" si="2"/>
        <v>0.82317413322709887</v>
      </c>
      <c r="Y48">
        <f t="shared" si="3"/>
        <v>2.2777181564012703</v>
      </c>
      <c r="CH48" s="1"/>
      <c r="CI48" s="2">
        <f>STDEV(H136:H159)</f>
        <v>2.4648938949011934E-2</v>
      </c>
      <c r="CJ48" s="2">
        <f>STDEV(I136:I159)</f>
        <v>2.2022349288172899E-2</v>
      </c>
      <c r="CK48" s="2">
        <f>CJ48/CI48</f>
        <v>0.89344005166825557</v>
      </c>
      <c r="CL48" s="2">
        <f>AVERAGE(F136:F159)</f>
        <v>0.90044467180415533</v>
      </c>
      <c r="CM48" s="2">
        <f>AVERAGE(G136:G159)</f>
        <v>2.2879970015887277</v>
      </c>
      <c r="CN48" s="2">
        <f>CM48/(CL48^CK48)</f>
        <v>2.51272732253718</v>
      </c>
    </row>
    <row r="49" spans="1:92">
      <c r="A49" s="3" t="s">
        <v>76</v>
      </c>
      <c r="B49" s="3" t="s">
        <v>103</v>
      </c>
      <c r="C49" s="3" t="s">
        <v>78</v>
      </c>
      <c r="D49" s="3" t="s">
        <v>79</v>
      </c>
      <c r="E49" s="3">
        <v>9</v>
      </c>
      <c r="F49" s="3">
        <v>1.03522790173993</v>
      </c>
      <c r="G49" s="3">
        <v>2.2503777460684242</v>
      </c>
      <c r="H49" s="3">
        <f t="shared" si="0"/>
        <v>3.4621597395796393E-2</v>
      </c>
      <c r="I49" s="3">
        <f t="shared" si="1"/>
        <v>0.81109808926638161</v>
      </c>
      <c r="L49">
        <v>2.2503777460684242</v>
      </c>
      <c r="M49">
        <f t="shared" si="2"/>
        <v>0.81109808926638161</v>
      </c>
      <c r="Y49">
        <f t="shared" si="3"/>
        <v>2.2503777460684242</v>
      </c>
      <c r="CH49" s="1"/>
    </row>
    <row r="50" spans="1:92">
      <c r="A50" s="3" t="s">
        <v>76</v>
      </c>
      <c r="B50" s="3" t="s">
        <v>103</v>
      </c>
      <c r="C50" s="3" t="s">
        <v>78</v>
      </c>
      <c r="D50" s="3" t="s">
        <v>79</v>
      </c>
      <c r="E50" s="3">
        <v>10</v>
      </c>
      <c r="F50" s="3">
        <v>1.02649736087485</v>
      </c>
      <c r="G50" s="3">
        <v>2.3505318547086316</v>
      </c>
      <c r="H50" s="3">
        <f t="shared" si="0"/>
        <v>2.6152386479732264E-2</v>
      </c>
      <c r="I50" s="3">
        <f t="shared" si="1"/>
        <v>0.85464162370190822</v>
      </c>
      <c r="L50">
        <v>2.3505318547086316</v>
      </c>
      <c r="M50">
        <f t="shared" si="2"/>
        <v>0.85464162370190822</v>
      </c>
      <c r="Y50">
        <f t="shared" si="3"/>
        <v>2.3505318547086316</v>
      </c>
      <c r="CG50" t="s">
        <v>94</v>
      </c>
      <c r="CH50" s="1" t="s">
        <v>45</v>
      </c>
      <c r="CI50" s="2" t="s">
        <v>64</v>
      </c>
      <c r="CJ50" s="2" t="s">
        <v>65</v>
      </c>
      <c r="CK50" s="2" t="s">
        <v>66</v>
      </c>
      <c r="CL50" s="2" t="s">
        <v>67</v>
      </c>
      <c r="CM50" s="2" t="s">
        <v>68</v>
      </c>
      <c r="CN50" s="2" t="s">
        <v>69</v>
      </c>
    </row>
    <row r="51" spans="1:92">
      <c r="A51" s="3" t="s">
        <v>76</v>
      </c>
      <c r="B51" s="3" t="s">
        <v>103</v>
      </c>
      <c r="C51" s="3" t="s">
        <v>78</v>
      </c>
      <c r="D51" s="3" t="s">
        <v>79</v>
      </c>
      <c r="E51" s="3">
        <v>11</v>
      </c>
      <c r="F51" s="3">
        <v>1.05853825870868</v>
      </c>
      <c r="G51" s="3">
        <v>2.26101747007846</v>
      </c>
      <c r="H51" s="3">
        <f t="shared" si="0"/>
        <v>5.6888955208541078E-2</v>
      </c>
      <c r="I51" s="3">
        <f t="shared" si="1"/>
        <v>0.81581491997029865</v>
      </c>
      <c r="L51">
        <v>2.26101747007846</v>
      </c>
      <c r="M51">
        <f t="shared" si="2"/>
        <v>0.81581491997029865</v>
      </c>
      <c r="Y51">
        <f t="shared" si="3"/>
        <v>2.26101747007846</v>
      </c>
      <c r="CH51" s="1"/>
      <c r="CI51" s="2">
        <f>STDEV(H316:H334)</f>
        <v>1.7926177941889124E-2</v>
      </c>
      <c r="CJ51" s="2">
        <f>STDEV(I316:I334)</f>
        <v>1.964693189492794E-2</v>
      </c>
      <c r="CK51" s="2">
        <f>CJ51/CI51</f>
        <v>1.0959911230724666</v>
      </c>
      <c r="CL51" s="2">
        <f>AVERAGE(F316:F334)</f>
        <v>0.91434579790214698</v>
      </c>
      <c r="CM51" s="2">
        <f>AVERAGE(G316:G334)</f>
        <v>2.4444833366033412</v>
      </c>
      <c r="CN51" s="2">
        <f>CM51/(CL51^CK51)</f>
        <v>2.6965573246586563</v>
      </c>
    </row>
    <row r="52" spans="1:92">
      <c r="A52" s="3" t="s">
        <v>76</v>
      </c>
      <c r="B52" s="3" t="s">
        <v>103</v>
      </c>
      <c r="C52" s="3" t="s">
        <v>78</v>
      </c>
      <c r="D52" s="3" t="s">
        <v>79</v>
      </c>
      <c r="E52" s="3">
        <v>12</v>
      </c>
      <c r="F52" s="3">
        <v>1.0423508296844901</v>
      </c>
      <c r="G52" s="3">
        <v>2.2988910370002316</v>
      </c>
      <c r="H52" s="3">
        <f t="shared" si="0"/>
        <v>4.1478575420943145E-2</v>
      </c>
      <c r="I52" s="3">
        <f t="shared" si="1"/>
        <v>0.83242684883365625</v>
      </c>
      <c r="L52">
        <v>2.2988910370002316</v>
      </c>
      <c r="M52">
        <f t="shared" si="2"/>
        <v>0.83242684883365625</v>
      </c>
      <c r="Y52">
        <f t="shared" si="3"/>
        <v>2.2988910370002316</v>
      </c>
      <c r="CH52" s="1"/>
    </row>
    <row r="53" spans="1:92">
      <c r="A53" s="3" t="s">
        <v>76</v>
      </c>
      <c r="B53" s="3" t="s">
        <v>103</v>
      </c>
      <c r="C53" s="3" t="s">
        <v>78</v>
      </c>
      <c r="D53" s="3" t="s">
        <v>79</v>
      </c>
      <c r="E53" s="3">
        <v>13</v>
      </c>
      <c r="F53" s="3">
        <v>1.01745635728413</v>
      </c>
      <c r="G53" s="3">
        <v>2.2689424849475577</v>
      </c>
      <c r="H53" s="3">
        <f t="shared" si="0"/>
        <v>1.730574531067124E-2</v>
      </c>
      <c r="I53" s="3">
        <f t="shared" si="1"/>
        <v>0.81931385728232076</v>
      </c>
      <c r="L53">
        <v>2.2689424849475577</v>
      </c>
      <c r="M53">
        <f t="shared" si="2"/>
        <v>0.81931385728232076</v>
      </c>
      <c r="Y53">
        <f t="shared" si="3"/>
        <v>2.2689424849475577</v>
      </c>
      <c r="CG53" t="s">
        <v>95</v>
      </c>
      <c r="CH53" s="1" t="s">
        <v>46</v>
      </c>
      <c r="CI53" s="2" t="s">
        <v>64</v>
      </c>
      <c r="CJ53" s="2" t="s">
        <v>65</v>
      </c>
      <c r="CK53" s="2" t="s">
        <v>66</v>
      </c>
      <c r="CL53" s="2" t="s">
        <v>67</v>
      </c>
      <c r="CM53" s="2" t="s">
        <v>68</v>
      </c>
      <c r="CN53" s="2" t="s">
        <v>69</v>
      </c>
    </row>
    <row r="54" spans="1:92">
      <c r="A54" s="3" t="s">
        <v>76</v>
      </c>
      <c r="B54" s="3" t="s">
        <v>103</v>
      </c>
      <c r="C54" s="3" t="s">
        <v>78</v>
      </c>
      <c r="D54" s="3" t="s">
        <v>79</v>
      </c>
      <c r="E54" s="3">
        <v>14</v>
      </c>
      <c r="F54" s="3">
        <v>1.0372091688314</v>
      </c>
      <c r="G54" s="3">
        <v>2.2586943130932968</v>
      </c>
      <c r="H54" s="3">
        <f t="shared" si="0"/>
        <v>3.6533614627295229E-2</v>
      </c>
      <c r="I54" s="3">
        <f t="shared" si="1"/>
        <v>0.81478690876020021</v>
      </c>
      <c r="L54">
        <v>2.2586943130932968</v>
      </c>
      <c r="M54">
        <f t="shared" si="2"/>
        <v>0.81478690876020021</v>
      </c>
      <c r="Y54">
        <f t="shared" si="3"/>
        <v>2.2586943130932968</v>
      </c>
      <c r="CH54" s="1"/>
      <c r="CI54" s="2">
        <f>STDEV(H335:H355)</f>
        <v>1.76038982775964E-2</v>
      </c>
      <c r="CJ54" s="2">
        <f>STDEV(I335:I355)</f>
        <v>1.929666808517113E-2</v>
      </c>
      <c r="CK54" s="2">
        <f>CJ54/CI54</f>
        <v>1.0961588041967405</v>
      </c>
      <c r="CL54" s="2">
        <f>AVERAGE(F335:F355)</f>
        <v>0.90408497007627597</v>
      </c>
      <c r="CM54" s="2">
        <f>AVERAGE(G335:G355)</f>
        <v>2.4322303714516629</v>
      </c>
      <c r="CN54" s="2">
        <f>CM54/(CL54^CK54)</f>
        <v>2.7164788250818557</v>
      </c>
    </row>
    <row r="55" spans="1:92">
      <c r="A55" s="3" t="s">
        <v>76</v>
      </c>
      <c r="B55" s="3" t="s">
        <v>103</v>
      </c>
      <c r="C55" s="3" t="s">
        <v>78</v>
      </c>
      <c r="D55" s="3" t="s">
        <v>79</v>
      </c>
      <c r="E55" s="3">
        <v>15</v>
      </c>
      <c r="F55" s="3">
        <v>1.0388693386391501</v>
      </c>
      <c r="G55" s="3">
        <v>2.2812277396174192</v>
      </c>
      <c r="H55" s="3">
        <f t="shared" si="0"/>
        <v>3.8132947365099056E-2</v>
      </c>
      <c r="I55" s="3">
        <f t="shared" si="1"/>
        <v>0.82471378032512943</v>
      </c>
      <c r="L55">
        <v>2.2812277396174192</v>
      </c>
      <c r="M55">
        <f t="shared" si="2"/>
        <v>0.82471378032512943</v>
      </c>
      <c r="Y55">
        <f t="shared" si="3"/>
        <v>2.2812277396174192</v>
      </c>
      <c r="CH55" s="1"/>
    </row>
    <row r="56" spans="1:92">
      <c r="A56" s="3" t="s">
        <v>76</v>
      </c>
      <c r="B56" s="3" t="s">
        <v>103</v>
      </c>
      <c r="C56" s="3" t="s">
        <v>78</v>
      </c>
      <c r="D56" s="3" t="s">
        <v>79</v>
      </c>
      <c r="E56" s="3">
        <v>16</v>
      </c>
      <c r="F56" s="3">
        <v>1.03869278685884</v>
      </c>
      <c r="G56" s="3">
        <v>2.3505318547086316</v>
      </c>
      <c r="H56" s="3">
        <f t="shared" si="0"/>
        <v>3.7962986834371014E-2</v>
      </c>
      <c r="I56" s="3">
        <f t="shared" si="1"/>
        <v>0.85464162370190822</v>
      </c>
      <c r="L56">
        <v>2.3505318547086316</v>
      </c>
      <c r="M56">
        <f t="shared" si="2"/>
        <v>0.85464162370190822</v>
      </c>
      <c r="Y56">
        <f t="shared" si="3"/>
        <v>2.3505318547086316</v>
      </c>
      <c r="CG56" t="s">
        <v>96</v>
      </c>
      <c r="CH56" s="1" t="s">
        <v>47</v>
      </c>
      <c r="CI56" s="2" t="s">
        <v>64</v>
      </c>
      <c r="CJ56" s="2" t="s">
        <v>65</v>
      </c>
      <c r="CK56" s="2" t="s">
        <v>66</v>
      </c>
      <c r="CL56" s="2" t="s">
        <v>67</v>
      </c>
      <c r="CM56" s="2" t="s">
        <v>68</v>
      </c>
      <c r="CN56" s="2" t="s">
        <v>69</v>
      </c>
    </row>
    <row r="57" spans="1:92">
      <c r="A57" s="3" t="s">
        <v>76</v>
      </c>
      <c r="B57" s="3" t="s">
        <v>103</v>
      </c>
      <c r="C57" s="3" t="s">
        <v>78</v>
      </c>
      <c r="D57" s="3" t="s">
        <v>79</v>
      </c>
      <c r="E57" s="3">
        <v>17</v>
      </c>
      <c r="F57" s="3">
        <v>1.03435427190063</v>
      </c>
      <c r="G57" s="3">
        <v>2.1883326986543885</v>
      </c>
      <c r="H57" s="3">
        <f t="shared" si="0"/>
        <v>3.3777340132355997E-2</v>
      </c>
      <c r="I57" s="3">
        <f t="shared" si="1"/>
        <v>0.78313992905814855</v>
      </c>
      <c r="L57">
        <v>2.1883326986543885</v>
      </c>
      <c r="M57">
        <f t="shared" si="2"/>
        <v>0.78313992905814855</v>
      </c>
      <c r="Y57">
        <f t="shared" si="3"/>
        <v>2.1883326986543885</v>
      </c>
      <c r="CH57" s="1"/>
      <c r="CI57" s="2">
        <f>STDEV(H515:H533)</f>
        <v>1.6053747817931542E-2</v>
      </c>
      <c r="CJ57" s="2">
        <f>STDEV(I515:I533)</f>
        <v>2.0780314338757207E-2</v>
      </c>
      <c r="CK57" s="2">
        <f>CJ57/CI57</f>
        <v>1.2944213758949319</v>
      </c>
      <c r="CL57" s="2">
        <f>AVERAGE(F515:F533)</f>
        <v>0.92147381424509056</v>
      </c>
      <c r="CM57" s="2">
        <f>AVERAGE(G515:G533)</f>
        <v>2.5677899150726606</v>
      </c>
      <c r="CN57" s="2">
        <f>CM57/(CL57^CK57)</f>
        <v>2.8545223982666017</v>
      </c>
    </row>
    <row r="58" spans="1:92">
      <c r="A58" s="3" t="s">
        <v>76</v>
      </c>
      <c r="B58" s="3" t="s">
        <v>103</v>
      </c>
      <c r="C58" s="3" t="s">
        <v>78</v>
      </c>
      <c r="D58" s="3" t="s">
        <v>79</v>
      </c>
      <c r="E58" s="3">
        <v>18</v>
      </c>
      <c r="F58" s="3">
        <v>1.0676154343714499</v>
      </c>
      <c r="G58" s="3">
        <v>2.3078344827998389</v>
      </c>
      <c r="H58" s="3">
        <f t="shared" si="0"/>
        <v>6.5427595517024692E-2</v>
      </c>
      <c r="I58" s="3">
        <f t="shared" si="1"/>
        <v>0.83630963151611259</v>
      </c>
      <c r="L58">
        <v>2.3078344827998389</v>
      </c>
      <c r="M58">
        <f t="shared" si="2"/>
        <v>0.83630963151611259</v>
      </c>
      <c r="Y58">
        <f t="shared" si="3"/>
        <v>2.3078344827998389</v>
      </c>
      <c r="CH58" s="1"/>
    </row>
    <row r="59" spans="1:92">
      <c r="A59" s="3" t="s">
        <v>76</v>
      </c>
      <c r="B59" s="3" t="s">
        <v>103</v>
      </c>
      <c r="C59" s="3" t="s">
        <v>78</v>
      </c>
      <c r="D59" s="3" t="s">
        <v>79</v>
      </c>
      <c r="E59" s="3">
        <v>20</v>
      </c>
      <c r="F59" s="3">
        <v>1.0278459032140099</v>
      </c>
      <c r="G59" s="3">
        <v>2.2398660674245678</v>
      </c>
      <c r="H59" s="3">
        <f t="shared" si="0"/>
        <v>2.7465256199639257E-2</v>
      </c>
      <c r="I59" s="3">
        <f t="shared" si="1"/>
        <v>0.80641607275105787</v>
      </c>
      <c r="L59">
        <v>2.2398660674245678</v>
      </c>
      <c r="M59">
        <f t="shared" si="2"/>
        <v>0.80641607275105787</v>
      </c>
      <c r="Y59">
        <f t="shared" si="3"/>
        <v>2.2398660674245678</v>
      </c>
      <c r="CG59" t="s">
        <v>97</v>
      </c>
      <c r="CH59" s="1" t="s">
        <v>48</v>
      </c>
      <c r="CI59" s="2" t="s">
        <v>64</v>
      </c>
      <c r="CJ59" s="2" t="s">
        <v>65</v>
      </c>
      <c r="CK59" s="2" t="s">
        <v>66</v>
      </c>
      <c r="CL59" s="2" t="s">
        <v>67</v>
      </c>
      <c r="CM59" s="2" t="s">
        <v>68</v>
      </c>
      <c r="CN59" s="2" t="s">
        <v>69</v>
      </c>
    </row>
    <row r="60" spans="1:92">
      <c r="A60" s="3" t="s">
        <v>76</v>
      </c>
      <c r="B60" s="3" t="s">
        <v>103</v>
      </c>
      <c r="C60" s="3" t="s">
        <v>78</v>
      </c>
      <c r="D60" s="3" t="s">
        <v>75</v>
      </c>
      <c r="E60" s="3">
        <v>1</v>
      </c>
      <c r="F60" s="3">
        <v>1.0527352043961899</v>
      </c>
      <c r="G60" s="3">
        <v>2.2786399452304877</v>
      </c>
      <c r="H60" s="3">
        <f t="shared" si="0"/>
        <v>5.1391733718621047E-2</v>
      </c>
      <c r="I60" s="3">
        <f t="shared" si="1"/>
        <v>0.82357874973055722</v>
      </c>
      <c r="L60">
        <v>2.2786399452304877</v>
      </c>
      <c r="M60">
        <f t="shared" si="2"/>
        <v>0.82357874973055722</v>
      </c>
      <c r="Y60">
        <f t="shared" si="3"/>
        <v>2.2786399452304877</v>
      </c>
      <c r="CH60" s="1"/>
      <c r="CI60" s="2">
        <f>STDEV(H534:H555)</f>
        <v>2.1260879163482859E-2</v>
      </c>
      <c r="CJ60" s="2">
        <f>STDEV(I534:I555)</f>
        <v>2.0912907025828542E-2</v>
      </c>
      <c r="CK60" s="2">
        <f>CJ60/CI60</f>
        <v>0.98363321972818585</v>
      </c>
      <c r="CL60" s="2">
        <f>AVERAGE(F534:F555)</f>
        <v>0.92477270093823194</v>
      </c>
      <c r="CM60" s="2">
        <f>AVERAGE(G534:G555)</f>
        <v>2.5385662725102951</v>
      </c>
      <c r="CN60" s="2">
        <f>CM60/(CL60^CK60)</f>
        <v>2.7415590658149647</v>
      </c>
    </row>
    <row r="61" spans="1:92">
      <c r="A61" s="3" t="s">
        <v>76</v>
      </c>
      <c r="B61" s="3" t="s">
        <v>103</v>
      </c>
      <c r="C61" s="3" t="s">
        <v>78</v>
      </c>
      <c r="D61" s="3" t="s">
        <v>75</v>
      </c>
      <c r="E61" s="3">
        <v>2</v>
      </c>
      <c r="F61" s="3">
        <v>1.0653926411802399</v>
      </c>
      <c r="G61" s="3">
        <v>2.1954498400100149</v>
      </c>
      <c r="H61" s="3">
        <f t="shared" si="0"/>
        <v>6.334340838120639E-2</v>
      </c>
      <c r="I61" s="3">
        <f t="shared" si="1"/>
        <v>0.78638696403125441</v>
      </c>
      <c r="L61">
        <v>2.1954498400100149</v>
      </c>
      <c r="M61">
        <f t="shared" si="2"/>
        <v>0.78638696403125441</v>
      </c>
      <c r="Y61">
        <f t="shared" si="3"/>
        <v>2.1954498400100149</v>
      </c>
      <c r="CH61" s="1"/>
    </row>
    <row r="62" spans="1:92">
      <c r="A62" s="3" t="s">
        <v>76</v>
      </c>
      <c r="B62" s="3" t="s">
        <v>103</v>
      </c>
      <c r="C62" s="3" t="s">
        <v>78</v>
      </c>
      <c r="D62" s="3" t="s">
        <v>75</v>
      </c>
      <c r="E62" s="3">
        <v>3</v>
      </c>
      <c r="F62" s="3">
        <v>1.0469129242311199</v>
      </c>
      <c r="G62" s="3">
        <v>2.2297085011274458</v>
      </c>
      <c r="H62" s="3">
        <f t="shared" si="0"/>
        <v>4.5845761506362791E-2</v>
      </c>
      <c r="I62" s="3">
        <f t="shared" si="1"/>
        <v>0.80187085994460983</v>
      </c>
      <c r="L62">
        <v>2.2297085011274458</v>
      </c>
      <c r="M62">
        <f t="shared" si="2"/>
        <v>0.80187085994460983</v>
      </c>
      <c r="Y62">
        <f t="shared" si="3"/>
        <v>2.2297085011274458</v>
      </c>
      <c r="CG62" t="s">
        <v>98</v>
      </c>
      <c r="CH62" s="1" t="s">
        <v>49</v>
      </c>
      <c r="CI62" s="2" t="s">
        <v>64</v>
      </c>
      <c r="CJ62" s="2" t="s">
        <v>65</v>
      </c>
      <c r="CK62" s="2" t="s">
        <v>66</v>
      </c>
      <c r="CL62" s="2" t="s">
        <v>67</v>
      </c>
      <c r="CM62" s="2" t="s">
        <v>68</v>
      </c>
      <c r="CN62" s="2" t="s">
        <v>69</v>
      </c>
    </row>
    <row r="63" spans="1:92">
      <c r="A63" s="3" t="s">
        <v>76</v>
      </c>
      <c r="B63" s="3" t="s">
        <v>103</v>
      </c>
      <c r="C63" s="3" t="s">
        <v>78</v>
      </c>
      <c r="D63" s="3" t="s">
        <v>75</v>
      </c>
      <c r="E63" s="3">
        <v>4</v>
      </c>
      <c r="F63" s="3">
        <v>1.00851316629913</v>
      </c>
      <c r="G63" s="3">
        <v>2.1827734651126764</v>
      </c>
      <c r="H63" s="3">
        <f t="shared" si="0"/>
        <v>8.4771336557442657E-3</v>
      </c>
      <c r="I63" s="3">
        <f t="shared" si="1"/>
        <v>0.78059629990305301</v>
      </c>
      <c r="L63">
        <v>2.1827734651126764</v>
      </c>
      <c r="M63">
        <f t="shared" si="2"/>
        <v>0.78059629990305301</v>
      </c>
      <c r="Y63">
        <f t="shared" si="3"/>
        <v>2.1827734651126764</v>
      </c>
      <c r="CH63" s="1"/>
      <c r="CI63" s="2">
        <f>STDEV(H160:H178)</f>
        <v>2.1044987198797244E-2</v>
      </c>
      <c r="CJ63" s="2">
        <f>STDEV(I160:I178)</f>
        <v>2.6860860932262684E-2</v>
      </c>
      <c r="CK63" s="2">
        <f>CJ63/CI63</f>
        <v>1.276354348830292</v>
      </c>
      <c r="CL63" s="2">
        <f>AVERAGE(F160:F178)</f>
        <v>0.88007424395447398</v>
      </c>
      <c r="CM63" s="2">
        <f>AVERAGE(G160:G178)</f>
        <v>2.2361235787025984</v>
      </c>
      <c r="CN63" s="2">
        <f>CM63/(CL63^CK63)</f>
        <v>2.6321389959670589</v>
      </c>
    </row>
    <row r="64" spans="1:92">
      <c r="A64" s="3" t="s">
        <v>76</v>
      </c>
      <c r="B64" s="3" t="s">
        <v>103</v>
      </c>
      <c r="C64" s="3" t="s">
        <v>78</v>
      </c>
      <c r="D64" s="3" t="s">
        <v>75</v>
      </c>
      <c r="E64" s="3">
        <v>5</v>
      </c>
      <c r="F64" s="3">
        <v>1.05498890762902</v>
      </c>
      <c r="G64" s="3">
        <v>2.2005681084665389</v>
      </c>
      <c r="H64" s="3">
        <f t="shared" si="0"/>
        <v>5.3530252777040668E-2</v>
      </c>
      <c r="I64" s="3">
        <f t="shared" si="1"/>
        <v>0.78871555814950711</v>
      </c>
      <c r="L64">
        <v>2.2005681084665389</v>
      </c>
      <c r="M64">
        <f t="shared" si="2"/>
        <v>0.78871555814950711</v>
      </c>
      <c r="Y64">
        <f t="shared" si="3"/>
        <v>2.2005681084665389</v>
      </c>
      <c r="CH64" s="1"/>
    </row>
    <row r="65" spans="1:92">
      <c r="A65" s="3" t="s">
        <v>76</v>
      </c>
      <c r="B65" s="3" t="s">
        <v>103</v>
      </c>
      <c r="C65" s="3" t="s">
        <v>78</v>
      </c>
      <c r="D65" s="3" t="s">
        <v>75</v>
      </c>
      <c r="E65" s="3">
        <v>6</v>
      </c>
      <c r="F65" s="3">
        <v>1.0124956581378599</v>
      </c>
      <c r="G65" s="3">
        <v>2.2252415599210797</v>
      </c>
      <c r="H65" s="3">
        <f t="shared" si="0"/>
        <v>1.2418231730458753E-2</v>
      </c>
      <c r="I65" s="3">
        <f t="shared" si="1"/>
        <v>0.7998654759819791</v>
      </c>
      <c r="L65">
        <v>2.2252415599210797</v>
      </c>
      <c r="M65">
        <f t="shared" si="2"/>
        <v>0.7998654759819791</v>
      </c>
      <c r="Y65">
        <f t="shared" si="3"/>
        <v>2.2252415599210797</v>
      </c>
      <c r="CG65" t="s">
        <v>99</v>
      </c>
      <c r="CH65" s="1" t="s">
        <v>50</v>
      </c>
      <c r="CI65" s="2" t="s">
        <v>64</v>
      </c>
      <c r="CJ65" s="2" t="s">
        <v>65</v>
      </c>
      <c r="CK65" s="2" t="s">
        <v>66</v>
      </c>
      <c r="CL65" s="2" t="s">
        <v>67</v>
      </c>
      <c r="CM65" s="2" t="s">
        <v>68</v>
      </c>
      <c r="CN65" s="2" t="s">
        <v>69</v>
      </c>
    </row>
    <row r="66" spans="1:92">
      <c r="A66" s="3" t="s">
        <v>76</v>
      </c>
      <c r="B66" s="3" t="s">
        <v>103</v>
      </c>
      <c r="C66" s="3" t="s">
        <v>78</v>
      </c>
      <c r="D66" s="3" t="s">
        <v>75</v>
      </c>
      <c r="E66" s="3">
        <v>7</v>
      </c>
      <c r="F66" s="3">
        <v>1.03564826685362</v>
      </c>
      <c r="G66" s="3">
        <v>2.2655021518418383</v>
      </c>
      <c r="H66" s="3">
        <f t="shared" ref="H66:H129" si="4">LN(F66)</f>
        <v>3.5027575431411315E-2</v>
      </c>
      <c r="I66" s="3">
        <f t="shared" ref="I66:I129" si="5">LN(G66)</f>
        <v>0.81779643495547583</v>
      </c>
      <c r="L66">
        <v>2.2655021518418383</v>
      </c>
      <c r="M66">
        <f t="shared" si="2"/>
        <v>0.81779643495547583</v>
      </c>
      <c r="Y66">
        <f t="shared" si="3"/>
        <v>2.2655021518418383</v>
      </c>
      <c r="CH66" s="1"/>
      <c r="CI66" s="2">
        <f>STDEV(H179:H197)</f>
        <v>1.7183197076357289E-2</v>
      </c>
      <c r="CJ66" s="2">
        <f>STDEV(I179:I197)</f>
        <v>2.0118750562220448E-2</v>
      </c>
      <c r="CK66" s="2">
        <f>CJ66/CI66</f>
        <v>1.17083860895143</v>
      </c>
      <c r="CL66" s="2">
        <f>AVERAGE(F179:F197)</f>
        <v>0.87683680293142863</v>
      </c>
      <c r="CM66" s="2">
        <f>AVERAGE(G179:G197)</f>
        <v>2.221309820248389</v>
      </c>
      <c r="CN66" s="2">
        <f>CM66/(CL66^CK66)</f>
        <v>2.5908486569478901</v>
      </c>
    </row>
    <row r="67" spans="1:92">
      <c r="A67" s="3" t="s">
        <v>76</v>
      </c>
      <c r="B67" s="3" t="s">
        <v>103</v>
      </c>
      <c r="C67" s="3" t="s">
        <v>78</v>
      </c>
      <c r="D67" s="3" t="s">
        <v>75</v>
      </c>
      <c r="E67" s="3">
        <v>8</v>
      </c>
      <c r="F67" s="3">
        <v>1.0311231303049</v>
      </c>
      <c r="G67" s="3">
        <v>2.2214634815814551</v>
      </c>
      <c r="H67" s="3">
        <f t="shared" si="4"/>
        <v>3.0648625939653246E-2</v>
      </c>
      <c r="I67" s="3">
        <f t="shared" si="5"/>
        <v>0.79816620462781007</v>
      </c>
      <c r="L67">
        <v>2.2214634815814551</v>
      </c>
      <c r="M67">
        <f t="shared" ref="M67:M80" si="6">LN(L67)</f>
        <v>0.79816620462781007</v>
      </c>
      <c r="Y67">
        <f t="shared" ref="Y67:Y80" si="7">G67</f>
        <v>2.2214634815814551</v>
      </c>
      <c r="CH67" s="1"/>
    </row>
    <row r="68" spans="1:92">
      <c r="A68" s="3" t="s">
        <v>76</v>
      </c>
      <c r="B68" s="3" t="s">
        <v>103</v>
      </c>
      <c r="C68" s="3" t="s">
        <v>78</v>
      </c>
      <c r="D68" s="3" t="s">
        <v>75</v>
      </c>
      <c r="E68" s="3">
        <v>9</v>
      </c>
      <c r="F68" s="3">
        <v>1.03770850429763</v>
      </c>
      <c r="G68" s="3">
        <v>2.2500222221124839</v>
      </c>
      <c r="H68" s="3">
        <f t="shared" si="4"/>
        <v>3.7014920929069044E-2</v>
      </c>
      <c r="I68" s="3">
        <f t="shared" si="5"/>
        <v>0.81094009266199385</v>
      </c>
      <c r="L68">
        <v>2.2500222221124839</v>
      </c>
      <c r="M68">
        <f t="shared" si="6"/>
        <v>0.81094009266199385</v>
      </c>
      <c r="Y68">
        <f t="shared" si="7"/>
        <v>2.2500222221124839</v>
      </c>
      <c r="CG68" t="s">
        <v>100</v>
      </c>
      <c r="CH68" s="1" t="s">
        <v>51</v>
      </c>
      <c r="CI68" s="2" t="s">
        <v>64</v>
      </c>
      <c r="CJ68" s="2" t="s">
        <v>65</v>
      </c>
      <c r="CK68" s="2" t="s">
        <v>66</v>
      </c>
      <c r="CL68" s="2" t="s">
        <v>67</v>
      </c>
      <c r="CM68" s="2" t="s">
        <v>68</v>
      </c>
      <c r="CN68" s="2" t="s">
        <v>69</v>
      </c>
    </row>
    <row r="69" spans="1:92">
      <c r="A69" s="3" t="s">
        <v>76</v>
      </c>
      <c r="B69" s="3" t="s">
        <v>103</v>
      </c>
      <c r="C69" s="3" t="s">
        <v>78</v>
      </c>
      <c r="D69" s="3" t="s">
        <v>75</v>
      </c>
      <c r="E69" s="3">
        <v>10</v>
      </c>
      <c r="F69" s="3">
        <v>1.0267227049776999</v>
      </c>
      <c r="G69" s="3">
        <v>2.2621449997734451</v>
      </c>
      <c r="H69" s="3">
        <f t="shared" si="4"/>
        <v>2.6371889598275116E-2</v>
      </c>
      <c r="I69" s="3">
        <f t="shared" si="5"/>
        <v>0.81631347810339927</v>
      </c>
      <c r="L69">
        <v>2.2621449997734451</v>
      </c>
      <c r="M69">
        <f t="shared" si="6"/>
        <v>0.81631347810339927</v>
      </c>
      <c r="Y69">
        <f t="shared" si="7"/>
        <v>2.2621449997734451</v>
      </c>
      <c r="CH69" s="1"/>
      <c r="CI69" s="2">
        <f>STDEV(H356:H375)</f>
        <v>2.3254890464720363E-2</v>
      </c>
      <c r="CJ69" s="2">
        <f>STDEV(I356:I375)</f>
        <v>2.7210017914951406E-2</v>
      </c>
      <c r="CK69" s="2">
        <f>CJ69/CI69</f>
        <v>1.1700772341297976</v>
      </c>
      <c r="CL69" s="2">
        <f>AVERAGE(F356:F375)</f>
        <v>0.90892975334243575</v>
      </c>
      <c r="CM69" s="2">
        <f>AVERAGE(G356:G375)</f>
        <v>2.4156981527349215</v>
      </c>
      <c r="CN69" s="2">
        <f>CM69/(CL69^CK69)</f>
        <v>2.7012538296812076</v>
      </c>
    </row>
    <row r="70" spans="1:92">
      <c r="A70" s="3" t="s">
        <v>76</v>
      </c>
      <c r="B70" s="3" t="s">
        <v>103</v>
      </c>
      <c r="C70" s="3" t="s">
        <v>78</v>
      </c>
      <c r="D70" s="3" t="s">
        <v>75</v>
      </c>
      <c r="E70" s="3">
        <v>11</v>
      </c>
      <c r="F70" s="3">
        <v>1.0181992387147101</v>
      </c>
      <c r="G70" s="3">
        <v>2.2723776094654689</v>
      </c>
      <c r="H70" s="3">
        <f t="shared" si="4"/>
        <v>1.8035614808260707E-2</v>
      </c>
      <c r="I70" s="3">
        <f t="shared" si="5"/>
        <v>0.82082668839822881</v>
      </c>
      <c r="L70">
        <v>2.2723776094654689</v>
      </c>
      <c r="M70">
        <f t="shared" si="6"/>
        <v>0.82082668839822881</v>
      </c>
      <c r="Y70">
        <f t="shared" si="7"/>
        <v>2.2723776094654689</v>
      </c>
      <c r="CH70" s="1"/>
    </row>
    <row r="71" spans="1:92">
      <c r="A71" s="3" t="s">
        <v>76</v>
      </c>
      <c r="B71" s="3" t="s">
        <v>103</v>
      </c>
      <c r="C71" s="3" t="s">
        <v>78</v>
      </c>
      <c r="D71" s="3" t="s">
        <v>75</v>
      </c>
      <c r="E71" s="3">
        <v>13</v>
      </c>
      <c r="F71" s="3">
        <v>1.01584750428043</v>
      </c>
      <c r="G71" s="3">
        <v>2.2107012462112556</v>
      </c>
      <c r="H71" s="3">
        <f t="shared" si="4"/>
        <v>1.5723243678851466E-2</v>
      </c>
      <c r="I71" s="3">
        <f t="shared" si="5"/>
        <v>0.79330977117670998</v>
      </c>
      <c r="L71">
        <v>2.2107012462112556</v>
      </c>
      <c r="M71">
        <f t="shared" si="6"/>
        <v>0.79330977117670998</v>
      </c>
      <c r="Y71">
        <f t="shared" si="7"/>
        <v>2.2107012462112556</v>
      </c>
      <c r="CG71" t="s">
        <v>101</v>
      </c>
      <c r="CH71" s="1" t="s">
        <v>52</v>
      </c>
      <c r="CI71" s="2" t="s">
        <v>64</v>
      </c>
      <c r="CJ71" s="2" t="s">
        <v>65</v>
      </c>
      <c r="CK71" s="2" t="s">
        <v>66</v>
      </c>
      <c r="CL71" s="2" t="s">
        <v>67</v>
      </c>
      <c r="CM71" s="2" t="s">
        <v>68</v>
      </c>
      <c r="CN71" s="2" t="s">
        <v>69</v>
      </c>
    </row>
    <row r="72" spans="1:92">
      <c r="A72" s="3" t="s">
        <v>76</v>
      </c>
      <c r="B72" s="3" t="s">
        <v>103</v>
      </c>
      <c r="C72" s="3" t="s">
        <v>78</v>
      </c>
      <c r="D72" s="3" t="s">
        <v>75</v>
      </c>
      <c r="E72" s="3">
        <v>14</v>
      </c>
      <c r="F72" s="3">
        <v>1.0124140574284599</v>
      </c>
      <c r="G72" s="3">
        <v>2.1774526401279091</v>
      </c>
      <c r="H72" s="3">
        <f t="shared" si="4"/>
        <v>1.2337634843775981E-2</v>
      </c>
      <c r="I72" s="3">
        <f t="shared" si="5"/>
        <v>0.77815567985376133</v>
      </c>
      <c r="L72">
        <v>2.1774526401279091</v>
      </c>
      <c r="M72">
        <f t="shared" si="6"/>
        <v>0.77815567985376133</v>
      </c>
      <c r="Y72">
        <f t="shared" si="7"/>
        <v>2.1774526401279091</v>
      </c>
      <c r="CH72" s="1"/>
      <c r="CI72" s="2">
        <f>STDEV(H376:H395)</f>
        <v>2.1341261897425304E-2</v>
      </c>
      <c r="CJ72" s="2">
        <f>STDEV(I376:I395)</f>
        <v>2.0773504307164858E-2</v>
      </c>
      <c r="CK72" s="2">
        <f>CJ72/CI72</f>
        <v>0.97339625027848309</v>
      </c>
      <c r="CL72" s="2">
        <f>AVERAGE(F376:F395)</f>
        <v>0.90544686795569329</v>
      </c>
      <c r="CM72" s="2">
        <f>AVERAGE(G376:G395)</f>
        <v>2.3524832488071667</v>
      </c>
      <c r="CN72" s="2">
        <f>CM72/(CL72^CK72)</f>
        <v>2.5912896602896818</v>
      </c>
    </row>
    <row r="73" spans="1:92">
      <c r="A73" s="3" t="s">
        <v>76</v>
      </c>
      <c r="B73" s="3" t="s">
        <v>103</v>
      </c>
      <c r="C73" s="3" t="s">
        <v>78</v>
      </c>
      <c r="D73" s="3" t="s">
        <v>75</v>
      </c>
      <c r="E73" s="3">
        <v>15</v>
      </c>
      <c r="F73" s="3">
        <v>0.98668639999981</v>
      </c>
      <c r="G73" s="3">
        <v>2.1832544515012446</v>
      </c>
      <c r="H73" s="3">
        <f t="shared" si="4"/>
        <v>-1.3403020532330579E-2</v>
      </c>
      <c r="I73" s="3">
        <f t="shared" si="5"/>
        <v>0.7808166312429804</v>
      </c>
      <c r="L73">
        <v>2.1832544515012446</v>
      </c>
      <c r="M73">
        <f t="shared" si="6"/>
        <v>0.7808166312429804</v>
      </c>
      <c r="Y73">
        <f t="shared" si="7"/>
        <v>2.1832544515012446</v>
      </c>
      <c r="CH73" s="1"/>
    </row>
    <row r="74" spans="1:92">
      <c r="A74" s="3" t="s">
        <v>76</v>
      </c>
      <c r="B74" s="3" t="s">
        <v>103</v>
      </c>
      <c r="C74" s="3" t="s">
        <v>78</v>
      </c>
      <c r="D74" s="3" t="s">
        <v>75</v>
      </c>
      <c r="E74" s="3">
        <v>16</v>
      </c>
      <c r="F74" s="3">
        <v>1.0240604789349801</v>
      </c>
      <c r="G74" s="3">
        <v>2.2716073604388591</v>
      </c>
      <c r="H74" s="3">
        <f t="shared" si="4"/>
        <v>2.3775586333198182E-2</v>
      </c>
      <c r="I74" s="3">
        <f t="shared" si="5"/>
        <v>0.82048766921612837</v>
      </c>
      <c r="L74">
        <v>2.2716073604388591</v>
      </c>
      <c r="M74">
        <f t="shared" si="6"/>
        <v>0.82048766921612837</v>
      </c>
      <c r="Y74">
        <f t="shared" si="7"/>
        <v>2.2716073604388591</v>
      </c>
      <c r="CG74" t="s">
        <v>102</v>
      </c>
      <c r="CH74" s="1" t="s">
        <v>53</v>
      </c>
      <c r="CI74" s="2" t="s">
        <v>64</v>
      </c>
      <c r="CJ74" s="2" t="s">
        <v>65</v>
      </c>
      <c r="CK74" s="2" t="s">
        <v>66</v>
      </c>
      <c r="CL74" s="2" t="s">
        <v>67</v>
      </c>
      <c r="CM74" s="2" t="s">
        <v>68</v>
      </c>
      <c r="CN74" s="2" t="s">
        <v>69</v>
      </c>
    </row>
    <row r="75" spans="1:92">
      <c r="A75" s="3" t="s">
        <v>76</v>
      </c>
      <c r="B75" s="3" t="s">
        <v>103</v>
      </c>
      <c r="C75" s="3" t="s">
        <v>78</v>
      </c>
      <c r="D75" s="3" t="s">
        <v>75</v>
      </c>
      <c r="E75" s="3">
        <v>17</v>
      </c>
      <c r="F75" s="3">
        <v>1.0224398575195199</v>
      </c>
      <c r="G75" s="3">
        <v>2.2561028345356955</v>
      </c>
      <c r="H75" s="3">
        <f t="shared" si="4"/>
        <v>2.2191788153097251E-2</v>
      </c>
      <c r="I75" s="3">
        <f t="shared" si="5"/>
        <v>0.81363891528121568</v>
      </c>
      <c r="L75">
        <v>2.2561028345356955</v>
      </c>
      <c r="M75">
        <f t="shared" si="6"/>
        <v>0.81363891528121568</v>
      </c>
      <c r="Y75">
        <f t="shared" si="7"/>
        <v>2.2561028345356955</v>
      </c>
      <c r="CH75" s="1"/>
      <c r="CI75" s="2">
        <f>STDEV(H556:H574)</f>
        <v>1.8273013015254861E-2</v>
      </c>
      <c r="CJ75" s="2">
        <f>STDEV(I556:I574)</f>
        <v>2.1549652105050925E-2</v>
      </c>
      <c r="CK75" s="2">
        <f>CJ75/CI75</f>
        <v>1.1793157530758955</v>
      </c>
      <c r="CL75" s="2">
        <f>AVERAGE(F556:F574)</f>
        <v>0.93814038885405315</v>
      </c>
      <c r="CM75" s="2">
        <f>AVERAGE(G556:G574)</f>
        <v>2.5391830902850594</v>
      </c>
      <c r="CN75" s="2">
        <f>CM75/(CL75^CK75)</f>
        <v>2.7377828452237916</v>
      </c>
    </row>
    <row r="76" spans="1:92">
      <c r="A76" s="3" t="s">
        <v>76</v>
      </c>
      <c r="B76" s="3" t="s">
        <v>103</v>
      </c>
      <c r="C76" s="3" t="s">
        <v>78</v>
      </c>
      <c r="D76" s="3" t="s">
        <v>75</v>
      </c>
      <c r="E76" s="3">
        <v>18</v>
      </c>
      <c r="F76" s="3">
        <v>1.05118988815234</v>
      </c>
      <c r="G76" s="3">
        <v>2.2743130831088321</v>
      </c>
      <c r="H76" s="3">
        <f t="shared" si="4"/>
        <v>4.9922749364366831E-2</v>
      </c>
      <c r="I76" s="3">
        <f t="shared" si="5"/>
        <v>0.82167806531878063</v>
      </c>
      <c r="L76">
        <v>2.2743130831088321</v>
      </c>
      <c r="M76">
        <f t="shared" si="6"/>
        <v>0.82167806531878063</v>
      </c>
      <c r="Y76">
        <f t="shared" si="7"/>
        <v>2.2743130831088321</v>
      </c>
      <c r="CH76" s="1"/>
    </row>
    <row r="77" spans="1:92">
      <c r="A77" s="3" t="s">
        <v>76</v>
      </c>
      <c r="B77" s="3" t="s">
        <v>103</v>
      </c>
      <c r="C77" s="3" t="s">
        <v>78</v>
      </c>
      <c r="D77" s="3" t="s">
        <v>75</v>
      </c>
      <c r="E77" s="3">
        <v>19</v>
      </c>
      <c r="F77" s="3">
        <v>1.0185882755704401</v>
      </c>
      <c r="G77" s="3">
        <v>2.1411445537375564</v>
      </c>
      <c r="H77" s="3">
        <f t="shared" si="4"/>
        <v>1.8417625064836348E-2</v>
      </c>
      <c r="I77" s="3">
        <f t="shared" si="5"/>
        <v>0.76134052425390919</v>
      </c>
      <c r="L77">
        <v>2.1411445537375564</v>
      </c>
      <c r="M77">
        <f t="shared" si="6"/>
        <v>0.76134052425390919</v>
      </c>
      <c r="Y77">
        <f t="shared" si="7"/>
        <v>2.1411445537375564</v>
      </c>
      <c r="CG77" t="s">
        <v>109</v>
      </c>
      <c r="CH77" s="1" t="s">
        <v>54</v>
      </c>
      <c r="CI77" s="2" t="s">
        <v>64</v>
      </c>
      <c r="CJ77" s="2" t="s">
        <v>65</v>
      </c>
      <c r="CK77" s="2" t="s">
        <v>66</v>
      </c>
      <c r="CL77" s="2" t="s">
        <v>67</v>
      </c>
      <c r="CM77" s="2" t="s">
        <v>68</v>
      </c>
      <c r="CN77" s="2" t="s">
        <v>69</v>
      </c>
    </row>
    <row r="78" spans="1:92">
      <c r="A78" s="3" t="s">
        <v>76</v>
      </c>
      <c r="B78" s="3" t="s">
        <v>103</v>
      </c>
      <c r="C78" s="3" t="s">
        <v>78</v>
      </c>
      <c r="D78" s="3" t="s">
        <v>75</v>
      </c>
      <c r="E78" s="3">
        <v>20</v>
      </c>
      <c r="F78" s="3">
        <v>1.0270035511391999</v>
      </c>
      <c r="G78" s="3">
        <v>2.2092758994747577</v>
      </c>
      <c r="H78" s="3">
        <f t="shared" si="4"/>
        <v>2.6645388719605628E-2</v>
      </c>
      <c r="I78" s="3">
        <f t="shared" si="5"/>
        <v>0.79266481454506876</v>
      </c>
      <c r="L78">
        <v>2.2092758994747577</v>
      </c>
      <c r="M78">
        <f t="shared" si="6"/>
        <v>0.79266481454506876</v>
      </c>
      <c r="Y78">
        <f t="shared" si="7"/>
        <v>2.2092758994747577</v>
      </c>
      <c r="CI78" s="2">
        <f>STDEV(H575:H596)</f>
        <v>1.7826280372430465E-2</v>
      </c>
      <c r="CJ78" s="2">
        <f>STDEV(I575:I596)</f>
        <v>2.4294273683484666E-2</v>
      </c>
      <c r="CK78" s="2">
        <f>CJ78/CI78</f>
        <v>1.3628347123417506</v>
      </c>
      <c r="CL78" s="2">
        <f>AVERAGE(F575:F596)</f>
        <v>0.92125275574877896</v>
      </c>
      <c r="CM78" s="2">
        <f>AVERAGE(G575:G596)</f>
        <v>2.4967916662278045</v>
      </c>
      <c r="CN78" s="2">
        <f>CM78/(CL78^CK78)</f>
        <v>2.7920816472464995</v>
      </c>
    </row>
    <row r="79" spans="1:92">
      <c r="A79" s="3" t="s">
        <v>76</v>
      </c>
      <c r="B79" s="3" t="s">
        <v>103</v>
      </c>
      <c r="C79" s="3" t="s">
        <v>78</v>
      </c>
      <c r="D79" s="3" t="s">
        <v>75</v>
      </c>
      <c r="E79" s="3">
        <v>21</v>
      </c>
      <c r="F79" s="3">
        <v>1.0047970741279599</v>
      </c>
      <c r="G79" s="3">
        <v>2.2230159693533467</v>
      </c>
      <c r="H79" s="3">
        <f t="shared" si="4"/>
        <v>4.7856048326132689E-3</v>
      </c>
      <c r="I79" s="3">
        <f t="shared" si="5"/>
        <v>0.79886481865096981</v>
      </c>
      <c r="L79">
        <v>2.2230159693533467</v>
      </c>
      <c r="M79">
        <f t="shared" si="6"/>
        <v>0.79886481865096981</v>
      </c>
      <c r="Y79">
        <f t="shared" si="7"/>
        <v>2.2230159693533467</v>
      </c>
    </row>
    <row r="80" spans="1:92">
      <c r="A80" s="3" t="s">
        <v>76</v>
      </c>
      <c r="B80" s="3" t="s">
        <v>103</v>
      </c>
      <c r="C80" s="3" t="s">
        <v>78</v>
      </c>
      <c r="D80" s="3" t="s">
        <v>75</v>
      </c>
      <c r="E80" s="3">
        <v>22</v>
      </c>
      <c r="F80" s="3">
        <v>0.99240081623575704</v>
      </c>
      <c r="G80" s="3">
        <v>2.2539742678211745</v>
      </c>
      <c r="H80" s="3">
        <f t="shared" si="4"/>
        <v>-7.6282046781737268E-3</v>
      </c>
      <c r="I80" s="3">
        <f t="shared" si="5"/>
        <v>0.81269499932401368</v>
      </c>
      <c r="L80">
        <v>2.2539742678211745</v>
      </c>
      <c r="M80">
        <f t="shared" si="6"/>
        <v>0.81269499932401368</v>
      </c>
      <c r="Y80">
        <f t="shared" si="7"/>
        <v>2.2539742678211745</v>
      </c>
      <c r="CG80" t="s">
        <v>110</v>
      </c>
      <c r="CH80" t="s">
        <v>12</v>
      </c>
      <c r="CI80" s="2" t="s">
        <v>64</v>
      </c>
      <c r="CJ80" s="2" t="s">
        <v>65</v>
      </c>
      <c r="CK80" s="2" t="s">
        <v>66</v>
      </c>
      <c r="CL80" s="2" t="s">
        <v>67</v>
      </c>
      <c r="CM80" s="2" t="s">
        <v>68</v>
      </c>
      <c r="CN80" s="2" t="s">
        <v>69</v>
      </c>
    </row>
    <row r="81" spans="1:92">
      <c r="A81" s="3" t="s">
        <v>76</v>
      </c>
      <c r="B81" s="3" t="s">
        <v>104</v>
      </c>
      <c r="C81" s="3" t="s">
        <v>78</v>
      </c>
      <c r="D81" s="3" t="s">
        <v>79</v>
      </c>
      <c r="E81" s="3">
        <v>1</v>
      </c>
      <c r="F81" s="3">
        <v>0.87016872641089205</v>
      </c>
      <c r="G81" s="3">
        <v>2.2495555116511352</v>
      </c>
      <c r="H81" s="3">
        <f t="shared" si="4"/>
        <v>-0.13906814773380446</v>
      </c>
      <c r="I81" s="3">
        <f t="shared" si="5"/>
        <v>0.81073264632340947</v>
      </c>
      <c r="Q81">
        <f>LN(F81)</f>
        <v>-0.13906814773380446</v>
      </c>
      <c r="R81">
        <f>LN(S81)</f>
        <v>0.81073264632340947</v>
      </c>
      <c r="S81">
        <v>2.2495555116511352</v>
      </c>
      <c r="U81">
        <f>F81</f>
        <v>0.87016872641089205</v>
      </c>
      <c r="W81">
        <v>2.2495555116511352</v>
      </c>
      <c r="CI81" s="2">
        <f>STDEV(H682:H701)</f>
        <v>2.7504303942366165E-2</v>
      </c>
      <c r="CJ81" s="2">
        <f>STDEV(I682:I701)</f>
        <v>2.0574019009919377E-2</v>
      </c>
      <c r="CK81" s="2">
        <f>CJ81/CI81</f>
        <v>0.74802907403260088</v>
      </c>
      <c r="CL81" s="2">
        <f>AVERAGE(F682:F701)</f>
        <v>0.79167314810506872</v>
      </c>
      <c r="CM81" s="2">
        <f>AVERAGE(G682:G701)</f>
        <v>2.0021632359440393</v>
      </c>
      <c r="CN81" s="2">
        <f>CM81/(CL81^CK81)</f>
        <v>2.384460255268853</v>
      </c>
    </row>
    <row r="82" spans="1:92">
      <c r="A82" s="3" t="s">
        <v>76</v>
      </c>
      <c r="B82" s="3" t="s">
        <v>104</v>
      </c>
      <c r="C82" s="3" t="s">
        <v>78</v>
      </c>
      <c r="D82" s="3" t="s">
        <v>79</v>
      </c>
      <c r="E82" s="3">
        <v>2</v>
      </c>
      <c r="F82" s="3">
        <v>0.89334794674215801</v>
      </c>
      <c r="G82" s="3">
        <v>2.3333452380648687</v>
      </c>
      <c r="H82" s="3">
        <f t="shared" si="4"/>
        <v>-0.11277913598567935</v>
      </c>
      <c r="I82" s="3">
        <f t="shared" si="5"/>
        <v>0.84730296240198921</v>
      </c>
      <c r="Q82">
        <f t="shared" ref="Q82:Q145" si="8">LN(F82)</f>
        <v>-0.11277913598567935</v>
      </c>
      <c r="R82">
        <f t="shared" ref="R82:R145" si="9">LN(S82)</f>
        <v>0.84730296240198921</v>
      </c>
      <c r="S82">
        <v>2.3333452380648687</v>
      </c>
      <c r="U82">
        <f t="shared" ref="U82:U145" si="10">F82</f>
        <v>0.89334794674215801</v>
      </c>
      <c r="W82">
        <v>2.3333452380648687</v>
      </c>
    </row>
    <row r="83" spans="1:92">
      <c r="A83" s="3" t="s">
        <v>76</v>
      </c>
      <c r="B83" s="3" t="s">
        <v>104</v>
      </c>
      <c r="C83" s="3" t="s">
        <v>78</v>
      </c>
      <c r="D83" s="3" t="s">
        <v>79</v>
      </c>
      <c r="E83" s="3">
        <v>3</v>
      </c>
      <c r="F83" s="3">
        <v>0.88916448753952504</v>
      </c>
      <c r="G83" s="3">
        <v>2.3120553626589482</v>
      </c>
      <c r="H83" s="3">
        <f t="shared" si="4"/>
        <v>-0.11747303522951569</v>
      </c>
      <c r="I83" s="3">
        <f t="shared" si="5"/>
        <v>0.83813689631017751</v>
      </c>
      <c r="Q83">
        <f t="shared" si="8"/>
        <v>-0.11747303522951569</v>
      </c>
      <c r="R83">
        <f t="shared" si="9"/>
        <v>0.83813689631017751</v>
      </c>
      <c r="S83">
        <v>2.3120553626589482</v>
      </c>
      <c r="U83">
        <f t="shared" si="10"/>
        <v>0.88916448753952504</v>
      </c>
      <c r="W83">
        <v>2.3120553626589482</v>
      </c>
      <c r="CG83" t="s">
        <v>111</v>
      </c>
      <c r="CH83" t="s">
        <v>13</v>
      </c>
      <c r="CI83" s="2" t="s">
        <v>64</v>
      </c>
      <c r="CJ83" s="2" t="s">
        <v>65</v>
      </c>
      <c r="CK83" s="2" t="s">
        <v>66</v>
      </c>
      <c r="CL83" s="2" t="s">
        <v>67</v>
      </c>
      <c r="CM83" s="2" t="s">
        <v>68</v>
      </c>
      <c r="CN83" s="2" t="s">
        <v>69</v>
      </c>
    </row>
    <row r="84" spans="1:92">
      <c r="A84" s="3" t="s">
        <v>76</v>
      </c>
      <c r="B84" s="3" t="s">
        <v>104</v>
      </c>
      <c r="C84" s="3" t="s">
        <v>78</v>
      </c>
      <c r="D84" s="3" t="s">
        <v>79</v>
      </c>
      <c r="E84" s="3">
        <v>4</v>
      </c>
      <c r="F84" s="3">
        <v>0.89390383972840404</v>
      </c>
      <c r="G84" s="3">
        <v>2.3413671220037235</v>
      </c>
      <c r="H84" s="3">
        <f t="shared" si="4"/>
        <v>-0.11215707141886228</v>
      </c>
      <c r="I84" s="3">
        <f t="shared" si="5"/>
        <v>0.85073499894029692</v>
      </c>
      <c r="Q84">
        <f t="shared" si="8"/>
        <v>-0.11215707141886228</v>
      </c>
      <c r="R84">
        <f t="shared" si="9"/>
        <v>0.85073499894029692</v>
      </c>
      <c r="S84">
        <v>2.3413671220037235</v>
      </c>
      <c r="U84">
        <f t="shared" si="10"/>
        <v>0.89390383972840404</v>
      </c>
      <c r="W84">
        <v>2.3413671220037235</v>
      </c>
      <c r="CI84" s="2">
        <f>STDEV(H702:H721)</f>
        <v>2.18633808168547E-2</v>
      </c>
      <c r="CJ84" s="2">
        <f>STDEV(I702:I721)</f>
        <v>2.2606641150609851E-2</v>
      </c>
      <c r="CK84" s="2">
        <f>CJ84/CI84</f>
        <v>1.0339956724891406</v>
      </c>
      <c r="CL84" s="2">
        <f>AVERAGE(F702:F721)</f>
        <v>0.79145363041175987</v>
      </c>
      <c r="CM84" s="2">
        <f>AVERAGE(G702:G721)</f>
        <v>1.9892923909923812</v>
      </c>
      <c r="CN84" s="2">
        <f>CM84/(CL84^CK84)</f>
        <v>2.5335311023412923</v>
      </c>
    </row>
    <row r="85" spans="1:92">
      <c r="A85" s="3" t="s">
        <v>76</v>
      </c>
      <c r="B85" s="3" t="s">
        <v>104</v>
      </c>
      <c r="C85" s="3" t="s">
        <v>78</v>
      </c>
      <c r="D85" s="3" t="s">
        <v>79</v>
      </c>
      <c r="E85" s="3">
        <v>6</v>
      </c>
      <c r="F85" s="3">
        <v>0.92480958511765499</v>
      </c>
      <c r="G85" s="3">
        <v>2.3686494041964079</v>
      </c>
      <c r="H85" s="3">
        <f t="shared" si="4"/>
        <v>-7.8167416587399133E-2</v>
      </c>
      <c r="I85" s="3">
        <f t="shared" si="5"/>
        <v>0.86231992106139177</v>
      </c>
      <c r="Q85">
        <f t="shared" si="8"/>
        <v>-7.8167416587399133E-2</v>
      </c>
      <c r="R85">
        <f t="shared" si="9"/>
        <v>0.86231992106139177</v>
      </c>
      <c r="S85">
        <v>2.3686494041964079</v>
      </c>
      <c r="U85">
        <f t="shared" si="10"/>
        <v>0.92480958511765499</v>
      </c>
      <c r="W85">
        <v>2.3686494041964079</v>
      </c>
    </row>
    <row r="86" spans="1:92">
      <c r="A86" s="3" t="s">
        <v>76</v>
      </c>
      <c r="B86" s="3" t="s">
        <v>104</v>
      </c>
      <c r="C86" s="3" t="s">
        <v>78</v>
      </c>
      <c r="D86" s="3" t="s">
        <v>79</v>
      </c>
      <c r="E86" s="3">
        <v>7</v>
      </c>
      <c r="F86" s="3">
        <v>0.89123077970669695</v>
      </c>
      <c r="G86" s="3">
        <v>2.2982819670353765</v>
      </c>
      <c r="H86" s="3">
        <f t="shared" si="4"/>
        <v>-0.11515187303265419</v>
      </c>
      <c r="I86" s="3">
        <f t="shared" si="5"/>
        <v>0.83216187295918553</v>
      </c>
      <c r="Q86">
        <f t="shared" si="8"/>
        <v>-0.11515187303265419</v>
      </c>
      <c r="R86">
        <f t="shared" si="9"/>
        <v>0.83216187295918553</v>
      </c>
      <c r="S86">
        <v>2.2982819670353765</v>
      </c>
      <c r="U86">
        <f t="shared" si="10"/>
        <v>0.89123077970669695</v>
      </c>
      <c r="W86">
        <v>2.2982819670353765</v>
      </c>
      <c r="CG86" t="s">
        <v>112</v>
      </c>
      <c r="CH86" t="s">
        <v>14</v>
      </c>
      <c r="CI86" s="2" t="s">
        <v>64</v>
      </c>
      <c r="CJ86" s="2" t="s">
        <v>65</v>
      </c>
      <c r="CK86" s="2" t="s">
        <v>66</v>
      </c>
      <c r="CL86" s="2" t="s">
        <v>67</v>
      </c>
      <c r="CM86" s="2" t="s">
        <v>68</v>
      </c>
      <c r="CN86" s="2" t="s">
        <v>69</v>
      </c>
    </row>
    <row r="87" spans="1:92">
      <c r="A87" s="3" t="s">
        <v>76</v>
      </c>
      <c r="B87" s="3" t="s">
        <v>104</v>
      </c>
      <c r="C87" s="3" t="s">
        <v>78</v>
      </c>
      <c r="D87" s="3" t="s">
        <v>79</v>
      </c>
      <c r="E87" s="3">
        <v>8</v>
      </c>
      <c r="F87" s="3">
        <v>0.92277021383902802</v>
      </c>
      <c r="G87" s="3">
        <v>2.3908366736354032</v>
      </c>
      <c r="H87" s="3">
        <f t="shared" si="4"/>
        <v>-8.0375031227945412E-2</v>
      </c>
      <c r="I87" s="3">
        <f t="shared" si="5"/>
        <v>0.87164337733308206</v>
      </c>
      <c r="Q87">
        <f t="shared" si="8"/>
        <v>-8.0375031227945412E-2</v>
      </c>
      <c r="R87">
        <f t="shared" si="9"/>
        <v>0.87164337733308206</v>
      </c>
      <c r="S87">
        <v>2.3908366736354032</v>
      </c>
      <c r="U87">
        <f t="shared" si="10"/>
        <v>0.92277021383902802</v>
      </c>
      <c r="W87">
        <v>2.3908366736354032</v>
      </c>
      <c r="CI87" s="2">
        <f>STDEV(H881:H900)</f>
        <v>1.9048552276872511E-2</v>
      </c>
      <c r="CJ87" s="2">
        <f>STDEV(I881:I900)</f>
        <v>1.999358500088427E-2</v>
      </c>
      <c r="CK87" s="2">
        <f>CJ87/CI87</f>
        <v>1.0496117873041277</v>
      </c>
      <c r="CL87" s="2">
        <f>AVERAGE(F881:F900)</f>
        <v>0.81340643383674194</v>
      </c>
      <c r="CM87" s="2">
        <f>AVERAGE(G881:G900)</f>
        <v>2.1308376514900216</v>
      </c>
      <c r="CN87" s="2">
        <f>CM87/(CL87^CK87)</f>
        <v>2.6466259045252372</v>
      </c>
    </row>
    <row r="88" spans="1:92">
      <c r="A88" s="3" t="s">
        <v>76</v>
      </c>
      <c r="B88" s="3" t="s">
        <v>104</v>
      </c>
      <c r="C88" s="3" t="s">
        <v>78</v>
      </c>
      <c r="D88" s="3" t="s">
        <v>79</v>
      </c>
      <c r="E88" s="3">
        <v>10</v>
      </c>
      <c r="F88" s="3">
        <v>0.89378993565885201</v>
      </c>
      <c r="G88" s="3">
        <v>2.310086578464106</v>
      </c>
      <c r="H88" s="3">
        <f t="shared" si="4"/>
        <v>-0.11228450271752694</v>
      </c>
      <c r="I88" s="3">
        <f t="shared" si="5"/>
        <v>0.83728500368594128</v>
      </c>
      <c r="Q88">
        <f t="shared" si="8"/>
        <v>-0.11228450271752694</v>
      </c>
      <c r="R88">
        <f t="shared" si="9"/>
        <v>0.83728500368594128</v>
      </c>
      <c r="S88">
        <v>2.310086578464106</v>
      </c>
      <c r="U88">
        <f t="shared" si="10"/>
        <v>0.89378993565885201</v>
      </c>
      <c r="W88">
        <v>2.310086578464106</v>
      </c>
    </row>
    <row r="89" spans="1:92">
      <c r="A89" s="3" t="s">
        <v>76</v>
      </c>
      <c r="B89" s="3" t="s">
        <v>104</v>
      </c>
      <c r="C89" s="3" t="s">
        <v>78</v>
      </c>
      <c r="D89" s="3" t="s">
        <v>79</v>
      </c>
      <c r="E89" s="3">
        <v>11</v>
      </c>
      <c r="F89" s="3">
        <v>0.89561566451521701</v>
      </c>
      <c r="G89" s="3">
        <v>2.3872997298202838</v>
      </c>
      <c r="H89" s="3">
        <f t="shared" si="4"/>
        <v>-0.11024390388434803</v>
      </c>
      <c r="I89" s="3">
        <f t="shared" si="5"/>
        <v>0.87016290705660271</v>
      </c>
      <c r="Q89">
        <f t="shared" si="8"/>
        <v>-0.11024390388434803</v>
      </c>
      <c r="R89">
        <f t="shared" si="9"/>
        <v>0.87016290705660271</v>
      </c>
      <c r="S89">
        <v>2.3872997298202838</v>
      </c>
      <c r="U89">
        <f t="shared" si="10"/>
        <v>0.89561566451521701</v>
      </c>
      <c r="W89">
        <v>2.3872997298202838</v>
      </c>
      <c r="CG89" t="s">
        <v>113</v>
      </c>
      <c r="CH89" t="s">
        <v>15</v>
      </c>
      <c r="CI89" s="2" t="s">
        <v>64</v>
      </c>
      <c r="CJ89" s="2" t="s">
        <v>65</v>
      </c>
      <c r="CK89" s="2" t="s">
        <v>66</v>
      </c>
      <c r="CL89" s="2" t="s">
        <v>67</v>
      </c>
      <c r="CM89" s="2" t="s">
        <v>68</v>
      </c>
      <c r="CN89" s="2" t="s">
        <v>69</v>
      </c>
    </row>
    <row r="90" spans="1:92">
      <c r="A90" s="3" t="s">
        <v>76</v>
      </c>
      <c r="B90" s="3" t="s">
        <v>104</v>
      </c>
      <c r="C90" s="3" t="s">
        <v>78</v>
      </c>
      <c r="D90" s="3" t="s">
        <v>79</v>
      </c>
      <c r="E90" s="3">
        <v>12</v>
      </c>
      <c r="F90" s="3">
        <v>0.89869425079576704</v>
      </c>
      <c r="G90" s="3">
        <v>2.3360008561642269</v>
      </c>
      <c r="H90" s="3">
        <f t="shared" si="4"/>
        <v>-0.10681240158344031</v>
      </c>
      <c r="I90" s="3">
        <f t="shared" si="5"/>
        <v>0.84844043147457227</v>
      </c>
      <c r="Q90">
        <f t="shared" si="8"/>
        <v>-0.10681240158344031</v>
      </c>
      <c r="R90">
        <f t="shared" si="9"/>
        <v>0.84844043147457227</v>
      </c>
      <c r="S90">
        <v>2.3360008561642269</v>
      </c>
      <c r="U90">
        <f t="shared" si="10"/>
        <v>0.89869425079576704</v>
      </c>
      <c r="W90">
        <v>2.3360008561642269</v>
      </c>
      <c r="CI90" s="2">
        <f>STDEV(H901:H921)</f>
        <v>3.4806535687170084E-2</v>
      </c>
      <c r="CJ90" s="2">
        <f>STDEV(I901:I921)</f>
        <v>2.7756268845820456E-2</v>
      </c>
      <c r="CK90" s="2">
        <f>CJ90/CI90</f>
        <v>0.79744416667274354</v>
      </c>
      <c r="CL90" s="2">
        <f>AVERAGE(F901:F921)</f>
        <v>0.80472331439440392</v>
      </c>
      <c r="CM90" s="2">
        <f>AVERAGE(G901:G921)</f>
        <v>2.1105271890532822</v>
      </c>
      <c r="CN90" s="2">
        <f>CM90/(CL90^CK90)</f>
        <v>2.5097619610147768</v>
      </c>
    </row>
    <row r="91" spans="1:92">
      <c r="A91" s="3" t="s">
        <v>76</v>
      </c>
      <c r="B91" s="3" t="s">
        <v>104</v>
      </c>
      <c r="C91" s="3" t="s">
        <v>78</v>
      </c>
      <c r="D91" s="3" t="s">
        <v>79</v>
      </c>
      <c r="E91" s="3">
        <v>13</v>
      </c>
      <c r="F91" s="3">
        <v>0.88382854283419898</v>
      </c>
      <c r="G91" s="3">
        <v>2.3331738040703267</v>
      </c>
      <c r="H91" s="3">
        <f t="shared" si="4"/>
        <v>-0.12349219122631529</v>
      </c>
      <c r="I91" s="3">
        <f t="shared" si="5"/>
        <v>0.84722948836574452</v>
      </c>
      <c r="Q91">
        <f t="shared" si="8"/>
        <v>-0.12349219122631529</v>
      </c>
      <c r="R91">
        <f t="shared" si="9"/>
        <v>0.84722948836574452</v>
      </c>
      <c r="S91">
        <v>2.3331738040703267</v>
      </c>
      <c r="U91">
        <f t="shared" si="10"/>
        <v>0.88382854283419898</v>
      </c>
      <c r="W91">
        <v>2.3331738040703267</v>
      </c>
    </row>
    <row r="92" spans="1:92">
      <c r="A92" s="3" t="s">
        <v>76</v>
      </c>
      <c r="B92" s="3" t="s">
        <v>104</v>
      </c>
      <c r="C92" s="3" t="s">
        <v>78</v>
      </c>
      <c r="D92" s="3" t="s">
        <v>79</v>
      </c>
      <c r="E92" s="3">
        <v>14</v>
      </c>
      <c r="F92" s="3">
        <v>0.87766074081313195</v>
      </c>
      <c r="G92" s="3">
        <v>2.2881652038259825</v>
      </c>
      <c r="H92" s="3">
        <f t="shared" si="4"/>
        <v>-0.13049516000377401</v>
      </c>
      <c r="I92" s="3">
        <f t="shared" si="5"/>
        <v>0.82775027538033219</v>
      </c>
      <c r="Q92">
        <f t="shared" si="8"/>
        <v>-0.13049516000377401</v>
      </c>
      <c r="R92">
        <f t="shared" si="9"/>
        <v>0.82775027538033219</v>
      </c>
      <c r="S92">
        <v>2.2881652038259825</v>
      </c>
      <c r="U92">
        <f t="shared" si="10"/>
        <v>0.87766074081313195</v>
      </c>
      <c r="W92">
        <v>2.2881652038259825</v>
      </c>
      <c r="CG92" t="s">
        <v>114</v>
      </c>
      <c r="CH92" t="s">
        <v>16</v>
      </c>
      <c r="CI92" s="2" t="s">
        <v>64</v>
      </c>
      <c r="CJ92" s="2" t="s">
        <v>65</v>
      </c>
      <c r="CK92" s="2" t="s">
        <v>66</v>
      </c>
      <c r="CL92" s="2" t="s">
        <v>67</v>
      </c>
      <c r="CM92" s="2" t="s">
        <v>68</v>
      </c>
      <c r="CN92" s="2" t="s">
        <v>69</v>
      </c>
    </row>
    <row r="93" spans="1:92">
      <c r="A93" s="3" t="s">
        <v>76</v>
      </c>
      <c r="B93" s="3" t="s">
        <v>104</v>
      </c>
      <c r="C93" s="3" t="s">
        <v>78</v>
      </c>
      <c r="D93" s="3" t="s">
        <v>79</v>
      </c>
      <c r="E93" s="3">
        <v>15</v>
      </c>
      <c r="F93" s="3">
        <v>0.913228282306357</v>
      </c>
      <c r="G93" s="3">
        <v>2.3992707225321612</v>
      </c>
      <c r="H93" s="3">
        <f t="shared" si="4"/>
        <v>-9.0769394255967958E-2</v>
      </c>
      <c r="I93" s="3">
        <f t="shared" si="5"/>
        <v>0.875164825565791</v>
      </c>
      <c r="Q93">
        <f t="shared" si="8"/>
        <v>-9.0769394255967958E-2</v>
      </c>
      <c r="R93">
        <f t="shared" si="9"/>
        <v>0.875164825565791</v>
      </c>
      <c r="S93">
        <v>2.3992707225321612</v>
      </c>
      <c r="U93">
        <f t="shared" si="10"/>
        <v>0.913228282306357</v>
      </c>
      <c r="W93">
        <v>2.3992707225321612</v>
      </c>
      <c r="CI93" s="2">
        <f>STDEV(H1085:H1105)</f>
        <v>2.2615230248683588E-2</v>
      </c>
      <c r="CJ93" s="2">
        <f>STDEV(I1085:I1105)</f>
        <v>1.8247840403707461E-2</v>
      </c>
      <c r="CK93" s="2">
        <f>CJ93/CI93</f>
        <v>0.80688280433358184</v>
      </c>
      <c r="CL93" s="2">
        <f>AVERAGE(F1085:F1105)</f>
        <v>0.83562656488962805</v>
      </c>
      <c r="CM93" s="2">
        <f>AVERAGE(G1085:G1105)</f>
        <v>2.2724933855876834</v>
      </c>
      <c r="CN93" s="2">
        <f>CM93/(CL93^CK93)</f>
        <v>2.6268157524517726</v>
      </c>
    </row>
    <row r="94" spans="1:92">
      <c r="A94" s="3" t="s">
        <v>76</v>
      </c>
      <c r="B94" s="3" t="s">
        <v>104</v>
      </c>
      <c r="C94" s="3" t="s">
        <v>78</v>
      </c>
      <c r="D94" s="3" t="s">
        <v>79</v>
      </c>
      <c r="E94" s="3">
        <v>16</v>
      </c>
      <c r="F94" s="3">
        <v>0.90331415805624105</v>
      </c>
      <c r="G94" s="3">
        <v>2.2940139493908926</v>
      </c>
      <c r="H94" s="3">
        <f t="shared" si="4"/>
        <v>-0.1016848812458149</v>
      </c>
      <c r="I94" s="3">
        <f t="shared" si="5"/>
        <v>0.83030309950424996</v>
      </c>
      <c r="Q94">
        <f t="shared" si="8"/>
        <v>-0.1016848812458149</v>
      </c>
      <c r="R94">
        <f t="shared" si="9"/>
        <v>0.83030309950424996</v>
      </c>
      <c r="S94">
        <v>2.2940139493908926</v>
      </c>
      <c r="U94">
        <f t="shared" si="10"/>
        <v>0.90331415805624105</v>
      </c>
      <c r="W94">
        <v>2.2940139493908926</v>
      </c>
    </row>
    <row r="95" spans="1:92">
      <c r="A95" s="3" t="s">
        <v>76</v>
      </c>
      <c r="B95" s="3" t="s">
        <v>104</v>
      </c>
      <c r="C95" s="3" t="s">
        <v>78</v>
      </c>
      <c r="D95" s="3" t="s">
        <v>79</v>
      </c>
      <c r="E95" s="3">
        <v>18</v>
      </c>
      <c r="F95" s="3">
        <v>0.91821198152440198</v>
      </c>
      <c r="G95" s="3">
        <v>2.3638104830971538</v>
      </c>
      <c r="H95" s="3">
        <f t="shared" si="4"/>
        <v>-8.532699832555421E-2</v>
      </c>
      <c r="I95" s="3">
        <f t="shared" si="5"/>
        <v>0.86027492843562936</v>
      </c>
      <c r="Q95">
        <f t="shared" si="8"/>
        <v>-8.532699832555421E-2</v>
      </c>
      <c r="R95">
        <f t="shared" si="9"/>
        <v>0.86027492843562936</v>
      </c>
      <c r="S95">
        <v>2.3638104830971538</v>
      </c>
      <c r="U95">
        <f t="shared" si="10"/>
        <v>0.91821198152440198</v>
      </c>
      <c r="W95">
        <v>2.3638104830971538</v>
      </c>
      <c r="CG95" t="s">
        <v>115</v>
      </c>
      <c r="CH95" t="s">
        <v>17</v>
      </c>
      <c r="CI95" s="2" t="s">
        <v>64</v>
      </c>
      <c r="CJ95" s="2" t="s">
        <v>65</v>
      </c>
      <c r="CK95" s="2" t="s">
        <v>66</v>
      </c>
      <c r="CL95" s="2" t="s">
        <v>67</v>
      </c>
      <c r="CM95" s="2" t="s">
        <v>68</v>
      </c>
      <c r="CN95" s="2" t="s">
        <v>69</v>
      </c>
    </row>
    <row r="96" spans="1:92">
      <c r="A96" s="3" t="s">
        <v>76</v>
      </c>
      <c r="B96" s="3" t="s">
        <v>104</v>
      </c>
      <c r="C96" s="3" t="s">
        <v>78</v>
      </c>
      <c r="D96" s="3" t="s">
        <v>79</v>
      </c>
      <c r="E96" s="3">
        <v>19</v>
      </c>
      <c r="F96" s="3">
        <v>0.88838985531480896</v>
      </c>
      <c r="G96" s="3">
        <v>2.2812277396174192</v>
      </c>
      <c r="H96" s="3">
        <f t="shared" si="4"/>
        <v>-0.11834460607838068</v>
      </c>
      <c r="I96" s="3">
        <f t="shared" si="5"/>
        <v>0.82471378032512943</v>
      </c>
      <c r="Q96">
        <f t="shared" si="8"/>
        <v>-0.11834460607838068</v>
      </c>
      <c r="R96">
        <f t="shared" si="9"/>
        <v>0.82471378032512943</v>
      </c>
      <c r="S96">
        <v>2.2812277396174192</v>
      </c>
      <c r="U96">
        <f t="shared" si="10"/>
        <v>0.88838985531480896</v>
      </c>
      <c r="W96">
        <v>2.2812277396174192</v>
      </c>
      <c r="CI96" s="2">
        <f>STDEV(H1106:H1126)</f>
        <v>2.5025820942767077E-2</v>
      </c>
      <c r="CJ96" s="2">
        <f>STDEV(I1106:I1126)</f>
        <v>2.2291547037596775E-2</v>
      </c>
      <c r="CK96" s="2">
        <f>CJ96/CI96</f>
        <v>0.89074188968971435</v>
      </c>
      <c r="CL96" s="2">
        <f>AVERAGE(F1106:F1126)</f>
        <v>0.82496977331125265</v>
      </c>
      <c r="CM96" s="2">
        <f>AVERAGE(G1106:G1126)</f>
        <v>2.2307645094176736</v>
      </c>
      <c r="CN96" s="2">
        <f>CM96/(CL96^CK96)</f>
        <v>2.6478042065057039</v>
      </c>
    </row>
    <row r="97" spans="1:92">
      <c r="A97" s="3" t="s">
        <v>76</v>
      </c>
      <c r="B97" s="3" t="s">
        <v>104</v>
      </c>
      <c r="C97" s="3" t="s">
        <v>78</v>
      </c>
      <c r="D97" s="3" t="s">
        <v>79</v>
      </c>
      <c r="E97" s="3">
        <v>20</v>
      </c>
      <c r="F97" s="3">
        <v>0.91497479384684299</v>
      </c>
      <c r="G97" s="3">
        <v>2.3160742647851342</v>
      </c>
      <c r="H97" s="3">
        <f t="shared" si="4"/>
        <v>-8.8858761794429142E-2</v>
      </c>
      <c r="I97" s="3">
        <f t="shared" si="5"/>
        <v>0.83987362516604824</v>
      </c>
      <c r="Q97">
        <f t="shared" si="8"/>
        <v>-8.8858761794429142E-2</v>
      </c>
      <c r="R97">
        <f t="shared" si="9"/>
        <v>0.83987362516604824</v>
      </c>
      <c r="S97">
        <v>2.3160742647851342</v>
      </c>
      <c r="U97">
        <f t="shared" si="10"/>
        <v>0.91497479384684299</v>
      </c>
      <c r="W97">
        <v>2.3160742647851342</v>
      </c>
    </row>
    <row r="98" spans="1:92">
      <c r="A98" s="3" t="s">
        <v>76</v>
      </c>
      <c r="B98" s="3" t="s">
        <v>104</v>
      </c>
      <c r="C98" s="3" t="s">
        <v>78</v>
      </c>
      <c r="D98" s="3" t="s">
        <v>79</v>
      </c>
      <c r="E98" s="3">
        <v>21</v>
      </c>
      <c r="F98" s="3">
        <v>0.90541459725533302</v>
      </c>
      <c r="G98" s="3">
        <v>2.327101201065394</v>
      </c>
      <c r="H98" s="3">
        <f t="shared" si="4"/>
        <v>-9.9362321672279486E-2</v>
      </c>
      <c r="I98" s="3">
        <f t="shared" si="5"/>
        <v>0.8446233733037577</v>
      </c>
      <c r="Q98">
        <f t="shared" si="8"/>
        <v>-9.9362321672279486E-2</v>
      </c>
      <c r="R98">
        <f t="shared" si="9"/>
        <v>0.8446233733037577</v>
      </c>
      <c r="S98">
        <v>2.327101201065394</v>
      </c>
      <c r="U98">
        <f t="shared" si="10"/>
        <v>0.90541459725533302</v>
      </c>
      <c r="W98">
        <v>2.327101201065394</v>
      </c>
      <c r="CG98" t="s">
        <v>116</v>
      </c>
      <c r="CH98" t="s">
        <v>18</v>
      </c>
      <c r="CI98" s="2" t="s">
        <v>64</v>
      </c>
      <c r="CJ98" s="2" t="s">
        <v>65</v>
      </c>
      <c r="CK98" s="2" t="s">
        <v>66</v>
      </c>
      <c r="CL98" s="2" t="s">
        <v>67</v>
      </c>
      <c r="CM98" s="2" t="s">
        <v>68</v>
      </c>
      <c r="CN98" s="2" t="s">
        <v>69</v>
      </c>
    </row>
    <row r="99" spans="1:92">
      <c r="A99" s="3" t="s">
        <v>76</v>
      </c>
      <c r="B99" s="3" t="s">
        <v>104</v>
      </c>
      <c r="C99" s="3" t="s">
        <v>78</v>
      </c>
      <c r="D99" s="3" t="s">
        <v>75</v>
      </c>
      <c r="E99" s="3">
        <v>2</v>
      </c>
      <c r="F99" s="3">
        <v>0.88452541731312795</v>
      </c>
      <c r="G99" s="3">
        <v>2.3122499864850257</v>
      </c>
      <c r="H99" s="3">
        <f t="shared" si="4"/>
        <v>-0.1227040294321169</v>
      </c>
      <c r="I99" s="3">
        <f t="shared" si="5"/>
        <v>0.83822107060728723</v>
      </c>
      <c r="Q99">
        <f t="shared" si="8"/>
        <v>-0.1227040294321169</v>
      </c>
      <c r="R99">
        <f t="shared" si="9"/>
        <v>0.83822107060728723</v>
      </c>
      <c r="S99">
        <v>2.3122499864850257</v>
      </c>
      <c r="U99">
        <f t="shared" si="10"/>
        <v>0.88452541731312795</v>
      </c>
      <c r="W99">
        <v>2.3122499864850257</v>
      </c>
      <c r="CI99" s="2">
        <f>STDEV(H722:H740)</f>
        <v>2.7667074406390657E-2</v>
      </c>
      <c r="CJ99" s="2">
        <f>STDEV(I722:I740)</f>
        <v>2.3114182350508418E-2</v>
      </c>
      <c r="CK99" s="2">
        <f>CJ99/CI99</f>
        <v>0.8354400617496951</v>
      </c>
      <c r="CL99" s="2">
        <f>AVERAGE(F722:F740)</f>
        <v>0.79002046794274183</v>
      </c>
      <c r="CM99" s="2">
        <f>AVERAGE(G722:G740)</f>
        <v>2.0039343056419217</v>
      </c>
      <c r="CN99" s="2">
        <f>CM99/(CL99^CK99)</f>
        <v>2.4400600190717769</v>
      </c>
    </row>
    <row r="100" spans="1:92">
      <c r="A100" s="3" t="s">
        <v>76</v>
      </c>
      <c r="B100" s="3" t="s">
        <v>104</v>
      </c>
      <c r="C100" s="3" t="s">
        <v>78</v>
      </c>
      <c r="D100" s="3" t="s">
        <v>75</v>
      </c>
      <c r="E100" s="3">
        <v>3</v>
      </c>
      <c r="F100" s="3">
        <v>0.87842683463845606</v>
      </c>
      <c r="G100" s="3">
        <v>2.2594247055390002</v>
      </c>
      <c r="H100" s="3">
        <f t="shared" si="4"/>
        <v>-0.12962265924170163</v>
      </c>
      <c r="I100" s="3">
        <f t="shared" si="5"/>
        <v>0.81511022580831427</v>
      </c>
      <c r="Q100">
        <f t="shared" si="8"/>
        <v>-0.12962265924170163</v>
      </c>
      <c r="R100">
        <f t="shared" si="9"/>
        <v>0.81511022580831427</v>
      </c>
      <c r="S100">
        <v>2.2594247055390002</v>
      </c>
      <c r="U100">
        <f t="shared" si="10"/>
        <v>0.87842683463845606</v>
      </c>
      <c r="W100">
        <v>2.2594247055390002</v>
      </c>
    </row>
    <row r="101" spans="1:92">
      <c r="A101" s="3" t="s">
        <v>76</v>
      </c>
      <c r="B101" s="3" t="s">
        <v>104</v>
      </c>
      <c r="C101" s="3" t="s">
        <v>78</v>
      </c>
      <c r="D101" s="3" t="s">
        <v>75</v>
      </c>
      <c r="E101" s="3">
        <v>4</v>
      </c>
      <c r="F101" s="3">
        <v>0.89442638663928198</v>
      </c>
      <c r="G101" s="3">
        <v>2.2472205054244232</v>
      </c>
      <c r="H101" s="3">
        <f t="shared" si="4"/>
        <v>-0.11157267496003716</v>
      </c>
      <c r="I101" s="3">
        <f t="shared" si="5"/>
        <v>0.80969412164363419</v>
      </c>
      <c r="Q101">
        <f t="shared" si="8"/>
        <v>-0.11157267496003716</v>
      </c>
      <c r="R101">
        <f t="shared" si="9"/>
        <v>0.80969412164363419</v>
      </c>
      <c r="S101">
        <v>2.2472205054244232</v>
      </c>
      <c r="U101">
        <f t="shared" si="10"/>
        <v>0.89442638663928198</v>
      </c>
      <c r="W101">
        <v>2.2472205054244232</v>
      </c>
      <c r="CG101" t="s">
        <v>117</v>
      </c>
      <c r="CH101" t="s">
        <v>19</v>
      </c>
      <c r="CI101" s="2" t="s">
        <v>64</v>
      </c>
      <c r="CJ101" s="2" t="s">
        <v>65</v>
      </c>
      <c r="CK101" s="2" t="s">
        <v>66</v>
      </c>
      <c r="CL101" s="2" t="s">
        <v>67</v>
      </c>
      <c r="CM101" s="2" t="s">
        <v>68</v>
      </c>
      <c r="CN101" s="2" t="s">
        <v>69</v>
      </c>
    </row>
    <row r="102" spans="1:92">
      <c r="A102" s="3" t="s">
        <v>76</v>
      </c>
      <c r="B102" s="3" t="s">
        <v>104</v>
      </c>
      <c r="C102" s="3" t="s">
        <v>78</v>
      </c>
      <c r="D102" s="3" t="s">
        <v>75</v>
      </c>
      <c r="E102" s="3">
        <v>5</v>
      </c>
      <c r="F102" s="3">
        <v>0.89417779795082097</v>
      </c>
      <c r="G102" s="3">
        <v>2.2203603311174516</v>
      </c>
      <c r="H102" s="3">
        <f t="shared" si="4"/>
        <v>-0.11185064444283653</v>
      </c>
      <c r="I102" s="3">
        <f t="shared" si="5"/>
        <v>0.79766949402729925</v>
      </c>
      <c r="Q102">
        <f t="shared" si="8"/>
        <v>-0.11185064444283653</v>
      </c>
      <c r="R102">
        <f t="shared" si="9"/>
        <v>0.79766949402729925</v>
      </c>
      <c r="S102">
        <v>2.2203603311174516</v>
      </c>
      <c r="U102">
        <f t="shared" si="10"/>
        <v>0.89417779795082097</v>
      </c>
      <c r="W102">
        <v>2.2203603311174516</v>
      </c>
      <c r="CI102" s="2">
        <f>STDEV(H741:H760)</f>
        <v>1.6091833226100725E-2</v>
      </c>
      <c r="CJ102" s="2">
        <f>STDEV(I741:I760)</f>
        <v>1.2544427357130459E-2</v>
      </c>
      <c r="CK102" s="2">
        <f>CJ102/CI102</f>
        <v>0.77955240903090994</v>
      </c>
      <c r="CL102" s="2">
        <f>AVERAGE(F741:F760)</f>
        <v>0.79477261432744195</v>
      </c>
      <c r="CM102" s="2">
        <f>AVERAGE(G741:G760)</f>
        <v>1.9755701674430413</v>
      </c>
      <c r="CN102" s="2">
        <f>CM102/(CL102^CK102)</f>
        <v>2.3629707817463155</v>
      </c>
    </row>
    <row r="103" spans="1:92">
      <c r="A103" s="3" t="s">
        <v>76</v>
      </c>
      <c r="B103" s="3" t="s">
        <v>104</v>
      </c>
      <c r="C103" s="3" t="s">
        <v>78</v>
      </c>
      <c r="D103" s="3" t="s">
        <v>75</v>
      </c>
      <c r="E103" s="3">
        <v>6</v>
      </c>
      <c r="F103" s="3">
        <v>0.91045555923640697</v>
      </c>
      <c r="G103" s="3">
        <v>2.3307724041613329</v>
      </c>
      <c r="H103" s="3">
        <f t="shared" si="4"/>
        <v>-9.3810190191395942E-2</v>
      </c>
      <c r="I103" s="3">
        <f t="shared" si="5"/>
        <v>0.84619971657422377</v>
      </c>
      <c r="Q103">
        <f t="shared" si="8"/>
        <v>-9.3810190191395942E-2</v>
      </c>
      <c r="R103">
        <f t="shared" si="9"/>
        <v>0.84619971657422377</v>
      </c>
      <c r="S103">
        <v>2.3307724041613329</v>
      </c>
      <c r="U103">
        <f t="shared" si="10"/>
        <v>0.91045555923640697</v>
      </c>
      <c r="W103">
        <v>2.3307724041613329</v>
      </c>
    </row>
    <row r="104" spans="1:92">
      <c r="A104" s="3" t="s">
        <v>76</v>
      </c>
      <c r="B104" s="3" t="s">
        <v>104</v>
      </c>
      <c r="C104" s="3" t="s">
        <v>78</v>
      </c>
      <c r="D104" s="3" t="s">
        <v>75</v>
      </c>
      <c r="E104" s="3">
        <v>7</v>
      </c>
      <c r="F104" s="3">
        <v>0.89336887889343097</v>
      </c>
      <c r="G104" s="3">
        <v>2.2826519664635692</v>
      </c>
      <c r="H104" s="3">
        <f t="shared" si="4"/>
        <v>-0.11275570513085827</v>
      </c>
      <c r="I104" s="3">
        <f t="shared" si="5"/>
        <v>0.82533791022517244</v>
      </c>
      <c r="Q104">
        <f t="shared" si="8"/>
        <v>-0.11275570513085827</v>
      </c>
      <c r="R104">
        <f t="shared" si="9"/>
        <v>0.82533791022517244</v>
      </c>
      <c r="S104">
        <v>2.2826519664635692</v>
      </c>
      <c r="U104">
        <f t="shared" si="10"/>
        <v>0.89336887889343097</v>
      </c>
      <c r="W104">
        <v>2.2826519664635692</v>
      </c>
      <c r="CG104" t="s">
        <v>118</v>
      </c>
      <c r="CH104" t="s">
        <v>20</v>
      </c>
      <c r="CI104" s="2" t="s">
        <v>64</v>
      </c>
      <c r="CJ104" s="2" t="s">
        <v>65</v>
      </c>
      <c r="CK104" s="2" t="s">
        <v>66</v>
      </c>
      <c r="CL104" s="2" t="s">
        <v>67</v>
      </c>
      <c r="CM104" s="2" t="s">
        <v>68</v>
      </c>
      <c r="CN104" s="2" t="s">
        <v>69</v>
      </c>
    </row>
    <row r="105" spans="1:92">
      <c r="A105" s="3" t="s">
        <v>76</v>
      </c>
      <c r="B105" s="3" t="s">
        <v>104</v>
      </c>
      <c r="C105" s="3" t="s">
        <v>78</v>
      </c>
      <c r="D105" s="3" t="s">
        <v>75</v>
      </c>
      <c r="E105" s="3">
        <v>10</v>
      </c>
      <c r="F105" s="3">
        <v>0.90554813796689204</v>
      </c>
      <c r="G105" s="3">
        <v>2.2313448859376268</v>
      </c>
      <c r="H105" s="3">
        <f t="shared" si="4"/>
        <v>-9.9214841319201233E-2</v>
      </c>
      <c r="I105" s="3">
        <f t="shared" si="5"/>
        <v>0.80260449155203228</v>
      </c>
      <c r="Q105">
        <f t="shared" si="8"/>
        <v>-9.9214841319201233E-2</v>
      </c>
      <c r="R105">
        <f t="shared" si="9"/>
        <v>0.80260449155203228</v>
      </c>
      <c r="S105">
        <v>2.2313448859376268</v>
      </c>
      <c r="U105">
        <f t="shared" si="10"/>
        <v>0.90554813796689204</v>
      </c>
      <c r="W105">
        <v>2.2313448859376268</v>
      </c>
      <c r="CI105" s="2">
        <f>STDEV(H922:H940)</f>
        <v>2.2069409711958463E-2</v>
      </c>
      <c r="CJ105" s="2">
        <f>STDEV(I922:I940)</f>
        <v>1.8741174344983787E-2</v>
      </c>
      <c r="CK105" s="2">
        <f>CJ105/CI105</f>
        <v>0.84919237032555306</v>
      </c>
      <c r="CL105" s="2">
        <f>AVERAGE(F922:F940)</f>
        <v>0.81677906407070566</v>
      </c>
      <c r="CM105" s="2">
        <f>AVERAGE(G922:G940)</f>
        <v>2.1233365373423112</v>
      </c>
      <c r="CN105" s="2">
        <f>CM105/(CL105^CK105)</f>
        <v>2.521499801719933</v>
      </c>
    </row>
    <row r="106" spans="1:92">
      <c r="A106" s="3" t="s">
        <v>76</v>
      </c>
      <c r="B106" s="3" t="s">
        <v>104</v>
      </c>
      <c r="C106" s="3" t="s">
        <v>78</v>
      </c>
      <c r="D106" s="3" t="s">
        <v>75</v>
      </c>
      <c r="E106" s="3">
        <v>11</v>
      </c>
      <c r="F106" s="3">
        <v>0.90343337146516001</v>
      </c>
      <c r="G106" s="3">
        <v>2.3150161986474305</v>
      </c>
      <c r="H106" s="3">
        <f t="shared" si="4"/>
        <v>-0.10155291658872355</v>
      </c>
      <c r="I106" s="3">
        <f t="shared" si="5"/>
        <v>0.83941668476962616</v>
      </c>
      <c r="Q106">
        <f t="shared" si="8"/>
        <v>-0.10155291658872355</v>
      </c>
      <c r="R106">
        <f t="shared" si="9"/>
        <v>0.83941668476962616</v>
      </c>
      <c r="S106">
        <v>2.3150161986474305</v>
      </c>
      <c r="U106">
        <f t="shared" si="10"/>
        <v>0.90343337146516001</v>
      </c>
      <c r="W106">
        <v>2.3150161986474305</v>
      </c>
    </row>
    <row r="107" spans="1:92">
      <c r="A107" s="3" t="s">
        <v>76</v>
      </c>
      <c r="B107" s="3" t="s">
        <v>104</v>
      </c>
      <c r="C107" s="3" t="s">
        <v>78</v>
      </c>
      <c r="D107" s="3" t="s">
        <v>75</v>
      </c>
      <c r="E107" s="3">
        <v>13</v>
      </c>
      <c r="F107" s="3">
        <v>0.89566812059028</v>
      </c>
      <c r="G107" s="3">
        <v>2.2552383466055201</v>
      </c>
      <c r="H107" s="3">
        <f t="shared" si="4"/>
        <v>-0.11018533574956764</v>
      </c>
      <c r="I107" s="3">
        <f t="shared" si="5"/>
        <v>0.81325566431169438</v>
      </c>
      <c r="Q107">
        <f t="shared" si="8"/>
        <v>-0.11018533574956764</v>
      </c>
      <c r="R107">
        <f t="shared" si="9"/>
        <v>0.81325566431169438</v>
      </c>
      <c r="S107">
        <v>2.2552383466055201</v>
      </c>
      <c r="U107">
        <f t="shared" si="10"/>
        <v>0.89566812059028</v>
      </c>
      <c r="W107">
        <v>2.2552383466055201</v>
      </c>
      <c r="CG107" t="s">
        <v>119</v>
      </c>
      <c r="CH107" t="s">
        <v>21</v>
      </c>
      <c r="CI107" s="2" t="s">
        <v>64</v>
      </c>
      <c r="CJ107" s="2" t="s">
        <v>65</v>
      </c>
      <c r="CK107" s="2" t="s">
        <v>66</v>
      </c>
      <c r="CL107" s="2" t="s">
        <v>67</v>
      </c>
      <c r="CM107" s="2" t="s">
        <v>68</v>
      </c>
      <c r="CN107" s="2" t="s">
        <v>69</v>
      </c>
    </row>
    <row r="108" spans="1:92">
      <c r="A108" s="3" t="s">
        <v>76</v>
      </c>
      <c r="B108" s="3" t="s">
        <v>104</v>
      </c>
      <c r="C108" s="3" t="s">
        <v>78</v>
      </c>
      <c r="D108" s="3" t="s">
        <v>75</v>
      </c>
      <c r="E108" s="3">
        <v>14</v>
      </c>
      <c r="F108" s="3">
        <v>0.89269922342333197</v>
      </c>
      <c r="G108" s="3">
        <v>2.3860637040950943</v>
      </c>
      <c r="H108" s="3">
        <f t="shared" si="4"/>
        <v>-0.113505570716173</v>
      </c>
      <c r="I108" s="3">
        <f t="shared" si="5"/>
        <v>0.86964502243711905</v>
      </c>
      <c r="Q108">
        <f t="shared" si="8"/>
        <v>-0.113505570716173</v>
      </c>
      <c r="R108">
        <f t="shared" si="9"/>
        <v>0.86964502243711905</v>
      </c>
      <c r="S108">
        <v>2.3860637040950943</v>
      </c>
      <c r="U108">
        <f t="shared" si="10"/>
        <v>0.89269922342333197</v>
      </c>
      <c r="W108">
        <v>2.3860637040950943</v>
      </c>
      <c r="CI108" s="2">
        <f>STDEV(H941:H959)</f>
        <v>2.2944999648886726E-2</v>
      </c>
      <c r="CJ108" s="2">
        <f>STDEV(I941:I959)</f>
        <v>1.3646973281357482E-2</v>
      </c>
      <c r="CK108" s="2">
        <f>CJ108/CI108</f>
        <v>0.59476894705551342</v>
      </c>
      <c r="CL108" s="2">
        <f>AVERAGE(F941:F959)</f>
        <v>0.80973695474119811</v>
      </c>
      <c r="CM108" s="2">
        <f>AVERAGE(G941:G959)</f>
        <v>2.1318207168245062</v>
      </c>
      <c r="CN108" s="2">
        <f>CM108/(CL108^CK108)</f>
        <v>2.4169342980297261</v>
      </c>
    </row>
    <row r="109" spans="1:92">
      <c r="A109" s="3" t="s">
        <v>76</v>
      </c>
      <c r="B109" s="3" t="s">
        <v>104</v>
      </c>
      <c r="C109" s="3" t="s">
        <v>78</v>
      </c>
      <c r="D109" s="3" t="s">
        <v>75</v>
      </c>
      <c r="E109" s="3">
        <v>15</v>
      </c>
      <c r="F109" s="3">
        <v>0.90464263556068203</v>
      </c>
      <c r="G109" s="3">
        <v>2.3193102422918757</v>
      </c>
      <c r="H109" s="3">
        <f t="shared" si="4"/>
        <v>-0.10021529110049346</v>
      </c>
      <c r="I109" s="3">
        <f t="shared" si="5"/>
        <v>0.84126983211607964</v>
      </c>
      <c r="Q109">
        <f t="shared" si="8"/>
        <v>-0.10021529110049346</v>
      </c>
      <c r="R109">
        <f t="shared" si="9"/>
        <v>0.84126983211607964</v>
      </c>
      <c r="S109">
        <v>2.3193102422918757</v>
      </c>
      <c r="U109">
        <f t="shared" si="10"/>
        <v>0.90464263556068203</v>
      </c>
      <c r="W109">
        <v>2.3193102422918757</v>
      </c>
    </row>
    <row r="110" spans="1:92">
      <c r="A110" s="3" t="s">
        <v>76</v>
      </c>
      <c r="B110" s="3" t="s">
        <v>104</v>
      </c>
      <c r="C110" s="3" t="s">
        <v>78</v>
      </c>
      <c r="D110" s="3" t="s">
        <v>75</v>
      </c>
      <c r="E110" s="3">
        <v>17</v>
      </c>
      <c r="F110" s="3">
        <v>0.91094095941382103</v>
      </c>
      <c r="G110" s="3">
        <v>2.2552383466055201</v>
      </c>
      <c r="H110" s="3">
        <f t="shared" si="4"/>
        <v>-9.3277192369191825E-2</v>
      </c>
      <c r="I110" s="3">
        <f t="shared" si="5"/>
        <v>0.81325566431169438</v>
      </c>
      <c r="Q110">
        <f t="shared" si="8"/>
        <v>-9.3277192369191825E-2</v>
      </c>
      <c r="R110">
        <f t="shared" si="9"/>
        <v>0.81325566431169438</v>
      </c>
      <c r="S110">
        <v>2.2552383466055201</v>
      </c>
      <c r="U110">
        <f t="shared" si="10"/>
        <v>0.91094095941382103</v>
      </c>
      <c r="W110">
        <v>2.2552383466055201</v>
      </c>
      <c r="CG110" t="s">
        <v>120</v>
      </c>
      <c r="CH110" t="s">
        <v>22</v>
      </c>
      <c r="CI110" s="2" t="s">
        <v>64</v>
      </c>
      <c r="CJ110" s="2" t="s">
        <v>65</v>
      </c>
      <c r="CK110" s="2" t="s">
        <v>66</v>
      </c>
      <c r="CL110" s="2" t="s">
        <v>67</v>
      </c>
      <c r="CM110" s="2" t="s">
        <v>68</v>
      </c>
      <c r="CN110" s="2" t="s">
        <v>69</v>
      </c>
    </row>
    <row r="111" spans="1:92">
      <c r="A111" s="3" t="s">
        <v>76</v>
      </c>
      <c r="B111" s="3" t="s">
        <v>104</v>
      </c>
      <c r="C111" s="3" t="s">
        <v>78</v>
      </c>
      <c r="D111" s="3" t="s">
        <v>75</v>
      </c>
      <c r="E111" s="3">
        <v>19</v>
      </c>
      <c r="F111" s="3">
        <v>0.89727116803623597</v>
      </c>
      <c r="G111" s="3">
        <v>2.3404700382615458</v>
      </c>
      <c r="H111" s="3">
        <f t="shared" si="4"/>
        <v>-0.10839715710539238</v>
      </c>
      <c r="I111" s="3">
        <f t="shared" si="5"/>
        <v>0.85035178024966418</v>
      </c>
      <c r="Q111">
        <f t="shared" si="8"/>
        <v>-0.10839715710539238</v>
      </c>
      <c r="R111">
        <f t="shared" si="9"/>
        <v>0.85035178024966418</v>
      </c>
      <c r="S111">
        <v>2.3404700382615458</v>
      </c>
      <c r="U111">
        <f t="shared" si="10"/>
        <v>0.89727116803623597</v>
      </c>
      <c r="W111">
        <v>2.3404700382615458</v>
      </c>
      <c r="CI111" s="2">
        <f>STDEV(H1127:H1146)</f>
        <v>2.1846214352357857E-2</v>
      </c>
      <c r="CJ111" s="2">
        <f>STDEV(I1127:I1146)</f>
        <v>2.4508518937630647E-2</v>
      </c>
      <c r="CK111" s="2">
        <f>CJ111/CI111</f>
        <v>1.1218657174342632</v>
      </c>
      <c r="CL111" s="2">
        <f>AVERAGE(F1127:F1146)</f>
        <v>0.82522677022728264</v>
      </c>
      <c r="CM111" s="2">
        <f>AVERAGE(G1127:G1146)</f>
        <v>2.243327593363464</v>
      </c>
      <c r="CN111" s="2">
        <f>CM111/(CL111^CK111)</f>
        <v>2.7828272280869393</v>
      </c>
    </row>
    <row r="112" spans="1:92">
      <c r="A112" s="3" t="s">
        <v>76</v>
      </c>
      <c r="B112" s="3" t="s">
        <v>104</v>
      </c>
      <c r="C112" s="3" t="s">
        <v>78</v>
      </c>
      <c r="D112" s="3" t="s">
        <v>75</v>
      </c>
      <c r="E112" s="3">
        <v>20</v>
      </c>
      <c r="F112" s="3">
        <v>0.90352500806158398</v>
      </c>
      <c r="G112" s="3">
        <v>2.3084626919229168</v>
      </c>
      <c r="H112" s="3">
        <f t="shared" si="4"/>
        <v>-0.10145149023874139</v>
      </c>
      <c r="I112" s="3">
        <f t="shared" si="5"/>
        <v>0.83658180165732254</v>
      </c>
      <c r="Q112">
        <f t="shared" si="8"/>
        <v>-0.10145149023874139</v>
      </c>
      <c r="R112">
        <f t="shared" si="9"/>
        <v>0.83658180165732254</v>
      </c>
      <c r="S112">
        <v>2.3084626919229168</v>
      </c>
      <c r="U112">
        <f t="shared" si="10"/>
        <v>0.90352500806158398</v>
      </c>
      <c r="W112">
        <v>2.3084626919229168</v>
      </c>
    </row>
    <row r="113" spans="1:92">
      <c r="A113" s="3" t="s">
        <v>76</v>
      </c>
      <c r="B113" s="3" t="s">
        <v>104</v>
      </c>
      <c r="C113" s="3" t="s">
        <v>78</v>
      </c>
      <c r="D113" s="3" t="s">
        <v>75</v>
      </c>
      <c r="E113" s="3">
        <v>21</v>
      </c>
      <c r="F113" s="3">
        <v>0.90016477083733804</v>
      </c>
      <c r="G113" s="3">
        <v>2.308246087400561</v>
      </c>
      <c r="H113" s="3">
        <f t="shared" si="4"/>
        <v>-0.10517745370653443</v>
      </c>
      <c r="I113" s="3">
        <f t="shared" si="5"/>
        <v>0.8364879666190439</v>
      </c>
      <c r="Q113">
        <f t="shared" si="8"/>
        <v>-0.10517745370653443</v>
      </c>
      <c r="R113">
        <f t="shared" si="9"/>
        <v>0.8364879666190439</v>
      </c>
      <c r="S113">
        <v>2.308246087400561</v>
      </c>
      <c r="U113">
        <f t="shared" si="10"/>
        <v>0.90016477083733804</v>
      </c>
      <c r="W113">
        <v>2.308246087400561</v>
      </c>
      <c r="CG113" t="s">
        <v>121</v>
      </c>
      <c r="CH113" t="s">
        <v>23</v>
      </c>
      <c r="CI113" s="2" t="s">
        <v>64</v>
      </c>
      <c r="CJ113" s="2" t="s">
        <v>65</v>
      </c>
      <c r="CK113" s="2" t="s">
        <v>66</v>
      </c>
      <c r="CL113" s="2" t="s">
        <v>67</v>
      </c>
      <c r="CM113" s="2" t="s">
        <v>68</v>
      </c>
      <c r="CN113" s="2" t="s">
        <v>69</v>
      </c>
    </row>
    <row r="114" spans="1:92">
      <c r="A114" s="3" t="s">
        <v>76</v>
      </c>
      <c r="B114" s="3" t="s">
        <v>104</v>
      </c>
      <c r="C114" s="3" t="s">
        <v>78</v>
      </c>
      <c r="D114" s="3" t="s">
        <v>75</v>
      </c>
      <c r="E114" s="3">
        <v>22</v>
      </c>
      <c r="F114" s="3">
        <v>0.90170022508328496</v>
      </c>
      <c r="G114" s="3">
        <v>2.3138712150852303</v>
      </c>
      <c r="H114" s="3">
        <f t="shared" si="4"/>
        <v>-0.10347315885527475</v>
      </c>
      <c r="I114" s="3">
        <f t="shared" si="5"/>
        <v>0.83892197254908041</v>
      </c>
      <c r="Q114">
        <f t="shared" si="8"/>
        <v>-0.10347315885527475</v>
      </c>
      <c r="R114">
        <f t="shared" si="9"/>
        <v>0.83892197254908041</v>
      </c>
      <c r="S114">
        <v>2.3138712150852303</v>
      </c>
      <c r="U114">
        <f t="shared" si="10"/>
        <v>0.90170022508328496</v>
      </c>
      <c r="W114">
        <v>2.3138712150852303</v>
      </c>
      <c r="CI114" s="2">
        <f>STDEV(H1147:H1166)</f>
        <v>1.9444217326043695E-2</v>
      </c>
      <c r="CJ114" s="2">
        <f>STDEV(I1147:I1166)</f>
        <v>2.8120423210350978E-2</v>
      </c>
      <c r="CK114" s="2">
        <f>CJ114/CI114</f>
        <v>1.4462100859511751</v>
      </c>
      <c r="CL114" s="2">
        <f>AVERAGE(F1147:F1166)</f>
        <v>0.83442321321819402</v>
      </c>
      <c r="CM114" s="2">
        <f>AVERAGE(G1147:G1166)</f>
        <v>2.2275171594711956</v>
      </c>
      <c r="CN114" s="2">
        <f>CM114/(CL114^CK114)</f>
        <v>2.8940955943286428</v>
      </c>
    </row>
    <row r="115" spans="1:92">
      <c r="A115" s="3" t="s">
        <v>76</v>
      </c>
      <c r="B115" s="3" t="s">
        <v>104</v>
      </c>
      <c r="C115" s="3" t="s">
        <v>78</v>
      </c>
      <c r="D115" s="3" t="s">
        <v>75</v>
      </c>
      <c r="E115" s="3">
        <v>23</v>
      </c>
      <c r="F115" s="3">
        <v>0.87784469825709899</v>
      </c>
      <c r="G115" s="3">
        <v>2.2840534144367117</v>
      </c>
      <c r="H115" s="3">
        <f t="shared" si="4"/>
        <v>-0.13028558224850623</v>
      </c>
      <c r="I115" s="3">
        <f t="shared" si="5"/>
        <v>0.82595167787613544</v>
      </c>
      <c r="Q115">
        <f t="shared" si="8"/>
        <v>-0.13028558224850623</v>
      </c>
      <c r="R115">
        <f t="shared" si="9"/>
        <v>0.82595167787613544</v>
      </c>
      <c r="S115">
        <v>2.2840534144367117</v>
      </c>
      <c r="U115">
        <f t="shared" si="10"/>
        <v>0.87784469825709899</v>
      </c>
      <c r="W115">
        <v>2.2840534144367117</v>
      </c>
    </row>
    <row r="116" spans="1:92">
      <c r="A116" s="3" t="s">
        <v>76</v>
      </c>
      <c r="B116" s="3" t="s">
        <v>104</v>
      </c>
      <c r="C116" s="3" t="s">
        <v>78</v>
      </c>
      <c r="D116" s="3" t="s">
        <v>75</v>
      </c>
      <c r="E116" s="3">
        <v>24</v>
      </c>
      <c r="F116" s="3">
        <v>0.902254489228282</v>
      </c>
      <c r="G116" s="3">
        <v>2.276532450899833</v>
      </c>
      <c r="H116" s="3">
        <f t="shared" si="4"/>
        <v>-0.10285865987917399</v>
      </c>
      <c r="I116" s="3">
        <f t="shared" si="5"/>
        <v>0.82265343042417161</v>
      </c>
      <c r="Q116">
        <f t="shared" si="8"/>
        <v>-0.10285865987917399</v>
      </c>
      <c r="R116">
        <f t="shared" si="9"/>
        <v>0.82265343042417161</v>
      </c>
      <c r="S116">
        <v>2.276532450899833</v>
      </c>
      <c r="U116">
        <f t="shared" si="10"/>
        <v>0.902254489228282</v>
      </c>
      <c r="W116">
        <v>2.276532450899833</v>
      </c>
      <c r="CG116" t="s">
        <v>122</v>
      </c>
      <c r="CH116" t="s">
        <v>24</v>
      </c>
      <c r="CI116" s="2" t="s">
        <v>64</v>
      </c>
      <c r="CJ116" s="2" t="s">
        <v>65</v>
      </c>
      <c r="CK116" s="2" t="s">
        <v>66</v>
      </c>
      <c r="CL116" s="2" t="s">
        <v>67</v>
      </c>
      <c r="CM116" s="2" t="s">
        <v>68</v>
      </c>
      <c r="CN116" s="2" t="s">
        <v>69</v>
      </c>
    </row>
    <row r="117" spans="1:92">
      <c r="A117" s="3" t="s">
        <v>76</v>
      </c>
      <c r="B117" s="3" t="s">
        <v>105</v>
      </c>
      <c r="C117" s="3" t="s">
        <v>78</v>
      </c>
      <c r="D117" s="3" t="s">
        <v>79</v>
      </c>
      <c r="E117" s="3">
        <v>1</v>
      </c>
      <c r="F117" s="3">
        <v>0.88857949556772298</v>
      </c>
      <c r="G117" s="3">
        <v>2.327101201065394</v>
      </c>
      <c r="H117" s="3">
        <f t="shared" si="4"/>
        <v>-0.11813116373224253</v>
      </c>
      <c r="I117" s="3">
        <f t="shared" si="5"/>
        <v>0.8446233733037577</v>
      </c>
      <c r="Q117">
        <f t="shared" si="8"/>
        <v>-0.11813116373224253</v>
      </c>
      <c r="R117">
        <f t="shared" si="9"/>
        <v>0.8446233733037577</v>
      </c>
      <c r="S117">
        <v>2.327101201065394</v>
      </c>
      <c r="U117">
        <f t="shared" si="10"/>
        <v>0.88857949556772298</v>
      </c>
      <c r="W117">
        <v>2.327101201065394</v>
      </c>
      <c r="CI117" s="2">
        <f>STDEV(H761:H779)</f>
        <v>2.6818390707504188E-2</v>
      </c>
      <c r="CJ117" s="2">
        <f>STDEV(I761:I779)</f>
        <v>1.9528221055439512E-2</v>
      </c>
      <c r="CK117" s="2">
        <f>CJ117/CI117</f>
        <v>0.72816528286222715</v>
      </c>
      <c r="CL117" s="2">
        <f>AVERAGE(F761:F779)</f>
        <v>0.76558286144032694</v>
      </c>
      <c r="CM117" s="2">
        <f>AVERAGE(G761:G779)</f>
        <v>1.9264507985170454</v>
      </c>
      <c r="CN117" s="2">
        <f>CM117/(CL117^CK117)</f>
        <v>2.3400803630411011</v>
      </c>
    </row>
    <row r="118" spans="1:92">
      <c r="A118" s="3" t="s">
        <v>76</v>
      </c>
      <c r="B118" s="3" t="s">
        <v>105</v>
      </c>
      <c r="C118" s="3" t="s">
        <v>78</v>
      </c>
      <c r="D118" s="3" t="s">
        <v>79</v>
      </c>
      <c r="E118" s="3">
        <v>2</v>
      </c>
      <c r="F118" s="3">
        <v>0.89591894340363498</v>
      </c>
      <c r="G118" s="3">
        <v>2.3424132854814497</v>
      </c>
      <c r="H118" s="3">
        <f t="shared" si="4"/>
        <v>-0.10990533505070733</v>
      </c>
      <c r="I118" s="3">
        <f t="shared" si="5"/>
        <v>0.85118171650777796</v>
      </c>
      <c r="Q118">
        <f t="shared" si="8"/>
        <v>-0.10990533505070733</v>
      </c>
      <c r="R118">
        <f t="shared" si="9"/>
        <v>0.85118171650777796</v>
      </c>
      <c r="S118">
        <v>2.3424132854814497</v>
      </c>
      <c r="U118">
        <f t="shared" si="10"/>
        <v>0.89591894340363498</v>
      </c>
      <c r="W118">
        <v>2.3424132854814497</v>
      </c>
    </row>
    <row r="119" spans="1:92">
      <c r="A119" s="3" t="s">
        <v>76</v>
      </c>
      <c r="B119" s="3" t="s">
        <v>105</v>
      </c>
      <c r="C119" s="3" t="s">
        <v>78</v>
      </c>
      <c r="D119" s="3" t="s">
        <v>79</v>
      </c>
      <c r="E119" s="3">
        <v>3</v>
      </c>
      <c r="F119" s="3">
        <v>0.92165780403681297</v>
      </c>
      <c r="G119" s="3">
        <v>2.3780033641691931</v>
      </c>
      <c r="H119" s="3">
        <f t="shared" si="4"/>
        <v>-8.1581269613303364E-2</v>
      </c>
      <c r="I119" s="3">
        <f t="shared" si="5"/>
        <v>0.86626121297288505</v>
      </c>
      <c r="Q119">
        <f t="shared" si="8"/>
        <v>-8.1581269613303364E-2</v>
      </c>
      <c r="R119">
        <f t="shared" si="9"/>
        <v>0.86626121297288505</v>
      </c>
      <c r="S119">
        <v>2.3780033641691931</v>
      </c>
      <c r="U119">
        <f t="shared" si="10"/>
        <v>0.92165780403681297</v>
      </c>
      <c r="W119">
        <v>2.3780033641691931</v>
      </c>
      <c r="CG119" t="s">
        <v>123</v>
      </c>
      <c r="CH119" t="s">
        <v>25</v>
      </c>
      <c r="CI119" s="2" t="s">
        <v>64</v>
      </c>
      <c r="CJ119" s="2" t="s">
        <v>65</v>
      </c>
      <c r="CK119" s="2" t="s">
        <v>66</v>
      </c>
      <c r="CL119" s="2" t="s">
        <v>67</v>
      </c>
      <c r="CM119" s="2" t="s">
        <v>68</v>
      </c>
      <c r="CN119" s="2" t="s">
        <v>69</v>
      </c>
    </row>
    <row r="120" spans="1:92">
      <c r="A120" s="3" t="s">
        <v>76</v>
      </c>
      <c r="B120" s="3" t="s">
        <v>105</v>
      </c>
      <c r="C120" s="3" t="s">
        <v>78</v>
      </c>
      <c r="D120" s="3" t="s">
        <v>79</v>
      </c>
      <c r="E120" s="3">
        <v>4</v>
      </c>
      <c r="F120" s="3">
        <v>0.90915055210668605</v>
      </c>
      <c r="G120" s="3">
        <v>2.4041630560342613</v>
      </c>
      <c r="H120" s="3">
        <f t="shared" si="4"/>
        <v>-9.5244574639036128E-2</v>
      </c>
      <c r="I120" s="3">
        <f t="shared" si="5"/>
        <v>0.87720184134214296</v>
      </c>
      <c r="Q120">
        <f t="shared" si="8"/>
        <v>-9.5244574639036128E-2</v>
      </c>
      <c r="R120">
        <f t="shared" si="9"/>
        <v>0.87720184134214296</v>
      </c>
      <c r="S120">
        <v>2.4041630560342613</v>
      </c>
      <c r="U120">
        <f t="shared" si="10"/>
        <v>0.90915055210668605</v>
      </c>
      <c r="W120">
        <v>2.4041630560342613</v>
      </c>
      <c r="CI120" s="2">
        <f>STDEV(H780:H799)</f>
        <v>2.1298853519883497E-2</v>
      </c>
      <c r="CJ120" s="2">
        <f>STDEV(I780:I799)</f>
        <v>2.4366958900127186E-2</v>
      </c>
      <c r="CK120" s="2">
        <f>CJ120/CI120</f>
        <v>1.1440502596714639</v>
      </c>
      <c r="CL120" s="2">
        <f>AVERAGE(F780:F799)</f>
        <v>0.77029331897432507</v>
      </c>
      <c r="CM120" s="2">
        <f>AVERAGE(G780:G799)</f>
        <v>1.8984931480982126</v>
      </c>
      <c r="CN120" s="2">
        <f>CM120/(CL120^CK120)</f>
        <v>2.5590579269955613</v>
      </c>
    </row>
    <row r="121" spans="1:92">
      <c r="A121" s="3" t="s">
        <v>76</v>
      </c>
      <c r="B121" s="3" t="s">
        <v>105</v>
      </c>
      <c r="C121" s="3" t="s">
        <v>78</v>
      </c>
      <c r="D121" s="3" t="s">
        <v>79</v>
      </c>
      <c r="E121" s="3">
        <v>5</v>
      </c>
      <c r="F121" s="3">
        <v>0.90378718472733299</v>
      </c>
      <c r="G121" s="3">
        <v>2.3259406699226011</v>
      </c>
      <c r="H121" s="3">
        <f t="shared" si="4"/>
        <v>-0.10116136142908234</v>
      </c>
      <c r="I121" s="3">
        <f t="shared" si="5"/>
        <v>0.84412454642919488</v>
      </c>
      <c r="Q121">
        <f t="shared" si="8"/>
        <v>-0.10116136142908234</v>
      </c>
      <c r="R121">
        <f t="shared" si="9"/>
        <v>0.84412454642919488</v>
      </c>
      <c r="S121">
        <v>2.3259406699226011</v>
      </c>
      <c r="U121">
        <f t="shared" si="10"/>
        <v>0.90378718472733299</v>
      </c>
      <c r="W121">
        <v>2.3259406699226011</v>
      </c>
    </row>
    <row r="122" spans="1:92">
      <c r="A122" s="3" t="s">
        <v>76</v>
      </c>
      <c r="B122" s="3" t="s">
        <v>105</v>
      </c>
      <c r="C122" s="3" t="s">
        <v>78</v>
      </c>
      <c r="D122" s="3" t="s">
        <v>79</v>
      </c>
      <c r="E122" s="3">
        <v>7</v>
      </c>
      <c r="F122" s="3">
        <v>0.89189618407925497</v>
      </c>
      <c r="G122" s="3">
        <v>2.3786130412490385</v>
      </c>
      <c r="H122" s="3">
        <f t="shared" si="4"/>
        <v>-0.11440553873682602</v>
      </c>
      <c r="I122" s="3">
        <f t="shared" si="5"/>
        <v>0.8665175620375225</v>
      </c>
      <c r="Q122">
        <f t="shared" si="8"/>
        <v>-0.11440553873682602</v>
      </c>
      <c r="R122">
        <f t="shared" si="9"/>
        <v>0.8665175620375225</v>
      </c>
      <c r="S122">
        <v>2.3786130412490385</v>
      </c>
      <c r="U122">
        <f t="shared" si="10"/>
        <v>0.89189618407925497</v>
      </c>
      <c r="W122">
        <v>2.3786130412490385</v>
      </c>
      <c r="CG122" t="s">
        <v>124</v>
      </c>
      <c r="CH122" t="s">
        <v>26</v>
      </c>
      <c r="CI122" s="2" t="s">
        <v>64</v>
      </c>
      <c r="CJ122" s="2" t="s">
        <v>65</v>
      </c>
      <c r="CK122" s="2" t="s">
        <v>66</v>
      </c>
      <c r="CL122" s="2" t="s">
        <v>67</v>
      </c>
      <c r="CM122" s="2" t="s">
        <v>68</v>
      </c>
      <c r="CN122" s="2" t="s">
        <v>69</v>
      </c>
    </row>
    <row r="123" spans="1:92">
      <c r="A123" s="3" t="s">
        <v>76</v>
      </c>
      <c r="B123" s="3" t="s">
        <v>105</v>
      </c>
      <c r="C123" s="3" t="s">
        <v>78</v>
      </c>
      <c r="D123" s="3" t="s">
        <v>79</v>
      </c>
      <c r="E123" s="3">
        <v>8</v>
      </c>
      <c r="F123" s="3">
        <v>0.88595680607402505</v>
      </c>
      <c r="G123" s="3">
        <v>2.2622555116520329</v>
      </c>
      <c r="H123" s="3">
        <f t="shared" si="4"/>
        <v>-0.12108708117490698</v>
      </c>
      <c r="I123" s="3">
        <f t="shared" si="5"/>
        <v>0.81636232960464483</v>
      </c>
      <c r="Q123">
        <f t="shared" si="8"/>
        <v>-0.12108708117490698</v>
      </c>
      <c r="R123">
        <f t="shared" si="9"/>
        <v>0.81636232960464483</v>
      </c>
      <c r="S123">
        <v>2.2622555116520329</v>
      </c>
      <c r="U123">
        <f t="shared" si="10"/>
        <v>0.88595680607402505</v>
      </c>
      <c r="W123">
        <v>2.2622555116520329</v>
      </c>
      <c r="CI123" s="2">
        <f>STDEV(H960:H979)</f>
        <v>1.6838727263767801E-2</v>
      </c>
      <c r="CJ123" s="2">
        <f>STDEV(I960:I979)</f>
        <v>2.6855247965721196E-2</v>
      </c>
      <c r="CK123" s="2">
        <f>CJ123/CI123</f>
        <v>1.5948502250230117</v>
      </c>
      <c r="CL123" s="2">
        <f>AVERAGE(F960:F979)</f>
        <v>0.81392680539458362</v>
      </c>
      <c r="CM123" s="2">
        <f>AVERAGE(G960:G979)</f>
        <v>2.076926748418999</v>
      </c>
      <c r="CN123" s="2">
        <f>CM123/(CL123^CK123)</f>
        <v>2.884191893301177</v>
      </c>
    </row>
    <row r="124" spans="1:92">
      <c r="A124" s="3" t="s">
        <v>76</v>
      </c>
      <c r="B124" s="3" t="s">
        <v>105</v>
      </c>
      <c r="C124" s="3" t="s">
        <v>78</v>
      </c>
      <c r="D124" s="3" t="s">
        <v>79</v>
      </c>
      <c r="E124" s="3">
        <v>9</v>
      </c>
      <c r="F124" s="3">
        <v>0.90007962544120701</v>
      </c>
      <c r="G124" s="3">
        <v>2.3360008561642269</v>
      </c>
      <c r="H124" s="3">
        <f t="shared" si="4"/>
        <v>-0.10527204685885368</v>
      </c>
      <c r="I124" s="3">
        <f t="shared" si="5"/>
        <v>0.84844043147457227</v>
      </c>
      <c r="Q124">
        <f t="shared" si="8"/>
        <v>-0.10527204685885368</v>
      </c>
      <c r="R124">
        <f t="shared" si="9"/>
        <v>0.84844043147457227</v>
      </c>
      <c r="S124">
        <v>2.3360008561642269</v>
      </c>
      <c r="U124">
        <f t="shared" si="10"/>
        <v>0.90007962544120701</v>
      </c>
      <c r="W124">
        <v>2.3360008561642269</v>
      </c>
    </row>
    <row r="125" spans="1:92">
      <c r="A125" s="3" t="s">
        <v>76</v>
      </c>
      <c r="B125" s="3" t="s">
        <v>105</v>
      </c>
      <c r="C125" s="3" t="s">
        <v>78</v>
      </c>
      <c r="D125" s="3" t="s">
        <v>79</v>
      </c>
      <c r="E125" s="3">
        <v>10</v>
      </c>
      <c r="F125" s="3">
        <v>0.88474927741179998</v>
      </c>
      <c r="G125" s="3">
        <v>2.2466196829904255</v>
      </c>
      <c r="H125" s="3">
        <f t="shared" si="4"/>
        <v>-0.12245097647144995</v>
      </c>
      <c r="I125" s="3">
        <f t="shared" si="5"/>
        <v>0.80942672342189659</v>
      </c>
      <c r="Q125">
        <f t="shared" si="8"/>
        <v>-0.12245097647144995</v>
      </c>
      <c r="R125">
        <f t="shared" si="9"/>
        <v>0.80942672342189659</v>
      </c>
      <c r="S125">
        <v>2.2466196829904255</v>
      </c>
      <c r="U125">
        <f t="shared" si="10"/>
        <v>0.88474927741179998</v>
      </c>
      <c r="W125">
        <v>2.2466196829904255</v>
      </c>
      <c r="CG125" t="s">
        <v>125</v>
      </c>
      <c r="CH125" t="s">
        <v>27</v>
      </c>
      <c r="CI125" s="2" t="s">
        <v>64</v>
      </c>
      <c r="CJ125" s="2" t="s">
        <v>65</v>
      </c>
      <c r="CK125" s="2" t="s">
        <v>66</v>
      </c>
      <c r="CL125" s="2" t="s">
        <v>67</v>
      </c>
      <c r="CM125" s="2" t="s">
        <v>68</v>
      </c>
      <c r="CN125" s="2" t="s">
        <v>69</v>
      </c>
    </row>
    <row r="126" spans="1:92">
      <c r="A126" s="3" t="s">
        <v>76</v>
      </c>
      <c r="B126" s="3" t="s">
        <v>105</v>
      </c>
      <c r="C126" s="3" t="s">
        <v>78</v>
      </c>
      <c r="D126" s="3" t="s">
        <v>79</v>
      </c>
      <c r="E126" s="3">
        <v>12</v>
      </c>
      <c r="F126" s="3">
        <v>0.87347775464178001</v>
      </c>
      <c r="G126" s="3">
        <v>2.300195643852931</v>
      </c>
      <c r="H126" s="3">
        <f t="shared" si="4"/>
        <v>-0.13527261665643475</v>
      </c>
      <c r="I126" s="3">
        <f t="shared" si="5"/>
        <v>0.8329941818622435</v>
      </c>
      <c r="Q126">
        <f t="shared" si="8"/>
        <v>-0.13527261665643475</v>
      </c>
      <c r="R126">
        <f t="shared" si="9"/>
        <v>0.8329941818622435</v>
      </c>
      <c r="S126">
        <v>2.300195643852931</v>
      </c>
      <c r="U126">
        <f t="shared" si="10"/>
        <v>0.87347775464178001</v>
      </c>
      <c r="W126">
        <v>2.300195643852931</v>
      </c>
      <c r="CI126" s="2">
        <f>STDEV(H980:H1000)</f>
        <v>1.8786562364293047E-2</v>
      </c>
      <c r="CJ126" s="2">
        <f>STDEV(I980:I1000)</f>
        <v>1.5476873093930588E-2</v>
      </c>
      <c r="CK126" s="2">
        <f>CJ126/CI126</f>
        <v>0.82382677542683014</v>
      </c>
      <c r="CL126" s="2">
        <f>AVERAGE(F980:F1000)</f>
        <v>0.8058153826501514</v>
      </c>
      <c r="CM126" s="2">
        <f>AVERAGE(G980:G1000)</f>
        <v>2.0618820936041828</v>
      </c>
      <c r="CN126" s="2">
        <f>CM126/(CL126^CK126)</f>
        <v>2.4632556552365923</v>
      </c>
    </row>
    <row r="127" spans="1:92">
      <c r="A127" s="3" t="s">
        <v>76</v>
      </c>
      <c r="B127" s="3" t="s">
        <v>105</v>
      </c>
      <c r="C127" s="3" t="s">
        <v>78</v>
      </c>
      <c r="D127" s="3" t="s">
        <v>79</v>
      </c>
      <c r="E127" s="3">
        <v>13</v>
      </c>
      <c r="F127" s="3">
        <v>0.89227720672811695</v>
      </c>
      <c r="G127" s="3">
        <v>2.2812277396174192</v>
      </c>
      <c r="H127" s="3">
        <f t="shared" si="4"/>
        <v>-0.11397842480651241</v>
      </c>
      <c r="I127" s="3">
        <f t="shared" si="5"/>
        <v>0.82471378032512943</v>
      </c>
      <c r="Q127">
        <f t="shared" si="8"/>
        <v>-0.11397842480651241</v>
      </c>
      <c r="R127">
        <f t="shared" si="9"/>
        <v>0.82471378032512943</v>
      </c>
      <c r="S127">
        <v>2.2812277396174192</v>
      </c>
      <c r="U127">
        <f t="shared" si="10"/>
        <v>0.89227720672811695</v>
      </c>
      <c r="W127">
        <v>2.2812277396174192</v>
      </c>
    </row>
    <row r="128" spans="1:92">
      <c r="A128" s="3" t="s">
        <v>76</v>
      </c>
      <c r="B128" s="3" t="s">
        <v>105</v>
      </c>
      <c r="C128" s="3" t="s">
        <v>78</v>
      </c>
      <c r="D128" s="3" t="s">
        <v>79</v>
      </c>
      <c r="E128" s="3">
        <v>16</v>
      </c>
      <c r="F128" s="3">
        <v>0.88676712707772198</v>
      </c>
      <c r="G128" s="3">
        <v>2.2177466041006579</v>
      </c>
      <c r="H128" s="3">
        <f t="shared" si="4"/>
        <v>-0.120172871077124</v>
      </c>
      <c r="I128" s="3">
        <f t="shared" si="5"/>
        <v>0.79649163718106986</v>
      </c>
      <c r="Q128">
        <f t="shared" si="8"/>
        <v>-0.120172871077124</v>
      </c>
      <c r="R128">
        <f t="shared" si="9"/>
        <v>0.79649163718106986</v>
      </c>
      <c r="S128">
        <v>2.2177466041006579</v>
      </c>
      <c r="U128">
        <f t="shared" si="10"/>
        <v>0.88676712707772198</v>
      </c>
      <c r="W128">
        <v>2.2177466041006579</v>
      </c>
      <c r="CG128" t="s">
        <v>126</v>
      </c>
      <c r="CH128" t="s">
        <v>28</v>
      </c>
      <c r="CI128" s="2" t="s">
        <v>64</v>
      </c>
      <c r="CJ128" s="2" t="s">
        <v>65</v>
      </c>
      <c r="CK128" s="2" t="s">
        <v>66</v>
      </c>
      <c r="CL128" s="2" t="s">
        <v>67</v>
      </c>
      <c r="CM128" s="2" t="s">
        <v>68</v>
      </c>
      <c r="CN128" s="2" t="s">
        <v>69</v>
      </c>
    </row>
    <row r="129" spans="1:92">
      <c r="A129" s="3" t="s">
        <v>76</v>
      </c>
      <c r="B129" s="3" t="s">
        <v>105</v>
      </c>
      <c r="C129" s="3" t="s">
        <v>78</v>
      </c>
      <c r="D129" s="3" t="s">
        <v>79</v>
      </c>
      <c r="E129" s="3">
        <v>18</v>
      </c>
      <c r="F129" s="3">
        <v>0.88842909335030895</v>
      </c>
      <c r="G129" s="3">
        <v>2.2240728405337808</v>
      </c>
      <c r="H129" s="3">
        <f t="shared" si="4"/>
        <v>-0.11830043946755536</v>
      </c>
      <c r="I129" s="3">
        <f t="shared" si="5"/>
        <v>0.79934012789057018</v>
      </c>
      <c r="Q129">
        <f t="shared" si="8"/>
        <v>-0.11830043946755536</v>
      </c>
      <c r="R129">
        <f t="shared" si="9"/>
        <v>0.79934012789057018</v>
      </c>
      <c r="S129">
        <v>2.2240728405337808</v>
      </c>
      <c r="U129">
        <f t="shared" si="10"/>
        <v>0.88842909335030895</v>
      </c>
      <c r="W129">
        <v>2.2240728405337808</v>
      </c>
      <c r="CI129" s="2">
        <f>STDEV(H1167:H1186)</f>
        <v>2.0084157588630639E-2</v>
      </c>
      <c r="CJ129" s="2">
        <f>STDEV(I1167:I1186)</f>
        <v>2.5740838182715452E-2</v>
      </c>
      <c r="CK129" s="2">
        <f>CJ129/CI129</f>
        <v>1.2816488851534893</v>
      </c>
      <c r="CL129" s="2">
        <f>AVERAGE(F1167:F1186)</f>
        <v>0.82757059364079844</v>
      </c>
      <c r="CM129" s="2">
        <f>AVERAGE(G1167:G1186)</f>
        <v>2.1927853606022709</v>
      </c>
      <c r="CN129" s="2">
        <f>CM129/(CL129^CK129)</f>
        <v>2.7947385705975383</v>
      </c>
    </row>
    <row r="130" spans="1:92">
      <c r="A130" s="3" t="s">
        <v>76</v>
      </c>
      <c r="B130" s="3" t="s">
        <v>105</v>
      </c>
      <c r="C130" s="3" t="s">
        <v>78</v>
      </c>
      <c r="D130" s="3" t="s">
        <v>79</v>
      </c>
      <c r="E130" s="3">
        <v>19</v>
      </c>
      <c r="F130" s="3">
        <v>0.88393075217658201</v>
      </c>
      <c r="G130" s="3">
        <v>2.3700210969525148</v>
      </c>
      <c r="H130" s="3">
        <f t="shared" ref="H130:H193" si="11">LN(F130)</f>
        <v>-0.12337655405468746</v>
      </c>
      <c r="I130" s="3">
        <f t="shared" ref="I130:I193" si="12">LN(G130)</f>
        <v>0.86289885677514799</v>
      </c>
      <c r="Q130">
        <f t="shared" si="8"/>
        <v>-0.12337655405468746</v>
      </c>
      <c r="R130">
        <f t="shared" si="9"/>
        <v>0.86289885677514799</v>
      </c>
      <c r="S130">
        <v>2.3700210969525148</v>
      </c>
      <c r="U130">
        <f t="shared" si="10"/>
        <v>0.88393075217658201</v>
      </c>
      <c r="W130">
        <v>2.3700210969525148</v>
      </c>
    </row>
    <row r="131" spans="1:92">
      <c r="A131" s="3" t="s">
        <v>76</v>
      </c>
      <c r="B131" s="3" t="s">
        <v>105</v>
      </c>
      <c r="C131" s="3" t="s">
        <v>78</v>
      </c>
      <c r="D131" s="3" t="s">
        <v>79</v>
      </c>
      <c r="E131" s="3">
        <v>20</v>
      </c>
      <c r="F131" s="3">
        <v>0.911053300674591</v>
      </c>
      <c r="G131" s="3">
        <v>2.3762154784446636</v>
      </c>
      <c r="H131" s="3">
        <f t="shared" si="11"/>
        <v>-9.3153875558186189E-2</v>
      </c>
      <c r="I131" s="3">
        <f t="shared" si="12"/>
        <v>0.8655090869694344</v>
      </c>
      <c r="Q131">
        <f t="shared" si="8"/>
        <v>-9.3153875558186189E-2</v>
      </c>
      <c r="R131">
        <f t="shared" si="9"/>
        <v>0.8655090869694344</v>
      </c>
      <c r="S131">
        <v>2.3762154784446636</v>
      </c>
      <c r="U131">
        <f t="shared" si="10"/>
        <v>0.911053300674591</v>
      </c>
      <c r="W131">
        <v>2.3762154784446636</v>
      </c>
      <c r="CG131" t="s">
        <v>127</v>
      </c>
      <c r="CH131" t="s">
        <v>29</v>
      </c>
      <c r="CI131" s="2" t="s">
        <v>64</v>
      </c>
      <c r="CJ131" s="2" t="s">
        <v>65</v>
      </c>
      <c r="CK131" s="2" t="s">
        <v>66</v>
      </c>
      <c r="CL131" s="2" t="s">
        <v>67</v>
      </c>
      <c r="CM131" s="2" t="s">
        <v>68</v>
      </c>
      <c r="CN131" s="2" t="s">
        <v>69</v>
      </c>
    </row>
    <row r="132" spans="1:92">
      <c r="A132" s="3" t="s">
        <v>76</v>
      </c>
      <c r="B132" s="3" t="s">
        <v>105</v>
      </c>
      <c r="C132" s="3" t="s">
        <v>78</v>
      </c>
      <c r="D132" s="3" t="s">
        <v>79</v>
      </c>
      <c r="E132" s="3">
        <v>21</v>
      </c>
      <c r="F132" s="3">
        <v>0.88665595628951799</v>
      </c>
      <c r="G132" s="3">
        <v>2.3541665191740364</v>
      </c>
      <c r="H132" s="3">
        <f t="shared" si="11"/>
        <v>-0.12029824532018227</v>
      </c>
      <c r="I132" s="3">
        <f t="shared" si="12"/>
        <v>0.85618674515271098</v>
      </c>
      <c r="Q132">
        <f t="shared" si="8"/>
        <v>-0.12029824532018227</v>
      </c>
      <c r="R132">
        <f t="shared" si="9"/>
        <v>0.85618674515271098</v>
      </c>
      <c r="S132">
        <v>2.3541665191740364</v>
      </c>
      <c r="U132">
        <f t="shared" si="10"/>
        <v>0.88665595628951799</v>
      </c>
      <c r="W132">
        <v>2.3541665191740364</v>
      </c>
      <c r="CI132" s="2">
        <f>STDEV(H1187:H1205)</f>
        <v>1.3719072400285736E-2</v>
      </c>
      <c r="CJ132" s="2">
        <f>STDEV(I1187:I1205)</f>
        <v>1.9098705754545635E-2</v>
      </c>
      <c r="CK132" s="2">
        <f>CJ132/CI132</f>
        <v>1.3921280679405013</v>
      </c>
      <c r="CL132" s="2">
        <f>AVERAGE(F1187:F1205)</f>
        <v>0.81441961564477405</v>
      </c>
      <c r="CM132" s="2">
        <f>AVERAGE(G1187:G1205)</f>
        <v>2.1822367740665807</v>
      </c>
      <c r="CN132" s="2">
        <f>CM132/(CL132^CK132)</f>
        <v>2.9041066274583152</v>
      </c>
    </row>
    <row r="133" spans="1:92">
      <c r="A133" s="3" t="s">
        <v>76</v>
      </c>
      <c r="B133" s="3" t="s">
        <v>105</v>
      </c>
      <c r="C133" s="3" t="s">
        <v>78</v>
      </c>
      <c r="D133" s="3" t="s">
        <v>79</v>
      </c>
      <c r="E133" s="3">
        <v>23</v>
      </c>
      <c r="F133" s="3">
        <v>0.89080923098237297</v>
      </c>
      <c r="G133" s="3">
        <v>2.3167218218853987</v>
      </c>
      <c r="H133" s="3">
        <f t="shared" si="11"/>
        <v>-0.11562498107698363</v>
      </c>
      <c r="I133" s="3">
        <f t="shared" si="12"/>
        <v>0.84015317863327066</v>
      </c>
      <c r="Q133">
        <f t="shared" si="8"/>
        <v>-0.11562498107698363</v>
      </c>
      <c r="R133">
        <f t="shared" si="9"/>
        <v>0.84015317863327066</v>
      </c>
      <c r="S133">
        <v>2.3167218218853987</v>
      </c>
      <c r="U133">
        <f t="shared" si="10"/>
        <v>0.89080923098237297</v>
      </c>
      <c r="W133">
        <v>2.3167218218853987</v>
      </c>
    </row>
    <row r="134" spans="1:92">
      <c r="A134" s="3" t="s">
        <v>76</v>
      </c>
      <c r="B134" s="3" t="s">
        <v>105</v>
      </c>
      <c r="C134" s="3" t="s">
        <v>78</v>
      </c>
      <c r="D134" s="3" t="s">
        <v>79</v>
      </c>
      <c r="E134" s="3">
        <v>24</v>
      </c>
      <c r="F134" s="3">
        <v>0.89981347806199397</v>
      </c>
      <c r="G134" s="3">
        <v>2.2461745257214543</v>
      </c>
      <c r="H134" s="3">
        <f t="shared" si="11"/>
        <v>-0.10556778373415455</v>
      </c>
      <c r="I134" s="3">
        <f t="shared" si="12"/>
        <v>0.80922855842713015</v>
      </c>
      <c r="Q134">
        <f t="shared" si="8"/>
        <v>-0.10556778373415455</v>
      </c>
      <c r="R134">
        <f t="shared" si="9"/>
        <v>0.80922855842713015</v>
      </c>
      <c r="S134">
        <v>2.2461745257214543</v>
      </c>
      <c r="U134">
        <f t="shared" si="10"/>
        <v>0.89981347806199397</v>
      </c>
      <c r="W134">
        <v>2.2461745257214543</v>
      </c>
    </row>
    <row r="135" spans="1:92">
      <c r="A135" s="3" t="s">
        <v>76</v>
      </c>
      <c r="B135" s="3" t="s">
        <v>105</v>
      </c>
      <c r="C135" s="3" t="s">
        <v>78</v>
      </c>
      <c r="D135" s="3" t="s">
        <v>79</v>
      </c>
      <c r="E135" s="3">
        <v>25</v>
      </c>
      <c r="F135" s="3">
        <v>0.89624606877778101</v>
      </c>
      <c r="G135" s="3">
        <v>2.3952035404115453</v>
      </c>
      <c r="H135" s="3">
        <f t="shared" si="11"/>
        <v>-0.10954027337886847</v>
      </c>
      <c r="I135" s="3">
        <f t="shared" si="12"/>
        <v>0.87346821280986708</v>
      </c>
      <c r="Q135">
        <f t="shared" si="8"/>
        <v>-0.10954027337886847</v>
      </c>
      <c r="R135">
        <f t="shared" si="9"/>
        <v>0.87346821280986708</v>
      </c>
      <c r="S135">
        <v>2.3952035404115453</v>
      </c>
      <c r="U135">
        <f t="shared" si="10"/>
        <v>0.89624606877778101</v>
      </c>
      <c r="W135">
        <v>2.3952035404115453</v>
      </c>
    </row>
    <row r="136" spans="1:92">
      <c r="A136" s="3" t="s">
        <v>76</v>
      </c>
      <c r="B136" s="3" t="s">
        <v>105</v>
      </c>
      <c r="C136" s="3" t="s">
        <v>78</v>
      </c>
      <c r="D136" s="3" t="s">
        <v>75</v>
      </c>
      <c r="E136" s="3">
        <v>1</v>
      </c>
      <c r="F136" s="3">
        <v>0.89168806726896099</v>
      </c>
      <c r="G136" s="3">
        <v>2.26947130407062</v>
      </c>
      <c r="H136" s="3">
        <f t="shared" si="11"/>
        <v>-0.11463890793268115</v>
      </c>
      <c r="I136" s="3">
        <f t="shared" si="12"/>
        <v>0.81954689867080555</v>
      </c>
      <c r="Q136">
        <f t="shared" si="8"/>
        <v>-0.11463890793268115</v>
      </c>
      <c r="R136">
        <f t="shared" si="9"/>
        <v>0.81954689867080555</v>
      </c>
      <c r="S136">
        <v>2.26947130407062</v>
      </c>
      <c r="U136">
        <f t="shared" si="10"/>
        <v>0.89168806726896099</v>
      </c>
      <c r="W136">
        <v>2.26947130407062</v>
      </c>
    </row>
    <row r="137" spans="1:92">
      <c r="A137" s="3" t="s">
        <v>76</v>
      </c>
      <c r="B137" s="3" t="s">
        <v>105</v>
      </c>
      <c r="C137" s="3" t="s">
        <v>78</v>
      </c>
      <c r="D137" s="3" t="s">
        <v>75</v>
      </c>
      <c r="E137" s="3">
        <v>2</v>
      </c>
      <c r="F137" s="3">
        <v>0.89870395024243999</v>
      </c>
      <c r="G137" s="3">
        <v>2.236604569431083</v>
      </c>
      <c r="H137" s="3">
        <f t="shared" si="11"/>
        <v>-0.10680160882013673</v>
      </c>
      <c r="I137" s="3">
        <f t="shared" si="12"/>
        <v>0.80495889863547554</v>
      </c>
      <c r="Q137">
        <f t="shared" si="8"/>
        <v>-0.10680160882013673</v>
      </c>
      <c r="R137">
        <f t="shared" si="9"/>
        <v>0.80495889863547554</v>
      </c>
      <c r="S137">
        <v>2.236604569431083</v>
      </c>
      <c r="U137">
        <f t="shared" si="10"/>
        <v>0.89870395024243999</v>
      </c>
      <c r="W137">
        <v>2.236604569431083</v>
      </c>
    </row>
    <row r="138" spans="1:92">
      <c r="A138" s="3" t="s">
        <v>76</v>
      </c>
      <c r="B138" s="3" t="s">
        <v>105</v>
      </c>
      <c r="C138" s="3" t="s">
        <v>78</v>
      </c>
      <c r="D138" s="3" t="s">
        <v>75</v>
      </c>
      <c r="E138" s="3">
        <v>3</v>
      </c>
      <c r="F138" s="3">
        <v>0.932899491154211</v>
      </c>
      <c r="G138" s="3">
        <v>2.3546761985462035</v>
      </c>
      <c r="H138" s="3">
        <f t="shared" si="11"/>
        <v>-6.9457810460529637E-2</v>
      </c>
      <c r="I138" s="3">
        <f t="shared" si="12"/>
        <v>0.85640322270556668</v>
      </c>
      <c r="Q138">
        <f t="shared" si="8"/>
        <v>-6.9457810460529637E-2</v>
      </c>
      <c r="R138">
        <f t="shared" si="9"/>
        <v>0.85640322270556668</v>
      </c>
      <c r="S138">
        <v>2.3546761985462035</v>
      </c>
      <c r="U138">
        <f t="shared" si="10"/>
        <v>0.932899491154211</v>
      </c>
      <c r="W138">
        <v>2.3546761985462035</v>
      </c>
    </row>
    <row r="139" spans="1:92">
      <c r="A139" s="3" t="s">
        <v>76</v>
      </c>
      <c r="B139" s="3" t="s">
        <v>105</v>
      </c>
      <c r="C139" s="3" t="s">
        <v>78</v>
      </c>
      <c r="D139" s="3" t="s">
        <v>75</v>
      </c>
      <c r="E139" s="3">
        <v>4</v>
      </c>
      <c r="F139" s="3">
        <v>0.93766328888369299</v>
      </c>
      <c r="G139" s="3">
        <v>2.3576471322061749</v>
      </c>
      <c r="H139" s="3">
        <f t="shared" si="11"/>
        <v>-6.4364361494969657E-2</v>
      </c>
      <c r="I139" s="3">
        <f t="shared" si="12"/>
        <v>0.85766414384576639</v>
      </c>
      <c r="Q139">
        <f t="shared" si="8"/>
        <v>-6.4364361494969657E-2</v>
      </c>
      <c r="R139">
        <f t="shared" si="9"/>
        <v>0.85766414384576639</v>
      </c>
      <c r="S139">
        <v>2.3576471322061749</v>
      </c>
      <c r="U139">
        <f t="shared" si="10"/>
        <v>0.93766328888369299</v>
      </c>
      <c r="W139">
        <v>2.3576471322061749</v>
      </c>
    </row>
    <row r="140" spans="1:92">
      <c r="A140" s="3" t="s">
        <v>76</v>
      </c>
      <c r="B140" s="3" t="s">
        <v>105</v>
      </c>
      <c r="C140" s="3" t="s">
        <v>78</v>
      </c>
      <c r="D140" s="3" t="s">
        <v>75</v>
      </c>
      <c r="E140" s="3">
        <v>5</v>
      </c>
      <c r="F140" s="3">
        <v>0.92954324234341001</v>
      </c>
      <c r="G140" s="3">
        <v>2.3082460874005615</v>
      </c>
      <c r="H140" s="3">
        <f t="shared" si="11"/>
        <v>-7.3061950747397145E-2</v>
      </c>
      <c r="I140" s="3">
        <f t="shared" si="12"/>
        <v>0.83648796661904401</v>
      </c>
      <c r="Q140">
        <f t="shared" si="8"/>
        <v>-7.3061950747397145E-2</v>
      </c>
      <c r="R140">
        <f t="shared" si="9"/>
        <v>0.83648796661904401</v>
      </c>
      <c r="S140">
        <v>2.3082460874005615</v>
      </c>
      <c r="U140">
        <f t="shared" si="10"/>
        <v>0.92954324234341001</v>
      </c>
      <c r="W140">
        <v>2.3082460874005615</v>
      </c>
    </row>
    <row r="141" spans="1:92">
      <c r="A141" s="3" t="s">
        <v>76</v>
      </c>
      <c r="B141" s="3" t="s">
        <v>105</v>
      </c>
      <c r="C141" s="3" t="s">
        <v>78</v>
      </c>
      <c r="D141" s="3" t="s">
        <v>75</v>
      </c>
      <c r="E141" s="3">
        <v>6</v>
      </c>
      <c r="F141" s="3">
        <v>0.91127946611281396</v>
      </c>
      <c r="G141" s="3">
        <v>2.3375414434828743</v>
      </c>
      <c r="H141" s="3">
        <f t="shared" si="11"/>
        <v>-9.2905660255793471E-2</v>
      </c>
      <c r="I141" s="3">
        <f t="shared" si="12"/>
        <v>0.84909971185577904</v>
      </c>
      <c r="Q141">
        <f t="shared" si="8"/>
        <v>-9.2905660255793471E-2</v>
      </c>
      <c r="R141">
        <f t="shared" si="9"/>
        <v>0.84909971185577904</v>
      </c>
      <c r="S141">
        <v>2.3375414434828743</v>
      </c>
      <c r="U141">
        <f t="shared" si="10"/>
        <v>0.91127946611281396</v>
      </c>
      <c r="W141">
        <v>2.3375414434828743</v>
      </c>
    </row>
    <row r="142" spans="1:92">
      <c r="A142" s="3" t="s">
        <v>76</v>
      </c>
      <c r="B142" s="3" t="s">
        <v>105</v>
      </c>
      <c r="C142" s="3" t="s">
        <v>78</v>
      </c>
      <c r="D142" s="3" t="s">
        <v>75</v>
      </c>
      <c r="E142" s="3">
        <v>7</v>
      </c>
      <c r="F142" s="3">
        <v>0.895012564321087</v>
      </c>
      <c r="G142" s="3">
        <v>2.2182200071228282</v>
      </c>
      <c r="H142" s="3">
        <f t="shared" si="11"/>
        <v>-0.11091752245823512</v>
      </c>
      <c r="I142" s="3">
        <f t="shared" si="12"/>
        <v>0.79670507567845161</v>
      </c>
      <c r="Q142">
        <f t="shared" si="8"/>
        <v>-0.11091752245823512</v>
      </c>
      <c r="R142">
        <f t="shared" si="9"/>
        <v>0.79670507567845161</v>
      </c>
      <c r="S142">
        <v>2.2182200071228282</v>
      </c>
      <c r="U142">
        <f t="shared" si="10"/>
        <v>0.895012564321087</v>
      </c>
      <c r="W142">
        <v>2.2182200071228282</v>
      </c>
    </row>
    <row r="143" spans="1:92">
      <c r="A143" s="3" t="s">
        <v>76</v>
      </c>
      <c r="B143" s="3" t="s">
        <v>105</v>
      </c>
      <c r="C143" s="3" t="s">
        <v>78</v>
      </c>
      <c r="D143" s="3" t="s">
        <v>75</v>
      </c>
      <c r="E143" s="3">
        <v>8</v>
      </c>
      <c r="F143" s="3">
        <v>0.90175746464514495</v>
      </c>
      <c r="G143" s="3">
        <v>2.2542404485768595</v>
      </c>
      <c r="H143" s="3">
        <f t="shared" si="11"/>
        <v>-0.10340968127861164</v>
      </c>
      <c r="I143" s="3">
        <f t="shared" si="12"/>
        <v>0.81281308631531246</v>
      </c>
      <c r="Q143">
        <f t="shared" si="8"/>
        <v>-0.10340968127861164</v>
      </c>
      <c r="R143">
        <f t="shared" si="9"/>
        <v>0.81281308631531246</v>
      </c>
      <c r="S143">
        <v>2.2542404485768595</v>
      </c>
      <c r="U143">
        <f t="shared" si="10"/>
        <v>0.90175746464514495</v>
      </c>
      <c r="W143">
        <v>2.2542404485768595</v>
      </c>
    </row>
    <row r="144" spans="1:92">
      <c r="A144" s="3" t="s">
        <v>76</v>
      </c>
      <c r="B144" s="3" t="s">
        <v>105</v>
      </c>
      <c r="C144" s="3" t="s">
        <v>78</v>
      </c>
      <c r="D144" s="3" t="s">
        <v>75</v>
      </c>
      <c r="E144" s="3">
        <v>9</v>
      </c>
      <c r="F144" s="3">
        <v>0.92774829136165604</v>
      </c>
      <c r="G144" s="3">
        <v>2.3300643767930533</v>
      </c>
      <c r="H144" s="3">
        <f t="shared" si="11"/>
        <v>-7.4994820744386001E-2</v>
      </c>
      <c r="I144" s="3">
        <f t="shared" si="12"/>
        <v>0.84589589672083654</v>
      </c>
      <c r="Q144">
        <f t="shared" si="8"/>
        <v>-7.4994820744386001E-2</v>
      </c>
      <c r="R144">
        <f t="shared" si="9"/>
        <v>0.84589589672083654</v>
      </c>
      <c r="S144">
        <v>2.3300643767930533</v>
      </c>
      <c r="U144">
        <f t="shared" si="10"/>
        <v>0.92774829136165604</v>
      </c>
      <c r="W144">
        <v>2.3300643767930533</v>
      </c>
    </row>
    <row r="145" spans="1:23">
      <c r="A145" s="3" t="s">
        <v>76</v>
      </c>
      <c r="B145" s="3" t="s">
        <v>105</v>
      </c>
      <c r="C145" s="3" t="s">
        <v>78</v>
      </c>
      <c r="D145" s="3" t="s">
        <v>75</v>
      </c>
      <c r="E145" s="3">
        <v>10</v>
      </c>
      <c r="F145" s="3">
        <v>0.89729749617766597</v>
      </c>
      <c r="G145" s="3">
        <v>2.2624102192131295</v>
      </c>
      <c r="H145" s="3">
        <f t="shared" si="11"/>
        <v>-0.10836781507802179</v>
      </c>
      <c r="I145" s="3">
        <f t="shared" si="12"/>
        <v>0.81643071368884423</v>
      </c>
      <c r="Q145">
        <f t="shared" si="8"/>
        <v>-0.10836781507802179</v>
      </c>
      <c r="R145">
        <f t="shared" si="9"/>
        <v>0.81643071368884423</v>
      </c>
      <c r="S145">
        <v>2.2624102192131295</v>
      </c>
      <c r="U145">
        <f t="shared" si="10"/>
        <v>0.89729749617766597</v>
      </c>
      <c r="W145">
        <v>2.2624102192131295</v>
      </c>
    </row>
    <row r="146" spans="1:23">
      <c r="A146" s="3" t="s">
        <v>76</v>
      </c>
      <c r="B146" s="3" t="s">
        <v>105</v>
      </c>
      <c r="C146" s="3" t="s">
        <v>78</v>
      </c>
      <c r="D146" s="3" t="s">
        <v>75</v>
      </c>
      <c r="E146" s="3">
        <v>11</v>
      </c>
      <c r="F146" s="3">
        <v>0.92481469027750796</v>
      </c>
      <c r="G146" s="3">
        <v>2.3255106965997814</v>
      </c>
      <c r="H146" s="3">
        <f t="shared" si="11"/>
        <v>-7.8161896374541961E-2</v>
      </c>
      <c r="I146" s="3">
        <f t="shared" si="12"/>
        <v>0.84393966937033149</v>
      </c>
      <c r="Q146">
        <f t="shared" ref="Q146:Q197" si="13">LN(F146)</f>
        <v>-7.8161896374541961E-2</v>
      </c>
      <c r="R146">
        <f t="shared" ref="R146:R197" si="14">LN(S146)</f>
        <v>0.84393966937033149</v>
      </c>
      <c r="S146">
        <v>2.3255106965997814</v>
      </c>
      <c r="U146">
        <f t="shared" ref="U146:U197" si="15">F146</f>
        <v>0.92481469027750796</v>
      </c>
      <c r="W146">
        <v>2.3255106965997814</v>
      </c>
    </row>
    <row r="147" spans="1:23">
      <c r="A147" s="3" t="s">
        <v>76</v>
      </c>
      <c r="B147" s="3" t="s">
        <v>105</v>
      </c>
      <c r="C147" s="3" t="s">
        <v>78</v>
      </c>
      <c r="D147" s="3" t="s">
        <v>75</v>
      </c>
      <c r="E147" s="3">
        <v>12</v>
      </c>
      <c r="F147" s="3">
        <v>0.88417505968747501</v>
      </c>
      <c r="G147" s="3">
        <v>2.2905894437895236</v>
      </c>
      <c r="H147" s="3">
        <f t="shared" si="11"/>
        <v>-0.1231002046294342</v>
      </c>
      <c r="I147" s="3">
        <f t="shared" si="12"/>
        <v>0.82880918347942667</v>
      </c>
      <c r="Q147">
        <f t="shared" si="13"/>
        <v>-0.1231002046294342</v>
      </c>
      <c r="R147">
        <f t="shared" si="14"/>
        <v>0.82880918347942667</v>
      </c>
      <c r="S147">
        <v>2.2905894437895236</v>
      </c>
      <c r="U147">
        <f t="shared" si="15"/>
        <v>0.88417505968747501</v>
      </c>
      <c r="W147">
        <v>2.2905894437895236</v>
      </c>
    </row>
    <row r="148" spans="1:23">
      <c r="A148" s="3" t="s">
        <v>76</v>
      </c>
      <c r="B148" s="3" t="s">
        <v>105</v>
      </c>
      <c r="C148" s="3" t="s">
        <v>78</v>
      </c>
      <c r="D148" s="3" t="s">
        <v>75</v>
      </c>
      <c r="E148" s="3">
        <v>13</v>
      </c>
      <c r="F148" s="3">
        <v>0.89763731216875597</v>
      </c>
      <c r="G148" s="3">
        <v>2.2184003245582167</v>
      </c>
      <c r="H148" s="3">
        <f t="shared" si="11"/>
        <v>-0.10798917626220547</v>
      </c>
      <c r="I148" s="3">
        <f t="shared" si="12"/>
        <v>0.79678636162225891</v>
      </c>
      <c r="Q148">
        <f t="shared" si="13"/>
        <v>-0.10798917626220547</v>
      </c>
      <c r="R148">
        <f t="shared" si="14"/>
        <v>0.79678636162225891</v>
      </c>
      <c r="S148">
        <v>2.2184003245582167</v>
      </c>
      <c r="U148">
        <f t="shared" si="15"/>
        <v>0.89763731216875597</v>
      </c>
      <c r="W148">
        <v>2.2184003245582167</v>
      </c>
    </row>
    <row r="149" spans="1:23">
      <c r="A149" s="3" t="s">
        <v>76</v>
      </c>
      <c r="B149" s="3" t="s">
        <v>105</v>
      </c>
      <c r="C149" s="3" t="s">
        <v>78</v>
      </c>
      <c r="D149" s="3" t="s">
        <v>75</v>
      </c>
      <c r="E149" s="3">
        <v>14</v>
      </c>
      <c r="F149" s="3">
        <v>0.90052196355707603</v>
      </c>
      <c r="G149" s="3">
        <v>2.263117319097709</v>
      </c>
      <c r="H149" s="3">
        <f t="shared" si="11"/>
        <v>-0.10478072426148398</v>
      </c>
      <c r="I149" s="3">
        <f t="shared" si="12"/>
        <v>0.81674320759561991</v>
      </c>
      <c r="Q149">
        <f t="shared" si="13"/>
        <v>-0.10478072426148398</v>
      </c>
      <c r="R149">
        <f t="shared" si="14"/>
        <v>0.81674320759561991</v>
      </c>
      <c r="S149">
        <v>2.263117319097709</v>
      </c>
      <c r="U149">
        <f t="shared" si="15"/>
        <v>0.90052196355707603</v>
      </c>
      <c r="W149">
        <v>2.263117319097709</v>
      </c>
    </row>
    <row r="150" spans="1:23">
      <c r="A150" s="3" t="s">
        <v>76</v>
      </c>
      <c r="B150" s="3" t="s">
        <v>105</v>
      </c>
      <c r="C150" s="3" t="s">
        <v>78</v>
      </c>
      <c r="D150" s="3" t="s">
        <v>75</v>
      </c>
      <c r="E150" s="3">
        <v>15</v>
      </c>
      <c r="F150" s="3">
        <v>0.91023849087543995</v>
      </c>
      <c r="G150" s="3">
        <v>2.3702320561497769</v>
      </c>
      <c r="H150" s="3">
        <f t="shared" si="11"/>
        <v>-9.4048635922552332E-2</v>
      </c>
      <c r="I150" s="3">
        <f t="shared" si="12"/>
        <v>0.86298786434102592</v>
      </c>
      <c r="Q150">
        <f t="shared" si="13"/>
        <v>-9.4048635922552332E-2</v>
      </c>
      <c r="R150">
        <f t="shared" si="14"/>
        <v>0.86298786434102592</v>
      </c>
      <c r="S150">
        <v>2.3702320561497769</v>
      </c>
      <c r="U150">
        <f t="shared" si="15"/>
        <v>0.91023849087543995</v>
      </c>
      <c r="W150">
        <v>2.3702320561497769</v>
      </c>
    </row>
    <row r="151" spans="1:23">
      <c r="A151" s="3" t="s">
        <v>76</v>
      </c>
      <c r="B151" s="3" t="s">
        <v>105</v>
      </c>
      <c r="C151" s="3" t="s">
        <v>78</v>
      </c>
      <c r="D151" s="3" t="s">
        <v>75</v>
      </c>
      <c r="E151" s="3">
        <v>16</v>
      </c>
      <c r="F151" s="3">
        <v>0.89621311910558599</v>
      </c>
      <c r="G151" s="3">
        <v>2.3331095130747723</v>
      </c>
      <c r="H151" s="3">
        <f t="shared" si="11"/>
        <v>-0.10957703814586732</v>
      </c>
      <c r="I151" s="3">
        <f t="shared" si="12"/>
        <v>0.84720193281834677</v>
      </c>
      <c r="Q151">
        <f t="shared" si="13"/>
        <v>-0.10957703814586732</v>
      </c>
      <c r="R151">
        <f t="shared" si="14"/>
        <v>0.84720193281834677</v>
      </c>
      <c r="S151">
        <v>2.3331095130747723</v>
      </c>
      <c r="U151">
        <f t="shared" si="15"/>
        <v>0.89621311910558599</v>
      </c>
      <c r="W151">
        <v>2.3331095130747723</v>
      </c>
    </row>
    <row r="152" spans="1:23">
      <c r="A152" s="3" t="s">
        <v>76</v>
      </c>
      <c r="B152" s="3" t="s">
        <v>105</v>
      </c>
      <c r="C152" s="3" t="s">
        <v>78</v>
      </c>
      <c r="D152" s="3" t="s">
        <v>75</v>
      </c>
      <c r="E152" s="3">
        <v>17</v>
      </c>
      <c r="F152" s="3">
        <v>0.862556205825464</v>
      </c>
      <c r="G152" s="3">
        <v>2.2929675095822879</v>
      </c>
      <c r="H152" s="3">
        <f t="shared" si="11"/>
        <v>-0.14785496602539414</v>
      </c>
      <c r="I152" s="3">
        <f t="shared" si="12"/>
        <v>0.82984683438257112</v>
      </c>
      <c r="Q152">
        <f t="shared" si="13"/>
        <v>-0.14785496602539414</v>
      </c>
      <c r="R152">
        <f t="shared" si="14"/>
        <v>0.82984683438257112</v>
      </c>
      <c r="S152">
        <v>2.2929675095822879</v>
      </c>
      <c r="U152">
        <f t="shared" si="15"/>
        <v>0.862556205825464</v>
      </c>
      <c r="W152">
        <v>2.2929675095822879</v>
      </c>
    </row>
    <row r="153" spans="1:23">
      <c r="A153" s="3" t="s">
        <v>76</v>
      </c>
      <c r="B153" s="3" t="s">
        <v>105</v>
      </c>
      <c r="C153" s="3" t="s">
        <v>78</v>
      </c>
      <c r="D153" s="3" t="s">
        <v>75</v>
      </c>
      <c r="E153" s="3">
        <v>18</v>
      </c>
      <c r="F153" s="3">
        <v>0.88405390146572205</v>
      </c>
      <c r="G153" s="3">
        <v>2.2729716232280595</v>
      </c>
      <c r="H153" s="3">
        <f t="shared" si="11"/>
        <v>-0.12323724369462806</v>
      </c>
      <c r="I153" s="3">
        <f t="shared" si="12"/>
        <v>0.82108806051093686</v>
      </c>
      <c r="Q153">
        <f t="shared" si="13"/>
        <v>-0.12323724369462806</v>
      </c>
      <c r="R153">
        <f t="shared" si="14"/>
        <v>0.82108806051093686</v>
      </c>
      <c r="S153">
        <v>2.2729716232280595</v>
      </c>
      <c r="U153">
        <f t="shared" si="15"/>
        <v>0.88405390146572205</v>
      </c>
      <c r="W153">
        <v>2.2729716232280595</v>
      </c>
    </row>
    <row r="154" spans="1:23">
      <c r="A154" s="3" t="s">
        <v>76</v>
      </c>
      <c r="B154" s="3" t="s">
        <v>105</v>
      </c>
      <c r="C154" s="3" t="s">
        <v>78</v>
      </c>
      <c r="D154" s="3" t="s">
        <v>75</v>
      </c>
      <c r="E154" s="3">
        <v>19</v>
      </c>
      <c r="F154" s="3">
        <v>0.88173367904253697</v>
      </c>
      <c r="G154" s="3">
        <v>2.2107012462112561</v>
      </c>
      <c r="H154" s="3">
        <f t="shared" si="11"/>
        <v>-0.12586521977072554</v>
      </c>
      <c r="I154" s="3">
        <f t="shared" si="12"/>
        <v>0.79330977117671009</v>
      </c>
      <c r="Q154">
        <f t="shared" si="13"/>
        <v>-0.12586521977072554</v>
      </c>
      <c r="R154">
        <f t="shared" si="14"/>
        <v>0.79330977117671009</v>
      </c>
      <c r="S154">
        <v>2.2107012462112561</v>
      </c>
      <c r="U154">
        <f t="shared" si="15"/>
        <v>0.88173367904253697</v>
      </c>
      <c r="W154">
        <v>2.2107012462112561</v>
      </c>
    </row>
    <row r="155" spans="1:23">
      <c r="A155" s="3" t="s">
        <v>76</v>
      </c>
      <c r="B155" s="3" t="s">
        <v>105</v>
      </c>
      <c r="C155" s="3" t="s">
        <v>78</v>
      </c>
      <c r="D155" s="3" t="s">
        <v>75</v>
      </c>
      <c r="E155" s="3">
        <v>20</v>
      </c>
      <c r="F155" s="3">
        <v>0.93561071187427403</v>
      </c>
      <c r="G155" s="3">
        <v>2.3692192806914263</v>
      </c>
      <c r="H155" s="3">
        <f t="shared" si="11"/>
        <v>-6.6555795134711118E-2</v>
      </c>
      <c r="I155" s="3">
        <f t="shared" si="12"/>
        <v>0.86256048344742176</v>
      </c>
      <c r="Q155">
        <f t="shared" si="13"/>
        <v>-6.6555795134711118E-2</v>
      </c>
      <c r="R155">
        <f t="shared" si="14"/>
        <v>0.86256048344742176</v>
      </c>
      <c r="S155">
        <v>2.3692192806914263</v>
      </c>
      <c r="U155">
        <f t="shared" si="15"/>
        <v>0.93561071187427403</v>
      </c>
      <c r="W155">
        <v>2.3692192806914263</v>
      </c>
    </row>
    <row r="156" spans="1:23">
      <c r="A156" s="3" t="s">
        <v>76</v>
      </c>
      <c r="B156" s="3" t="s">
        <v>105</v>
      </c>
      <c r="C156" s="3" t="s">
        <v>78</v>
      </c>
      <c r="D156" s="3" t="s">
        <v>75</v>
      </c>
      <c r="E156" s="3">
        <v>21</v>
      </c>
      <c r="F156" s="3">
        <v>0.86320199096022698</v>
      </c>
      <c r="G156" s="3">
        <v>2.2123742902140227</v>
      </c>
      <c r="H156" s="3">
        <f t="shared" si="11"/>
        <v>-0.14710655855312071</v>
      </c>
      <c r="I156" s="3">
        <f t="shared" si="12"/>
        <v>0.79406627830338217</v>
      </c>
      <c r="Q156">
        <f t="shared" si="13"/>
        <v>-0.14710655855312071</v>
      </c>
      <c r="R156">
        <f t="shared" si="14"/>
        <v>0.79406627830338217</v>
      </c>
      <c r="S156">
        <v>2.2123742902140227</v>
      </c>
      <c r="U156">
        <f t="shared" si="15"/>
        <v>0.86320199096022698</v>
      </c>
      <c r="W156">
        <v>2.2123742902140227</v>
      </c>
    </row>
    <row r="157" spans="1:23">
      <c r="A157" s="3" t="s">
        <v>76</v>
      </c>
      <c r="B157" s="3" t="s">
        <v>105</v>
      </c>
      <c r="C157" s="3" t="s">
        <v>78</v>
      </c>
      <c r="D157" s="3" t="s">
        <v>75</v>
      </c>
      <c r="E157" s="3">
        <v>22</v>
      </c>
      <c r="F157" s="3">
        <v>0.882945849952673</v>
      </c>
      <c r="G157" s="3">
        <v>2.2727076362788066</v>
      </c>
      <c r="H157" s="3">
        <f t="shared" si="11"/>
        <v>-0.12449140534054728</v>
      </c>
      <c r="I157" s="3">
        <f t="shared" si="12"/>
        <v>0.82097191199517972</v>
      </c>
      <c r="Q157">
        <f t="shared" si="13"/>
        <v>-0.12449140534054728</v>
      </c>
      <c r="R157">
        <f t="shared" si="14"/>
        <v>0.82097191199517972</v>
      </c>
      <c r="S157">
        <v>2.2727076362788066</v>
      </c>
      <c r="U157">
        <f t="shared" si="15"/>
        <v>0.882945849952673</v>
      </c>
      <c r="W157">
        <v>2.2727076362788066</v>
      </c>
    </row>
    <row r="158" spans="1:23">
      <c r="A158" s="3" t="s">
        <v>76</v>
      </c>
      <c r="B158" s="3" t="s">
        <v>105</v>
      </c>
      <c r="C158" s="3" t="s">
        <v>78</v>
      </c>
      <c r="D158" s="3" t="s">
        <v>75</v>
      </c>
      <c r="E158" s="3">
        <v>24</v>
      </c>
      <c r="F158" s="3">
        <v>0.86734604103829005</v>
      </c>
      <c r="G158" s="3">
        <v>2.2673773395709853</v>
      </c>
      <c r="H158" s="3">
        <f t="shared" si="11"/>
        <v>-0.14231725721899788</v>
      </c>
      <c r="I158" s="3">
        <f t="shared" si="12"/>
        <v>0.81862380653668376</v>
      </c>
      <c r="Q158">
        <f t="shared" si="13"/>
        <v>-0.14231725721899788</v>
      </c>
      <c r="R158">
        <f t="shared" si="14"/>
        <v>0.81862380653668376</v>
      </c>
      <c r="S158">
        <v>2.2673773395709853</v>
      </c>
      <c r="U158">
        <f t="shared" si="15"/>
        <v>0.86734604103829005</v>
      </c>
      <c r="W158">
        <v>2.2673773395709853</v>
      </c>
    </row>
    <row r="159" spans="1:23">
      <c r="A159" s="3" t="s">
        <v>76</v>
      </c>
      <c r="B159" s="3" t="s">
        <v>105</v>
      </c>
      <c r="C159" s="3" t="s">
        <v>78</v>
      </c>
      <c r="D159" s="3" t="s">
        <v>75</v>
      </c>
      <c r="E159" s="3">
        <v>25</v>
      </c>
      <c r="F159" s="3">
        <v>0.89602978495761998</v>
      </c>
      <c r="G159" s="3">
        <v>2.283527972239447</v>
      </c>
      <c r="H159" s="3">
        <f t="shared" si="11"/>
        <v>-0.1097816244195134</v>
      </c>
      <c r="I159" s="3">
        <f t="shared" si="12"/>
        <v>0.82572160328956534</v>
      </c>
      <c r="Q159">
        <f t="shared" si="13"/>
        <v>-0.1097816244195134</v>
      </c>
      <c r="R159">
        <f t="shared" si="14"/>
        <v>0.82572160328956534</v>
      </c>
      <c r="S159">
        <v>2.283527972239447</v>
      </c>
      <c r="U159">
        <f t="shared" si="15"/>
        <v>0.89602978495761998</v>
      </c>
      <c r="W159">
        <v>2.283527972239447</v>
      </c>
    </row>
    <row r="160" spans="1:23">
      <c r="A160" s="3" t="s">
        <v>76</v>
      </c>
      <c r="B160" s="3" t="s">
        <v>106</v>
      </c>
      <c r="C160" s="3" t="s">
        <v>78</v>
      </c>
      <c r="D160" s="3" t="s">
        <v>79</v>
      </c>
      <c r="E160" s="3">
        <v>1</v>
      </c>
      <c r="F160" s="3">
        <v>0.87438337493451201</v>
      </c>
      <c r="G160" s="3">
        <v>2.300825938657681</v>
      </c>
      <c r="H160" s="3">
        <f t="shared" si="11"/>
        <v>-0.13423635541296597</v>
      </c>
      <c r="I160" s="3">
        <f t="shared" si="12"/>
        <v>0.83326816223698841</v>
      </c>
      <c r="Q160">
        <f t="shared" si="13"/>
        <v>-0.13423635541296597</v>
      </c>
      <c r="R160">
        <f t="shared" si="14"/>
        <v>0.83326816223698841</v>
      </c>
      <c r="S160">
        <v>2.300825938657681</v>
      </c>
      <c r="U160">
        <f t="shared" si="15"/>
        <v>0.87438337493451201</v>
      </c>
      <c r="W160">
        <v>2.300825938657681</v>
      </c>
    </row>
    <row r="161" spans="1:23">
      <c r="A161" s="3" t="s">
        <v>76</v>
      </c>
      <c r="B161" s="3" t="s">
        <v>106</v>
      </c>
      <c r="C161" s="3" t="s">
        <v>78</v>
      </c>
      <c r="D161" s="3" t="s">
        <v>79</v>
      </c>
      <c r="E161" s="3">
        <v>2</v>
      </c>
      <c r="F161" s="3">
        <v>0.85974313785074497</v>
      </c>
      <c r="G161" s="3">
        <v>2.3008259386576815</v>
      </c>
      <c r="H161" s="3">
        <f t="shared" si="11"/>
        <v>-0.15112161126515608</v>
      </c>
      <c r="I161" s="3">
        <f t="shared" si="12"/>
        <v>0.83326816223698863</v>
      </c>
      <c r="Q161">
        <f t="shared" si="13"/>
        <v>-0.15112161126515608</v>
      </c>
      <c r="R161">
        <f t="shared" si="14"/>
        <v>0.83326816223698863</v>
      </c>
      <c r="S161">
        <v>2.3008259386576815</v>
      </c>
      <c r="U161">
        <f t="shared" si="15"/>
        <v>0.85974313785074497</v>
      </c>
      <c r="W161">
        <v>2.3008259386576815</v>
      </c>
    </row>
    <row r="162" spans="1:23">
      <c r="A162" s="3" t="s">
        <v>76</v>
      </c>
      <c r="B162" s="3" t="s">
        <v>106</v>
      </c>
      <c r="C162" s="3" t="s">
        <v>78</v>
      </c>
      <c r="D162" s="3" t="s">
        <v>79</v>
      </c>
      <c r="E162" s="3">
        <v>4</v>
      </c>
      <c r="F162" s="3">
        <v>0.88737040248028598</v>
      </c>
      <c r="G162" s="3">
        <v>2.2673773395709858</v>
      </c>
      <c r="H162" s="3">
        <f t="shared" si="11"/>
        <v>-0.11949279366963485</v>
      </c>
      <c r="I162" s="3">
        <f t="shared" si="12"/>
        <v>0.81862380653668387</v>
      </c>
      <c r="Q162">
        <f t="shared" si="13"/>
        <v>-0.11949279366963485</v>
      </c>
      <c r="R162">
        <f t="shared" si="14"/>
        <v>0.81862380653668387</v>
      </c>
      <c r="S162">
        <v>2.2673773395709858</v>
      </c>
      <c r="U162">
        <f t="shared" si="15"/>
        <v>0.88737040248028598</v>
      </c>
      <c r="W162">
        <v>2.2673773395709858</v>
      </c>
    </row>
    <row r="163" spans="1:23">
      <c r="A163" s="3" t="s">
        <v>76</v>
      </c>
      <c r="B163" s="3" t="s">
        <v>106</v>
      </c>
      <c r="C163" s="3" t="s">
        <v>78</v>
      </c>
      <c r="D163" s="3" t="s">
        <v>79</v>
      </c>
      <c r="E163" s="3">
        <v>5</v>
      </c>
      <c r="F163" s="3">
        <v>0.89895319200335</v>
      </c>
      <c r="G163" s="3">
        <v>2.2303362975121037</v>
      </c>
      <c r="H163" s="3">
        <f t="shared" si="11"/>
        <v>-0.10652431260313316</v>
      </c>
      <c r="I163" s="3">
        <f t="shared" si="12"/>
        <v>0.80215238016117607</v>
      </c>
      <c r="Q163">
        <f t="shared" si="13"/>
        <v>-0.10652431260313316</v>
      </c>
      <c r="R163">
        <f t="shared" si="14"/>
        <v>0.80215238016117607</v>
      </c>
      <c r="S163">
        <v>2.2303362975121037</v>
      </c>
      <c r="U163">
        <f t="shared" si="15"/>
        <v>0.89895319200335</v>
      </c>
      <c r="W163">
        <v>2.2303362975121037</v>
      </c>
    </row>
    <row r="164" spans="1:23">
      <c r="A164" s="3" t="s">
        <v>76</v>
      </c>
      <c r="B164" s="3" t="s">
        <v>106</v>
      </c>
      <c r="C164" s="3" t="s">
        <v>78</v>
      </c>
      <c r="D164" s="3" t="s">
        <v>79</v>
      </c>
      <c r="E164" s="3">
        <v>6</v>
      </c>
      <c r="F164" s="3">
        <v>0.90460960577529403</v>
      </c>
      <c r="G164" s="3">
        <v>2.220022522408275</v>
      </c>
      <c r="H164" s="3">
        <f t="shared" si="11"/>
        <v>-0.10025180318502987</v>
      </c>
      <c r="I164" s="3">
        <f t="shared" si="12"/>
        <v>0.79751734106167826</v>
      </c>
      <c r="Q164">
        <f t="shared" si="13"/>
        <v>-0.10025180318502987</v>
      </c>
      <c r="R164">
        <f t="shared" si="14"/>
        <v>0.79751734106167826</v>
      </c>
      <c r="S164">
        <v>2.220022522408275</v>
      </c>
      <c r="U164">
        <f t="shared" si="15"/>
        <v>0.90460960577529403</v>
      </c>
      <c r="W164">
        <v>2.220022522408275</v>
      </c>
    </row>
    <row r="165" spans="1:23">
      <c r="A165" s="3" t="s">
        <v>76</v>
      </c>
      <c r="B165" s="3" t="s">
        <v>106</v>
      </c>
      <c r="C165" s="3" t="s">
        <v>78</v>
      </c>
      <c r="D165" s="3" t="s">
        <v>79</v>
      </c>
      <c r="E165" s="3">
        <v>7</v>
      </c>
      <c r="F165" s="3">
        <v>0.904674621530832</v>
      </c>
      <c r="G165" s="3">
        <v>2.2029071700822982</v>
      </c>
      <c r="H165" s="3">
        <f t="shared" si="11"/>
        <v>-0.10017993415020966</v>
      </c>
      <c r="I165" s="3">
        <f t="shared" si="12"/>
        <v>0.78977792897608978</v>
      </c>
      <c r="Q165">
        <f t="shared" si="13"/>
        <v>-0.10017993415020966</v>
      </c>
      <c r="R165">
        <f t="shared" si="14"/>
        <v>0.78977792897608978</v>
      </c>
      <c r="S165">
        <v>2.2029071700822982</v>
      </c>
      <c r="U165">
        <f t="shared" si="15"/>
        <v>0.904674621530832</v>
      </c>
      <c r="W165">
        <v>2.2029071700822982</v>
      </c>
    </row>
    <row r="166" spans="1:23">
      <c r="A166" s="3" t="s">
        <v>76</v>
      </c>
      <c r="B166" s="3" t="s">
        <v>106</v>
      </c>
      <c r="C166" s="3" t="s">
        <v>78</v>
      </c>
      <c r="D166" s="3" t="s">
        <v>79</v>
      </c>
      <c r="E166" s="3">
        <v>8</v>
      </c>
      <c r="F166" s="3">
        <v>0.902345063781408</v>
      </c>
      <c r="G166" s="3">
        <v>2.3512762491889379</v>
      </c>
      <c r="H166" s="3">
        <f t="shared" si="11"/>
        <v>-0.1027582779932858</v>
      </c>
      <c r="I166" s="3">
        <f t="shared" si="12"/>
        <v>0.85495826550015974</v>
      </c>
      <c r="Q166">
        <f t="shared" si="13"/>
        <v>-0.1027582779932858</v>
      </c>
      <c r="R166">
        <f t="shared" si="14"/>
        <v>0.85495826550015974</v>
      </c>
      <c r="S166">
        <v>2.3512762491889379</v>
      </c>
      <c r="U166">
        <f t="shared" si="15"/>
        <v>0.902345063781408</v>
      </c>
      <c r="W166">
        <v>2.3512762491889379</v>
      </c>
    </row>
    <row r="167" spans="1:23">
      <c r="A167" s="3" t="s">
        <v>76</v>
      </c>
      <c r="B167" s="3" t="s">
        <v>106</v>
      </c>
      <c r="C167" s="3" t="s">
        <v>78</v>
      </c>
      <c r="D167" s="3" t="s">
        <v>79</v>
      </c>
      <c r="E167" s="3">
        <v>9</v>
      </c>
      <c r="F167" s="3">
        <v>0.87531861477581496</v>
      </c>
      <c r="G167" s="3">
        <v>2.2466196829904255</v>
      </c>
      <c r="H167" s="3">
        <f t="shared" si="11"/>
        <v>-0.13316732773182882</v>
      </c>
      <c r="I167" s="3">
        <f t="shared" si="12"/>
        <v>0.80942672342189659</v>
      </c>
      <c r="Q167">
        <f t="shared" si="13"/>
        <v>-0.13316732773182882</v>
      </c>
      <c r="R167">
        <f t="shared" si="14"/>
        <v>0.80942672342189659</v>
      </c>
      <c r="S167">
        <v>2.2466196829904255</v>
      </c>
      <c r="U167">
        <f t="shared" si="15"/>
        <v>0.87531861477581496</v>
      </c>
      <c r="W167">
        <v>2.2466196829904255</v>
      </c>
    </row>
    <row r="168" spans="1:23">
      <c r="A168" s="3" t="s">
        <v>76</v>
      </c>
      <c r="B168" s="3" t="s">
        <v>106</v>
      </c>
      <c r="C168" s="3" t="s">
        <v>78</v>
      </c>
      <c r="D168" s="3" t="s">
        <v>79</v>
      </c>
      <c r="E168" s="3">
        <v>11</v>
      </c>
      <c r="F168" s="3">
        <v>0.89519102598923195</v>
      </c>
      <c r="G168" s="3">
        <v>2.2636474990598692</v>
      </c>
      <c r="H168" s="3">
        <f t="shared" si="11"/>
        <v>-0.11071814662221059</v>
      </c>
      <c r="I168" s="3">
        <f t="shared" si="12"/>
        <v>0.8169774499235879</v>
      </c>
      <c r="Q168">
        <f t="shared" si="13"/>
        <v>-0.11071814662221059</v>
      </c>
      <c r="R168">
        <f t="shared" si="14"/>
        <v>0.8169774499235879</v>
      </c>
      <c r="S168">
        <v>2.2636474990598692</v>
      </c>
      <c r="U168">
        <f t="shared" si="15"/>
        <v>0.89519102598923195</v>
      </c>
      <c r="W168">
        <v>2.2636474990598692</v>
      </c>
    </row>
    <row r="169" spans="1:23">
      <c r="A169" s="3" t="s">
        <v>76</v>
      </c>
      <c r="B169" s="3" t="s">
        <v>106</v>
      </c>
      <c r="C169" s="3" t="s">
        <v>78</v>
      </c>
      <c r="D169" s="3" t="s">
        <v>79</v>
      </c>
      <c r="E169" s="3">
        <v>12</v>
      </c>
      <c r="F169" s="3">
        <v>0.861163886864309</v>
      </c>
      <c r="G169" s="3">
        <v>2.2196396103872353</v>
      </c>
      <c r="H169" s="3">
        <f t="shared" si="11"/>
        <v>-0.14947044787753913</v>
      </c>
      <c r="I169" s="3">
        <f t="shared" si="12"/>
        <v>0.79734484504259584</v>
      </c>
      <c r="Q169">
        <f t="shared" si="13"/>
        <v>-0.14947044787753913</v>
      </c>
      <c r="R169">
        <f t="shared" si="14"/>
        <v>0.79734484504259584</v>
      </c>
      <c r="S169">
        <v>2.2196396103872353</v>
      </c>
      <c r="U169">
        <f t="shared" si="15"/>
        <v>0.861163886864309</v>
      </c>
      <c r="W169">
        <v>2.2196396103872353</v>
      </c>
    </row>
    <row r="170" spans="1:23">
      <c r="A170" s="3" t="s">
        <v>76</v>
      </c>
      <c r="B170" s="3" t="s">
        <v>106</v>
      </c>
      <c r="C170" s="3" t="s">
        <v>78</v>
      </c>
      <c r="D170" s="3" t="s">
        <v>79</v>
      </c>
      <c r="E170" s="3">
        <v>13</v>
      </c>
      <c r="F170" s="3">
        <v>0.89027398147744197</v>
      </c>
      <c r="G170" s="3">
        <v>2.2800219297190978</v>
      </c>
      <c r="H170" s="3">
        <f t="shared" si="11"/>
        <v>-0.11622601927362676</v>
      </c>
      <c r="I170" s="3">
        <f t="shared" si="12"/>
        <v>0.82418506121794377</v>
      </c>
      <c r="Q170">
        <f t="shared" si="13"/>
        <v>-0.11622601927362676</v>
      </c>
      <c r="R170">
        <f t="shared" si="14"/>
        <v>0.82418506121794377</v>
      </c>
      <c r="S170">
        <v>2.2800219297190978</v>
      </c>
      <c r="U170">
        <f t="shared" si="15"/>
        <v>0.89027398147744197</v>
      </c>
      <c r="W170">
        <v>2.2800219297190978</v>
      </c>
    </row>
    <row r="171" spans="1:23">
      <c r="A171" s="3" t="s">
        <v>76</v>
      </c>
      <c r="B171" s="3" t="s">
        <v>106</v>
      </c>
      <c r="C171" s="3" t="s">
        <v>78</v>
      </c>
      <c r="D171" s="3" t="s">
        <v>79</v>
      </c>
      <c r="E171" s="3">
        <v>14</v>
      </c>
      <c r="F171" s="3">
        <v>0.888894175784261</v>
      </c>
      <c r="G171" s="3">
        <v>2.2202927734873166</v>
      </c>
      <c r="H171" s="3">
        <f t="shared" si="11"/>
        <v>-0.11777708791677767</v>
      </c>
      <c r="I171" s="3">
        <f t="shared" si="12"/>
        <v>0.79763906713803379</v>
      </c>
      <c r="Q171">
        <f t="shared" si="13"/>
        <v>-0.11777708791677767</v>
      </c>
      <c r="R171">
        <f t="shared" si="14"/>
        <v>0.79763906713803379</v>
      </c>
      <c r="S171">
        <v>2.2202927734873166</v>
      </c>
      <c r="U171">
        <f t="shared" si="15"/>
        <v>0.888894175784261</v>
      </c>
      <c r="W171">
        <v>2.2202927734873166</v>
      </c>
    </row>
    <row r="172" spans="1:23">
      <c r="A172" s="3" t="s">
        <v>76</v>
      </c>
      <c r="B172" s="3" t="s">
        <v>106</v>
      </c>
      <c r="C172" s="3" t="s">
        <v>78</v>
      </c>
      <c r="D172" s="3" t="s">
        <v>79</v>
      </c>
      <c r="E172" s="3">
        <v>15</v>
      </c>
      <c r="F172" s="3">
        <v>0.85980904096603705</v>
      </c>
      <c r="G172" s="3">
        <v>2.1253235047869774</v>
      </c>
      <c r="H172" s="3">
        <f t="shared" si="11"/>
        <v>-0.15104495977863974</v>
      </c>
      <c r="I172" s="3">
        <f t="shared" si="12"/>
        <v>0.75392402833623373</v>
      </c>
      <c r="Q172">
        <f t="shared" si="13"/>
        <v>-0.15104495977863974</v>
      </c>
      <c r="R172">
        <f t="shared" si="14"/>
        <v>0.75392402833623373</v>
      </c>
      <c r="S172">
        <v>2.1253235047869774</v>
      </c>
      <c r="U172">
        <f t="shared" si="15"/>
        <v>0.85980904096603705</v>
      </c>
      <c r="W172">
        <v>2.1253235047869774</v>
      </c>
    </row>
    <row r="173" spans="1:23">
      <c r="A173" s="3" t="s">
        <v>76</v>
      </c>
      <c r="B173" s="3" t="s">
        <v>106</v>
      </c>
      <c r="C173" s="3" t="s">
        <v>78</v>
      </c>
      <c r="D173" s="3" t="s">
        <v>79</v>
      </c>
      <c r="E173" s="3">
        <v>16</v>
      </c>
      <c r="F173" s="3">
        <v>0.87044075014924305</v>
      </c>
      <c r="G173" s="3">
        <v>2.1087437018281761</v>
      </c>
      <c r="H173" s="3">
        <f t="shared" si="11"/>
        <v>-0.13875558624976247</v>
      </c>
      <c r="I173" s="3">
        <f t="shared" si="12"/>
        <v>0.74609236818866143</v>
      </c>
      <c r="Q173">
        <f t="shared" si="13"/>
        <v>-0.13875558624976247</v>
      </c>
      <c r="R173">
        <f t="shared" si="14"/>
        <v>0.74609236818866143</v>
      </c>
      <c r="S173">
        <v>2.1087437018281761</v>
      </c>
      <c r="U173">
        <f t="shared" si="15"/>
        <v>0.87044075014924305</v>
      </c>
      <c r="W173">
        <v>2.1087437018281761</v>
      </c>
    </row>
    <row r="174" spans="1:23">
      <c r="A174" s="3" t="s">
        <v>76</v>
      </c>
      <c r="B174" s="3" t="s">
        <v>106</v>
      </c>
      <c r="C174" s="3" t="s">
        <v>78</v>
      </c>
      <c r="D174" s="3" t="s">
        <v>79</v>
      </c>
      <c r="E174" s="3">
        <v>17</v>
      </c>
      <c r="F174" s="3">
        <v>0.88274816304072901</v>
      </c>
      <c r="G174" s="3">
        <v>2.2536193112413638</v>
      </c>
      <c r="H174" s="3">
        <f t="shared" si="11"/>
        <v>-0.1247153251265524</v>
      </c>
      <c r="I174" s="3">
        <f t="shared" si="12"/>
        <v>0.8125375066067495</v>
      </c>
      <c r="Q174">
        <f t="shared" si="13"/>
        <v>-0.1247153251265524</v>
      </c>
      <c r="R174">
        <f t="shared" si="14"/>
        <v>0.8125375066067495</v>
      </c>
      <c r="S174">
        <v>2.2536193112413638</v>
      </c>
      <c r="U174">
        <f t="shared" si="15"/>
        <v>0.88274816304072901</v>
      </c>
      <c r="W174">
        <v>2.2536193112413638</v>
      </c>
    </row>
    <row r="175" spans="1:23">
      <c r="A175" s="3" t="s">
        <v>76</v>
      </c>
      <c r="B175" s="3" t="s">
        <v>106</v>
      </c>
      <c r="C175" s="3" t="s">
        <v>78</v>
      </c>
      <c r="D175" s="3" t="s">
        <v>79</v>
      </c>
      <c r="E175" s="3">
        <v>18</v>
      </c>
      <c r="F175" s="3">
        <v>0.83786279428413801</v>
      </c>
      <c r="G175" s="3">
        <v>2.1741205118392126</v>
      </c>
      <c r="H175" s="3">
        <f t="shared" si="11"/>
        <v>-0.17690092187646467</v>
      </c>
      <c r="I175" s="3">
        <f t="shared" si="12"/>
        <v>0.7766242203913617</v>
      </c>
      <c r="Q175">
        <f t="shared" si="13"/>
        <v>-0.17690092187646467</v>
      </c>
      <c r="R175">
        <f t="shared" si="14"/>
        <v>0.7766242203913617</v>
      </c>
      <c r="S175">
        <v>2.1741205118392126</v>
      </c>
      <c r="U175">
        <f t="shared" si="15"/>
        <v>0.83786279428413801</v>
      </c>
      <c r="W175">
        <v>2.1741205118392126</v>
      </c>
    </row>
    <row r="176" spans="1:23">
      <c r="A176" s="3" t="s">
        <v>76</v>
      </c>
      <c r="B176" s="3" t="s">
        <v>106</v>
      </c>
      <c r="C176" s="3" t="s">
        <v>78</v>
      </c>
      <c r="D176" s="3" t="s">
        <v>79</v>
      </c>
      <c r="E176" s="3">
        <v>19</v>
      </c>
      <c r="F176" s="3">
        <v>0.87306342356758504</v>
      </c>
      <c r="G176" s="3">
        <v>2.2410934831014973</v>
      </c>
      <c r="H176" s="3">
        <f t="shared" si="11"/>
        <v>-0.1357470756467373</v>
      </c>
      <c r="I176" s="3">
        <f t="shared" si="12"/>
        <v>0.80696390885347635</v>
      </c>
      <c r="Q176">
        <f t="shared" si="13"/>
        <v>-0.1357470756467373</v>
      </c>
      <c r="R176">
        <f t="shared" si="14"/>
        <v>0.80696390885347635</v>
      </c>
      <c r="S176">
        <v>2.2410934831014973</v>
      </c>
      <c r="U176">
        <f t="shared" si="15"/>
        <v>0.87306342356758504</v>
      </c>
      <c r="W176">
        <v>2.2410934831014973</v>
      </c>
    </row>
    <row r="177" spans="1:23">
      <c r="A177" s="3" t="s">
        <v>76</v>
      </c>
      <c r="B177" s="3" t="s">
        <v>106</v>
      </c>
      <c r="C177" s="3" t="s">
        <v>78</v>
      </c>
      <c r="D177" s="3" t="s">
        <v>79</v>
      </c>
      <c r="E177" s="3">
        <v>20</v>
      </c>
      <c r="F177" s="3">
        <v>0.89152075946104403</v>
      </c>
      <c r="G177" s="3">
        <v>2.2853664913969487</v>
      </c>
      <c r="H177" s="3">
        <f t="shared" si="11"/>
        <v>-0.11482655595898068</v>
      </c>
      <c r="I177" s="3">
        <f t="shared" si="12"/>
        <v>0.82652640159312363</v>
      </c>
      <c r="Q177">
        <f t="shared" si="13"/>
        <v>-0.11482655595898068</v>
      </c>
      <c r="R177">
        <f t="shared" si="14"/>
        <v>0.82652640159312363</v>
      </c>
      <c r="S177">
        <v>2.2853664913969487</v>
      </c>
      <c r="U177">
        <f t="shared" si="15"/>
        <v>0.89152075946104403</v>
      </c>
      <c r="W177">
        <v>2.2853664913969487</v>
      </c>
    </row>
    <row r="178" spans="1:23">
      <c r="A178" s="3" t="s">
        <v>76</v>
      </c>
      <c r="B178" s="3" t="s">
        <v>106</v>
      </c>
      <c r="C178" s="3" t="s">
        <v>78</v>
      </c>
      <c r="D178" s="3" t="s">
        <v>79</v>
      </c>
      <c r="E178" s="3">
        <v>21</v>
      </c>
      <c r="F178" s="3">
        <v>0.86304462041874197</v>
      </c>
      <c r="G178" s="3">
        <v>2.194288039433292</v>
      </c>
      <c r="H178" s="3">
        <f t="shared" si="11"/>
        <v>-0.1472888853897194</v>
      </c>
      <c r="I178" s="3">
        <f t="shared" si="12"/>
        <v>0.78585763830121935</v>
      </c>
      <c r="Q178">
        <f t="shared" si="13"/>
        <v>-0.1472888853897194</v>
      </c>
      <c r="R178">
        <f t="shared" si="14"/>
        <v>0.78585763830121935</v>
      </c>
      <c r="S178">
        <v>2.194288039433292</v>
      </c>
      <c r="U178">
        <f t="shared" si="15"/>
        <v>0.86304462041874197</v>
      </c>
      <c r="W178">
        <v>2.194288039433292</v>
      </c>
    </row>
    <row r="179" spans="1:23">
      <c r="A179" s="3" t="s">
        <v>76</v>
      </c>
      <c r="B179" s="3" t="s">
        <v>106</v>
      </c>
      <c r="C179" s="3" t="s">
        <v>78</v>
      </c>
      <c r="D179" s="3" t="s">
        <v>75</v>
      </c>
      <c r="E179" s="3">
        <v>1</v>
      </c>
      <c r="F179" s="3">
        <v>0.85958660667449704</v>
      </c>
      <c r="G179" s="3">
        <v>2.1609257275528928</v>
      </c>
      <c r="H179" s="3">
        <f t="shared" si="11"/>
        <v>-0.15130369521639211</v>
      </c>
      <c r="I179" s="3">
        <f t="shared" si="12"/>
        <v>0.77053670745372205</v>
      </c>
      <c r="Q179">
        <f t="shared" si="13"/>
        <v>-0.15130369521639211</v>
      </c>
      <c r="R179">
        <f t="shared" si="14"/>
        <v>0.77053670745372205</v>
      </c>
      <c r="S179">
        <v>2.1609257275528928</v>
      </c>
      <c r="U179">
        <f t="shared" si="15"/>
        <v>0.85958660667449704</v>
      </c>
      <c r="W179">
        <v>2.1609257275528928</v>
      </c>
    </row>
    <row r="180" spans="1:23">
      <c r="A180" s="3" t="s">
        <v>76</v>
      </c>
      <c r="B180" s="3" t="s">
        <v>106</v>
      </c>
      <c r="C180" s="3" t="s">
        <v>78</v>
      </c>
      <c r="D180" s="3" t="s">
        <v>75</v>
      </c>
      <c r="E180" s="3">
        <v>2</v>
      </c>
      <c r="F180" s="3">
        <v>0.877712520589085</v>
      </c>
      <c r="G180" s="3">
        <v>2.2981731875557161</v>
      </c>
      <c r="H180" s="3">
        <f t="shared" si="11"/>
        <v>-0.13043616425955637</v>
      </c>
      <c r="I180" s="3">
        <f t="shared" si="12"/>
        <v>0.83211454105839577</v>
      </c>
      <c r="Q180">
        <f t="shared" si="13"/>
        <v>-0.13043616425955637</v>
      </c>
      <c r="R180">
        <f t="shared" si="14"/>
        <v>0.83211454105839577</v>
      </c>
      <c r="S180">
        <v>2.2981731875557161</v>
      </c>
      <c r="U180">
        <f t="shared" si="15"/>
        <v>0.877712520589085</v>
      </c>
      <c r="W180">
        <v>2.2981731875557161</v>
      </c>
    </row>
    <row r="181" spans="1:23">
      <c r="A181" s="3" t="s">
        <v>76</v>
      </c>
      <c r="B181" s="3" t="s">
        <v>106</v>
      </c>
      <c r="C181" s="3" t="s">
        <v>78</v>
      </c>
      <c r="D181" s="3" t="s">
        <v>75</v>
      </c>
      <c r="E181" s="3">
        <v>3</v>
      </c>
      <c r="F181" s="3">
        <v>0.86759859733084699</v>
      </c>
      <c r="G181" s="3">
        <v>2.1349004660639332</v>
      </c>
      <c r="H181" s="3">
        <f t="shared" si="11"/>
        <v>-0.14202611675404531</v>
      </c>
      <c r="I181" s="3">
        <f t="shared" si="12"/>
        <v>0.75842002548326681</v>
      </c>
      <c r="Q181">
        <f t="shared" si="13"/>
        <v>-0.14202611675404531</v>
      </c>
      <c r="R181">
        <f t="shared" si="14"/>
        <v>0.75842002548326681</v>
      </c>
      <c r="S181">
        <v>2.1349004660639332</v>
      </c>
      <c r="U181">
        <f t="shared" si="15"/>
        <v>0.86759859733084699</v>
      </c>
      <c r="W181">
        <v>2.1349004660639332</v>
      </c>
    </row>
    <row r="182" spans="1:23">
      <c r="A182" s="3" t="s">
        <v>76</v>
      </c>
      <c r="B182" s="3" t="s">
        <v>106</v>
      </c>
      <c r="C182" s="3" t="s">
        <v>78</v>
      </c>
      <c r="D182" s="3" t="s">
        <v>75</v>
      </c>
      <c r="E182" s="3">
        <v>4</v>
      </c>
      <c r="F182" s="3">
        <v>0.892370007952769</v>
      </c>
      <c r="G182" s="3">
        <v>2.1947665023869853</v>
      </c>
      <c r="H182" s="3">
        <f t="shared" si="11"/>
        <v>-0.11387442528887969</v>
      </c>
      <c r="I182" s="3">
        <f t="shared" si="12"/>
        <v>0.78607566382404193</v>
      </c>
      <c r="Q182">
        <f t="shared" si="13"/>
        <v>-0.11387442528887969</v>
      </c>
      <c r="R182">
        <f t="shared" si="14"/>
        <v>0.78607566382404193</v>
      </c>
      <c r="S182">
        <v>2.1947665023869853</v>
      </c>
      <c r="U182">
        <f t="shared" si="15"/>
        <v>0.892370007952769</v>
      </c>
      <c r="W182">
        <v>2.1947665023869853</v>
      </c>
    </row>
    <row r="183" spans="1:23">
      <c r="A183" s="3" t="s">
        <v>76</v>
      </c>
      <c r="B183" s="3" t="s">
        <v>106</v>
      </c>
      <c r="C183" s="3" t="s">
        <v>78</v>
      </c>
      <c r="D183" s="3" t="s">
        <v>75</v>
      </c>
      <c r="E183" s="3">
        <v>5</v>
      </c>
      <c r="F183" s="3">
        <v>0.86573673557039599</v>
      </c>
      <c r="G183" s="3">
        <v>2.2071927872299693</v>
      </c>
      <c r="H183" s="3">
        <f t="shared" si="11"/>
        <v>-0.14417441713329823</v>
      </c>
      <c r="I183" s="3">
        <f t="shared" si="12"/>
        <v>0.79172147607850729</v>
      </c>
      <c r="Q183">
        <f t="shared" si="13"/>
        <v>-0.14417441713329823</v>
      </c>
      <c r="R183">
        <f t="shared" si="14"/>
        <v>0.79172147607850729</v>
      </c>
      <c r="S183">
        <v>2.2071927872299693</v>
      </c>
      <c r="U183">
        <f t="shared" si="15"/>
        <v>0.86573673557039599</v>
      </c>
      <c r="W183">
        <v>2.2071927872299693</v>
      </c>
    </row>
    <row r="184" spans="1:23">
      <c r="A184" s="3" t="s">
        <v>76</v>
      </c>
      <c r="B184" s="3" t="s">
        <v>106</v>
      </c>
      <c r="C184" s="3" t="s">
        <v>78</v>
      </c>
      <c r="D184" s="3" t="s">
        <v>75</v>
      </c>
      <c r="E184" s="3">
        <v>6</v>
      </c>
      <c r="F184" s="3">
        <v>0.87122904475109897</v>
      </c>
      <c r="G184" s="3">
        <v>2.2205629916757599</v>
      </c>
      <c r="H184" s="3">
        <f t="shared" si="11"/>
        <v>-0.13785036913226678</v>
      </c>
      <c r="I184" s="3">
        <f t="shared" si="12"/>
        <v>0.79776076358712655</v>
      </c>
      <c r="Q184">
        <f t="shared" si="13"/>
        <v>-0.13785036913226678</v>
      </c>
      <c r="R184">
        <f t="shared" si="14"/>
        <v>0.79776076358712655</v>
      </c>
      <c r="S184">
        <v>2.2205629916757599</v>
      </c>
      <c r="U184">
        <f t="shared" si="15"/>
        <v>0.87122904475109897</v>
      </c>
      <c r="W184">
        <v>2.2205629916757599</v>
      </c>
    </row>
    <row r="185" spans="1:23">
      <c r="A185" s="3" t="s">
        <v>76</v>
      </c>
      <c r="B185" s="3" t="s">
        <v>106</v>
      </c>
      <c r="C185" s="3" t="s">
        <v>78</v>
      </c>
      <c r="D185" s="3" t="s">
        <v>75</v>
      </c>
      <c r="E185" s="3">
        <v>7</v>
      </c>
      <c r="F185" s="3">
        <v>0.89433127103212995</v>
      </c>
      <c r="G185" s="3">
        <v>2.2271281956816047</v>
      </c>
      <c r="H185" s="3">
        <f t="shared" si="11"/>
        <v>-0.11167902319210063</v>
      </c>
      <c r="I185" s="3">
        <f t="shared" si="12"/>
        <v>0.80071295091196126</v>
      </c>
      <c r="Q185">
        <f t="shared" si="13"/>
        <v>-0.11167902319210063</v>
      </c>
      <c r="R185">
        <f t="shared" si="14"/>
        <v>0.80071295091196126</v>
      </c>
      <c r="S185">
        <v>2.2271281956816047</v>
      </c>
      <c r="U185">
        <f t="shared" si="15"/>
        <v>0.89433127103212995</v>
      </c>
      <c r="W185">
        <v>2.2271281956816047</v>
      </c>
    </row>
    <row r="186" spans="1:23">
      <c r="A186" s="3" t="s">
        <v>76</v>
      </c>
      <c r="B186" s="3" t="s">
        <v>106</v>
      </c>
      <c r="C186" s="3" t="s">
        <v>78</v>
      </c>
      <c r="D186" s="3" t="s">
        <v>75</v>
      </c>
      <c r="E186" s="3">
        <v>8</v>
      </c>
      <c r="F186" s="3">
        <v>0.87579075638541604</v>
      </c>
      <c r="G186" s="3">
        <v>2.2165288177689004</v>
      </c>
      <c r="H186" s="3">
        <f t="shared" si="11"/>
        <v>-0.13262807915167976</v>
      </c>
      <c r="I186" s="3">
        <f t="shared" si="12"/>
        <v>0.79594237659325551</v>
      </c>
      <c r="Q186">
        <f t="shared" si="13"/>
        <v>-0.13262807915167976</v>
      </c>
      <c r="R186">
        <f t="shared" si="14"/>
        <v>0.79594237659325551</v>
      </c>
      <c r="S186">
        <v>2.2165288177689004</v>
      </c>
      <c r="U186">
        <f t="shared" si="15"/>
        <v>0.87579075638541604</v>
      </c>
      <c r="W186">
        <v>2.2165288177689004</v>
      </c>
    </row>
    <row r="187" spans="1:23">
      <c r="A187" s="3" t="s">
        <v>76</v>
      </c>
      <c r="B187" s="3" t="s">
        <v>106</v>
      </c>
      <c r="C187" s="3" t="s">
        <v>78</v>
      </c>
      <c r="D187" s="3" t="s">
        <v>75</v>
      </c>
      <c r="E187" s="3">
        <v>10</v>
      </c>
      <c r="F187" s="3">
        <v>0.88531306804925203</v>
      </c>
      <c r="G187" s="3">
        <v>2.2585393509965686</v>
      </c>
      <c r="H187" s="3">
        <f t="shared" si="11"/>
        <v>-0.12181394732051233</v>
      </c>
      <c r="I187" s="3">
        <f t="shared" si="12"/>
        <v>0.81471829947039487</v>
      </c>
      <c r="Q187">
        <f t="shared" si="13"/>
        <v>-0.12181394732051233</v>
      </c>
      <c r="R187">
        <f t="shared" si="14"/>
        <v>0.81471829947039487</v>
      </c>
      <c r="S187">
        <v>2.2585393509965686</v>
      </c>
      <c r="U187">
        <f t="shared" si="15"/>
        <v>0.88531306804925203</v>
      </c>
      <c r="W187">
        <v>2.2585393509965686</v>
      </c>
    </row>
    <row r="188" spans="1:23">
      <c r="A188" s="3" t="s">
        <v>76</v>
      </c>
      <c r="B188" s="3" t="s">
        <v>106</v>
      </c>
      <c r="C188" s="3" t="s">
        <v>78</v>
      </c>
      <c r="D188" s="3" t="s">
        <v>75</v>
      </c>
      <c r="E188" s="3">
        <v>11</v>
      </c>
      <c r="F188" s="3">
        <v>0.86917053692415602</v>
      </c>
      <c r="G188" s="3">
        <v>2.2503777460684242</v>
      </c>
      <c r="H188" s="3">
        <f t="shared" si="11"/>
        <v>-0.1402159279482367</v>
      </c>
      <c r="I188" s="3">
        <f t="shared" si="12"/>
        <v>0.81109808926638161</v>
      </c>
      <c r="Q188">
        <f t="shared" si="13"/>
        <v>-0.1402159279482367</v>
      </c>
      <c r="R188">
        <f t="shared" si="14"/>
        <v>0.81109808926638161</v>
      </c>
      <c r="S188">
        <v>2.2503777460684242</v>
      </c>
      <c r="U188">
        <f t="shared" si="15"/>
        <v>0.86917053692415602</v>
      </c>
      <c r="W188">
        <v>2.2503777460684242</v>
      </c>
    </row>
    <row r="189" spans="1:23">
      <c r="A189" s="3" t="s">
        <v>76</v>
      </c>
      <c r="B189" s="3" t="s">
        <v>106</v>
      </c>
      <c r="C189" s="3" t="s">
        <v>78</v>
      </c>
      <c r="D189" s="3" t="s">
        <v>75</v>
      </c>
      <c r="E189" s="3">
        <v>12</v>
      </c>
      <c r="F189" s="3">
        <v>0.851159246523988</v>
      </c>
      <c r="G189" s="3">
        <v>2.2407588000496617</v>
      </c>
      <c r="H189" s="3">
        <f t="shared" si="11"/>
        <v>-0.1611560392148158</v>
      </c>
      <c r="I189" s="3">
        <f t="shared" si="12"/>
        <v>0.80681455852628414</v>
      </c>
      <c r="Q189">
        <f t="shared" si="13"/>
        <v>-0.1611560392148158</v>
      </c>
      <c r="R189">
        <f t="shared" si="14"/>
        <v>0.80681455852628414</v>
      </c>
      <c r="S189">
        <v>2.2407588000496617</v>
      </c>
      <c r="U189">
        <f t="shared" si="15"/>
        <v>0.851159246523988</v>
      </c>
      <c r="W189">
        <v>2.2407588000496617</v>
      </c>
    </row>
    <row r="190" spans="1:23">
      <c r="A190" s="3" t="s">
        <v>76</v>
      </c>
      <c r="B190" s="3" t="s">
        <v>106</v>
      </c>
      <c r="C190" s="3" t="s">
        <v>78</v>
      </c>
      <c r="D190" s="3" t="s">
        <v>75</v>
      </c>
      <c r="E190" s="3">
        <v>13</v>
      </c>
      <c r="F190" s="3">
        <v>0.88933878617025497</v>
      </c>
      <c r="G190" s="3">
        <v>2.2484883811129643</v>
      </c>
      <c r="H190" s="3">
        <f t="shared" si="11"/>
        <v>-0.1172770292576803</v>
      </c>
      <c r="I190" s="3">
        <f t="shared" si="12"/>
        <v>0.81025815982055061</v>
      </c>
      <c r="Q190">
        <f t="shared" si="13"/>
        <v>-0.1172770292576803</v>
      </c>
      <c r="R190">
        <f t="shared" si="14"/>
        <v>0.81025815982055061</v>
      </c>
      <c r="S190">
        <v>2.2484883811129643</v>
      </c>
      <c r="U190">
        <f t="shared" si="15"/>
        <v>0.88933878617025497</v>
      </c>
      <c r="W190">
        <v>2.2484883811129643</v>
      </c>
    </row>
    <row r="191" spans="1:23">
      <c r="A191" s="3" t="s">
        <v>76</v>
      </c>
      <c r="B191" s="3" t="s">
        <v>106</v>
      </c>
      <c r="C191" s="3" t="s">
        <v>78</v>
      </c>
      <c r="D191" s="3" t="s">
        <v>75</v>
      </c>
      <c r="E191" s="3">
        <v>15</v>
      </c>
      <c r="F191" s="3">
        <v>0.89569586220434405</v>
      </c>
      <c r="G191" s="3">
        <v>2.2077137495608441</v>
      </c>
      <c r="H191" s="3">
        <f t="shared" si="11"/>
        <v>-0.11015436313391531</v>
      </c>
      <c r="I191" s="3">
        <f t="shared" si="12"/>
        <v>0.79195747760150736</v>
      </c>
      <c r="Q191">
        <f t="shared" si="13"/>
        <v>-0.11015436313391531</v>
      </c>
      <c r="R191">
        <f t="shared" si="14"/>
        <v>0.79195747760150736</v>
      </c>
      <c r="S191">
        <v>2.2077137495608441</v>
      </c>
      <c r="U191">
        <f t="shared" si="15"/>
        <v>0.89569586220434405</v>
      </c>
      <c r="W191">
        <v>2.2077137495608441</v>
      </c>
    </row>
    <row r="192" spans="1:23">
      <c r="A192" s="3" t="s">
        <v>76</v>
      </c>
      <c r="B192" s="3" t="s">
        <v>106</v>
      </c>
      <c r="C192" s="3" t="s">
        <v>78</v>
      </c>
      <c r="D192" s="3" t="s">
        <v>75</v>
      </c>
      <c r="E192" s="3">
        <v>17</v>
      </c>
      <c r="F192" s="3">
        <v>0.86587667607234198</v>
      </c>
      <c r="G192" s="3">
        <v>2.1600462958001621</v>
      </c>
      <c r="H192" s="3">
        <f t="shared" si="11"/>
        <v>-0.14401278694343053</v>
      </c>
      <c r="I192" s="3">
        <f t="shared" si="12"/>
        <v>0.77012965470720074</v>
      </c>
      <c r="Q192">
        <f t="shared" si="13"/>
        <v>-0.14401278694343053</v>
      </c>
      <c r="R192">
        <f t="shared" si="14"/>
        <v>0.77012965470720074</v>
      </c>
      <c r="S192">
        <v>2.1600462958001621</v>
      </c>
      <c r="U192">
        <f t="shared" si="15"/>
        <v>0.86587667607234198</v>
      </c>
      <c r="W192">
        <v>2.1600462958001621</v>
      </c>
    </row>
    <row r="193" spans="1:29">
      <c r="A193" s="3" t="s">
        <v>76</v>
      </c>
      <c r="B193" s="3" t="s">
        <v>106</v>
      </c>
      <c r="C193" s="3" t="s">
        <v>78</v>
      </c>
      <c r="D193" s="3" t="s">
        <v>75</v>
      </c>
      <c r="E193" s="3">
        <v>18</v>
      </c>
      <c r="F193" s="3">
        <v>0.90231928590517296</v>
      </c>
      <c r="G193" s="3">
        <v>2.2585393509965681</v>
      </c>
      <c r="H193" s="3">
        <f t="shared" si="11"/>
        <v>-0.10278684604943569</v>
      </c>
      <c r="I193" s="3">
        <f t="shared" si="12"/>
        <v>0.81471829947039465</v>
      </c>
      <c r="Q193">
        <f t="shared" si="13"/>
        <v>-0.10278684604943569</v>
      </c>
      <c r="R193">
        <f t="shared" si="14"/>
        <v>0.81471829947039465</v>
      </c>
      <c r="S193">
        <v>2.2585393509965681</v>
      </c>
      <c r="U193">
        <f t="shared" si="15"/>
        <v>0.90231928590517296</v>
      </c>
      <c r="W193">
        <v>2.2585393509965681</v>
      </c>
    </row>
    <row r="194" spans="1:29">
      <c r="A194" s="3" t="s">
        <v>76</v>
      </c>
      <c r="B194" s="3" t="s">
        <v>106</v>
      </c>
      <c r="C194" s="3" t="s">
        <v>78</v>
      </c>
      <c r="D194" s="3" t="s">
        <v>75</v>
      </c>
      <c r="E194" s="3">
        <v>19</v>
      </c>
      <c r="F194" s="3">
        <v>0.86787299786690497</v>
      </c>
      <c r="G194" s="3">
        <v>2.2155134844996991</v>
      </c>
      <c r="H194" s="3">
        <f t="shared" ref="H194:H257" si="16">LN(F194)</f>
        <v>-0.141709890848529</v>
      </c>
      <c r="I194" s="3">
        <f t="shared" ref="I194:I257" si="17">LN(G194)</f>
        <v>0.79548419807521931</v>
      </c>
      <c r="Q194">
        <f t="shared" si="13"/>
        <v>-0.141709890848529</v>
      </c>
      <c r="R194">
        <f t="shared" si="14"/>
        <v>0.79548419807521931</v>
      </c>
      <c r="S194">
        <v>2.2155134844996991</v>
      </c>
      <c r="U194">
        <f t="shared" si="15"/>
        <v>0.86787299786690497</v>
      </c>
      <c r="W194">
        <v>2.2155134844996991</v>
      </c>
    </row>
    <row r="195" spans="1:29">
      <c r="A195" s="3" t="s">
        <v>76</v>
      </c>
      <c r="B195" s="3" t="s">
        <v>106</v>
      </c>
      <c r="C195" s="3" t="s">
        <v>78</v>
      </c>
      <c r="D195" s="3" t="s">
        <v>75</v>
      </c>
      <c r="E195" s="3">
        <v>21</v>
      </c>
      <c r="F195" s="3">
        <v>0.87635801993865403</v>
      </c>
      <c r="G195" s="3">
        <v>2.2318154045529837</v>
      </c>
      <c r="H195" s="3">
        <f t="shared" si="16"/>
        <v>-0.13198057298014618</v>
      </c>
      <c r="I195" s="3">
        <f t="shared" si="17"/>
        <v>0.80281533704557295</v>
      </c>
      <c r="Q195">
        <f t="shared" si="13"/>
        <v>-0.13198057298014618</v>
      </c>
      <c r="R195">
        <f t="shared" si="14"/>
        <v>0.80281533704557295</v>
      </c>
      <c r="S195">
        <v>2.2318154045529837</v>
      </c>
      <c r="U195">
        <f t="shared" si="15"/>
        <v>0.87635801993865403</v>
      </c>
      <c r="W195">
        <v>2.2318154045529837</v>
      </c>
    </row>
    <row r="196" spans="1:29">
      <c r="A196" s="3" t="s">
        <v>76</v>
      </c>
      <c r="B196" s="3" t="s">
        <v>106</v>
      </c>
      <c r="C196" s="3" t="s">
        <v>78</v>
      </c>
      <c r="D196" s="3" t="s">
        <v>75</v>
      </c>
      <c r="E196" s="3">
        <v>22</v>
      </c>
      <c r="F196" s="3">
        <v>0.85557575013403397</v>
      </c>
      <c r="G196" s="3">
        <v>2.1708293346092407</v>
      </c>
      <c r="H196" s="3">
        <f t="shared" si="16"/>
        <v>-0.15598064470238551</v>
      </c>
      <c r="I196" s="3">
        <f t="shared" si="17"/>
        <v>0.77510927638706439</v>
      </c>
      <c r="Q196">
        <f t="shared" si="13"/>
        <v>-0.15598064470238551</v>
      </c>
      <c r="R196">
        <f t="shared" si="14"/>
        <v>0.77510927638706439</v>
      </c>
      <c r="S196">
        <v>2.1708293346092407</v>
      </c>
      <c r="U196">
        <f t="shared" si="15"/>
        <v>0.85557575013403397</v>
      </c>
      <c r="W196">
        <v>2.1708293346092407</v>
      </c>
    </row>
    <row r="197" spans="1:29">
      <c r="A197" s="3" t="s">
        <v>76</v>
      </c>
      <c r="B197" s="3" t="s">
        <v>106</v>
      </c>
      <c r="C197" s="3" t="s">
        <v>78</v>
      </c>
      <c r="D197" s="3" t="s">
        <v>75</v>
      </c>
      <c r="E197" s="3">
        <v>23</v>
      </c>
      <c r="F197" s="3">
        <v>0.89686348562180296</v>
      </c>
      <c r="G197" s="3">
        <v>2.3020860105565126</v>
      </c>
      <c r="H197" s="3">
        <f t="shared" si="16"/>
        <v>-0.10885161844765398</v>
      </c>
      <c r="I197" s="3">
        <f t="shared" si="17"/>
        <v>0.83381567300591553</v>
      </c>
      <c r="Q197">
        <f t="shared" si="13"/>
        <v>-0.10885161844765398</v>
      </c>
      <c r="R197">
        <f t="shared" si="14"/>
        <v>0.83381567300591553</v>
      </c>
      <c r="S197">
        <v>2.3020860105565126</v>
      </c>
      <c r="U197">
        <f t="shared" si="15"/>
        <v>0.89686348562180296</v>
      </c>
      <c r="W197">
        <v>2.3020860105565126</v>
      </c>
    </row>
    <row r="198" spans="1:29">
      <c r="A198" s="3" t="s">
        <v>90</v>
      </c>
      <c r="B198" s="3" t="s">
        <v>77</v>
      </c>
      <c r="C198" s="3" t="s">
        <v>78</v>
      </c>
      <c r="D198" s="3" t="s">
        <v>79</v>
      </c>
      <c r="E198" s="3">
        <v>1</v>
      </c>
      <c r="F198" s="3">
        <v>1.05842695633464</v>
      </c>
      <c r="G198" s="3">
        <v>2.3749736840647309</v>
      </c>
      <c r="H198" s="3">
        <f t="shared" si="16"/>
        <v>5.6783802442353301E-2</v>
      </c>
      <c r="I198" s="3">
        <f t="shared" si="17"/>
        <v>0.86498635703141902</v>
      </c>
      <c r="L198">
        <v>2.3749736840647309</v>
      </c>
      <c r="M198">
        <f t="shared" ref="M198:M258" si="18">LN(L198)</f>
        <v>0.86498635703141902</v>
      </c>
      <c r="AC198">
        <f>G198</f>
        <v>2.3749736840647309</v>
      </c>
    </row>
    <row r="199" spans="1:29">
      <c r="A199" s="3" t="s">
        <v>90</v>
      </c>
      <c r="B199" s="3" t="s">
        <v>77</v>
      </c>
      <c r="C199" s="3" t="s">
        <v>78</v>
      </c>
      <c r="D199" s="3" t="s">
        <v>79</v>
      </c>
      <c r="E199" s="3">
        <v>3</v>
      </c>
      <c r="F199" s="3">
        <v>1.05542039984639</v>
      </c>
      <c r="G199" s="3">
        <v>2.3970815588961503</v>
      </c>
      <c r="H199" s="3">
        <f t="shared" si="16"/>
        <v>5.3939170821378564E-2</v>
      </c>
      <c r="I199" s="3">
        <f t="shared" si="17"/>
        <v>0.87425198027854867</v>
      </c>
      <c r="L199">
        <v>2.3970815588961503</v>
      </c>
      <c r="M199">
        <f t="shared" si="18"/>
        <v>0.87425198027854867</v>
      </c>
      <c r="AC199">
        <f t="shared" ref="AC199:AC262" si="19">G199</f>
        <v>2.3970815588961503</v>
      </c>
    </row>
    <row r="200" spans="1:29">
      <c r="A200" s="3" t="s">
        <v>90</v>
      </c>
      <c r="B200" s="3" t="s">
        <v>77</v>
      </c>
      <c r="C200" s="3" t="s">
        <v>78</v>
      </c>
      <c r="D200" s="3" t="s">
        <v>79</v>
      </c>
      <c r="E200" s="3">
        <v>4</v>
      </c>
      <c r="F200" s="3">
        <v>1.0337721218570699</v>
      </c>
      <c r="G200" s="3">
        <v>2.3645718428502018</v>
      </c>
      <c r="H200" s="3">
        <f t="shared" si="16"/>
        <v>3.3214366746693751E-2</v>
      </c>
      <c r="I200" s="3">
        <f t="shared" si="17"/>
        <v>0.86059696659039109</v>
      </c>
      <c r="L200">
        <v>2.3645718428502018</v>
      </c>
      <c r="M200">
        <f t="shared" si="18"/>
        <v>0.86059696659039109</v>
      </c>
      <c r="AC200">
        <f t="shared" si="19"/>
        <v>2.3645718428502018</v>
      </c>
    </row>
    <row r="201" spans="1:29">
      <c r="A201" s="3" t="s">
        <v>90</v>
      </c>
      <c r="B201" s="3" t="s">
        <v>77</v>
      </c>
      <c r="C201" s="3" t="s">
        <v>78</v>
      </c>
      <c r="D201" s="3" t="s">
        <v>79</v>
      </c>
      <c r="E201" s="3">
        <v>5</v>
      </c>
      <c r="F201" s="3">
        <v>1.07884958761054</v>
      </c>
      <c r="G201" s="3">
        <v>2.414560001325293</v>
      </c>
      <c r="H201" s="3">
        <f t="shared" si="16"/>
        <v>7.5895276754066834E-2</v>
      </c>
      <c r="I201" s="3">
        <f t="shared" si="17"/>
        <v>0.88151707643697885</v>
      </c>
      <c r="L201">
        <v>2.414560001325293</v>
      </c>
      <c r="M201">
        <f t="shared" si="18"/>
        <v>0.88151707643697885</v>
      </c>
      <c r="AC201">
        <f t="shared" si="19"/>
        <v>2.414560001325293</v>
      </c>
    </row>
    <row r="202" spans="1:29">
      <c r="A202" s="3" t="s">
        <v>90</v>
      </c>
      <c r="B202" s="3" t="s">
        <v>77</v>
      </c>
      <c r="C202" s="3" t="s">
        <v>78</v>
      </c>
      <c r="D202" s="3" t="s">
        <v>79</v>
      </c>
      <c r="E202" s="3">
        <v>6</v>
      </c>
      <c r="F202" s="3">
        <v>1.0604547659583901</v>
      </c>
      <c r="G202" s="3">
        <v>2.4175400720567177</v>
      </c>
      <c r="H202" s="3">
        <f t="shared" si="16"/>
        <v>5.8697840608330797E-2</v>
      </c>
      <c r="I202" s="3">
        <f t="shared" si="17"/>
        <v>0.88275052403284393</v>
      </c>
      <c r="L202">
        <v>2.4175400720567177</v>
      </c>
      <c r="M202">
        <f t="shared" si="18"/>
        <v>0.88275052403284393</v>
      </c>
      <c r="AC202">
        <f t="shared" si="19"/>
        <v>2.4175400720567177</v>
      </c>
    </row>
    <row r="203" spans="1:29">
      <c r="A203" s="3" t="s">
        <v>90</v>
      </c>
      <c r="B203" s="3" t="s">
        <v>77</v>
      </c>
      <c r="C203" s="3" t="s">
        <v>78</v>
      </c>
      <c r="D203" s="3" t="s">
        <v>79</v>
      </c>
      <c r="E203" s="3">
        <v>7</v>
      </c>
      <c r="F203" s="3">
        <v>1.0463997974037</v>
      </c>
      <c r="G203" s="3">
        <v>2.4358981916328113</v>
      </c>
      <c r="H203" s="3">
        <f t="shared" si="16"/>
        <v>4.5355508108106478E-2</v>
      </c>
      <c r="I203" s="3">
        <f t="shared" si="17"/>
        <v>0.89031555572010568</v>
      </c>
      <c r="L203">
        <v>2.4358981916328113</v>
      </c>
      <c r="M203">
        <f t="shared" si="18"/>
        <v>0.89031555572010568</v>
      </c>
      <c r="AC203">
        <f t="shared" si="19"/>
        <v>2.4358981916328113</v>
      </c>
    </row>
    <row r="204" spans="1:29">
      <c r="A204" s="3" t="s">
        <v>90</v>
      </c>
      <c r="B204" s="3" t="s">
        <v>77</v>
      </c>
      <c r="C204" s="3" t="s">
        <v>78</v>
      </c>
      <c r="D204" s="3" t="s">
        <v>79</v>
      </c>
      <c r="E204" s="3">
        <v>8</v>
      </c>
      <c r="F204" s="3">
        <v>1.0307221988512201</v>
      </c>
      <c r="G204" s="3">
        <v>2.3977489443225704</v>
      </c>
      <c r="H204" s="3">
        <f t="shared" si="16"/>
        <v>3.0259720474181365E-2</v>
      </c>
      <c r="I204" s="3">
        <f t="shared" si="17"/>
        <v>0.87453035734746987</v>
      </c>
      <c r="L204">
        <v>2.3977489443225704</v>
      </c>
      <c r="M204">
        <f t="shared" si="18"/>
        <v>0.87453035734746987</v>
      </c>
      <c r="AC204">
        <f t="shared" si="19"/>
        <v>2.3977489443225704</v>
      </c>
    </row>
    <row r="205" spans="1:29">
      <c r="A205" s="3" t="s">
        <v>90</v>
      </c>
      <c r="B205" s="3" t="s">
        <v>77</v>
      </c>
      <c r="C205" s="3" t="s">
        <v>78</v>
      </c>
      <c r="D205" s="3" t="s">
        <v>79</v>
      </c>
      <c r="E205" s="3">
        <v>10</v>
      </c>
      <c r="F205" s="3">
        <v>1.08878811422116</v>
      </c>
      <c r="G205" s="3">
        <v>2.4423349483639631</v>
      </c>
      <c r="H205" s="3">
        <f t="shared" si="16"/>
        <v>8.5065255893220393E-2</v>
      </c>
      <c r="I205" s="3">
        <f t="shared" si="17"/>
        <v>0.89295452777493989</v>
      </c>
      <c r="L205">
        <v>2.4423349483639631</v>
      </c>
      <c r="M205">
        <f t="shared" si="18"/>
        <v>0.89295452777493989</v>
      </c>
      <c r="AC205">
        <f t="shared" si="19"/>
        <v>2.4423349483639631</v>
      </c>
    </row>
    <row r="206" spans="1:29">
      <c r="A206" s="3" t="s">
        <v>90</v>
      </c>
      <c r="B206" s="3" t="s">
        <v>77</v>
      </c>
      <c r="C206" s="3" t="s">
        <v>78</v>
      </c>
      <c r="D206" s="3" t="s">
        <v>79</v>
      </c>
      <c r="E206" s="3">
        <v>11</v>
      </c>
      <c r="F206" s="3">
        <v>1.0229655765528201</v>
      </c>
      <c r="G206" s="3">
        <v>2.3864827675891567</v>
      </c>
      <c r="H206" s="3">
        <f t="shared" si="16"/>
        <v>2.2705836894847224E-2</v>
      </c>
      <c r="I206" s="3">
        <f t="shared" si="17"/>
        <v>0.86982063664962628</v>
      </c>
      <c r="L206">
        <v>2.3864827675891567</v>
      </c>
      <c r="M206">
        <f t="shared" si="18"/>
        <v>0.86982063664962628</v>
      </c>
      <c r="AC206">
        <f t="shared" si="19"/>
        <v>2.3864827675891567</v>
      </c>
    </row>
    <row r="207" spans="1:29">
      <c r="A207" s="3" t="s">
        <v>90</v>
      </c>
      <c r="B207" s="3" t="s">
        <v>77</v>
      </c>
      <c r="C207" s="3" t="s">
        <v>78</v>
      </c>
      <c r="D207" s="3" t="s">
        <v>79</v>
      </c>
      <c r="E207" s="3">
        <v>12</v>
      </c>
      <c r="F207" s="3">
        <v>1.04949532996924</v>
      </c>
      <c r="G207" s="3">
        <v>2.3843028331149552</v>
      </c>
      <c r="H207" s="3">
        <f t="shared" si="16"/>
        <v>4.8309410501370727E-2</v>
      </c>
      <c r="I207" s="3">
        <f t="shared" si="17"/>
        <v>0.8689067684491375</v>
      </c>
      <c r="L207">
        <v>2.3843028331149552</v>
      </c>
      <c r="M207">
        <f t="shared" si="18"/>
        <v>0.8689067684491375</v>
      </c>
      <c r="AC207">
        <f t="shared" si="19"/>
        <v>2.3843028331149552</v>
      </c>
    </row>
    <row r="208" spans="1:29">
      <c r="A208" s="3" t="s">
        <v>90</v>
      </c>
      <c r="B208" s="3" t="s">
        <v>77</v>
      </c>
      <c r="C208" s="3" t="s">
        <v>78</v>
      </c>
      <c r="D208" s="3" t="s">
        <v>79</v>
      </c>
      <c r="E208" s="3">
        <v>13</v>
      </c>
      <c r="F208" s="3">
        <v>1.06246755706716</v>
      </c>
      <c r="G208" s="3">
        <v>2.3795167576632026</v>
      </c>
      <c r="H208" s="3">
        <f t="shared" si="16"/>
        <v>6.0594086825220869E-2</v>
      </c>
      <c r="I208" s="3">
        <f t="shared" si="17"/>
        <v>0.86689742406870862</v>
      </c>
      <c r="L208">
        <v>2.3795167576632026</v>
      </c>
      <c r="M208">
        <f t="shared" si="18"/>
        <v>0.86689742406870862</v>
      </c>
      <c r="AC208">
        <f t="shared" si="19"/>
        <v>2.3795167576632026</v>
      </c>
    </row>
    <row r="209" spans="1:29">
      <c r="A209" s="3" t="s">
        <v>90</v>
      </c>
      <c r="B209" s="3" t="s">
        <v>77</v>
      </c>
      <c r="C209" s="3" t="s">
        <v>78</v>
      </c>
      <c r="D209" s="3" t="s">
        <v>79</v>
      </c>
      <c r="E209" s="3">
        <v>14</v>
      </c>
      <c r="F209" s="3">
        <v>1.0611223012200699</v>
      </c>
      <c r="G209" s="3">
        <v>2.411514047232568</v>
      </c>
      <c r="H209" s="3">
        <f t="shared" si="16"/>
        <v>5.9327122753236386E-2</v>
      </c>
      <c r="I209" s="3">
        <f t="shared" si="17"/>
        <v>0.88025478561154835</v>
      </c>
      <c r="L209">
        <v>2.411514047232568</v>
      </c>
      <c r="M209">
        <f t="shared" si="18"/>
        <v>0.88025478561154835</v>
      </c>
      <c r="AC209">
        <f t="shared" si="19"/>
        <v>2.411514047232568</v>
      </c>
    </row>
    <row r="210" spans="1:29">
      <c r="A210" s="3" t="s">
        <v>90</v>
      </c>
      <c r="B210" s="3" t="s">
        <v>77</v>
      </c>
      <c r="C210" s="3" t="s">
        <v>78</v>
      </c>
      <c r="D210" s="3" t="s">
        <v>79</v>
      </c>
      <c r="E210" s="3">
        <v>15</v>
      </c>
      <c r="F210" s="3">
        <v>1.0174075607436499</v>
      </c>
      <c r="G210" s="3">
        <v>2.3703375287076733</v>
      </c>
      <c r="H210" s="3">
        <f t="shared" si="16"/>
        <v>1.7257784815566765E-2</v>
      </c>
      <c r="I210" s="3">
        <f t="shared" si="17"/>
        <v>0.86303236218291002</v>
      </c>
      <c r="L210">
        <v>2.3703375287076733</v>
      </c>
      <c r="M210">
        <f t="shared" si="18"/>
        <v>0.86303236218291002</v>
      </c>
      <c r="AC210">
        <f t="shared" si="19"/>
        <v>2.3703375287076733</v>
      </c>
    </row>
    <row r="211" spans="1:29">
      <c r="A211" s="3" t="s">
        <v>90</v>
      </c>
      <c r="B211" s="3" t="s">
        <v>77</v>
      </c>
      <c r="C211" s="3" t="s">
        <v>78</v>
      </c>
      <c r="D211" s="3" t="s">
        <v>79</v>
      </c>
      <c r="E211" s="3">
        <v>16</v>
      </c>
      <c r="F211" s="3">
        <v>1.0544083261295401</v>
      </c>
      <c r="G211" s="3">
        <v>2.346422809299296</v>
      </c>
      <c r="H211" s="3">
        <f t="shared" si="16"/>
        <v>5.2979781291775628E-2</v>
      </c>
      <c r="I211" s="3">
        <f t="shared" si="17"/>
        <v>0.85289195961037134</v>
      </c>
      <c r="L211">
        <v>2.346422809299296</v>
      </c>
      <c r="M211">
        <f t="shared" si="18"/>
        <v>0.85289195961037134</v>
      </c>
      <c r="AC211">
        <f t="shared" si="19"/>
        <v>2.346422809299296</v>
      </c>
    </row>
    <row r="212" spans="1:29">
      <c r="A212" s="3" t="s">
        <v>90</v>
      </c>
      <c r="B212" s="3" t="s">
        <v>77</v>
      </c>
      <c r="C212" s="3" t="s">
        <v>78</v>
      </c>
      <c r="D212" s="3" t="s">
        <v>79</v>
      </c>
      <c r="E212" s="3">
        <v>17</v>
      </c>
      <c r="F212" s="3">
        <v>1.084057756909</v>
      </c>
      <c r="G212" s="3">
        <v>2.3853720883753127</v>
      </c>
      <c r="H212" s="3">
        <f t="shared" si="16"/>
        <v>8.0711182879422694E-2</v>
      </c>
      <c r="I212" s="3">
        <f t="shared" si="17"/>
        <v>0.86935512406911986</v>
      </c>
      <c r="L212">
        <v>2.3853720883753127</v>
      </c>
      <c r="M212">
        <f t="shared" si="18"/>
        <v>0.86935512406911986</v>
      </c>
      <c r="AC212">
        <f t="shared" si="19"/>
        <v>2.3853720883753127</v>
      </c>
    </row>
    <row r="213" spans="1:29">
      <c r="A213" s="3" t="s">
        <v>90</v>
      </c>
      <c r="B213" s="3" t="s">
        <v>77</v>
      </c>
      <c r="C213" s="3" t="s">
        <v>78</v>
      </c>
      <c r="D213" s="3" t="s">
        <v>79</v>
      </c>
      <c r="E213" s="3">
        <v>18</v>
      </c>
      <c r="F213" s="3">
        <v>1.0140395193531699</v>
      </c>
      <c r="G213" s="3">
        <v>2.3544001359157285</v>
      </c>
      <c r="H213" s="3">
        <f t="shared" si="16"/>
        <v>1.3941878130610576E-2</v>
      </c>
      <c r="I213" s="3">
        <f t="shared" si="17"/>
        <v>0.85628597566551734</v>
      </c>
      <c r="L213">
        <v>2.3544001359157285</v>
      </c>
      <c r="M213">
        <f t="shared" si="18"/>
        <v>0.85628597566551734</v>
      </c>
      <c r="AC213">
        <f t="shared" si="19"/>
        <v>2.3544001359157285</v>
      </c>
    </row>
    <row r="214" spans="1:29">
      <c r="A214" s="3" t="s">
        <v>90</v>
      </c>
      <c r="B214" s="3" t="s">
        <v>77</v>
      </c>
      <c r="C214" s="3" t="s">
        <v>78</v>
      </c>
      <c r="D214" s="3" t="s">
        <v>79</v>
      </c>
      <c r="E214" s="3">
        <v>19</v>
      </c>
      <c r="F214" s="3">
        <v>1.06572257940473</v>
      </c>
      <c r="G214" s="3">
        <v>2.3796848530845423</v>
      </c>
      <c r="H214" s="3">
        <f t="shared" si="16"/>
        <v>6.3653047413333108E-2</v>
      </c>
      <c r="I214" s="3">
        <f t="shared" si="17"/>
        <v>0.8669680642454265</v>
      </c>
      <c r="L214">
        <v>2.3796848530845423</v>
      </c>
      <c r="M214">
        <f t="shared" si="18"/>
        <v>0.8669680642454265</v>
      </c>
      <c r="AC214">
        <f t="shared" si="19"/>
        <v>2.3796848530845423</v>
      </c>
    </row>
    <row r="215" spans="1:29">
      <c r="A215" s="3" t="s">
        <v>90</v>
      </c>
      <c r="B215" s="3" t="s">
        <v>77</v>
      </c>
      <c r="C215" s="3" t="s">
        <v>78</v>
      </c>
      <c r="D215" s="3" t="s">
        <v>79</v>
      </c>
      <c r="E215" s="3">
        <v>20</v>
      </c>
      <c r="F215" s="3">
        <v>1.0545494182536499</v>
      </c>
      <c r="G215" s="3">
        <v>2.3910248848558644</v>
      </c>
      <c r="H215" s="3">
        <f t="shared" si="16"/>
        <v>5.3113583995690501E-2</v>
      </c>
      <c r="I215" s="3">
        <f t="shared" si="17"/>
        <v>0.87172209614091711</v>
      </c>
      <c r="L215">
        <v>2.3910248848558644</v>
      </c>
      <c r="M215">
        <f t="shared" si="18"/>
        <v>0.87172209614091711</v>
      </c>
      <c r="AC215">
        <f t="shared" si="19"/>
        <v>2.3910248848558644</v>
      </c>
    </row>
    <row r="216" spans="1:29">
      <c r="A216" s="3" t="s">
        <v>90</v>
      </c>
      <c r="B216" s="3" t="s">
        <v>77</v>
      </c>
      <c r="C216" s="3" t="s">
        <v>78</v>
      </c>
      <c r="D216" s="3" t="s">
        <v>75</v>
      </c>
      <c r="E216" s="3">
        <v>1</v>
      </c>
      <c r="F216" s="3">
        <v>1.06560015765816</v>
      </c>
      <c r="G216" s="3">
        <v>2.4185326129701044</v>
      </c>
      <c r="H216" s="3">
        <f t="shared" si="16"/>
        <v>6.3538168756454141E-2</v>
      </c>
      <c r="I216" s="3">
        <f t="shared" si="17"/>
        <v>0.88316099798225156</v>
      </c>
      <c r="L216">
        <v>2.4185326129701044</v>
      </c>
      <c r="M216">
        <f t="shared" si="18"/>
        <v>0.88316099798225156</v>
      </c>
      <c r="AC216">
        <f t="shared" si="19"/>
        <v>2.4185326129701044</v>
      </c>
    </row>
    <row r="217" spans="1:29">
      <c r="A217" s="3" t="s">
        <v>90</v>
      </c>
      <c r="B217" s="3" t="s">
        <v>77</v>
      </c>
      <c r="C217" s="3" t="s">
        <v>78</v>
      </c>
      <c r="D217" s="3" t="s">
        <v>75</v>
      </c>
      <c r="E217" s="3">
        <v>2</v>
      </c>
      <c r="F217" s="3">
        <v>1.07125408458233</v>
      </c>
      <c r="G217" s="3">
        <v>2.4039342753078756</v>
      </c>
      <c r="H217" s="3">
        <f t="shared" si="16"/>
        <v>6.8830003834910045E-2</v>
      </c>
      <c r="I217" s="3">
        <f t="shared" si="17"/>
        <v>0.87710667657704255</v>
      </c>
      <c r="L217">
        <v>2.4039342753078756</v>
      </c>
      <c r="M217">
        <f t="shared" si="18"/>
        <v>0.87710667657704255</v>
      </c>
      <c r="AC217">
        <f t="shared" si="19"/>
        <v>2.4039342753078756</v>
      </c>
    </row>
    <row r="218" spans="1:29">
      <c r="A218" s="3" t="s">
        <v>90</v>
      </c>
      <c r="B218" s="3" t="s">
        <v>77</v>
      </c>
      <c r="C218" s="3" t="s">
        <v>78</v>
      </c>
      <c r="D218" s="3" t="s">
        <v>75</v>
      </c>
      <c r="E218" s="3">
        <v>3</v>
      </c>
      <c r="F218" s="3">
        <v>1.07056465595905</v>
      </c>
      <c r="G218" s="3">
        <v>2.4285386552410482</v>
      </c>
      <c r="H218" s="3">
        <f t="shared" si="16"/>
        <v>6.8186225130352759E-2</v>
      </c>
      <c r="I218" s="3">
        <f t="shared" si="17"/>
        <v>0.8872897000091009</v>
      </c>
      <c r="L218">
        <v>2.4285386552410482</v>
      </c>
      <c r="M218">
        <f t="shared" si="18"/>
        <v>0.8872897000091009</v>
      </c>
      <c r="AC218">
        <f t="shared" si="19"/>
        <v>2.4285386552410482</v>
      </c>
    </row>
    <row r="219" spans="1:29">
      <c r="A219" s="3" t="s">
        <v>90</v>
      </c>
      <c r="B219" s="3" t="s">
        <v>77</v>
      </c>
      <c r="C219" s="3" t="s">
        <v>78</v>
      </c>
      <c r="D219" s="3" t="s">
        <v>75</v>
      </c>
      <c r="E219" s="3">
        <v>4</v>
      </c>
      <c r="F219" s="3">
        <v>1.06111792739615</v>
      </c>
      <c r="G219" s="3">
        <v>2.4137315509393336</v>
      </c>
      <c r="H219" s="3">
        <f t="shared" si="16"/>
        <v>5.9323000859907854E-2</v>
      </c>
      <c r="I219" s="3">
        <f t="shared" si="17"/>
        <v>0.88117391141261292</v>
      </c>
      <c r="L219">
        <v>2.4137315509393336</v>
      </c>
      <c r="M219">
        <f t="shared" si="18"/>
        <v>0.88117391141261292</v>
      </c>
      <c r="AC219">
        <f t="shared" si="19"/>
        <v>2.4137315509393336</v>
      </c>
    </row>
    <row r="220" spans="1:29">
      <c r="A220" s="3" t="s">
        <v>90</v>
      </c>
      <c r="B220" s="3" t="s">
        <v>77</v>
      </c>
      <c r="C220" s="3" t="s">
        <v>78</v>
      </c>
      <c r="D220" s="3" t="s">
        <v>75</v>
      </c>
      <c r="E220" s="3">
        <v>5</v>
      </c>
      <c r="F220" s="3">
        <v>1.0892643113068701</v>
      </c>
      <c r="G220" s="3">
        <v>2.4560130292814004</v>
      </c>
      <c r="H220" s="3">
        <f t="shared" si="16"/>
        <v>8.5502524608809027E-2</v>
      </c>
      <c r="I220" s="3">
        <f t="shared" si="17"/>
        <v>0.89853931535282761</v>
      </c>
      <c r="L220">
        <v>2.4560130292814004</v>
      </c>
      <c r="M220">
        <f t="shared" si="18"/>
        <v>0.89853931535282761</v>
      </c>
      <c r="AC220">
        <f t="shared" si="19"/>
        <v>2.4560130292814004</v>
      </c>
    </row>
    <row r="221" spans="1:29">
      <c r="A221" s="3" t="s">
        <v>90</v>
      </c>
      <c r="B221" s="3" t="s">
        <v>77</v>
      </c>
      <c r="C221" s="3" t="s">
        <v>78</v>
      </c>
      <c r="D221" s="3" t="s">
        <v>75</v>
      </c>
      <c r="E221" s="3">
        <v>6</v>
      </c>
      <c r="F221" s="3">
        <v>1.0444207713924101</v>
      </c>
      <c r="G221" s="3">
        <v>2.3535717537394101</v>
      </c>
      <c r="H221" s="3">
        <f t="shared" si="16"/>
        <v>4.3462445994750222E-2</v>
      </c>
      <c r="I221" s="3">
        <f t="shared" si="17"/>
        <v>0.85593406949263318</v>
      </c>
      <c r="L221">
        <v>2.3535717537394101</v>
      </c>
      <c r="M221">
        <f t="shared" si="18"/>
        <v>0.85593406949263318</v>
      </c>
      <c r="AC221">
        <f t="shared" si="19"/>
        <v>2.3535717537394101</v>
      </c>
    </row>
    <row r="222" spans="1:29">
      <c r="A222" s="3" t="s">
        <v>90</v>
      </c>
      <c r="B222" s="3" t="s">
        <v>77</v>
      </c>
      <c r="C222" s="3" t="s">
        <v>78</v>
      </c>
      <c r="D222" s="3" t="s">
        <v>75</v>
      </c>
      <c r="E222" s="3">
        <v>7</v>
      </c>
      <c r="F222" s="3">
        <v>1.0700626763260299</v>
      </c>
      <c r="G222" s="3">
        <v>2.4686838598735159</v>
      </c>
      <c r="H222" s="3">
        <f t="shared" si="16"/>
        <v>6.7717222763943014E-2</v>
      </c>
      <c r="I222" s="3">
        <f t="shared" si="17"/>
        <v>0.90368515837110142</v>
      </c>
      <c r="L222">
        <v>2.4686838598735159</v>
      </c>
      <c r="M222">
        <f t="shared" si="18"/>
        <v>0.90368515837110142</v>
      </c>
      <c r="AC222">
        <f t="shared" si="19"/>
        <v>2.4686838598735159</v>
      </c>
    </row>
    <row r="223" spans="1:29">
      <c r="A223" s="3" t="s">
        <v>90</v>
      </c>
      <c r="B223" s="3" t="s">
        <v>77</v>
      </c>
      <c r="C223" s="3" t="s">
        <v>78</v>
      </c>
      <c r="D223" s="3" t="s">
        <v>75</v>
      </c>
      <c r="E223" s="3">
        <v>8</v>
      </c>
      <c r="F223" s="3">
        <v>1.0782924210784901</v>
      </c>
      <c r="G223" s="3">
        <v>2.4215697388264501</v>
      </c>
      <c r="H223" s="3">
        <f t="shared" si="16"/>
        <v>7.537869829776149E-2</v>
      </c>
      <c r="I223" s="3">
        <f t="shared" si="17"/>
        <v>0.88441598229217533</v>
      </c>
      <c r="L223">
        <v>2.4215697388264501</v>
      </c>
      <c r="M223">
        <f t="shared" si="18"/>
        <v>0.88441598229217533</v>
      </c>
      <c r="AC223">
        <f t="shared" si="19"/>
        <v>2.4215697388264501</v>
      </c>
    </row>
    <row r="224" spans="1:29">
      <c r="A224" s="3" t="s">
        <v>90</v>
      </c>
      <c r="B224" s="3" t="s">
        <v>77</v>
      </c>
      <c r="C224" s="3" t="s">
        <v>78</v>
      </c>
      <c r="D224" s="3" t="s">
        <v>75</v>
      </c>
      <c r="E224" s="3">
        <v>9</v>
      </c>
      <c r="F224" s="3">
        <v>1.02205295750487</v>
      </c>
      <c r="G224" s="3">
        <v>2.3571593073019055</v>
      </c>
      <c r="H224" s="3">
        <f t="shared" si="16"/>
        <v>2.1813307958473697E-2</v>
      </c>
      <c r="I224" s="3">
        <f t="shared" si="17"/>
        <v>0.85745721068222336</v>
      </c>
      <c r="L224">
        <v>2.3571593073019055</v>
      </c>
      <c r="M224">
        <f t="shared" si="18"/>
        <v>0.85745721068222336</v>
      </c>
      <c r="AC224">
        <f t="shared" si="19"/>
        <v>2.3571593073019055</v>
      </c>
    </row>
    <row r="225" spans="1:29">
      <c r="A225" s="3" t="s">
        <v>90</v>
      </c>
      <c r="B225" s="3" t="s">
        <v>77</v>
      </c>
      <c r="C225" s="3" t="s">
        <v>78</v>
      </c>
      <c r="D225" s="3" t="s">
        <v>75</v>
      </c>
      <c r="E225" s="3">
        <v>10</v>
      </c>
      <c r="F225" s="3">
        <v>1.0646679868011899</v>
      </c>
      <c r="G225" s="3">
        <v>2.3576471322061749</v>
      </c>
      <c r="H225" s="3">
        <f t="shared" si="16"/>
        <v>6.266300107496596E-2</v>
      </c>
      <c r="I225" s="3">
        <f t="shared" si="17"/>
        <v>0.85766414384576639</v>
      </c>
      <c r="L225">
        <v>2.3576471322061749</v>
      </c>
      <c r="M225">
        <f t="shared" si="18"/>
        <v>0.85766414384576639</v>
      </c>
      <c r="AC225">
        <f t="shared" si="19"/>
        <v>2.3576471322061749</v>
      </c>
    </row>
    <row r="226" spans="1:29">
      <c r="A226" s="3" t="s">
        <v>90</v>
      </c>
      <c r="B226" s="3" t="s">
        <v>77</v>
      </c>
      <c r="C226" s="3" t="s">
        <v>78</v>
      </c>
      <c r="D226" s="3" t="s">
        <v>75</v>
      </c>
      <c r="E226" s="3">
        <v>11</v>
      </c>
      <c r="F226" s="3">
        <v>1.02766097304486</v>
      </c>
      <c r="G226" s="3">
        <v>2.4063665556186575</v>
      </c>
      <c r="H226" s="3">
        <f t="shared" si="16"/>
        <v>2.7285319881464123E-2</v>
      </c>
      <c r="I226" s="3">
        <f t="shared" si="17"/>
        <v>0.87811795657950431</v>
      </c>
      <c r="L226">
        <v>2.4063665556186575</v>
      </c>
      <c r="M226">
        <f t="shared" si="18"/>
        <v>0.87811795657950431</v>
      </c>
      <c r="AC226">
        <f t="shared" si="19"/>
        <v>2.4063665556186575</v>
      </c>
    </row>
    <row r="227" spans="1:29">
      <c r="A227" s="3" t="s">
        <v>90</v>
      </c>
      <c r="B227" s="3" t="s">
        <v>77</v>
      </c>
      <c r="C227" s="3" t="s">
        <v>78</v>
      </c>
      <c r="D227" s="3" t="s">
        <v>75</v>
      </c>
      <c r="E227" s="3">
        <v>12</v>
      </c>
      <c r="F227" s="3">
        <v>1.0497945785988501</v>
      </c>
      <c r="G227" s="3">
        <v>2.4147877753541822</v>
      </c>
      <c r="H227" s="3">
        <f t="shared" si="16"/>
        <v>4.8594505599875784E-2</v>
      </c>
      <c r="I227" s="3">
        <f t="shared" si="17"/>
        <v>0.88161140554293316</v>
      </c>
      <c r="L227">
        <v>2.4147877753541822</v>
      </c>
      <c r="M227">
        <f t="shared" si="18"/>
        <v>0.88161140554293316</v>
      </c>
      <c r="AC227">
        <f t="shared" si="19"/>
        <v>2.4147877753541822</v>
      </c>
    </row>
    <row r="228" spans="1:29">
      <c r="A228" s="3" t="s">
        <v>90</v>
      </c>
      <c r="B228" s="3" t="s">
        <v>77</v>
      </c>
      <c r="C228" s="3" t="s">
        <v>78</v>
      </c>
      <c r="D228" s="3" t="s">
        <v>75</v>
      </c>
      <c r="E228" s="3">
        <v>14</v>
      </c>
      <c r="F228" s="3">
        <v>1.0809977342152</v>
      </c>
      <c r="G228" s="3">
        <v>2.4575801105966009</v>
      </c>
      <c r="H228" s="3">
        <f t="shared" si="16"/>
        <v>7.7884442646733942E-2</v>
      </c>
      <c r="I228" s="3">
        <f t="shared" si="17"/>
        <v>0.89917717091950611</v>
      </c>
      <c r="L228">
        <v>2.4575801105966009</v>
      </c>
      <c r="M228">
        <f t="shared" si="18"/>
        <v>0.89917717091950611</v>
      </c>
      <c r="AC228">
        <f t="shared" si="19"/>
        <v>2.4575801105966009</v>
      </c>
    </row>
    <row r="229" spans="1:29">
      <c r="A229" s="3" t="s">
        <v>90</v>
      </c>
      <c r="B229" s="3" t="s">
        <v>77</v>
      </c>
      <c r="C229" s="3" t="s">
        <v>78</v>
      </c>
      <c r="D229" s="3" t="s">
        <v>75</v>
      </c>
      <c r="E229" s="3">
        <v>16</v>
      </c>
      <c r="F229" s="3">
        <v>1.06163161529589</v>
      </c>
      <c r="G229" s="3">
        <v>2.4252834885843759</v>
      </c>
      <c r="H229" s="3">
        <f t="shared" si="16"/>
        <v>5.9806984391112185E-2</v>
      </c>
      <c r="I229" s="3">
        <f t="shared" si="17"/>
        <v>0.88594842006590169</v>
      </c>
      <c r="L229">
        <v>2.4252834885843759</v>
      </c>
      <c r="M229">
        <f t="shared" si="18"/>
        <v>0.88594842006590169</v>
      </c>
      <c r="AC229">
        <f t="shared" si="19"/>
        <v>2.4252834885843759</v>
      </c>
    </row>
    <row r="230" spans="1:29">
      <c r="A230" s="3" t="s">
        <v>90</v>
      </c>
      <c r="B230" s="3" t="s">
        <v>77</v>
      </c>
      <c r="C230" s="3" t="s">
        <v>78</v>
      </c>
      <c r="D230" s="3" t="s">
        <v>75</v>
      </c>
      <c r="E230" s="3">
        <v>18</v>
      </c>
      <c r="F230" s="3">
        <v>1.07838161034652</v>
      </c>
      <c r="G230" s="3">
        <v>2.4288680491125905</v>
      </c>
      <c r="H230" s="3">
        <f t="shared" si="16"/>
        <v>7.5461408310291134E-2</v>
      </c>
      <c r="I230" s="3">
        <f t="shared" si="17"/>
        <v>0.88742532541257058</v>
      </c>
      <c r="L230">
        <v>2.4288680491125905</v>
      </c>
      <c r="M230">
        <f t="shared" si="18"/>
        <v>0.88742532541257058</v>
      </c>
      <c r="AC230">
        <f t="shared" si="19"/>
        <v>2.4288680491125905</v>
      </c>
    </row>
    <row r="231" spans="1:29">
      <c r="A231" s="3" t="s">
        <v>90</v>
      </c>
      <c r="B231" s="3" t="s">
        <v>77</v>
      </c>
      <c r="C231" s="3" t="s">
        <v>78</v>
      </c>
      <c r="D231" s="3" t="s">
        <v>75</v>
      </c>
      <c r="E231" s="3">
        <v>19</v>
      </c>
      <c r="F231" s="3">
        <v>1.0751311520981801</v>
      </c>
      <c r="G231" s="3">
        <v>2.4164643593481783</v>
      </c>
      <c r="H231" s="3">
        <f t="shared" si="16"/>
        <v>7.2442656089788712E-2</v>
      </c>
      <c r="I231" s="3">
        <f t="shared" si="17"/>
        <v>0.88230546332114612</v>
      </c>
      <c r="L231">
        <v>2.4164643593481783</v>
      </c>
      <c r="M231">
        <f t="shared" si="18"/>
        <v>0.88230546332114612</v>
      </c>
      <c r="AC231">
        <f t="shared" si="19"/>
        <v>2.4164643593481783</v>
      </c>
    </row>
    <row r="232" spans="1:29">
      <c r="A232" s="3" t="s">
        <v>90</v>
      </c>
      <c r="B232" s="3" t="s">
        <v>77</v>
      </c>
      <c r="C232" s="3" t="s">
        <v>78</v>
      </c>
      <c r="D232" s="3" t="s">
        <v>75</v>
      </c>
      <c r="E232" s="3">
        <v>21</v>
      </c>
      <c r="F232" s="3">
        <v>1.0444233308461199</v>
      </c>
      <c r="G232" s="3">
        <v>2.4166091947189146</v>
      </c>
      <c r="H232" s="3">
        <f t="shared" si="16"/>
        <v>4.3464896588078006E-2</v>
      </c>
      <c r="I232" s="3">
        <f t="shared" si="17"/>
        <v>0.88236539842006789</v>
      </c>
      <c r="L232">
        <v>2.4166091947189146</v>
      </c>
      <c r="M232">
        <f t="shared" si="18"/>
        <v>0.88236539842006789</v>
      </c>
      <c r="AC232">
        <f t="shared" si="19"/>
        <v>2.4166091947189146</v>
      </c>
    </row>
    <row r="233" spans="1:29">
      <c r="A233" s="3" t="s">
        <v>90</v>
      </c>
      <c r="B233" s="3" t="s">
        <v>77</v>
      </c>
      <c r="C233" s="3" t="s">
        <v>78</v>
      </c>
      <c r="D233" s="3" t="s">
        <v>75</v>
      </c>
      <c r="E233" s="3">
        <v>23</v>
      </c>
      <c r="F233" s="3">
        <v>1.04894171405323</v>
      </c>
      <c r="G233" s="3">
        <v>2.395850579648072</v>
      </c>
      <c r="H233" s="3">
        <f t="shared" si="16"/>
        <v>4.778176452749567E-2</v>
      </c>
      <c r="I233" s="3">
        <f t="shared" si="17"/>
        <v>0.87373831589125428</v>
      </c>
      <c r="L233">
        <v>2.395850579648072</v>
      </c>
      <c r="M233">
        <f t="shared" si="18"/>
        <v>0.87373831589125428</v>
      </c>
      <c r="AC233">
        <f t="shared" si="19"/>
        <v>2.395850579648072</v>
      </c>
    </row>
    <row r="234" spans="1:29">
      <c r="A234" s="3" t="s">
        <v>90</v>
      </c>
      <c r="B234" s="3" t="s">
        <v>77</v>
      </c>
      <c r="C234" s="3" t="s">
        <v>78</v>
      </c>
      <c r="D234" s="3" t="s">
        <v>75</v>
      </c>
      <c r="E234" s="3">
        <v>24</v>
      </c>
      <c r="F234" s="3">
        <v>1.07535111662512</v>
      </c>
      <c r="G234" s="3">
        <v>2.4301646034785382</v>
      </c>
      <c r="H234" s="3">
        <f t="shared" si="16"/>
        <v>7.2647228367278396E-2</v>
      </c>
      <c r="I234" s="3">
        <f t="shared" si="17"/>
        <v>0.88795899311535009</v>
      </c>
      <c r="L234">
        <v>2.4301646034785382</v>
      </c>
      <c r="M234">
        <f t="shared" si="18"/>
        <v>0.88795899311535009</v>
      </c>
      <c r="AC234">
        <f t="shared" si="19"/>
        <v>2.4301646034785382</v>
      </c>
    </row>
    <row r="235" spans="1:29">
      <c r="A235" s="3" t="s">
        <v>90</v>
      </c>
      <c r="B235" s="3" t="s">
        <v>77</v>
      </c>
      <c r="C235" s="3" t="s">
        <v>78</v>
      </c>
      <c r="D235" s="3" t="s">
        <v>75</v>
      </c>
      <c r="E235" s="3">
        <v>25</v>
      </c>
      <c r="F235" s="3">
        <v>1.0622368717969399</v>
      </c>
      <c r="G235" s="3">
        <v>2.3925091431382244</v>
      </c>
      <c r="H235" s="3">
        <f t="shared" si="16"/>
        <v>6.037694107262332E-2</v>
      </c>
      <c r="I235" s="3">
        <f t="shared" si="17"/>
        <v>0.87234266592104492</v>
      </c>
      <c r="L235">
        <v>2.3925091431382244</v>
      </c>
      <c r="M235">
        <f t="shared" si="18"/>
        <v>0.87234266592104492</v>
      </c>
      <c r="AC235">
        <f t="shared" si="19"/>
        <v>2.3925091431382244</v>
      </c>
    </row>
    <row r="236" spans="1:29">
      <c r="A236" s="3" t="s">
        <v>90</v>
      </c>
      <c r="B236" s="3" t="s">
        <v>103</v>
      </c>
      <c r="C236" s="3" t="s">
        <v>78</v>
      </c>
      <c r="D236" s="3" t="s">
        <v>79</v>
      </c>
      <c r="E236" s="3">
        <v>1</v>
      </c>
      <c r="F236" s="3">
        <v>1.08095661445397</v>
      </c>
      <c r="G236" s="3">
        <v>2.4157193545608724</v>
      </c>
      <c r="H236" s="3">
        <f t="shared" si="16"/>
        <v>7.7846403211479204E-2</v>
      </c>
      <c r="I236" s="3">
        <f t="shared" si="17"/>
        <v>0.88199711213364285</v>
      </c>
      <c r="L236">
        <v>2.4157193545608724</v>
      </c>
      <c r="M236">
        <f t="shared" si="18"/>
        <v>0.88199711213364285</v>
      </c>
      <c r="AC236">
        <f t="shared" si="19"/>
        <v>2.4157193545608724</v>
      </c>
    </row>
    <row r="237" spans="1:29">
      <c r="A237" s="3" t="s">
        <v>90</v>
      </c>
      <c r="B237" s="3" t="s">
        <v>103</v>
      </c>
      <c r="C237" s="3" t="s">
        <v>78</v>
      </c>
      <c r="D237" s="3" t="s">
        <v>79</v>
      </c>
      <c r="E237" s="3">
        <v>2</v>
      </c>
      <c r="F237" s="3">
        <v>1.02449362968118</v>
      </c>
      <c r="G237" s="3">
        <v>2.4200206610688264</v>
      </c>
      <c r="H237" s="3">
        <f t="shared" si="16"/>
        <v>2.4198470699135236E-2</v>
      </c>
      <c r="I237" s="3">
        <f t="shared" si="17"/>
        <v>0.88377607776389611</v>
      </c>
      <c r="L237">
        <v>2.4200206610688264</v>
      </c>
      <c r="M237">
        <f t="shared" si="18"/>
        <v>0.88377607776389611</v>
      </c>
      <c r="AC237">
        <f t="shared" si="19"/>
        <v>2.4200206610688264</v>
      </c>
    </row>
    <row r="238" spans="1:29">
      <c r="A238" s="3" t="s">
        <v>90</v>
      </c>
      <c r="B238" s="3" t="s">
        <v>103</v>
      </c>
      <c r="C238" s="3" t="s">
        <v>78</v>
      </c>
      <c r="D238" s="3" t="s">
        <v>79</v>
      </c>
      <c r="E238" s="3">
        <v>3</v>
      </c>
      <c r="F238" s="3">
        <v>1.0033906770080601</v>
      </c>
      <c r="G238" s="3">
        <v>2.4021656895393373</v>
      </c>
      <c r="H238" s="3">
        <f t="shared" si="16"/>
        <v>3.3849416236742718E-3</v>
      </c>
      <c r="I238" s="3">
        <f t="shared" si="17"/>
        <v>0.87637070110366289</v>
      </c>
      <c r="L238">
        <v>2.4021656895393373</v>
      </c>
      <c r="M238">
        <f t="shared" si="18"/>
        <v>0.87637070110366289</v>
      </c>
      <c r="AC238">
        <f t="shared" si="19"/>
        <v>2.4021656895393373</v>
      </c>
    </row>
    <row r="239" spans="1:29">
      <c r="A239" s="3" t="s">
        <v>90</v>
      </c>
      <c r="B239" s="3" t="s">
        <v>103</v>
      </c>
      <c r="C239" s="3" t="s">
        <v>78</v>
      </c>
      <c r="D239" s="3" t="s">
        <v>79</v>
      </c>
      <c r="E239" s="3">
        <v>6</v>
      </c>
      <c r="F239" s="3">
        <v>1.04076827594035</v>
      </c>
      <c r="G239" s="3">
        <v>2.4407375934335915</v>
      </c>
      <c r="H239" s="3">
        <f t="shared" si="16"/>
        <v>3.9959167294615711E-2</v>
      </c>
      <c r="I239" s="3">
        <f t="shared" si="17"/>
        <v>0.89230028601478772</v>
      </c>
      <c r="L239">
        <v>2.4407375934335915</v>
      </c>
      <c r="M239">
        <f t="shared" si="18"/>
        <v>0.89230028601478772</v>
      </c>
      <c r="AC239">
        <f t="shared" si="19"/>
        <v>2.4407375934335915</v>
      </c>
    </row>
    <row r="240" spans="1:29">
      <c r="A240" s="3" t="s">
        <v>90</v>
      </c>
      <c r="B240" s="3" t="s">
        <v>103</v>
      </c>
      <c r="C240" s="3" t="s">
        <v>78</v>
      </c>
      <c r="D240" s="3" t="s">
        <v>79</v>
      </c>
      <c r="E240" s="3">
        <v>7</v>
      </c>
      <c r="F240" s="3">
        <v>1.0652578521601299</v>
      </c>
      <c r="G240" s="3">
        <v>2.4226019070412703</v>
      </c>
      <c r="H240" s="3">
        <f t="shared" si="16"/>
        <v>6.3216884560700765E-2</v>
      </c>
      <c r="I240" s="3">
        <f t="shared" si="17"/>
        <v>0.8848421307880987</v>
      </c>
      <c r="L240">
        <v>2.4226019070412703</v>
      </c>
      <c r="M240">
        <f t="shared" si="18"/>
        <v>0.8848421307880987</v>
      </c>
      <c r="AC240">
        <f t="shared" si="19"/>
        <v>2.4226019070412703</v>
      </c>
    </row>
    <row r="241" spans="1:29">
      <c r="A241" s="3" t="s">
        <v>90</v>
      </c>
      <c r="B241" s="3" t="s">
        <v>103</v>
      </c>
      <c r="C241" s="3" t="s">
        <v>78</v>
      </c>
      <c r="D241" s="3" t="s">
        <v>79</v>
      </c>
      <c r="E241" s="3">
        <v>8</v>
      </c>
      <c r="F241" s="3">
        <v>1.0386998046790299</v>
      </c>
      <c r="G241" s="3">
        <v>2.4078621222985337</v>
      </c>
      <c r="H241" s="3">
        <f t="shared" si="16"/>
        <v>3.7969743207931284E-2</v>
      </c>
      <c r="I241" s="3">
        <f t="shared" si="17"/>
        <v>0.87873926762559029</v>
      </c>
      <c r="L241">
        <v>2.4078621222985337</v>
      </c>
      <c r="M241">
        <f t="shared" si="18"/>
        <v>0.87873926762559029</v>
      </c>
      <c r="AC241">
        <f t="shared" si="19"/>
        <v>2.4078621222985337</v>
      </c>
    </row>
    <row r="242" spans="1:29">
      <c r="A242" s="3" t="s">
        <v>90</v>
      </c>
      <c r="B242" s="3" t="s">
        <v>103</v>
      </c>
      <c r="C242" s="3" t="s">
        <v>78</v>
      </c>
      <c r="D242" s="3" t="s">
        <v>79</v>
      </c>
      <c r="E242" s="3">
        <v>9</v>
      </c>
      <c r="F242" s="3">
        <v>1.04359652305268</v>
      </c>
      <c r="G242" s="3">
        <v>2.4541597340026584</v>
      </c>
      <c r="H242" s="3">
        <f t="shared" si="16"/>
        <v>4.2672942589067939E-2</v>
      </c>
      <c r="I242" s="3">
        <f t="shared" si="17"/>
        <v>0.89778443545100106</v>
      </c>
      <c r="L242">
        <v>2.4541597340026584</v>
      </c>
      <c r="M242">
        <f t="shared" si="18"/>
        <v>0.89778443545100106</v>
      </c>
      <c r="AC242">
        <f t="shared" si="19"/>
        <v>2.4541597340026584</v>
      </c>
    </row>
    <row r="243" spans="1:29">
      <c r="A243" s="3" t="s">
        <v>90</v>
      </c>
      <c r="B243" s="3" t="s">
        <v>103</v>
      </c>
      <c r="C243" s="3" t="s">
        <v>78</v>
      </c>
      <c r="D243" s="3" t="s">
        <v>79</v>
      </c>
      <c r="E243" s="3">
        <v>10</v>
      </c>
      <c r="F243" s="3">
        <v>1.0325574541381499</v>
      </c>
      <c r="G243" s="3">
        <v>2.4732367456432471</v>
      </c>
      <c r="H243" s="3">
        <f t="shared" si="16"/>
        <v>3.2038689959271269E-2</v>
      </c>
      <c r="I243" s="3">
        <f t="shared" si="17"/>
        <v>0.90552771612192529</v>
      </c>
      <c r="L243">
        <v>2.4732367456432471</v>
      </c>
      <c r="M243">
        <f t="shared" si="18"/>
        <v>0.90552771612192529</v>
      </c>
      <c r="AC243">
        <f t="shared" si="19"/>
        <v>2.4732367456432471</v>
      </c>
    </row>
    <row r="244" spans="1:29">
      <c r="A244" s="3" t="s">
        <v>90</v>
      </c>
      <c r="B244" s="3" t="s">
        <v>103</v>
      </c>
      <c r="C244" s="3" t="s">
        <v>78</v>
      </c>
      <c r="D244" s="3" t="s">
        <v>79</v>
      </c>
      <c r="E244" s="3">
        <v>11</v>
      </c>
      <c r="F244" s="3">
        <v>1.02307331233892</v>
      </c>
      <c r="G244" s="3">
        <v>2.3634931774811623</v>
      </c>
      <c r="H244" s="3">
        <f t="shared" si="16"/>
        <v>2.2811148467158374E-2</v>
      </c>
      <c r="I244" s="3">
        <f t="shared" si="17"/>
        <v>0.86014068463017468</v>
      </c>
      <c r="L244">
        <v>2.3634931774811623</v>
      </c>
      <c r="M244">
        <f t="shared" si="18"/>
        <v>0.86014068463017468</v>
      </c>
      <c r="AC244">
        <f t="shared" si="19"/>
        <v>2.3634931774811623</v>
      </c>
    </row>
    <row r="245" spans="1:29">
      <c r="A245" s="3" t="s">
        <v>90</v>
      </c>
      <c r="B245" s="3" t="s">
        <v>103</v>
      </c>
      <c r="C245" s="3" t="s">
        <v>78</v>
      </c>
      <c r="D245" s="3" t="s">
        <v>79</v>
      </c>
      <c r="E245" s="3">
        <v>12</v>
      </c>
      <c r="F245" s="3">
        <v>1.0554056143122701</v>
      </c>
      <c r="G245" s="3">
        <v>2.4750959577357805</v>
      </c>
      <c r="H245" s="3">
        <f t="shared" si="16"/>
        <v>5.3925161581373941E-2</v>
      </c>
      <c r="I245" s="3">
        <f t="shared" si="17"/>
        <v>0.90627916607142101</v>
      </c>
      <c r="L245">
        <v>2.4750959577357805</v>
      </c>
      <c r="M245">
        <f t="shared" si="18"/>
        <v>0.90627916607142101</v>
      </c>
      <c r="AC245">
        <f t="shared" si="19"/>
        <v>2.4750959577357805</v>
      </c>
    </row>
    <row r="246" spans="1:29">
      <c r="A246" s="3" t="s">
        <v>90</v>
      </c>
      <c r="B246" s="3" t="s">
        <v>103</v>
      </c>
      <c r="C246" s="3" t="s">
        <v>78</v>
      </c>
      <c r="D246" s="3" t="s">
        <v>79</v>
      </c>
      <c r="E246" s="3">
        <v>13</v>
      </c>
      <c r="F246" s="3">
        <v>1.01310350014831</v>
      </c>
      <c r="G246" s="3">
        <v>2.3972692798265278</v>
      </c>
      <c r="H246" s="3">
        <f t="shared" si="16"/>
        <v>1.3018391960787188E-2</v>
      </c>
      <c r="I246" s="3">
        <f t="shared" si="17"/>
        <v>0.87433028949570379</v>
      </c>
      <c r="L246">
        <v>2.3972692798265278</v>
      </c>
      <c r="M246">
        <f t="shared" si="18"/>
        <v>0.87433028949570379</v>
      </c>
      <c r="AC246">
        <f t="shared" si="19"/>
        <v>2.3972692798265278</v>
      </c>
    </row>
    <row r="247" spans="1:29">
      <c r="A247" s="3" t="s">
        <v>90</v>
      </c>
      <c r="B247" s="3" t="s">
        <v>103</v>
      </c>
      <c r="C247" s="3" t="s">
        <v>78</v>
      </c>
      <c r="D247" s="3" t="s">
        <v>79</v>
      </c>
      <c r="E247" s="3">
        <v>14</v>
      </c>
      <c r="F247" s="3">
        <v>1.0331202860580899</v>
      </c>
      <c r="G247" s="3">
        <v>2.4075921581530375</v>
      </c>
      <c r="H247" s="3">
        <f t="shared" si="16"/>
        <v>3.2583626783554961E-2</v>
      </c>
      <c r="I247" s="3">
        <f t="shared" si="17"/>
        <v>0.87862714356415961</v>
      </c>
      <c r="L247">
        <v>2.4075921581530375</v>
      </c>
      <c r="M247">
        <f t="shared" si="18"/>
        <v>0.87862714356415961</v>
      </c>
      <c r="AC247">
        <f t="shared" si="19"/>
        <v>2.4075921581530375</v>
      </c>
    </row>
    <row r="248" spans="1:29">
      <c r="A248" s="3" t="s">
        <v>90</v>
      </c>
      <c r="B248" s="3" t="s">
        <v>103</v>
      </c>
      <c r="C248" s="3" t="s">
        <v>78</v>
      </c>
      <c r="D248" s="3" t="s">
        <v>79</v>
      </c>
      <c r="E248" s="3">
        <v>15</v>
      </c>
      <c r="F248" s="3">
        <v>1.03872241419172</v>
      </c>
      <c r="G248" s="3">
        <v>2.4528350943347172</v>
      </c>
      <c r="H248" s="3">
        <f t="shared" si="16"/>
        <v>3.7991510100078271E-2</v>
      </c>
      <c r="I248" s="3">
        <f t="shared" si="17"/>
        <v>0.89724453689946071</v>
      </c>
      <c r="L248">
        <v>2.4528350943347172</v>
      </c>
      <c r="M248">
        <f t="shared" si="18"/>
        <v>0.89724453689946071</v>
      </c>
      <c r="AC248">
        <f t="shared" si="19"/>
        <v>2.4528350943347172</v>
      </c>
    </row>
    <row r="249" spans="1:29">
      <c r="A249" s="3" t="s">
        <v>90</v>
      </c>
      <c r="B249" s="3" t="s">
        <v>103</v>
      </c>
      <c r="C249" s="3" t="s">
        <v>78</v>
      </c>
      <c r="D249" s="3" t="s">
        <v>79</v>
      </c>
      <c r="E249" s="3">
        <v>16</v>
      </c>
      <c r="F249" s="3">
        <v>1.0449701871436401</v>
      </c>
      <c r="G249" s="3">
        <v>2.4181397809059755</v>
      </c>
      <c r="H249" s="3">
        <f t="shared" si="16"/>
        <v>4.3988355960665027E-2</v>
      </c>
      <c r="I249" s="3">
        <f t="shared" si="17"/>
        <v>0.88299855900230739</v>
      </c>
      <c r="L249">
        <v>2.4181397809059755</v>
      </c>
      <c r="M249">
        <f t="shared" si="18"/>
        <v>0.88299855900230739</v>
      </c>
      <c r="AC249">
        <f t="shared" si="19"/>
        <v>2.4181397809059755</v>
      </c>
    </row>
    <row r="250" spans="1:29">
      <c r="A250" s="3" t="s">
        <v>90</v>
      </c>
      <c r="B250" s="3" t="s">
        <v>103</v>
      </c>
      <c r="C250" s="3" t="s">
        <v>78</v>
      </c>
      <c r="D250" s="3" t="s">
        <v>79</v>
      </c>
      <c r="E250" s="3">
        <v>17</v>
      </c>
      <c r="F250" s="3">
        <v>1.0581593294487399</v>
      </c>
      <c r="G250" s="3">
        <v>2.4358981916328113</v>
      </c>
      <c r="H250" s="3">
        <f t="shared" si="16"/>
        <v>5.6530917039925875E-2</v>
      </c>
      <c r="I250" s="3">
        <f t="shared" si="17"/>
        <v>0.89031555572010568</v>
      </c>
      <c r="L250">
        <v>2.4358981916328113</v>
      </c>
      <c r="M250">
        <f t="shared" si="18"/>
        <v>0.89031555572010568</v>
      </c>
      <c r="AC250">
        <f t="shared" si="19"/>
        <v>2.4358981916328113</v>
      </c>
    </row>
    <row r="251" spans="1:29">
      <c r="A251" s="3" t="s">
        <v>90</v>
      </c>
      <c r="B251" s="3" t="s">
        <v>103</v>
      </c>
      <c r="C251" s="3" t="s">
        <v>78</v>
      </c>
      <c r="D251" s="3" t="s">
        <v>79</v>
      </c>
      <c r="E251" s="3">
        <v>18</v>
      </c>
      <c r="F251" s="3">
        <v>1.03975789391309</v>
      </c>
      <c r="G251" s="3">
        <v>2.4185326129701044</v>
      </c>
      <c r="H251" s="3">
        <f t="shared" si="16"/>
        <v>3.8987891738142377E-2</v>
      </c>
      <c r="I251" s="3">
        <f t="shared" si="17"/>
        <v>0.88316099798225156</v>
      </c>
      <c r="L251">
        <v>2.4185326129701044</v>
      </c>
      <c r="M251">
        <f t="shared" si="18"/>
        <v>0.88316099798225156</v>
      </c>
      <c r="AC251">
        <f t="shared" si="19"/>
        <v>2.4185326129701044</v>
      </c>
    </row>
    <row r="252" spans="1:29">
      <c r="A252" s="3" t="s">
        <v>90</v>
      </c>
      <c r="B252" s="3" t="s">
        <v>103</v>
      </c>
      <c r="C252" s="3" t="s">
        <v>78</v>
      </c>
      <c r="D252" s="3" t="s">
        <v>79</v>
      </c>
      <c r="E252" s="3">
        <v>19</v>
      </c>
      <c r="F252" s="3">
        <v>1.0537459836785501</v>
      </c>
      <c r="G252" s="3">
        <v>2.3961009995407125</v>
      </c>
      <c r="H252" s="3">
        <f t="shared" si="16"/>
        <v>5.235141887095883E-2</v>
      </c>
      <c r="I252" s="3">
        <f t="shared" si="17"/>
        <v>0.87384283276239971</v>
      </c>
      <c r="L252">
        <v>2.3961009995407125</v>
      </c>
      <c r="M252">
        <f t="shared" si="18"/>
        <v>0.87384283276239971</v>
      </c>
      <c r="AC252">
        <f t="shared" si="19"/>
        <v>2.3961009995407125</v>
      </c>
    </row>
    <row r="253" spans="1:29">
      <c r="A253" s="3" t="s">
        <v>90</v>
      </c>
      <c r="B253" s="3" t="s">
        <v>103</v>
      </c>
      <c r="C253" s="3" t="s">
        <v>78</v>
      </c>
      <c r="D253" s="3" t="s">
        <v>79</v>
      </c>
      <c r="E253" s="3">
        <v>20</v>
      </c>
      <c r="F253" s="3">
        <v>1.0281657178846699</v>
      </c>
      <c r="G253" s="3">
        <v>2.3852253562294696</v>
      </c>
      <c r="H253" s="3">
        <f t="shared" si="16"/>
        <v>2.7776358208944561E-2</v>
      </c>
      <c r="I253" s="3">
        <f t="shared" si="17"/>
        <v>0.86929360886160412</v>
      </c>
      <c r="L253">
        <v>2.3852253562294696</v>
      </c>
      <c r="M253">
        <f t="shared" si="18"/>
        <v>0.86929360886160412</v>
      </c>
      <c r="AC253">
        <f t="shared" si="19"/>
        <v>2.3852253562294696</v>
      </c>
    </row>
    <row r="254" spans="1:29">
      <c r="A254" s="3" t="s">
        <v>90</v>
      </c>
      <c r="B254" s="3" t="s">
        <v>103</v>
      </c>
      <c r="C254" s="3" t="s">
        <v>78</v>
      </c>
      <c r="D254" s="3" t="s">
        <v>75</v>
      </c>
      <c r="E254" s="3">
        <v>1</v>
      </c>
      <c r="F254" s="3">
        <v>1.0736737520430699</v>
      </c>
      <c r="G254" s="3">
        <v>2.4284357104934853</v>
      </c>
      <c r="H254" s="3">
        <f t="shared" si="16"/>
        <v>7.1086180892089304E-2</v>
      </c>
      <c r="I254" s="3">
        <f t="shared" si="17"/>
        <v>0.88724730952489139</v>
      </c>
      <c r="L254">
        <v>2.4284357104934853</v>
      </c>
      <c r="M254">
        <f t="shared" si="18"/>
        <v>0.88724730952489139</v>
      </c>
      <c r="AC254">
        <f t="shared" si="19"/>
        <v>2.4284357104934853</v>
      </c>
    </row>
    <row r="255" spans="1:29">
      <c r="A255" s="3" t="s">
        <v>90</v>
      </c>
      <c r="B255" s="3" t="s">
        <v>103</v>
      </c>
      <c r="C255" s="3" t="s">
        <v>78</v>
      </c>
      <c r="D255" s="3" t="s">
        <v>75</v>
      </c>
      <c r="E255" s="3">
        <v>2</v>
      </c>
      <c r="F255" s="3">
        <v>1.0240938743022101</v>
      </c>
      <c r="G255" s="3">
        <v>2.4164643593481783</v>
      </c>
      <c r="H255" s="3">
        <f t="shared" si="16"/>
        <v>2.3808196538752456E-2</v>
      </c>
      <c r="I255" s="3">
        <f t="shared" si="17"/>
        <v>0.88230546332114612</v>
      </c>
      <c r="L255">
        <v>2.4164643593481783</v>
      </c>
      <c r="M255">
        <f t="shared" si="18"/>
        <v>0.88230546332114612</v>
      </c>
      <c r="AC255">
        <f t="shared" si="19"/>
        <v>2.4164643593481783</v>
      </c>
    </row>
    <row r="256" spans="1:29">
      <c r="A256" s="3" t="s">
        <v>90</v>
      </c>
      <c r="B256" s="3" t="s">
        <v>103</v>
      </c>
      <c r="C256" s="3" t="s">
        <v>78</v>
      </c>
      <c r="D256" s="3" t="s">
        <v>75</v>
      </c>
      <c r="E256" s="3">
        <v>3</v>
      </c>
      <c r="F256" s="3">
        <v>1.0520043791190199</v>
      </c>
      <c r="G256" s="3">
        <v>2.3644872594285635</v>
      </c>
      <c r="H256" s="3">
        <f t="shared" si="16"/>
        <v>5.0697276967519571E-2</v>
      </c>
      <c r="I256" s="3">
        <f t="shared" si="17"/>
        <v>0.86056119481430704</v>
      </c>
      <c r="L256">
        <v>2.3644872594285635</v>
      </c>
      <c r="M256">
        <f t="shared" si="18"/>
        <v>0.86056119481430704</v>
      </c>
      <c r="AC256">
        <f t="shared" si="19"/>
        <v>2.3644872594285635</v>
      </c>
    </row>
    <row r="257" spans="1:29">
      <c r="A257" s="3" t="s">
        <v>90</v>
      </c>
      <c r="B257" s="3" t="s">
        <v>103</v>
      </c>
      <c r="C257" s="3" t="s">
        <v>78</v>
      </c>
      <c r="D257" s="3" t="s">
        <v>75</v>
      </c>
      <c r="E257" s="3">
        <v>4</v>
      </c>
      <c r="F257" s="3">
        <v>1.0351610973620999</v>
      </c>
      <c r="G257" s="3">
        <v>2.4106845500811596</v>
      </c>
      <c r="H257" s="3">
        <f t="shared" si="16"/>
        <v>3.4557064230403625E-2</v>
      </c>
      <c r="I257" s="3">
        <f t="shared" si="17"/>
        <v>0.87991075284605758</v>
      </c>
      <c r="L257">
        <v>2.4106845500811596</v>
      </c>
      <c r="M257">
        <f t="shared" si="18"/>
        <v>0.87991075284605758</v>
      </c>
      <c r="AC257">
        <f t="shared" si="19"/>
        <v>2.4106845500811596</v>
      </c>
    </row>
    <row r="258" spans="1:29">
      <c r="A258" s="3" t="s">
        <v>90</v>
      </c>
      <c r="B258" s="3" t="s">
        <v>103</v>
      </c>
      <c r="C258" s="3" t="s">
        <v>78</v>
      </c>
      <c r="D258" s="3" t="s">
        <v>75</v>
      </c>
      <c r="E258" s="3">
        <v>5</v>
      </c>
      <c r="F258" s="3">
        <v>1.01841255802458</v>
      </c>
      <c r="G258" s="3">
        <v>2.4175400720567182</v>
      </c>
      <c r="H258" s="3">
        <f t="shared" ref="H258:H321" si="20">LN(F258)</f>
        <v>1.82450993167876E-2</v>
      </c>
      <c r="I258" s="3">
        <f t="shared" ref="I258:I321" si="21">LN(G258)</f>
        <v>0.88275052403284415</v>
      </c>
      <c r="L258">
        <v>2.4175400720567182</v>
      </c>
      <c r="M258">
        <f t="shared" si="18"/>
        <v>0.88275052403284415</v>
      </c>
      <c r="AC258">
        <f t="shared" si="19"/>
        <v>2.4175400720567182</v>
      </c>
    </row>
    <row r="259" spans="1:29">
      <c r="A259" s="3" t="s">
        <v>90</v>
      </c>
      <c r="B259" s="3" t="s">
        <v>103</v>
      </c>
      <c r="C259" s="3" t="s">
        <v>78</v>
      </c>
      <c r="D259" s="3" t="s">
        <v>75</v>
      </c>
      <c r="E259" s="3">
        <v>6</v>
      </c>
      <c r="F259" s="3">
        <v>1.0602231559320201</v>
      </c>
      <c r="G259" s="3">
        <v>2.426705585768492</v>
      </c>
      <c r="H259" s="3">
        <f t="shared" si="20"/>
        <v>5.8479410430980372E-2</v>
      </c>
      <c r="I259" s="3">
        <f t="shared" si="21"/>
        <v>0.88653461150328761</v>
      </c>
      <c r="L259">
        <v>2.426705585768492</v>
      </c>
      <c r="M259">
        <f t="shared" ref="M259:M274" si="22">LN(L259)</f>
        <v>0.88653461150328761</v>
      </c>
      <c r="AC259">
        <f t="shared" si="19"/>
        <v>2.426705585768492</v>
      </c>
    </row>
    <row r="260" spans="1:29">
      <c r="A260" s="3" t="s">
        <v>90</v>
      </c>
      <c r="B260" s="3" t="s">
        <v>103</v>
      </c>
      <c r="C260" s="3" t="s">
        <v>78</v>
      </c>
      <c r="D260" s="3" t="s">
        <v>75</v>
      </c>
      <c r="E260" s="3">
        <v>7</v>
      </c>
      <c r="F260" s="3">
        <v>1.04730194737973</v>
      </c>
      <c r="G260" s="3">
        <v>2.4560537453402764</v>
      </c>
      <c r="H260" s="3">
        <f t="shared" si="20"/>
        <v>4.6217283223984405E-2</v>
      </c>
      <c r="I260" s="3">
        <f t="shared" si="21"/>
        <v>0.89855589332733199</v>
      </c>
      <c r="L260">
        <v>2.4560537453402764</v>
      </c>
      <c r="M260">
        <f t="shared" si="22"/>
        <v>0.89855589332733199</v>
      </c>
      <c r="AC260">
        <f t="shared" si="19"/>
        <v>2.4560537453402764</v>
      </c>
    </row>
    <row r="261" spans="1:29">
      <c r="A261" s="3" t="s">
        <v>90</v>
      </c>
      <c r="B261" s="3" t="s">
        <v>103</v>
      </c>
      <c r="C261" s="3" t="s">
        <v>78</v>
      </c>
      <c r="D261" s="3" t="s">
        <v>75</v>
      </c>
      <c r="E261" s="3">
        <v>8</v>
      </c>
      <c r="F261" s="3">
        <v>1.0543959595802299</v>
      </c>
      <c r="G261" s="3">
        <v>2.4661711213944582</v>
      </c>
      <c r="H261" s="3">
        <f t="shared" si="20"/>
        <v>5.296805279767678E-2</v>
      </c>
      <c r="I261" s="3">
        <f t="shared" si="21"/>
        <v>0.90266679462758637</v>
      </c>
      <c r="L261">
        <v>2.4661711213944582</v>
      </c>
      <c r="M261">
        <f t="shared" si="22"/>
        <v>0.90266679462758637</v>
      </c>
      <c r="AC261">
        <f t="shared" si="19"/>
        <v>2.4661711213944582</v>
      </c>
    </row>
    <row r="262" spans="1:29">
      <c r="A262" s="3" t="s">
        <v>90</v>
      </c>
      <c r="B262" s="3" t="s">
        <v>103</v>
      </c>
      <c r="C262" s="3" t="s">
        <v>78</v>
      </c>
      <c r="D262" s="3" t="s">
        <v>75</v>
      </c>
      <c r="E262" s="3">
        <v>9</v>
      </c>
      <c r="F262" s="3">
        <v>1.0538023333531901</v>
      </c>
      <c r="G262" s="3">
        <v>2.4273648263085632</v>
      </c>
      <c r="H262" s="3">
        <f t="shared" si="20"/>
        <v>5.2404893018334731E-2</v>
      </c>
      <c r="I262" s="3">
        <f t="shared" si="21"/>
        <v>0.88680623531100344</v>
      </c>
      <c r="L262">
        <v>2.4273648263085632</v>
      </c>
      <c r="M262">
        <f t="shared" si="22"/>
        <v>0.88680623531100344</v>
      </c>
      <c r="AC262">
        <f t="shared" si="19"/>
        <v>2.4273648263085632</v>
      </c>
    </row>
    <row r="263" spans="1:29">
      <c r="A263" s="3" t="s">
        <v>90</v>
      </c>
      <c r="B263" s="3" t="s">
        <v>103</v>
      </c>
      <c r="C263" s="3" t="s">
        <v>78</v>
      </c>
      <c r="D263" s="3" t="s">
        <v>75</v>
      </c>
      <c r="E263" s="3">
        <v>10</v>
      </c>
      <c r="F263" s="3">
        <v>1.05343168099472</v>
      </c>
      <c r="G263" s="3">
        <v>2.4629250902128552</v>
      </c>
      <c r="H263" s="3">
        <f t="shared" si="20"/>
        <v>5.2053102605149539E-2</v>
      </c>
      <c r="I263" s="3">
        <f t="shared" si="21"/>
        <v>0.90134970463319475</v>
      </c>
      <c r="L263">
        <v>2.4629250902128552</v>
      </c>
      <c r="M263">
        <f t="shared" si="22"/>
        <v>0.90134970463319475</v>
      </c>
      <c r="AC263">
        <f t="shared" ref="AC263:AC274" si="23">G263</f>
        <v>2.4629250902128552</v>
      </c>
    </row>
    <row r="264" spans="1:29">
      <c r="A264" s="3" t="s">
        <v>90</v>
      </c>
      <c r="B264" s="3" t="s">
        <v>103</v>
      </c>
      <c r="C264" s="3" t="s">
        <v>78</v>
      </c>
      <c r="D264" s="3" t="s">
        <v>75</v>
      </c>
      <c r="E264" s="3">
        <v>11</v>
      </c>
      <c r="F264" s="3">
        <v>1.02798907778725</v>
      </c>
      <c r="G264" s="3">
        <v>2.4358366119261774</v>
      </c>
      <c r="H264" s="3">
        <f t="shared" si="20"/>
        <v>2.7604542255956706E-2</v>
      </c>
      <c r="I264" s="3">
        <f t="shared" si="21"/>
        <v>0.89029027531831029</v>
      </c>
      <c r="L264">
        <v>2.4358366119261774</v>
      </c>
      <c r="M264">
        <f t="shared" si="22"/>
        <v>0.89029027531831029</v>
      </c>
      <c r="AC264">
        <f t="shared" si="23"/>
        <v>2.4358366119261774</v>
      </c>
    </row>
    <row r="265" spans="1:29">
      <c r="A265" s="3" t="s">
        <v>90</v>
      </c>
      <c r="B265" s="3" t="s">
        <v>103</v>
      </c>
      <c r="C265" s="3" t="s">
        <v>78</v>
      </c>
      <c r="D265" s="3" t="s">
        <v>75</v>
      </c>
      <c r="E265" s="3">
        <v>12</v>
      </c>
      <c r="F265" s="3">
        <v>1.07200657838515</v>
      </c>
      <c r="G265" s="3">
        <v>2.4629453911932355</v>
      </c>
      <c r="H265" s="3">
        <f t="shared" si="20"/>
        <v>6.9532199183093252E-2</v>
      </c>
      <c r="I265" s="3">
        <f t="shared" si="21"/>
        <v>0.90135794722928297</v>
      </c>
      <c r="L265">
        <v>2.4629453911932355</v>
      </c>
      <c r="M265">
        <f t="shared" si="22"/>
        <v>0.90135794722928297</v>
      </c>
      <c r="AC265">
        <f t="shared" si="23"/>
        <v>2.4629453911932355</v>
      </c>
    </row>
    <row r="266" spans="1:29">
      <c r="A266" s="3" t="s">
        <v>90</v>
      </c>
      <c r="B266" s="3" t="s">
        <v>103</v>
      </c>
      <c r="C266" s="3" t="s">
        <v>78</v>
      </c>
      <c r="D266" s="3" t="s">
        <v>75</v>
      </c>
      <c r="E266" s="3">
        <v>13</v>
      </c>
      <c r="F266" s="3">
        <v>1.0584972613797701</v>
      </c>
      <c r="G266" s="3">
        <v>2.4323856602109788</v>
      </c>
      <c r="H266" s="3">
        <f t="shared" si="20"/>
        <v>5.685022432422096E-2</v>
      </c>
      <c r="I266" s="3">
        <f t="shared" si="21"/>
        <v>0.88887252892123814</v>
      </c>
      <c r="L266">
        <v>2.4323856602109788</v>
      </c>
      <c r="M266">
        <f t="shared" si="22"/>
        <v>0.88887252892123814</v>
      </c>
      <c r="AC266">
        <f t="shared" si="23"/>
        <v>2.4323856602109788</v>
      </c>
    </row>
    <row r="267" spans="1:29">
      <c r="A267" s="3" t="s">
        <v>90</v>
      </c>
      <c r="B267" s="3" t="s">
        <v>103</v>
      </c>
      <c r="C267" s="3" t="s">
        <v>78</v>
      </c>
      <c r="D267" s="3" t="s">
        <v>75</v>
      </c>
      <c r="E267" s="3">
        <v>14</v>
      </c>
      <c r="F267" s="3">
        <v>1.03961774972599</v>
      </c>
      <c r="G267" s="3">
        <v>2.4041006634498476</v>
      </c>
      <c r="H267" s="3">
        <f t="shared" si="20"/>
        <v>3.885309725044029E-2</v>
      </c>
      <c r="I267" s="3">
        <f t="shared" si="21"/>
        <v>0.87717588911154276</v>
      </c>
      <c r="L267">
        <v>2.4041006634498476</v>
      </c>
      <c r="M267">
        <f t="shared" si="22"/>
        <v>0.87717588911154276</v>
      </c>
      <c r="AC267">
        <f t="shared" si="23"/>
        <v>2.4041006634498476</v>
      </c>
    </row>
    <row r="268" spans="1:29">
      <c r="A268" s="3" t="s">
        <v>90</v>
      </c>
      <c r="B268" s="3" t="s">
        <v>103</v>
      </c>
      <c r="C268" s="3" t="s">
        <v>78</v>
      </c>
      <c r="D268" s="3" t="s">
        <v>75</v>
      </c>
      <c r="E268" s="3">
        <v>15</v>
      </c>
      <c r="F268" s="3">
        <v>1.0314276798487501</v>
      </c>
      <c r="G268" s="3">
        <v>2.4311519903124119</v>
      </c>
      <c r="H268" s="3">
        <f t="shared" si="20"/>
        <v>3.0943939436478753E-2</v>
      </c>
      <c r="I268" s="3">
        <f t="shared" si="21"/>
        <v>0.88836521510414745</v>
      </c>
      <c r="L268">
        <v>2.4311519903124119</v>
      </c>
      <c r="M268">
        <f t="shared" si="22"/>
        <v>0.88836521510414745</v>
      </c>
      <c r="AC268">
        <f t="shared" si="23"/>
        <v>2.4311519903124119</v>
      </c>
    </row>
    <row r="269" spans="1:29">
      <c r="A269" s="3" t="s">
        <v>90</v>
      </c>
      <c r="B269" s="3" t="s">
        <v>103</v>
      </c>
      <c r="C269" s="3" t="s">
        <v>78</v>
      </c>
      <c r="D269" s="3" t="s">
        <v>75</v>
      </c>
      <c r="E269" s="3">
        <v>16</v>
      </c>
      <c r="F269" s="3">
        <v>1.01819444198694</v>
      </c>
      <c r="G269" s="3">
        <v>2.3603813251252435</v>
      </c>
      <c r="H269" s="3">
        <f t="shared" si="20"/>
        <v>1.8030903805849374E-2</v>
      </c>
      <c r="I269" s="3">
        <f t="shared" si="21"/>
        <v>0.85882318442802785</v>
      </c>
      <c r="L269">
        <v>2.3603813251252435</v>
      </c>
      <c r="M269">
        <f t="shared" si="22"/>
        <v>0.85882318442802785</v>
      </c>
      <c r="AC269">
        <f t="shared" si="23"/>
        <v>2.3603813251252435</v>
      </c>
    </row>
    <row r="270" spans="1:29">
      <c r="A270" s="3" t="s">
        <v>90</v>
      </c>
      <c r="B270" s="3" t="s">
        <v>103</v>
      </c>
      <c r="C270" s="3" t="s">
        <v>78</v>
      </c>
      <c r="D270" s="3" t="s">
        <v>75</v>
      </c>
      <c r="E270" s="3">
        <v>17</v>
      </c>
      <c r="F270" s="3">
        <v>1.0526302134993999</v>
      </c>
      <c r="G270" s="3">
        <v>2.4475497952033582</v>
      </c>
      <c r="H270" s="3">
        <f t="shared" si="20"/>
        <v>5.1291997211139098E-2</v>
      </c>
      <c r="I270" s="3">
        <f t="shared" si="21"/>
        <v>0.89508744054890843</v>
      </c>
      <c r="L270">
        <v>2.4475497952033582</v>
      </c>
      <c r="M270">
        <f t="shared" si="22"/>
        <v>0.89508744054890843</v>
      </c>
      <c r="AC270">
        <f t="shared" si="23"/>
        <v>2.4475497952033582</v>
      </c>
    </row>
    <row r="271" spans="1:29">
      <c r="A271" s="3" t="s">
        <v>90</v>
      </c>
      <c r="B271" s="3" t="s">
        <v>103</v>
      </c>
      <c r="C271" s="3" t="s">
        <v>78</v>
      </c>
      <c r="D271" s="3" t="s">
        <v>75</v>
      </c>
      <c r="E271" s="3">
        <v>18</v>
      </c>
      <c r="F271" s="3">
        <v>1.0449774554151401</v>
      </c>
      <c r="G271" s="3">
        <v>2.4390571949013413</v>
      </c>
      <c r="H271" s="3">
        <f t="shared" si="20"/>
        <v>4.3995311418641117E-2</v>
      </c>
      <c r="I271" s="3">
        <f t="shared" si="21"/>
        <v>0.8916115691028843</v>
      </c>
      <c r="L271">
        <v>2.4390571949013413</v>
      </c>
      <c r="M271">
        <f t="shared" si="22"/>
        <v>0.8916115691028843</v>
      </c>
      <c r="AC271">
        <f t="shared" si="23"/>
        <v>2.4390571949013413</v>
      </c>
    </row>
    <row r="272" spans="1:29">
      <c r="A272" s="3" t="s">
        <v>90</v>
      </c>
      <c r="B272" s="3" t="s">
        <v>103</v>
      </c>
      <c r="C272" s="3" t="s">
        <v>78</v>
      </c>
      <c r="D272" s="3" t="s">
        <v>75</v>
      </c>
      <c r="E272" s="3">
        <v>20</v>
      </c>
      <c r="F272" s="3">
        <v>1.04701208202301</v>
      </c>
      <c r="G272" s="3">
        <v>2.352296749987127</v>
      </c>
      <c r="H272" s="3">
        <f t="shared" si="20"/>
        <v>4.5940471480853784E-2</v>
      </c>
      <c r="I272" s="3">
        <f t="shared" si="21"/>
        <v>0.85539219128992872</v>
      </c>
      <c r="L272">
        <v>2.352296749987127</v>
      </c>
      <c r="M272">
        <f t="shared" si="22"/>
        <v>0.85539219128992872</v>
      </c>
      <c r="AC272">
        <f t="shared" si="23"/>
        <v>2.352296749987127</v>
      </c>
    </row>
    <row r="273" spans="1:29">
      <c r="A273" s="3" t="s">
        <v>90</v>
      </c>
      <c r="B273" s="3" t="s">
        <v>103</v>
      </c>
      <c r="C273" s="3" t="s">
        <v>78</v>
      </c>
      <c r="D273" s="3" t="s">
        <v>75</v>
      </c>
      <c r="E273" s="3">
        <v>21</v>
      </c>
      <c r="F273" s="3">
        <v>1.04226093940551</v>
      </c>
      <c r="G273" s="3">
        <v>2.3769728648009427</v>
      </c>
      <c r="H273" s="3">
        <f t="shared" si="20"/>
        <v>4.1392333675243843E-2</v>
      </c>
      <c r="I273" s="3">
        <f t="shared" si="21"/>
        <v>0.86582777257917487</v>
      </c>
      <c r="L273">
        <v>2.3769728648009427</v>
      </c>
      <c r="M273">
        <f t="shared" si="22"/>
        <v>0.86582777257917487</v>
      </c>
      <c r="AC273">
        <f t="shared" si="23"/>
        <v>2.3769728648009427</v>
      </c>
    </row>
    <row r="274" spans="1:29">
      <c r="A274" s="3" t="s">
        <v>90</v>
      </c>
      <c r="B274" s="3" t="s">
        <v>103</v>
      </c>
      <c r="C274" s="3" t="s">
        <v>78</v>
      </c>
      <c r="D274" s="3" t="s">
        <v>75</v>
      </c>
      <c r="E274" s="3">
        <v>22</v>
      </c>
      <c r="F274" s="3">
        <v>1.0307618427435601</v>
      </c>
      <c r="G274" s="3">
        <v>2.4323856602109788</v>
      </c>
      <c r="H274" s="3">
        <f t="shared" si="20"/>
        <v>3.0298181982051427E-2</v>
      </c>
      <c r="I274" s="3">
        <f t="shared" si="21"/>
        <v>0.88887252892123814</v>
      </c>
      <c r="L274">
        <v>2.4323856602109788</v>
      </c>
      <c r="M274">
        <f t="shared" si="22"/>
        <v>0.88887252892123814</v>
      </c>
      <c r="AC274">
        <f t="shared" si="23"/>
        <v>2.4323856602109788</v>
      </c>
    </row>
    <row r="275" spans="1:29">
      <c r="A275" s="3" t="s">
        <v>90</v>
      </c>
      <c r="B275" s="3" t="s">
        <v>104</v>
      </c>
      <c r="C275" s="3" t="s">
        <v>78</v>
      </c>
      <c r="D275" s="3" t="s">
        <v>79</v>
      </c>
      <c r="E275" s="3">
        <v>2</v>
      </c>
      <c r="F275" s="3">
        <v>0.93133025890043997</v>
      </c>
      <c r="G275" s="3">
        <v>2.4833847869389873</v>
      </c>
      <c r="H275" s="3">
        <f t="shared" si="20"/>
        <v>-7.1141328947836285E-2</v>
      </c>
      <c r="I275" s="3">
        <f t="shared" si="21"/>
        <v>0.90962246308145767</v>
      </c>
      <c r="Q275">
        <f t="shared" ref="Q275:Q337" si="24">LN(F275)</f>
        <v>-7.1141328947836285E-2</v>
      </c>
      <c r="R275">
        <f t="shared" ref="R275:R337" si="25">LN(S275)</f>
        <v>0.90962246308145767</v>
      </c>
      <c r="S275">
        <v>2.4833847869389873</v>
      </c>
      <c r="U275">
        <f>F275</f>
        <v>0.93133025890043997</v>
      </c>
      <c r="AA275">
        <v>2.4833847869389873</v>
      </c>
    </row>
    <row r="276" spans="1:29">
      <c r="A276" s="3" t="s">
        <v>90</v>
      </c>
      <c r="B276" s="3" t="s">
        <v>104</v>
      </c>
      <c r="C276" s="3" t="s">
        <v>78</v>
      </c>
      <c r="D276" s="3" t="s">
        <v>79</v>
      </c>
      <c r="E276" s="3">
        <v>3</v>
      </c>
      <c r="F276" s="3">
        <v>0.93043619996495197</v>
      </c>
      <c r="G276" s="3">
        <v>2.5379716310471241</v>
      </c>
      <c r="H276" s="3">
        <f t="shared" si="20"/>
        <v>-7.2101770575686619E-2</v>
      </c>
      <c r="I276" s="3">
        <f t="shared" si="21"/>
        <v>0.93136519154931707</v>
      </c>
      <c r="Q276">
        <f t="shared" si="24"/>
        <v>-7.2101770575686619E-2</v>
      </c>
      <c r="R276">
        <f t="shared" si="25"/>
        <v>0.93136519154931707</v>
      </c>
      <c r="S276">
        <v>2.5379716310471241</v>
      </c>
      <c r="U276">
        <f t="shared" ref="U276:U339" si="26">F276</f>
        <v>0.93043619996495197</v>
      </c>
      <c r="AA276">
        <v>2.5379716310471241</v>
      </c>
    </row>
    <row r="277" spans="1:29">
      <c r="A277" s="3" t="s">
        <v>90</v>
      </c>
      <c r="B277" s="3" t="s">
        <v>104</v>
      </c>
      <c r="C277" s="3" t="s">
        <v>78</v>
      </c>
      <c r="D277" s="3" t="s">
        <v>79</v>
      </c>
      <c r="E277" s="3">
        <v>4</v>
      </c>
      <c r="F277" s="3">
        <v>0.92619772933477595</v>
      </c>
      <c r="G277" s="3">
        <v>2.4387701818744629</v>
      </c>
      <c r="H277" s="3">
        <f t="shared" si="20"/>
        <v>-7.6667536531261127E-2</v>
      </c>
      <c r="I277" s="3">
        <f t="shared" si="21"/>
        <v>0.89149388842046562</v>
      </c>
      <c r="Q277">
        <f t="shared" si="24"/>
        <v>-7.6667536531261127E-2</v>
      </c>
      <c r="R277">
        <f t="shared" si="25"/>
        <v>0.89149388842046562</v>
      </c>
      <c r="S277">
        <v>2.4387701818744629</v>
      </c>
      <c r="U277">
        <f t="shared" si="26"/>
        <v>0.92619772933477595</v>
      </c>
      <c r="AA277">
        <v>2.4387701818744629</v>
      </c>
    </row>
    <row r="278" spans="1:29">
      <c r="A278" s="3" t="s">
        <v>90</v>
      </c>
      <c r="B278" s="3" t="s">
        <v>104</v>
      </c>
      <c r="C278" s="3" t="s">
        <v>78</v>
      </c>
      <c r="D278" s="3" t="s">
        <v>79</v>
      </c>
      <c r="E278" s="3">
        <v>5</v>
      </c>
      <c r="F278" s="3">
        <v>0.89741093567414398</v>
      </c>
      <c r="G278" s="3">
        <v>2.4357750306627248</v>
      </c>
      <c r="H278" s="3">
        <f t="shared" si="20"/>
        <v>-0.10824139956158936</v>
      </c>
      <c r="I278" s="3">
        <f t="shared" si="21"/>
        <v>0.89026499363825295</v>
      </c>
      <c r="Q278">
        <f t="shared" si="24"/>
        <v>-0.10824139956158936</v>
      </c>
      <c r="R278">
        <f t="shared" si="25"/>
        <v>0.89026499363825295</v>
      </c>
      <c r="S278">
        <v>2.4357750306627248</v>
      </c>
      <c r="U278">
        <f t="shared" si="26"/>
        <v>0.89741093567414398</v>
      </c>
      <c r="AA278">
        <v>2.4357750306627248</v>
      </c>
    </row>
    <row r="279" spans="1:29">
      <c r="A279" s="3" t="s">
        <v>90</v>
      </c>
      <c r="B279" s="3" t="s">
        <v>104</v>
      </c>
      <c r="C279" s="3" t="s">
        <v>78</v>
      </c>
      <c r="D279" s="3" t="s">
        <v>79</v>
      </c>
      <c r="E279" s="3">
        <v>6</v>
      </c>
      <c r="F279" s="3">
        <v>0.94612599684895904</v>
      </c>
      <c r="G279" s="3">
        <v>2.4477336456403909</v>
      </c>
      <c r="H279" s="3">
        <f t="shared" si="20"/>
        <v>-5.5379529741037659E-2</v>
      </c>
      <c r="I279" s="3">
        <f t="shared" si="21"/>
        <v>0.89516255384493748</v>
      </c>
      <c r="Q279">
        <f t="shared" si="24"/>
        <v>-5.5379529741037659E-2</v>
      </c>
      <c r="R279">
        <f t="shared" si="25"/>
        <v>0.89516255384493748</v>
      </c>
      <c r="S279">
        <v>2.4477336456403909</v>
      </c>
      <c r="U279">
        <f t="shared" si="26"/>
        <v>0.94612599684895904</v>
      </c>
      <c r="AA279">
        <v>2.4477336456403909</v>
      </c>
    </row>
    <row r="280" spans="1:29">
      <c r="A280" s="3" t="s">
        <v>90</v>
      </c>
      <c r="B280" s="3" t="s">
        <v>104</v>
      </c>
      <c r="C280" s="3" t="s">
        <v>78</v>
      </c>
      <c r="D280" s="3" t="s">
        <v>79</v>
      </c>
      <c r="E280" s="3">
        <v>7</v>
      </c>
      <c r="F280" s="3">
        <v>0.89246853196325604</v>
      </c>
      <c r="G280" s="3">
        <v>2.4175400720567182</v>
      </c>
      <c r="H280" s="3">
        <f t="shared" si="20"/>
        <v>-0.11376402425440656</v>
      </c>
      <c r="I280" s="3">
        <f t="shared" si="21"/>
        <v>0.88275052403284415</v>
      </c>
      <c r="Q280">
        <f t="shared" si="24"/>
        <v>-0.11376402425440656</v>
      </c>
      <c r="R280">
        <f t="shared" si="25"/>
        <v>0.88275052403284415</v>
      </c>
      <c r="S280">
        <v>2.4175400720567182</v>
      </c>
      <c r="U280">
        <f t="shared" si="26"/>
        <v>0.89246853196325604</v>
      </c>
      <c r="AA280">
        <v>2.4175400720567182</v>
      </c>
    </row>
    <row r="281" spans="1:29">
      <c r="A281" s="3" t="s">
        <v>90</v>
      </c>
      <c r="B281" s="3" t="s">
        <v>104</v>
      </c>
      <c r="C281" s="3" t="s">
        <v>78</v>
      </c>
      <c r="D281" s="3" t="s">
        <v>79</v>
      </c>
      <c r="E281" s="3">
        <v>8</v>
      </c>
      <c r="F281" s="3">
        <v>0.93886546097713697</v>
      </c>
      <c r="G281" s="3">
        <v>2.4437675830569483</v>
      </c>
      <c r="H281" s="3">
        <f t="shared" si="20"/>
        <v>-6.3083089083879579E-2</v>
      </c>
      <c r="I281" s="3">
        <f t="shared" si="21"/>
        <v>0.89354093983847183</v>
      </c>
      <c r="Q281">
        <f t="shared" si="24"/>
        <v>-6.3083089083879579E-2</v>
      </c>
      <c r="R281">
        <f t="shared" si="25"/>
        <v>0.89354093983847183</v>
      </c>
      <c r="S281">
        <v>2.4437675830569483</v>
      </c>
      <c r="U281">
        <f t="shared" si="26"/>
        <v>0.93886546097713697</v>
      </c>
      <c r="AA281">
        <v>2.4437675830569483</v>
      </c>
    </row>
    <row r="282" spans="1:29">
      <c r="A282" s="3" t="s">
        <v>90</v>
      </c>
      <c r="B282" s="3" t="s">
        <v>104</v>
      </c>
      <c r="C282" s="3" t="s">
        <v>78</v>
      </c>
      <c r="D282" s="3" t="s">
        <v>79</v>
      </c>
      <c r="E282" s="3">
        <v>9</v>
      </c>
      <c r="F282" s="3">
        <v>0.87927842809052403</v>
      </c>
      <c r="G282" s="3">
        <v>2.4118250351134511</v>
      </c>
      <c r="H282" s="3">
        <f t="shared" si="20"/>
        <v>-0.12865367594654106</v>
      </c>
      <c r="I282" s="3">
        <f t="shared" si="21"/>
        <v>0.88038373689446869</v>
      </c>
      <c r="Q282">
        <f t="shared" si="24"/>
        <v>-0.12865367594654106</v>
      </c>
      <c r="R282">
        <f t="shared" si="25"/>
        <v>0.88038373689446869</v>
      </c>
      <c r="S282">
        <v>2.4118250351134511</v>
      </c>
      <c r="U282">
        <f t="shared" si="26"/>
        <v>0.87927842809052403</v>
      </c>
      <c r="AA282">
        <v>2.4118250351134511</v>
      </c>
    </row>
    <row r="283" spans="1:29">
      <c r="A283" s="3" t="s">
        <v>90</v>
      </c>
      <c r="B283" s="3" t="s">
        <v>104</v>
      </c>
      <c r="C283" s="3" t="s">
        <v>78</v>
      </c>
      <c r="D283" s="3" t="s">
        <v>79</v>
      </c>
      <c r="E283" s="3">
        <v>10</v>
      </c>
      <c r="F283" s="3">
        <v>0.90881055685602996</v>
      </c>
      <c r="G283" s="3">
        <v>2.419462750281558</v>
      </c>
      <c r="H283" s="3">
        <f t="shared" si="20"/>
        <v>-9.5618614823882578E-2</v>
      </c>
      <c r="I283" s="3">
        <f t="shared" si="21"/>
        <v>0.88354551150617056</v>
      </c>
      <c r="Q283">
        <f t="shared" si="24"/>
        <v>-9.5618614823882578E-2</v>
      </c>
      <c r="R283">
        <f t="shared" si="25"/>
        <v>0.88354551150617056</v>
      </c>
      <c r="S283">
        <v>2.419462750281558</v>
      </c>
      <c r="U283">
        <f t="shared" si="26"/>
        <v>0.90881055685602996</v>
      </c>
      <c r="AA283">
        <v>2.419462750281558</v>
      </c>
    </row>
    <row r="284" spans="1:29">
      <c r="A284" s="3" t="s">
        <v>90</v>
      </c>
      <c r="B284" s="3" t="s">
        <v>104</v>
      </c>
      <c r="C284" s="3" t="s">
        <v>78</v>
      </c>
      <c r="D284" s="3" t="s">
        <v>79</v>
      </c>
      <c r="E284" s="3">
        <v>11</v>
      </c>
      <c r="F284" s="3">
        <v>0.90977133503348895</v>
      </c>
      <c r="G284" s="3">
        <v>2.4239018131929355</v>
      </c>
      <c r="H284" s="3">
        <f t="shared" si="20"/>
        <v>-9.4561991230375439E-2</v>
      </c>
      <c r="I284" s="3">
        <f t="shared" si="21"/>
        <v>0.88537856127814851</v>
      </c>
      <c r="Q284">
        <f t="shared" si="24"/>
        <v>-9.4561991230375439E-2</v>
      </c>
      <c r="R284">
        <f t="shared" si="25"/>
        <v>0.88537856127814851</v>
      </c>
      <c r="S284">
        <v>2.4239018131929355</v>
      </c>
      <c r="U284">
        <f t="shared" si="26"/>
        <v>0.90977133503348895</v>
      </c>
      <c r="AA284">
        <v>2.4239018131929355</v>
      </c>
    </row>
    <row r="285" spans="1:29">
      <c r="A285" s="3" t="s">
        <v>90</v>
      </c>
      <c r="B285" s="3" t="s">
        <v>104</v>
      </c>
      <c r="C285" s="3" t="s">
        <v>78</v>
      </c>
      <c r="D285" s="3" t="s">
        <v>79</v>
      </c>
      <c r="E285" s="3">
        <v>12</v>
      </c>
      <c r="F285" s="3">
        <v>0.93911818053323703</v>
      </c>
      <c r="G285" s="3">
        <v>2.5119912420229493</v>
      </c>
      <c r="H285" s="3">
        <f t="shared" si="20"/>
        <v>-6.2813949830438254E-2</v>
      </c>
      <c r="I285" s="3">
        <f t="shared" si="21"/>
        <v>0.9210757621440423</v>
      </c>
      <c r="Q285">
        <f t="shared" si="24"/>
        <v>-6.2813949830438254E-2</v>
      </c>
      <c r="R285">
        <f t="shared" si="25"/>
        <v>0.9210757621440423</v>
      </c>
      <c r="S285">
        <v>2.5119912420229493</v>
      </c>
      <c r="U285">
        <f t="shared" si="26"/>
        <v>0.93911818053323703</v>
      </c>
      <c r="AA285">
        <v>2.5119912420229493</v>
      </c>
    </row>
    <row r="286" spans="1:29">
      <c r="A286" s="3" t="s">
        <v>90</v>
      </c>
      <c r="B286" s="3" t="s">
        <v>104</v>
      </c>
      <c r="C286" s="3" t="s">
        <v>78</v>
      </c>
      <c r="D286" s="3" t="s">
        <v>79</v>
      </c>
      <c r="E286" s="3">
        <v>13</v>
      </c>
      <c r="F286" s="3">
        <v>0.90766294820291105</v>
      </c>
      <c r="G286" s="3">
        <v>2.4613004692641653</v>
      </c>
      <c r="H286" s="3">
        <f t="shared" si="20"/>
        <v>-9.6882171713217669E-2</v>
      </c>
      <c r="I286" s="3">
        <f t="shared" si="21"/>
        <v>0.90068985630252285</v>
      </c>
      <c r="Q286">
        <f t="shared" si="24"/>
        <v>-9.6882171713217669E-2</v>
      </c>
      <c r="R286">
        <f t="shared" si="25"/>
        <v>0.90068985630252285</v>
      </c>
      <c r="S286">
        <v>2.4613004692641653</v>
      </c>
      <c r="U286">
        <f t="shared" si="26"/>
        <v>0.90766294820291105</v>
      </c>
      <c r="AA286">
        <v>2.4613004692641653</v>
      </c>
    </row>
    <row r="287" spans="1:29">
      <c r="A287" s="3" t="s">
        <v>90</v>
      </c>
      <c r="B287" s="3" t="s">
        <v>104</v>
      </c>
      <c r="C287" s="3" t="s">
        <v>78</v>
      </c>
      <c r="D287" s="3" t="s">
        <v>79</v>
      </c>
      <c r="E287" s="3">
        <v>14</v>
      </c>
      <c r="F287" s="3">
        <v>0.908535399386039</v>
      </c>
      <c r="G287" s="3">
        <v>2.4920072231034966</v>
      </c>
      <c r="H287" s="3">
        <f t="shared" si="20"/>
        <v>-9.5921427253347014E-2</v>
      </c>
      <c r="I287" s="3">
        <f t="shared" si="21"/>
        <v>0.91308849943765802</v>
      </c>
      <c r="Q287">
        <f t="shared" si="24"/>
        <v>-9.5921427253347014E-2</v>
      </c>
      <c r="R287">
        <f t="shared" si="25"/>
        <v>0.91308849943765802</v>
      </c>
      <c r="S287">
        <v>2.4920072231034966</v>
      </c>
      <c r="U287">
        <f t="shared" si="26"/>
        <v>0.908535399386039</v>
      </c>
      <c r="AA287">
        <v>2.4920072231034966</v>
      </c>
    </row>
    <row r="288" spans="1:29">
      <c r="A288" s="3" t="s">
        <v>90</v>
      </c>
      <c r="B288" s="3" t="s">
        <v>104</v>
      </c>
      <c r="C288" s="3" t="s">
        <v>78</v>
      </c>
      <c r="D288" s="3" t="s">
        <v>79</v>
      </c>
      <c r="E288" s="3">
        <v>15</v>
      </c>
      <c r="F288" s="3">
        <v>0.91612667908094703</v>
      </c>
      <c r="G288" s="3">
        <v>2.3854978516024699</v>
      </c>
      <c r="H288" s="3">
        <f t="shared" si="20"/>
        <v>-8.7600627930110198E-2</v>
      </c>
      <c r="I288" s="3">
        <f t="shared" si="21"/>
        <v>0.86940784536681548</v>
      </c>
      <c r="Q288">
        <f t="shared" si="24"/>
        <v>-8.7600627930110198E-2</v>
      </c>
      <c r="R288">
        <f t="shared" si="25"/>
        <v>0.86940784536681548</v>
      </c>
      <c r="S288">
        <v>2.3854978516024699</v>
      </c>
      <c r="U288">
        <f t="shared" si="26"/>
        <v>0.91612667908094703</v>
      </c>
      <c r="AA288">
        <v>2.3854978516024699</v>
      </c>
    </row>
    <row r="289" spans="1:27">
      <c r="A289" s="3" t="s">
        <v>90</v>
      </c>
      <c r="B289" s="3" t="s">
        <v>104</v>
      </c>
      <c r="C289" s="3" t="s">
        <v>78</v>
      </c>
      <c r="D289" s="3" t="s">
        <v>79</v>
      </c>
      <c r="E289" s="3">
        <v>16</v>
      </c>
      <c r="F289" s="3">
        <v>0.92186735042122003</v>
      </c>
      <c r="G289" s="3">
        <v>2.4424782496472717</v>
      </c>
      <c r="H289" s="3">
        <f t="shared" si="20"/>
        <v>-8.1353937336547832E-2</v>
      </c>
      <c r="I289" s="3">
        <f t="shared" si="21"/>
        <v>0.89301319994009376</v>
      </c>
      <c r="Q289">
        <f t="shared" si="24"/>
        <v>-8.1353937336547832E-2</v>
      </c>
      <c r="R289">
        <f t="shared" si="25"/>
        <v>0.89301319994009376</v>
      </c>
      <c r="S289">
        <v>2.4424782496472717</v>
      </c>
      <c r="U289">
        <f t="shared" si="26"/>
        <v>0.92186735042122003</v>
      </c>
      <c r="AA289">
        <v>2.4424782496472717</v>
      </c>
    </row>
    <row r="290" spans="1:27">
      <c r="A290" s="3" t="s">
        <v>90</v>
      </c>
      <c r="B290" s="3" t="s">
        <v>104</v>
      </c>
      <c r="C290" s="3" t="s">
        <v>78</v>
      </c>
      <c r="D290" s="3" t="s">
        <v>79</v>
      </c>
      <c r="E290" s="3">
        <v>17</v>
      </c>
      <c r="F290" s="3">
        <v>0.91521529113545796</v>
      </c>
      <c r="G290" s="3">
        <v>2.4709512338368804</v>
      </c>
      <c r="H290" s="3">
        <f t="shared" si="20"/>
        <v>-8.8595950524744491E-2</v>
      </c>
      <c r="I290" s="3">
        <f t="shared" si="21"/>
        <v>0.90460319141588796</v>
      </c>
      <c r="Q290">
        <f t="shared" si="24"/>
        <v>-8.8595950524744491E-2</v>
      </c>
      <c r="R290">
        <f t="shared" si="25"/>
        <v>0.90460319141588796</v>
      </c>
      <c r="S290">
        <v>2.4709512338368804</v>
      </c>
      <c r="U290">
        <f t="shared" si="26"/>
        <v>0.91521529113545796</v>
      </c>
      <c r="AA290">
        <v>2.4709512338368804</v>
      </c>
    </row>
    <row r="291" spans="1:27">
      <c r="A291" s="3" t="s">
        <v>90</v>
      </c>
      <c r="B291" s="3" t="s">
        <v>104</v>
      </c>
      <c r="C291" s="3" t="s">
        <v>78</v>
      </c>
      <c r="D291" s="3" t="s">
        <v>79</v>
      </c>
      <c r="E291" s="3">
        <v>18</v>
      </c>
      <c r="F291" s="3">
        <v>0.90980557106070303</v>
      </c>
      <c r="G291" s="3">
        <v>2.4186773244895652</v>
      </c>
      <c r="H291" s="3">
        <f t="shared" si="20"/>
        <v>-9.4524360474452493E-2</v>
      </c>
      <c r="I291" s="3">
        <f t="shared" si="21"/>
        <v>0.88322083062188272</v>
      </c>
      <c r="Q291">
        <f t="shared" si="24"/>
        <v>-9.4524360474452493E-2</v>
      </c>
      <c r="R291">
        <f t="shared" si="25"/>
        <v>0.88322083062188272</v>
      </c>
      <c r="S291">
        <v>2.4186773244895652</v>
      </c>
      <c r="U291">
        <f t="shared" si="26"/>
        <v>0.90980557106070303</v>
      </c>
      <c r="AA291">
        <v>2.4186773244895652</v>
      </c>
    </row>
    <row r="292" spans="1:27">
      <c r="A292" s="3" t="s">
        <v>90</v>
      </c>
      <c r="B292" s="3" t="s">
        <v>104</v>
      </c>
      <c r="C292" s="3" t="s">
        <v>78</v>
      </c>
      <c r="D292" s="3" t="s">
        <v>79</v>
      </c>
      <c r="E292" s="3">
        <v>19</v>
      </c>
      <c r="F292" s="3">
        <v>0.92675606498295704</v>
      </c>
      <c r="G292" s="3">
        <v>2.3671290628100534</v>
      </c>
      <c r="H292" s="3">
        <f t="shared" si="20"/>
        <v>-7.6064892615593849E-2</v>
      </c>
      <c r="I292" s="3">
        <f t="shared" si="21"/>
        <v>0.86167785494737215</v>
      </c>
      <c r="Q292">
        <f t="shared" si="24"/>
        <v>-7.6064892615593849E-2</v>
      </c>
      <c r="R292">
        <f t="shared" si="25"/>
        <v>0.86167785494737215</v>
      </c>
      <c r="S292">
        <v>2.3671290628100534</v>
      </c>
      <c r="U292">
        <f t="shared" si="26"/>
        <v>0.92675606498295704</v>
      </c>
      <c r="AA292">
        <v>2.3671290628100534</v>
      </c>
    </row>
    <row r="293" spans="1:27">
      <c r="A293" s="3" t="s">
        <v>90</v>
      </c>
      <c r="B293" s="3" t="s">
        <v>104</v>
      </c>
      <c r="C293" s="3" t="s">
        <v>78</v>
      </c>
      <c r="D293" s="3" t="s">
        <v>79</v>
      </c>
      <c r="E293" s="3">
        <v>20</v>
      </c>
      <c r="F293" s="3">
        <v>0.91297147329198103</v>
      </c>
      <c r="G293" s="3">
        <v>2.426272861819132</v>
      </c>
      <c r="H293" s="3">
        <f t="shared" si="20"/>
        <v>-9.1050643900517009E-2</v>
      </c>
      <c r="I293" s="3">
        <f t="shared" si="21"/>
        <v>0.88635627815391049</v>
      </c>
      <c r="Q293">
        <f t="shared" si="24"/>
        <v>-9.1050643900517009E-2</v>
      </c>
      <c r="R293">
        <f t="shared" si="25"/>
        <v>0.88635627815391049</v>
      </c>
      <c r="S293">
        <v>2.426272861819132</v>
      </c>
      <c r="U293">
        <f t="shared" si="26"/>
        <v>0.91297147329198103</v>
      </c>
      <c r="AA293">
        <v>2.426272861819132</v>
      </c>
    </row>
    <row r="294" spans="1:27">
      <c r="A294" s="3" t="s">
        <v>90</v>
      </c>
      <c r="B294" s="3" t="s">
        <v>104</v>
      </c>
      <c r="C294" s="3" t="s">
        <v>78</v>
      </c>
      <c r="D294" s="3" t="s">
        <v>75</v>
      </c>
      <c r="E294" s="3">
        <v>1</v>
      </c>
      <c r="F294" s="3">
        <v>0.93553422624288995</v>
      </c>
      <c r="G294" s="3">
        <v>2.4831028975860021</v>
      </c>
      <c r="H294" s="3">
        <f t="shared" si="20"/>
        <v>-6.6637547894605423E-2</v>
      </c>
      <c r="I294" s="3">
        <f t="shared" si="21"/>
        <v>0.90950894649944081</v>
      </c>
      <c r="Q294">
        <f t="shared" si="24"/>
        <v>-6.6637547894605423E-2</v>
      </c>
      <c r="R294">
        <f t="shared" si="25"/>
        <v>0.90950894649944081</v>
      </c>
      <c r="S294">
        <v>2.4831028975860021</v>
      </c>
      <c r="U294">
        <f t="shared" si="26"/>
        <v>0.93553422624288995</v>
      </c>
      <c r="AA294">
        <v>2.4831028975860021</v>
      </c>
    </row>
    <row r="295" spans="1:27">
      <c r="A295" s="3" t="s">
        <v>90</v>
      </c>
      <c r="B295" s="3" t="s">
        <v>104</v>
      </c>
      <c r="C295" s="3" t="s">
        <v>78</v>
      </c>
      <c r="D295" s="3" t="s">
        <v>75</v>
      </c>
      <c r="E295" s="3">
        <v>2</v>
      </c>
      <c r="F295" s="3">
        <v>0.90016626326715499</v>
      </c>
      <c r="G295" s="3">
        <v>2.4257163890281981</v>
      </c>
      <c r="H295" s="3">
        <f t="shared" si="20"/>
        <v>-0.10517579575609234</v>
      </c>
      <c r="I295" s="3">
        <f t="shared" si="21"/>
        <v>0.88612689891805307</v>
      </c>
      <c r="Q295">
        <f t="shared" si="24"/>
        <v>-0.10517579575609234</v>
      </c>
      <c r="R295">
        <f t="shared" si="25"/>
        <v>0.88612689891805307</v>
      </c>
      <c r="S295">
        <v>2.4257163890281981</v>
      </c>
      <c r="U295">
        <f t="shared" si="26"/>
        <v>0.90016626326715499</v>
      </c>
      <c r="AA295">
        <v>2.4257163890281981</v>
      </c>
    </row>
    <row r="296" spans="1:27">
      <c r="A296" s="3" t="s">
        <v>90</v>
      </c>
      <c r="B296" s="3" t="s">
        <v>104</v>
      </c>
      <c r="C296" s="3" t="s">
        <v>78</v>
      </c>
      <c r="D296" s="3" t="s">
        <v>75</v>
      </c>
      <c r="E296" s="3">
        <v>3</v>
      </c>
      <c r="F296" s="3">
        <v>0.90327098506354897</v>
      </c>
      <c r="G296" s="3">
        <v>2.4581497106563708</v>
      </c>
      <c r="H296" s="3">
        <f t="shared" si="20"/>
        <v>-0.10173267638335902</v>
      </c>
      <c r="I296" s="3">
        <f t="shared" si="21"/>
        <v>0.89940891679775048</v>
      </c>
      <c r="Q296">
        <f t="shared" si="24"/>
        <v>-0.10173267638335902</v>
      </c>
      <c r="R296">
        <f t="shared" si="25"/>
        <v>0.89940891679775048</v>
      </c>
      <c r="S296">
        <v>2.4581497106563708</v>
      </c>
      <c r="U296">
        <f t="shared" si="26"/>
        <v>0.90327098506354897</v>
      </c>
      <c r="AA296">
        <v>2.4581497106563708</v>
      </c>
    </row>
    <row r="297" spans="1:27">
      <c r="A297" s="3" t="s">
        <v>90</v>
      </c>
      <c r="B297" s="3" t="s">
        <v>104</v>
      </c>
      <c r="C297" s="3" t="s">
        <v>78</v>
      </c>
      <c r="D297" s="3" t="s">
        <v>75</v>
      </c>
      <c r="E297" s="3">
        <v>4</v>
      </c>
      <c r="F297" s="3">
        <v>0.94123143968454503</v>
      </c>
      <c r="G297" s="3">
        <v>2.5092827660508887</v>
      </c>
      <c r="H297" s="3">
        <f t="shared" si="20"/>
        <v>-6.0566218857091778E-2</v>
      </c>
      <c r="I297" s="3">
        <f t="shared" si="21"/>
        <v>0.91999696173188195</v>
      </c>
      <c r="Q297">
        <f t="shared" si="24"/>
        <v>-6.0566218857091778E-2</v>
      </c>
      <c r="R297">
        <f t="shared" si="25"/>
        <v>0.91999696173188195</v>
      </c>
      <c r="S297">
        <v>2.5092827660508887</v>
      </c>
      <c r="U297">
        <f t="shared" si="26"/>
        <v>0.94123143968454503</v>
      </c>
      <c r="AA297">
        <v>2.5092827660508887</v>
      </c>
    </row>
    <row r="298" spans="1:27">
      <c r="A298" s="3" t="s">
        <v>90</v>
      </c>
      <c r="B298" s="3" t="s">
        <v>104</v>
      </c>
      <c r="C298" s="3" t="s">
        <v>78</v>
      </c>
      <c r="D298" s="3" t="s">
        <v>75</v>
      </c>
      <c r="E298" s="3">
        <v>5</v>
      </c>
      <c r="F298" s="3">
        <v>0.93410510047350104</v>
      </c>
      <c r="G298" s="3">
        <v>2.517935662402834</v>
      </c>
      <c r="H298" s="3">
        <f t="shared" si="20"/>
        <v>-6.8166319810457454E-2</v>
      </c>
      <c r="I298" s="3">
        <f t="shared" si="21"/>
        <v>0.92343938422456717</v>
      </c>
      <c r="Q298">
        <f t="shared" si="24"/>
        <v>-6.8166319810457454E-2</v>
      </c>
      <c r="R298">
        <f t="shared" si="25"/>
        <v>0.92343938422456717</v>
      </c>
      <c r="S298">
        <v>2.517935662402834</v>
      </c>
      <c r="U298">
        <f t="shared" si="26"/>
        <v>0.93410510047350104</v>
      </c>
      <c r="AA298">
        <v>2.517935662402834</v>
      </c>
    </row>
    <row r="299" spans="1:27">
      <c r="A299" s="3" t="s">
        <v>90</v>
      </c>
      <c r="B299" s="3" t="s">
        <v>104</v>
      </c>
      <c r="C299" s="3" t="s">
        <v>78</v>
      </c>
      <c r="D299" s="3" t="s">
        <v>75</v>
      </c>
      <c r="E299" s="3">
        <v>6</v>
      </c>
      <c r="F299" s="3">
        <v>0.894065555599312</v>
      </c>
      <c r="G299" s="3">
        <v>2.4147256572952549</v>
      </c>
      <c r="H299" s="3">
        <f t="shared" si="20"/>
        <v>-0.11197617808615587</v>
      </c>
      <c r="I299" s="3">
        <f t="shared" si="21"/>
        <v>0.88158568118796565</v>
      </c>
      <c r="Q299">
        <f t="shared" si="24"/>
        <v>-0.11197617808615587</v>
      </c>
      <c r="R299">
        <f t="shared" si="25"/>
        <v>0.88158568118796565</v>
      </c>
      <c r="S299">
        <v>2.4147256572952549</v>
      </c>
      <c r="U299">
        <f t="shared" si="26"/>
        <v>0.894065555599312</v>
      </c>
      <c r="AA299">
        <v>2.4147256572952549</v>
      </c>
    </row>
    <row r="300" spans="1:27">
      <c r="A300" s="3" t="s">
        <v>90</v>
      </c>
      <c r="B300" s="3" t="s">
        <v>104</v>
      </c>
      <c r="C300" s="3" t="s">
        <v>78</v>
      </c>
      <c r="D300" s="3" t="s">
        <v>75</v>
      </c>
      <c r="E300" s="3">
        <v>7</v>
      </c>
      <c r="F300" s="3">
        <v>0.91014470062020603</v>
      </c>
      <c r="G300" s="3">
        <v>2.4604471138392712</v>
      </c>
      <c r="H300" s="3">
        <f t="shared" si="20"/>
        <v>-9.4151680441700913E-2</v>
      </c>
      <c r="I300" s="3">
        <f t="shared" si="21"/>
        <v>0.90034308702228782</v>
      </c>
      <c r="Q300">
        <f t="shared" si="24"/>
        <v>-9.4151680441700913E-2</v>
      </c>
      <c r="R300">
        <f t="shared" si="25"/>
        <v>0.90034308702228782</v>
      </c>
      <c r="S300">
        <v>2.4604471138392712</v>
      </c>
      <c r="U300">
        <f t="shared" si="26"/>
        <v>0.91014470062020603</v>
      </c>
      <c r="AA300">
        <v>2.4604471138392712</v>
      </c>
    </row>
    <row r="301" spans="1:27">
      <c r="A301" s="3" t="s">
        <v>90</v>
      </c>
      <c r="B301" s="3" t="s">
        <v>104</v>
      </c>
      <c r="C301" s="3" t="s">
        <v>78</v>
      </c>
      <c r="D301" s="3" t="s">
        <v>75</v>
      </c>
      <c r="E301" s="3">
        <v>8</v>
      </c>
      <c r="F301" s="3">
        <v>0.91602505957661196</v>
      </c>
      <c r="G301" s="3">
        <v>2.3977697971239862</v>
      </c>
      <c r="H301" s="3">
        <f t="shared" si="20"/>
        <v>-8.7711557065830947E-2</v>
      </c>
      <c r="I301" s="3">
        <f t="shared" si="21"/>
        <v>0.87453905413400757</v>
      </c>
      <c r="Q301">
        <f t="shared" si="24"/>
        <v>-8.7711557065830947E-2</v>
      </c>
      <c r="R301">
        <f t="shared" si="25"/>
        <v>0.87453905413400757</v>
      </c>
      <c r="S301">
        <v>2.3977697971239862</v>
      </c>
      <c r="U301">
        <f t="shared" si="26"/>
        <v>0.91602505957661196</v>
      </c>
      <c r="AA301">
        <v>2.3977697971239862</v>
      </c>
    </row>
    <row r="302" spans="1:27">
      <c r="A302" s="3" t="s">
        <v>90</v>
      </c>
      <c r="B302" s="3" t="s">
        <v>104</v>
      </c>
      <c r="C302" s="3" t="s">
        <v>78</v>
      </c>
      <c r="D302" s="3" t="s">
        <v>75</v>
      </c>
      <c r="E302" s="3">
        <v>9</v>
      </c>
      <c r="F302" s="3">
        <v>0.940693134888827</v>
      </c>
      <c r="G302" s="3">
        <v>2.4804031930313264</v>
      </c>
      <c r="H302" s="3">
        <f t="shared" si="20"/>
        <v>-6.1138297906031543E-2</v>
      </c>
      <c r="I302" s="3">
        <f t="shared" si="21"/>
        <v>0.90842112479775905</v>
      </c>
      <c r="Q302">
        <f t="shared" si="24"/>
        <v>-6.1138297906031543E-2</v>
      </c>
      <c r="R302">
        <f t="shared" si="25"/>
        <v>0.90842112479775905</v>
      </c>
      <c r="S302">
        <v>2.4804031930313264</v>
      </c>
      <c r="U302">
        <f t="shared" si="26"/>
        <v>0.940693134888827</v>
      </c>
      <c r="AA302">
        <v>2.4804031930313264</v>
      </c>
    </row>
    <row r="303" spans="1:27">
      <c r="A303" s="3" t="s">
        <v>90</v>
      </c>
      <c r="B303" s="3" t="s">
        <v>104</v>
      </c>
      <c r="C303" s="3" t="s">
        <v>78</v>
      </c>
      <c r="D303" s="3" t="s">
        <v>75</v>
      </c>
      <c r="E303" s="3">
        <v>10</v>
      </c>
      <c r="F303" s="3">
        <v>0.91488818919386905</v>
      </c>
      <c r="G303" s="3">
        <v>2.5019192632856884</v>
      </c>
      <c r="H303" s="3">
        <f t="shared" si="20"/>
        <v>-8.8953418775679929E-2</v>
      </c>
      <c r="I303" s="3">
        <f t="shared" si="21"/>
        <v>0.91705814265343999</v>
      </c>
      <c r="Q303">
        <f t="shared" si="24"/>
        <v>-8.8953418775679929E-2</v>
      </c>
      <c r="R303">
        <f t="shared" si="25"/>
        <v>0.91705814265343999</v>
      </c>
      <c r="S303">
        <v>2.5019192632856884</v>
      </c>
      <c r="U303">
        <f t="shared" si="26"/>
        <v>0.91488818919386905</v>
      </c>
      <c r="AA303">
        <v>2.5019192632856884</v>
      </c>
    </row>
    <row r="304" spans="1:27">
      <c r="A304" s="3" t="s">
        <v>90</v>
      </c>
      <c r="B304" s="3" t="s">
        <v>104</v>
      </c>
      <c r="C304" s="3" t="s">
        <v>78</v>
      </c>
      <c r="D304" s="3" t="s">
        <v>75</v>
      </c>
      <c r="E304" s="3">
        <v>11</v>
      </c>
      <c r="F304" s="3">
        <v>0.957470817805126</v>
      </c>
      <c r="G304" s="3">
        <v>2.4973586046060743</v>
      </c>
      <c r="H304" s="3">
        <f t="shared" si="20"/>
        <v>-4.3460035879903137E-2</v>
      </c>
      <c r="I304" s="3">
        <f t="shared" si="21"/>
        <v>0.91523361516555224</v>
      </c>
      <c r="Q304">
        <f t="shared" si="24"/>
        <v>-4.3460035879903137E-2</v>
      </c>
      <c r="R304">
        <f t="shared" si="25"/>
        <v>0.91523361516555224</v>
      </c>
      <c r="S304">
        <v>2.4973586046060743</v>
      </c>
      <c r="U304">
        <f t="shared" si="26"/>
        <v>0.957470817805126</v>
      </c>
      <c r="AA304">
        <v>2.4973586046060743</v>
      </c>
    </row>
    <row r="305" spans="1:27">
      <c r="A305" s="3" t="s">
        <v>90</v>
      </c>
      <c r="B305" s="3" t="s">
        <v>104</v>
      </c>
      <c r="C305" s="3" t="s">
        <v>78</v>
      </c>
      <c r="D305" s="3" t="s">
        <v>75</v>
      </c>
      <c r="E305" s="3">
        <v>12</v>
      </c>
      <c r="F305" s="3">
        <v>0.88963816964558395</v>
      </c>
      <c r="G305" s="3">
        <v>2.4020824298928627</v>
      </c>
      <c r="H305" s="3">
        <f t="shared" si="20"/>
        <v>-0.11694044988021668</v>
      </c>
      <c r="I305" s="3">
        <f t="shared" si="21"/>
        <v>0.87633604026000411</v>
      </c>
      <c r="Q305">
        <f t="shared" si="24"/>
        <v>-0.11694044988021668</v>
      </c>
      <c r="R305">
        <f t="shared" si="25"/>
        <v>0.87633604026000411</v>
      </c>
      <c r="S305">
        <v>2.4020824298928627</v>
      </c>
      <c r="U305">
        <f t="shared" si="26"/>
        <v>0.88963816964558395</v>
      </c>
      <c r="AA305">
        <v>2.4020824298928627</v>
      </c>
    </row>
    <row r="306" spans="1:27">
      <c r="A306" s="3" t="s">
        <v>90</v>
      </c>
      <c r="B306" s="3" t="s">
        <v>104</v>
      </c>
      <c r="C306" s="3" t="s">
        <v>78</v>
      </c>
      <c r="D306" s="3" t="s">
        <v>75</v>
      </c>
      <c r="E306" s="3">
        <v>13</v>
      </c>
      <c r="F306" s="3">
        <v>0.92611672888001995</v>
      </c>
      <c r="G306" s="3">
        <v>2.4689471440271866</v>
      </c>
      <c r="H306" s="3">
        <f t="shared" si="20"/>
        <v>-7.6754995174633925E-2</v>
      </c>
      <c r="I306" s="3">
        <f t="shared" si="21"/>
        <v>0.90379180228747025</v>
      </c>
      <c r="Q306">
        <f t="shared" si="24"/>
        <v>-7.6754995174633925E-2</v>
      </c>
      <c r="R306">
        <f t="shared" si="25"/>
        <v>0.90379180228747025</v>
      </c>
      <c r="S306">
        <v>2.4689471440271866</v>
      </c>
      <c r="U306">
        <f t="shared" si="26"/>
        <v>0.92611672888001995</v>
      </c>
      <c r="AA306">
        <v>2.4689471440271866</v>
      </c>
    </row>
    <row r="307" spans="1:27">
      <c r="A307" s="3" t="s">
        <v>90</v>
      </c>
      <c r="B307" s="3" t="s">
        <v>104</v>
      </c>
      <c r="C307" s="3" t="s">
        <v>78</v>
      </c>
      <c r="D307" s="3" t="s">
        <v>75</v>
      </c>
      <c r="E307" s="3">
        <v>14</v>
      </c>
      <c r="F307" s="3">
        <v>0.88653211968366497</v>
      </c>
      <c r="G307" s="3">
        <v>2.429897117163605</v>
      </c>
      <c r="H307" s="3">
        <f t="shared" si="20"/>
        <v>-0.12043792210656759</v>
      </c>
      <c r="I307" s="3">
        <f t="shared" si="21"/>
        <v>0.88784891784035214</v>
      </c>
      <c r="Q307">
        <f t="shared" si="24"/>
        <v>-0.12043792210656759</v>
      </c>
      <c r="R307">
        <f t="shared" si="25"/>
        <v>0.88784891784035214</v>
      </c>
      <c r="S307">
        <v>2.429897117163605</v>
      </c>
      <c r="U307">
        <f t="shared" si="26"/>
        <v>0.88653211968366497</v>
      </c>
      <c r="AA307">
        <v>2.429897117163605</v>
      </c>
    </row>
    <row r="308" spans="1:27">
      <c r="A308" s="3" t="s">
        <v>90</v>
      </c>
      <c r="B308" s="3" t="s">
        <v>104</v>
      </c>
      <c r="C308" s="3" t="s">
        <v>78</v>
      </c>
      <c r="D308" s="3" t="s">
        <v>75</v>
      </c>
      <c r="E308" s="3">
        <v>15</v>
      </c>
      <c r="F308" s="3">
        <v>0.92186851063524899</v>
      </c>
      <c r="G308" s="3">
        <v>2.491304878974069</v>
      </c>
      <c r="H308" s="3">
        <f t="shared" si="20"/>
        <v>-8.1352678789644819E-2</v>
      </c>
      <c r="I308" s="3">
        <f t="shared" si="21"/>
        <v>0.91280662099228216</v>
      </c>
      <c r="Q308">
        <f t="shared" si="24"/>
        <v>-8.1352678789644819E-2</v>
      </c>
      <c r="R308">
        <f t="shared" si="25"/>
        <v>0.91280662099228216</v>
      </c>
      <c r="S308">
        <v>2.491304878974069</v>
      </c>
      <c r="U308">
        <f t="shared" si="26"/>
        <v>0.92186851063524899</v>
      </c>
      <c r="AA308">
        <v>2.491304878974069</v>
      </c>
    </row>
    <row r="309" spans="1:27">
      <c r="A309" s="3" t="s">
        <v>90</v>
      </c>
      <c r="B309" s="3" t="s">
        <v>104</v>
      </c>
      <c r="C309" s="3" t="s">
        <v>78</v>
      </c>
      <c r="D309" s="3" t="s">
        <v>75</v>
      </c>
      <c r="E309" s="3">
        <v>16</v>
      </c>
      <c r="F309" s="3">
        <v>0.91753438643699903</v>
      </c>
      <c r="G309" s="3">
        <v>2.4686838598735159</v>
      </c>
      <c r="H309" s="3">
        <f t="shared" si="20"/>
        <v>-8.6065221350261067E-2</v>
      </c>
      <c r="I309" s="3">
        <f t="shared" si="21"/>
        <v>0.90368515837110142</v>
      </c>
      <c r="Q309">
        <f t="shared" si="24"/>
        <v>-8.6065221350261067E-2</v>
      </c>
      <c r="R309">
        <f t="shared" si="25"/>
        <v>0.90368515837110142</v>
      </c>
      <c r="S309">
        <v>2.4686838598735159</v>
      </c>
      <c r="U309">
        <f t="shared" si="26"/>
        <v>0.91753438643699903</v>
      </c>
      <c r="AA309">
        <v>2.4686838598735159</v>
      </c>
    </row>
    <row r="310" spans="1:27">
      <c r="A310" s="3" t="s">
        <v>90</v>
      </c>
      <c r="B310" s="3" t="s">
        <v>104</v>
      </c>
      <c r="C310" s="3" t="s">
        <v>78</v>
      </c>
      <c r="D310" s="3" t="s">
        <v>75</v>
      </c>
      <c r="E310" s="3">
        <v>17</v>
      </c>
      <c r="F310" s="3">
        <v>0.91382727399237496</v>
      </c>
      <c r="G310" s="3">
        <v>2.4633310780323461</v>
      </c>
      <c r="H310" s="3">
        <f t="shared" si="20"/>
        <v>-9.0113703513107574E-2</v>
      </c>
      <c r="I310" s="3">
        <f t="shared" si="21"/>
        <v>0.90151453074314292</v>
      </c>
      <c r="Q310">
        <f t="shared" si="24"/>
        <v>-9.0113703513107574E-2</v>
      </c>
      <c r="R310">
        <f t="shared" si="25"/>
        <v>0.90151453074314292</v>
      </c>
      <c r="S310">
        <v>2.4633310780323461</v>
      </c>
      <c r="U310">
        <f t="shared" si="26"/>
        <v>0.91382727399237496</v>
      </c>
      <c r="AA310">
        <v>2.4633310780323461</v>
      </c>
    </row>
    <row r="311" spans="1:27">
      <c r="A311" s="3" t="s">
        <v>90</v>
      </c>
      <c r="B311" s="3" t="s">
        <v>104</v>
      </c>
      <c r="C311" s="3" t="s">
        <v>78</v>
      </c>
      <c r="D311" s="3" t="s">
        <v>75</v>
      </c>
      <c r="E311" s="3">
        <v>18</v>
      </c>
      <c r="F311" s="3">
        <v>0.89801987883981005</v>
      </c>
      <c r="G311" s="3">
        <v>2.4341733709824367</v>
      </c>
      <c r="H311" s="3">
        <f t="shared" si="20"/>
        <v>-0.1075630741322911</v>
      </c>
      <c r="I311" s="3">
        <f t="shared" si="21"/>
        <v>0.88960722086287991</v>
      </c>
      <c r="Q311">
        <f t="shared" si="24"/>
        <v>-0.1075630741322911</v>
      </c>
      <c r="R311">
        <f t="shared" si="25"/>
        <v>0.88960722086287991</v>
      </c>
      <c r="S311">
        <v>2.4341733709824367</v>
      </c>
      <c r="U311">
        <f t="shared" si="26"/>
        <v>0.89801987883981005</v>
      </c>
      <c r="AA311">
        <v>2.4341733709824367</v>
      </c>
    </row>
    <row r="312" spans="1:27">
      <c r="A312" s="3" t="s">
        <v>90</v>
      </c>
      <c r="B312" s="3" t="s">
        <v>104</v>
      </c>
      <c r="C312" s="3" t="s">
        <v>78</v>
      </c>
      <c r="D312" s="3" t="s">
        <v>75</v>
      </c>
      <c r="E312" s="3">
        <v>19</v>
      </c>
      <c r="F312" s="3">
        <v>0.89995681544744699</v>
      </c>
      <c r="G312" s="3">
        <v>2.4352823244954576</v>
      </c>
      <c r="H312" s="3">
        <f t="shared" si="20"/>
        <v>-0.10540849964520942</v>
      </c>
      <c r="I312" s="3">
        <f t="shared" si="21"/>
        <v>0.89006269416484363</v>
      </c>
      <c r="Q312">
        <f t="shared" si="24"/>
        <v>-0.10540849964520942</v>
      </c>
      <c r="R312">
        <f t="shared" si="25"/>
        <v>0.89006269416484363</v>
      </c>
      <c r="S312">
        <v>2.4352823244954576</v>
      </c>
      <c r="U312">
        <f t="shared" si="26"/>
        <v>0.89995681544744699</v>
      </c>
      <c r="AA312">
        <v>2.4352823244954576</v>
      </c>
    </row>
    <row r="313" spans="1:27">
      <c r="A313" s="3" t="s">
        <v>90</v>
      </c>
      <c r="B313" s="3" t="s">
        <v>104</v>
      </c>
      <c r="C313" s="3" t="s">
        <v>78</v>
      </c>
      <c r="D313" s="3" t="s">
        <v>75</v>
      </c>
      <c r="E313" s="3">
        <v>20</v>
      </c>
      <c r="F313" s="3">
        <v>0.89480709229539901</v>
      </c>
      <c r="G313" s="3">
        <v>2.4166091947189146</v>
      </c>
      <c r="H313" s="3">
        <f t="shared" si="20"/>
        <v>-0.11114712327397212</v>
      </c>
      <c r="I313" s="3">
        <f t="shared" si="21"/>
        <v>0.88236539842006789</v>
      </c>
      <c r="Q313">
        <f t="shared" si="24"/>
        <v>-0.11114712327397212</v>
      </c>
      <c r="R313">
        <f t="shared" si="25"/>
        <v>0.88236539842006789</v>
      </c>
      <c r="S313">
        <v>2.4166091947189146</v>
      </c>
      <c r="U313">
        <f t="shared" si="26"/>
        <v>0.89480709229539901</v>
      </c>
      <c r="AA313">
        <v>2.4166091947189146</v>
      </c>
    </row>
    <row r="314" spans="1:27">
      <c r="A314" s="3" t="s">
        <v>90</v>
      </c>
      <c r="B314" s="3" t="s">
        <v>104</v>
      </c>
      <c r="C314" s="3" t="s">
        <v>78</v>
      </c>
      <c r="D314" s="3" t="s">
        <v>75</v>
      </c>
      <c r="E314" s="3">
        <v>21</v>
      </c>
      <c r="F314" s="3">
        <v>0.89534018624240197</v>
      </c>
      <c r="G314" s="3">
        <v>2.4078413569004082</v>
      </c>
      <c r="H314" s="3">
        <f t="shared" si="20"/>
        <v>-0.11055153656537818</v>
      </c>
      <c r="I314" s="3">
        <f t="shared" si="21"/>
        <v>0.87873064359040409</v>
      </c>
      <c r="Q314">
        <f t="shared" si="24"/>
        <v>-0.11055153656537818</v>
      </c>
      <c r="R314">
        <f t="shared" si="25"/>
        <v>0.87873064359040409</v>
      </c>
      <c r="S314">
        <v>2.4078413569004082</v>
      </c>
      <c r="U314">
        <f t="shared" si="26"/>
        <v>0.89534018624240197</v>
      </c>
      <c r="AA314">
        <v>2.4078413569004082</v>
      </c>
    </row>
    <row r="315" spans="1:27">
      <c r="A315" s="3" t="s">
        <v>90</v>
      </c>
      <c r="B315" s="3" t="s">
        <v>104</v>
      </c>
      <c r="C315" s="3" t="s">
        <v>78</v>
      </c>
      <c r="D315" s="3" t="s">
        <v>75</v>
      </c>
      <c r="E315" s="3">
        <v>22</v>
      </c>
      <c r="F315" s="3">
        <v>0.90770589074257402</v>
      </c>
      <c r="G315" s="3">
        <v>2.3409613409879286</v>
      </c>
      <c r="H315" s="3">
        <f t="shared" si="20"/>
        <v>-9.6834861724470783E-2</v>
      </c>
      <c r="I315" s="3">
        <f t="shared" si="21"/>
        <v>0.85056167448430542</v>
      </c>
      <c r="Q315">
        <f t="shared" si="24"/>
        <v>-9.6834861724470783E-2</v>
      </c>
      <c r="R315">
        <f t="shared" si="25"/>
        <v>0.85056167448430542</v>
      </c>
      <c r="S315">
        <v>2.3409613409879286</v>
      </c>
      <c r="U315">
        <f t="shared" si="26"/>
        <v>0.90770589074257402</v>
      </c>
      <c r="AA315">
        <v>2.3409613409879286</v>
      </c>
    </row>
    <row r="316" spans="1:27">
      <c r="A316" s="3" t="s">
        <v>90</v>
      </c>
      <c r="B316" s="3" t="s">
        <v>105</v>
      </c>
      <c r="C316" s="3" t="s">
        <v>78</v>
      </c>
      <c r="D316" s="3" t="s">
        <v>79</v>
      </c>
      <c r="E316" s="3">
        <v>1</v>
      </c>
      <c r="F316" s="3">
        <v>0.92283842501846203</v>
      </c>
      <c r="G316" s="3">
        <v>2.4274472187876714</v>
      </c>
      <c r="H316" s="3">
        <f t="shared" si="20"/>
        <v>-8.0301113954229911E-2</v>
      </c>
      <c r="I316" s="3">
        <f t="shared" si="21"/>
        <v>0.88684017791407466</v>
      </c>
      <c r="Q316">
        <f t="shared" si="24"/>
        <v>-8.0301113954229911E-2</v>
      </c>
      <c r="R316">
        <f t="shared" si="25"/>
        <v>0.88684017791407466</v>
      </c>
      <c r="S316">
        <v>2.4274472187876714</v>
      </c>
      <c r="U316">
        <f t="shared" si="26"/>
        <v>0.92283842501846203</v>
      </c>
      <c r="AA316">
        <v>2.4274472187876714</v>
      </c>
    </row>
    <row r="317" spans="1:27">
      <c r="A317" s="3" t="s">
        <v>90</v>
      </c>
      <c r="B317" s="3" t="s">
        <v>105</v>
      </c>
      <c r="C317" s="3" t="s">
        <v>78</v>
      </c>
      <c r="D317" s="3" t="s">
        <v>79</v>
      </c>
      <c r="E317" s="3">
        <v>2</v>
      </c>
      <c r="F317" s="3">
        <v>0.91787506774083105</v>
      </c>
      <c r="G317" s="3">
        <v>2.4473863609981974</v>
      </c>
      <c r="H317" s="3">
        <f t="shared" si="20"/>
        <v>-8.5693989408561003E-2</v>
      </c>
      <c r="I317" s="3">
        <f t="shared" si="21"/>
        <v>0.89502066370034239</v>
      </c>
      <c r="Q317">
        <f t="shared" si="24"/>
        <v>-8.5693989408561003E-2</v>
      </c>
      <c r="R317">
        <f t="shared" si="25"/>
        <v>0.89502066370034239</v>
      </c>
      <c r="S317">
        <v>2.4473863609981974</v>
      </c>
      <c r="U317">
        <f t="shared" si="26"/>
        <v>0.91787506774083105</v>
      </c>
      <c r="AA317">
        <v>2.4473863609981974</v>
      </c>
    </row>
    <row r="318" spans="1:27">
      <c r="A318" s="3" t="s">
        <v>90</v>
      </c>
      <c r="B318" s="3" t="s">
        <v>105</v>
      </c>
      <c r="C318" s="3" t="s">
        <v>78</v>
      </c>
      <c r="D318" s="3" t="s">
        <v>79</v>
      </c>
      <c r="E318" s="3">
        <v>3</v>
      </c>
      <c r="F318" s="3">
        <v>0.937962414774825</v>
      </c>
      <c r="G318" s="3">
        <v>2.5241434190631882</v>
      </c>
      <c r="H318" s="3">
        <f t="shared" si="20"/>
        <v>-6.4045400315151602E-2</v>
      </c>
      <c r="I318" s="3">
        <f t="shared" si="21"/>
        <v>0.92590176519745082</v>
      </c>
      <c r="Q318">
        <f t="shared" si="24"/>
        <v>-6.4045400315151602E-2</v>
      </c>
      <c r="R318">
        <f t="shared" si="25"/>
        <v>0.92590176519745082</v>
      </c>
      <c r="S318">
        <v>2.5241434190631882</v>
      </c>
      <c r="U318">
        <f t="shared" si="26"/>
        <v>0.937962414774825</v>
      </c>
      <c r="AA318">
        <v>2.5241434190631882</v>
      </c>
    </row>
    <row r="319" spans="1:27">
      <c r="A319" s="3" t="s">
        <v>90</v>
      </c>
      <c r="B319" s="3" t="s">
        <v>105</v>
      </c>
      <c r="C319" s="3" t="s">
        <v>78</v>
      </c>
      <c r="D319" s="3" t="s">
        <v>79</v>
      </c>
      <c r="E319" s="3">
        <v>4</v>
      </c>
      <c r="F319" s="3">
        <v>0.939453189942415</v>
      </c>
      <c r="G319" s="3">
        <v>2.49899979991996</v>
      </c>
      <c r="H319" s="3">
        <f t="shared" si="20"/>
        <v>-6.2457285805856105E-2</v>
      </c>
      <c r="I319" s="3">
        <f t="shared" si="21"/>
        <v>0.91589057178877054</v>
      </c>
      <c r="Q319">
        <f t="shared" si="24"/>
        <v>-6.2457285805856105E-2</v>
      </c>
      <c r="R319">
        <f t="shared" si="25"/>
        <v>0.91589057178877054</v>
      </c>
      <c r="S319">
        <v>2.49899979991996</v>
      </c>
      <c r="U319">
        <f t="shared" si="26"/>
        <v>0.939453189942415</v>
      </c>
      <c r="AA319">
        <v>2.49899979991996</v>
      </c>
    </row>
    <row r="320" spans="1:27">
      <c r="A320" s="3" t="s">
        <v>90</v>
      </c>
      <c r="B320" s="3" t="s">
        <v>105</v>
      </c>
      <c r="C320" s="3" t="s">
        <v>78</v>
      </c>
      <c r="D320" s="3" t="s">
        <v>79</v>
      </c>
      <c r="E320" s="3">
        <v>5</v>
      </c>
      <c r="F320" s="3">
        <v>0.91978065938189801</v>
      </c>
      <c r="G320" s="3">
        <v>2.4440130932546169</v>
      </c>
      <c r="H320" s="3">
        <f t="shared" si="20"/>
        <v>-8.3620051079447172E-2</v>
      </c>
      <c r="I320" s="3">
        <f t="shared" si="21"/>
        <v>0.8936413986004883</v>
      </c>
      <c r="Q320">
        <f t="shared" si="24"/>
        <v>-8.3620051079447172E-2</v>
      </c>
      <c r="R320">
        <f t="shared" si="25"/>
        <v>0.8936413986004883</v>
      </c>
      <c r="S320">
        <v>2.4440130932546169</v>
      </c>
      <c r="U320">
        <f t="shared" si="26"/>
        <v>0.91978065938189801</v>
      </c>
      <c r="AA320">
        <v>2.4440130932546169</v>
      </c>
    </row>
    <row r="321" spans="1:27">
      <c r="A321" s="3" t="s">
        <v>90</v>
      </c>
      <c r="B321" s="3" t="s">
        <v>105</v>
      </c>
      <c r="C321" s="3" t="s">
        <v>78</v>
      </c>
      <c r="D321" s="3" t="s">
        <v>79</v>
      </c>
      <c r="E321" s="3">
        <v>6</v>
      </c>
      <c r="F321" s="3">
        <v>0.90524803013505895</v>
      </c>
      <c r="G321" s="3">
        <v>2.4869660230891775</v>
      </c>
      <c r="H321" s="3">
        <f t="shared" si="20"/>
        <v>-9.9546306383980307E-2</v>
      </c>
      <c r="I321" s="3">
        <f t="shared" si="21"/>
        <v>0.9110635029222256</v>
      </c>
      <c r="Q321">
        <f t="shared" si="24"/>
        <v>-9.9546306383980307E-2</v>
      </c>
      <c r="R321">
        <f t="shared" si="25"/>
        <v>0.9110635029222256</v>
      </c>
      <c r="S321">
        <v>2.4869660230891775</v>
      </c>
      <c r="U321">
        <f t="shared" si="26"/>
        <v>0.90524803013505895</v>
      </c>
      <c r="AA321">
        <v>2.4869660230891775</v>
      </c>
    </row>
    <row r="322" spans="1:27">
      <c r="A322" s="3" t="s">
        <v>90</v>
      </c>
      <c r="B322" s="3" t="s">
        <v>105</v>
      </c>
      <c r="C322" s="3" t="s">
        <v>78</v>
      </c>
      <c r="D322" s="3" t="s">
        <v>79</v>
      </c>
      <c r="E322" s="3">
        <v>7</v>
      </c>
      <c r="F322" s="3">
        <v>0.93053219100304796</v>
      </c>
      <c r="G322" s="3">
        <v>2.5019192632856884</v>
      </c>
      <c r="H322" s="3">
        <f t="shared" ref="H322:H385" si="27">LN(F322)</f>
        <v>-7.199860811613383E-2</v>
      </c>
      <c r="I322" s="3">
        <f t="shared" ref="I322:I385" si="28">LN(G322)</f>
        <v>0.91705814265343999</v>
      </c>
      <c r="Q322">
        <f t="shared" si="24"/>
        <v>-7.199860811613383E-2</v>
      </c>
      <c r="R322">
        <f t="shared" si="25"/>
        <v>0.91705814265343999</v>
      </c>
      <c r="S322">
        <v>2.5019192632856884</v>
      </c>
      <c r="U322">
        <f t="shared" si="26"/>
        <v>0.93053219100304796</v>
      </c>
      <c r="AA322">
        <v>2.5019192632856884</v>
      </c>
    </row>
    <row r="323" spans="1:27">
      <c r="A323" s="3" t="s">
        <v>90</v>
      </c>
      <c r="B323" s="3" t="s">
        <v>105</v>
      </c>
      <c r="C323" s="3" t="s">
        <v>78</v>
      </c>
      <c r="D323" s="3" t="s">
        <v>79</v>
      </c>
      <c r="E323" s="3">
        <v>8</v>
      </c>
      <c r="F323" s="3">
        <v>0.94623213203235401</v>
      </c>
      <c r="G323" s="3">
        <v>2.4795160818191921</v>
      </c>
      <c r="H323" s="3">
        <f t="shared" si="27"/>
        <v>-5.5267357333620246E-2</v>
      </c>
      <c r="I323" s="3">
        <f t="shared" si="28"/>
        <v>0.9080634128381746</v>
      </c>
      <c r="Q323">
        <f t="shared" si="24"/>
        <v>-5.5267357333620246E-2</v>
      </c>
      <c r="R323">
        <f t="shared" si="25"/>
        <v>0.9080634128381746</v>
      </c>
      <c r="S323">
        <v>2.4795160818191921</v>
      </c>
      <c r="U323">
        <f t="shared" si="26"/>
        <v>0.94623213203235401</v>
      </c>
      <c r="AA323">
        <v>2.4795160818191921</v>
      </c>
    </row>
    <row r="324" spans="1:27">
      <c r="A324" s="3" t="s">
        <v>90</v>
      </c>
      <c r="B324" s="3" t="s">
        <v>105</v>
      </c>
      <c r="C324" s="3" t="s">
        <v>78</v>
      </c>
      <c r="D324" s="3" t="s">
        <v>79</v>
      </c>
      <c r="E324" s="3">
        <v>9</v>
      </c>
      <c r="F324" s="3">
        <v>0.90782632335591396</v>
      </c>
      <c r="G324" s="3">
        <v>2.470080970332754</v>
      </c>
      <c r="H324" s="3">
        <f t="shared" si="27"/>
        <v>-9.6702192513116264E-2</v>
      </c>
      <c r="I324" s="3">
        <f t="shared" si="28"/>
        <v>0.90425093161382031</v>
      </c>
      <c r="Q324">
        <f t="shared" si="24"/>
        <v>-9.6702192513116264E-2</v>
      </c>
      <c r="R324">
        <f t="shared" si="25"/>
        <v>0.90425093161382031</v>
      </c>
      <c r="S324">
        <v>2.470080970332754</v>
      </c>
      <c r="U324">
        <f t="shared" si="26"/>
        <v>0.90782632335591396</v>
      </c>
      <c r="AA324">
        <v>2.470080970332754</v>
      </c>
    </row>
    <row r="325" spans="1:27">
      <c r="A325" s="3" t="s">
        <v>90</v>
      </c>
      <c r="B325" s="3" t="s">
        <v>105</v>
      </c>
      <c r="C325" s="3" t="s">
        <v>78</v>
      </c>
      <c r="D325" s="3" t="s">
        <v>79</v>
      </c>
      <c r="E325" s="3">
        <v>10</v>
      </c>
      <c r="F325" s="3">
        <v>0.905239770379759</v>
      </c>
      <c r="G325" s="3">
        <v>2.4689471440271866</v>
      </c>
      <c r="H325" s="3">
        <f t="shared" si="27"/>
        <v>-9.9555430726378694E-2</v>
      </c>
      <c r="I325" s="3">
        <f t="shared" si="28"/>
        <v>0.90379180228747025</v>
      </c>
      <c r="Q325">
        <f t="shared" si="24"/>
        <v>-9.9555430726378694E-2</v>
      </c>
      <c r="R325">
        <f t="shared" si="25"/>
        <v>0.90379180228747025</v>
      </c>
      <c r="S325">
        <v>2.4689471440271866</v>
      </c>
      <c r="U325">
        <f t="shared" si="26"/>
        <v>0.905239770379759</v>
      </c>
      <c r="AA325">
        <v>2.4689471440271866</v>
      </c>
    </row>
    <row r="326" spans="1:27">
      <c r="A326" s="3" t="s">
        <v>90</v>
      </c>
      <c r="B326" s="3" t="s">
        <v>105</v>
      </c>
      <c r="C326" s="3" t="s">
        <v>78</v>
      </c>
      <c r="D326" s="3" t="s">
        <v>79</v>
      </c>
      <c r="E326" s="3">
        <v>11</v>
      </c>
      <c r="F326" s="3">
        <v>0.92196122789233204</v>
      </c>
      <c r="G326" s="3">
        <v>2.43232399157678</v>
      </c>
      <c r="H326" s="3">
        <f t="shared" si="27"/>
        <v>-8.1252108487274891E-2</v>
      </c>
      <c r="I326" s="3">
        <f t="shared" si="28"/>
        <v>0.88884717545161052</v>
      </c>
      <c r="Q326">
        <f t="shared" si="24"/>
        <v>-8.1252108487274891E-2</v>
      </c>
      <c r="R326">
        <f t="shared" si="25"/>
        <v>0.88884717545161052</v>
      </c>
      <c r="S326">
        <v>2.43232399157678</v>
      </c>
      <c r="U326">
        <f t="shared" si="26"/>
        <v>0.92196122789233204</v>
      </c>
      <c r="AA326">
        <v>2.43232399157678</v>
      </c>
    </row>
    <row r="327" spans="1:27">
      <c r="A327" s="3" t="s">
        <v>90</v>
      </c>
      <c r="B327" s="3" t="s">
        <v>105</v>
      </c>
      <c r="C327" s="3" t="s">
        <v>78</v>
      </c>
      <c r="D327" s="3" t="s">
        <v>79</v>
      </c>
      <c r="E327" s="3">
        <v>12</v>
      </c>
      <c r="F327" s="3">
        <v>0.89366414161264396</v>
      </c>
      <c r="G327" s="3">
        <v>2.3930106560565085</v>
      </c>
      <c r="H327" s="3">
        <f t="shared" si="27"/>
        <v>-0.1124252549169991</v>
      </c>
      <c r="I327" s="3">
        <f t="shared" si="28"/>
        <v>0.8725522619278171</v>
      </c>
      <c r="Q327">
        <f t="shared" si="24"/>
        <v>-0.1124252549169991</v>
      </c>
      <c r="R327">
        <f t="shared" si="25"/>
        <v>0.8725522619278171</v>
      </c>
      <c r="S327">
        <v>2.3930106560565085</v>
      </c>
      <c r="U327">
        <f t="shared" si="26"/>
        <v>0.89366414161264396</v>
      </c>
      <c r="AA327">
        <v>2.3930106560565085</v>
      </c>
    </row>
    <row r="328" spans="1:27">
      <c r="A328" s="3" t="s">
        <v>90</v>
      </c>
      <c r="B328" s="3" t="s">
        <v>105</v>
      </c>
      <c r="C328" s="3" t="s">
        <v>78</v>
      </c>
      <c r="D328" s="3" t="s">
        <v>79</v>
      </c>
      <c r="E328" s="3">
        <v>13</v>
      </c>
      <c r="F328" s="3">
        <v>0.91710028838292301</v>
      </c>
      <c r="G328" s="3">
        <v>2.4147256572952549</v>
      </c>
      <c r="H328" s="3">
        <f t="shared" si="27"/>
        <v>-8.6538446966385116E-2</v>
      </c>
      <c r="I328" s="3">
        <f t="shared" si="28"/>
        <v>0.88158568118796565</v>
      </c>
      <c r="Q328">
        <f t="shared" si="24"/>
        <v>-8.6538446966385116E-2</v>
      </c>
      <c r="R328">
        <f t="shared" si="25"/>
        <v>0.88158568118796565</v>
      </c>
      <c r="S328">
        <v>2.4147256572952549</v>
      </c>
      <c r="U328">
        <f t="shared" si="26"/>
        <v>0.91710028838292301</v>
      </c>
      <c r="AA328">
        <v>2.4147256572952549</v>
      </c>
    </row>
    <row r="329" spans="1:27">
      <c r="A329" s="3" t="s">
        <v>90</v>
      </c>
      <c r="B329" s="3" t="s">
        <v>105</v>
      </c>
      <c r="C329" s="3" t="s">
        <v>78</v>
      </c>
      <c r="D329" s="3" t="s">
        <v>79</v>
      </c>
      <c r="E329" s="3">
        <v>14</v>
      </c>
      <c r="F329" s="3">
        <v>0.89378611041760003</v>
      </c>
      <c r="G329" s="3">
        <v>2.3259406699226011</v>
      </c>
      <c r="H329" s="3">
        <f t="shared" si="27"/>
        <v>-0.11228878252566196</v>
      </c>
      <c r="I329" s="3">
        <f t="shared" si="28"/>
        <v>0.84412454642919488</v>
      </c>
      <c r="Q329">
        <f t="shared" si="24"/>
        <v>-0.11228878252566196</v>
      </c>
      <c r="R329">
        <f t="shared" si="25"/>
        <v>0.84412454642919488</v>
      </c>
      <c r="S329">
        <v>2.3259406699226011</v>
      </c>
      <c r="U329">
        <f t="shared" si="26"/>
        <v>0.89378611041760003</v>
      </c>
      <c r="AA329">
        <v>2.3259406699226011</v>
      </c>
    </row>
    <row r="330" spans="1:27">
      <c r="A330" s="3" t="s">
        <v>90</v>
      </c>
      <c r="B330" s="3" t="s">
        <v>105</v>
      </c>
      <c r="C330" s="3" t="s">
        <v>78</v>
      </c>
      <c r="D330" s="3" t="s">
        <v>79</v>
      </c>
      <c r="E330" s="3">
        <v>15</v>
      </c>
      <c r="F330" s="3">
        <v>0.88660012237517105</v>
      </c>
      <c r="G330" s="3">
        <v>2.4226638231500468</v>
      </c>
      <c r="H330" s="3">
        <f t="shared" si="27"/>
        <v>-0.12036121864370521</v>
      </c>
      <c r="I330" s="3">
        <f t="shared" si="28"/>
        <v>0.88486768815160677</v>
      </c>
      <c r="Q330">
        <f t="shared" si="24"/>
        <v>-0.12036121864370521</v>
      </c>
      <c r="R330">
        <f t="shared" si="25"/>
        <v>0.88486768815160677</v>
      </c>
      <c r="S330">
        <v>2.4226638231500468</v>
      </c>
      <c r="U330">
        <f t="shared" si="26"/>
        <v>0.88660012237517105</v>
      </c>
      <c r="AA330">
        <v>2.4226638231500468</v>
      </c>
    </row>
    <row r="331" spans="1:27">
      <c r="A331" s="3" t="s">
        <v>90</v>
      </c>
      <c r="B331" s="3" t="s">
        <v>105</v>
      </c>
      <c r="C331" s="3" t="s">
        <v>78</v>
      </c>
      <c r="D331" s="3" t="s">
        <v>79</v>
      </c>
      <c r="E331" s="3">
        <v>16</v>
      </c>
      <c r="F331" s="3">
        <v>0.901071167028206</v>
      </c>
      <c r="G331" s="3">
        <v>2.4062626623043464</v>
      </c>
      <c r="H331" s="3">
        <f t="shared" si="27"/>
        <v>-0.10417103778031503</v>
      </c>
      <c r="I331" s="3">
        <f t="shared" si="28"/>
        <v>0.87807478129646344</v>
      </c>
      <c r="Q331">
        <f t="shared" si="24"/>
        <v>-0.10417103778031503</v>
      </c>
      <c r="R331">
        <f t="shared" si="25"/>
        <v>0.87807478129646344</v>
      </c>
      <c r="S331">
        <v>2.4062626623043464</v>
      </c>
      <c r="U331">
        <f t="shared" si="26"/>
        <v>0.901071167028206</v>
      </c>
      <c r="AA331">
        <v>2.4062626623043464</v>
      </c>
    </row>
    <row r="332" spans="1:27">
      <c r="A332" s="3" t="s">
        <v>90</v>
      </c>
      <c r="B332" s="3" t="s">
        <v>105</v>
      </c>
      <c r="C332" s="3" t="s">
        <v>78</v>
      </c>
      <c r="D332" s="3" t="s">
        <v>79</v>
      </c>
      <c r="E332" s="3">
        <v>17</v>
      </c>
      <c r="F332" s="3">
        <v>0.90242245286644696</v>
      </c>
      <c r="G332" s="3">
        <v>2.3837994882120435</v>
      </c>
      <c r="H332" s="3">
        <f t="shared" si="27"/>
        <v>-0.10267251726856914</v>
      </c>
      <c r="I332" s="3">
        <f t="shared" si="28"/>
        <v>0.86869563837228059</v>
      </c>
      <c r="Q332">
        <f t="shared" si="24"/>
        <v>-0.10267251726856914</v>
      </c>
      <c r="R332">
        <f t="shared" si="25"/>
        <v>0.86869563837228059</v>
      </c>
      <c r="S332">
        <v>2.3837994882120435</v>
      </c>
      <c r="U332">
        <f t="shared" si="26"/>
        <v>0.90242245286644696</v>
      </c>
      <c r="AA332">
        <v>2.3837994882120435</v>
      </c>
    </row>
    <row r="333" spans="1:27">
      <c r="A333" s="3" t="s">
        <v>90</v>
      </c>
      <c r="B333" s="3" t="s">
        <v>105</v>
      </c>
      <c r="C333" s="3" t="s">
        <v>78</v>
      </c>
      <c r="D333" s="3" t="s">
        <v>79</v>
      </c>
      <c r="E333" s="3">
        <v>18</v>
      </c>
      <c r="F333" s="3">
        <v>0.906631714911178</v>
      </c>
      <c r="G333" s="3">
        <v>2.4524681445433703</v>
      </c>
      <c r="H333" s="3">
        <f t="shared" si="27"/>
        <v>-9.8018958833582082E-2</v>
      </c>
      <c r="I333" s="3">
        <f t="shared" si="28"/>
        <v>0.89709492339988206</v>
      </c>
      <c r="Q333">
        <f t="shared" si="24"/>
        <v>-9.8018958833582082E-2</v>
      </c>
      <c r="R333">
        <f t="shared" si="25"/>
        <v>0.89709492339988206</v>
      </c>
      <c r="S333">
        <v>2.4524681445433703</v>
      </c>
      <c r="U333">
        <f t="shared" si="26"/>
        <v>0.906631714911178</v>
      </c>
      <c r="AA333">
        <v>2.4524681445433703</v>
      </c>
    </row>
    <row r="334" spans="1:27">
      <c r="A334" s="3" t="s">
        <v>90</v>
      </c>
      <c r="B334" s="3" t="s">
        <v>105</v>
      </c>
      <c r="C334" s="3" t="s">
        <v>78</v>
      </c>
      <c r="D334" s="3" t="s">
        <v>79</v>
      </c>
      <c r="E334" s="3">
        <v>20</v>
      </c>
      <c r="F334" s="3">
        <v>0.91634473088972801</v>
      </c>
      <c r="G334" s="3">
        <v>2.4645689278249048</v>
      </c>
      <c r="H334" s="3">
        <f t="shared" si="27"/>
        <v>-8.7362641341480543E-2</v>
      </c>
      <c r="I334" s="3">
        <f t="shared" si="28"/>
        <v>0.90201691505172166</v>
      </c>
      <c r="Q334">
        <f t="shared" si="24"/>
        <v>-8.7362641341480543E-2</v>
      </c>
      <c r="R334">
        <f t="shared" si="25"/>
        <v>0.90201691505172166</v>
      </c>
      <c r="S334">
        <v>2.4645689278249048</v>
      </c>
      <c r="U334">
        <f t="shared" si="26"/>
        <v>0.91634473088972801</v>
      </c>
      <c r="AA334">
        <v>2.4645689278249048</v>
      </c>
    </row>
    <row r="335" spans="1:27">
      <c r="A335" s="3" t="s">
        <v>90</v>
      </c>
      <c r="B335" s="3" t="s">
        <v>105</v>
      </c>
      <c r="C335" s="3" t="s">
        <v>78</v>
      </c>
      <c r="D335" s="3" t="s">
        <v>75</v>
      </c>
      <c r="E335" s="3">
        <v>1</v>
      </c>
      <c r="F335" s="3">
        <v>0.91699084474912695</v>
      </c>
      <c r="G335" s="3">
        <v>2.4242318370980938</v>
      </c>
      <c r="H335" s="3">
        <f t="shared" si="27"/>
        <v>-8.6657790691403919E-2</v>
      </c>
      <c r="I335" s="3">
        <f t="shared" si="28"/>
        <v>0.88551470600082882</v>
      </c>
      <c r="Q335">
        <f t="shared" si="24"/>
        <v>-8.6657790691403919E-2</v>
      </c>
      <c r="R335">
        <f t="shared" si="25"/>
        <v>0.88551470600082882</v>
      </c>
      <c r="S335">
        <v>2.4242318370980938</v>
      </c>
      <c r="U335">
        <f t="shared" si="26"/>
        <v>0.91699084474912695</v>
      </c>
      <c r="AA335">
        <v>2.4242318370980938</v>
      </c>
    </row>
    <row r="336" spans="1:27">
      <c r="A336" s="3" t="s">
        <v>90</v>
      </c>
      <c r="B336" s="3" t="s">
        <v>105</v>
      </c>
      <c r="C336" s="3" t="s">
        <v>78</v>
      </c>
      <c r="D336" s="3" t="s">
        <v>75</v>
      </c>
      <c r="E336" s="3">
        <v>2</v>
      </c>
      <c r="F336" s="3">
        <v>0.914128646927166</v>
      </c>
      <c r="G336" s="3">
        <v>2.4880916381837705</v>
      </c>
      <c r="H336" s="3">
        <f t="shared" si="27"/>
        <v>-8.9783965871107929E-2</v>
      </c>
      <c r="I336" s="3">
        <f t="shared" si="28"/>
        <v>0.91151600626608098</v>
      </c>
      <c r="Q336">
        <f t="shared" si="24"/>
        <v>-8.9783965871107929E-2</v>
      </c>
      <c r="R336">
        <f t="shared" si="25"/>
        <v>0.91151600626608098</v>
      </c>
      <c r="S336">
        <v>2.4880916381837705</v>
      </c>
      <c r="U336">
        <f t="shared" si="26"/>
        <v>0.914128646927166</v>
      </c>
      <c r="AA336">
        <v>2.4880916381837705</v>
      </c>
    </row>
    <row r="337" spans="1:27">
      <c r="A337" s="3" t="s">
        <v>90</v>
      </c>
      <c r="B337" s="3" t="s">
        <v>105</v>
      </c>
      <c r="C337" s="3" t="s">
        <v>78</v>
      </c>
      <c r="D337" s="3" t="s">
        <v>75</v>
      </c>
      <c r="E337" s="3">
        <v>3</v>
      </c>
      <c r="F337" s="3">
        <v>0.90620606713567697</v>
      </c>
      <c r="G337" s="3">
        <v>2.3881373494839027</v>
      </c>
      <c r="H337" s="3">
        <f t="shared" si="27"/>
        <v>-9.8488551631722376E-2</v>
      </c>
      <c r="I337" s="3">
        <f t="shared" si="28"/>
        <v>0.87051371041064085</v>
      </c>
      <c r="Q337">
        <f t="shared" si="24"/>
        <v>-9.8488551631722376E-2</v>
      </c>
      <c r="R337">
        <f t="shared" si="25"/>
        <v>0.87051371041064085</v>
      </c>
      <c r="S337">
        <v>2.3881373494839027</v>
      </c>
      <c r="U337">
        <f t="shared" si="26"/>
        <v>0.90620606713567697</v>
      </c>
      <c r="AA337">
        <v>2.3881373494839027</v>
      </c>
    </row>
    <row r="338" spans="1:27">
      <c r="A338" s="3" t="s">
        <v>90</v>
      </c>
      <c r="B338" s="3" t="s">
        <v>105</v>
      </c>
      <c r="C338" s="3" t="s">
        <v>78</v>
      </c>
      <c r="D338" s="3" t="s">
        <v>75</v>
      </c>
      <c r="E338" s="3">
        <v>4</v>
      </c>
      <c r="F338" s="3">
        <v>0.90392503341360497</v>
      </c>
      <c r="G338" s="3">
        <v>2.4018534509832192</v>
      </c>
      <c r="H338" s="3">
        <f t="shared" si="27"/>
        <v>-0.10100884966846489</v>
      </c>
      <c r="I338" s="3">
        <f t="shared" si="28"/>
        <v>0.87624071054891095</v>
      </c>
      <c r="Q338">
        <f t="shared" ref="Q338:Q395" si="29">LN(F338)</f>
        <v>-0.10100884966846489</v>
      </c>
      <c r="R338">
        <f t="shared" ref="R338:R395" si="30">LN(S338)</f>
        <v>0.87624071054891095</v>
      </c>
      <c r="S338">
        <v>2.4018534509832192</v>
      </c>
      <c r="U338">
        <f t="shared" si="26"/>
        <v>0.90392503341360497</v>
      </c>
      <c r="AA338">
        <v>2.4018534509832192</v>
      </c>
    </row>
    <row r="339" spans="1:27">
      <c r="A339" s="3" t="s">
        <v>90</v>
      </c>
      <c r="B339" s="3" t="s">
        <v>105</v>
      </c>
      <c r="C339" s="3" t="s">
        <v>78</v>
      </c>
      <c r="D339" s="3" t="s">
        <v>75</v>
      </c>
      <c r="E339" s="3">
        <v>5</v>
      </c>
      <c r="F339" s="3">
        <v>0.88423724543721804</v>
      </c>
      <c r="G339" s="3">
        <v>2.4449948875202172</v>
      </c>
      <c r="H339" s="3">
        <f t="shared" si="27"/>
        <v>-0.12302987515978682</v>
      </c>
      <c r="I339" s="3">
        <f t="shared" si="28"/>
        <v>0.89404303193087298</v>
      </c>
      <c r="Q339">
        <f t="shared" si="29"/>
        <v>-0.12302987515978682</v>
      </c>
      <c r="R339">
        <f t="shared" si="30"/>
        <v>0.89404303193087298</v>
      </c>
      <c r="S339">
        <v>2.4449948875202172</v>
      </c>
      <c r="U339">
        <f t="shared" si="26"/>
        <v>0.88423724543721804</v>
      </c>
      <c r="AA339">
        <v>2.4449948875202172</v>
      </c>
    </row>
    <row r="340" spans="1:27">
      <c r="A340" s="3" t="s">
        <v>90</v>
      </c>
      <c r="B340" s="3" t="s">
        <v>105</v>
      </c>
      <c r="C340" s="3" t="s">
        <v>78</v>
      </c>
      <c r="D340" s="3" t="s">
        <v>75</v>
      </c>
      <c r="E340" s="3">
        <v>6</v>
      </c>
      <c r="F340" s="3">
        <v>0.92630338468574402</v>
      </c>
      <c r="G340" s="3">
        <v>2.5147763320025107</v>
      </c>
      <c r="H340" s="3">
        <f t="shared" si="27"/>
        <v>-7.6553468744437164E-2</v>
      </c>
      <c r="I340" s="3">
        <f t="shared" si="28"/>
        <v>0.92218386599946445</v>
      </c>
      <c r="Q340">
        <f t="shared" si="29"/>
        <v>-7.6553468744437164E-2</v>
      </c>
      <c r="R340">
        <f t="shared" si="30"/>
        <v>0.92218386599946445</v>
      </c>
      <c r="S340">
        <v>2.5147763320025107</v>
      </c>
      <c r="U340">
        <f t="shared" ref="U340:U395" si="31">F340</f>
        <v>0.92630338468574402</v>
      </c>
      <c r="AA340">
        <v>2.5147763320025107</v>
      </c>
    </row>
    <row r="341" spans="1:27">
      <c r="A341" s="3" t="s">
        <v>90</v>
      </c>
      <c r="B341" s="3" t="s">
        <v>105</v>
      </c>
      <c r="C341" s="3" t="s">
        <v>78</v>
      </c>
      <c r="D341" s="3" t="s">
        <v>75</v>
      </c>
      <c r="E341" s="3">
        <v>7</v>
      </c>
      <c r="F341" s="3">
        <v>0.90590116610008797</v>
      </c>
      <c r="G341" s="3">
        <v>2.4377243486497813</v>
      </c>
      <c r="H341" s="3">
        <f t="shared" si="27"/>
        <v>-9.8825067079455431E-2</v>
      </c>
      <c r="I341" s="3">
        <f t="shared" si="28"/>
        <v>0.89106496012610603</v>
      </c>
      <c r="Q341">
        <f t="shared" si="29"/>
        <v>-9.8825067079455431E-2</v>
      </c>
      <c r="R341">
        <f t="shared" si="30"/>
        <v>0.89106496012610603</v>
      </c>
      <c r="S341">
        <v>2.4377243486497813</v>
      </c>
      <c r="U341">
        <f t="shared" si="31"/>
        <v>0.90590116610008797</v>
      </c>
      <c r="AA341">
        <v>2.4377243486497813</v>
      </c>
    </row>
    <row r="342" spans="1:27">
      <c r="A342" s="3" t="s">
        <v>90</v>
      </c>
      <c r="B342" s="3" t="s">
        <v>105</v>
      </c>
      <c r="C342" s="3" t="s">
        <v>78</v>
      </c>
      <c r="D342" s="3" t="s">
        <v>75</v>
      </c>
      <c r="E342" s="3">
        <v>9</v>
      </c>
      <c r="F342" s="3">
        <v>0.88155816221949301</v>
      </c>
      <c r="G342" s="3">
        <v>2.3537204591879641</v>
      </c>
      <c r="H342" s="3">
        <f t="shared" si="27"/>
        <v>-0.12606429835716987</v>
      </c>
      <c r="I342" s="3">
        <f t="shared" si="28"/>
        <v>0.85599725037959629</v>
      </c>
      <c r="Q342">
        <f t="shared" si="29"/>
        <v>-0.12606429835716987</v>
      </c>
      <c r="R342">
        <f t="shared" si="30"/>
        <v>0.85599725037959629</v>
      </c>
      <c r="S342">
        <v>2.3537204591879641</v>
      </c>
      <c r="U342">
        <f t="shared" si="31"/>
        <v>0.88155816221949301</v>
      </c>
      <c r="AA342">
        <v>2.3537204591879641</v>
      </c>
    </row>
    <row r="343" spans="1:27">
      <c r="A343" s="3" t="s">
        <v>90</v>
      </c>
      <c r="B343" s="3" t="s">
        <v>105</v>
      </c>
      <c r="C343" s="3" t="s">
        <v>78</v>
      </c>
      <c r="D343" s="3" t="s">
        <v>75</v>
      </c>
      <c r="E343" s="3">
        <v>10</v>
      </c>
      <c r="F343" s="3">
        <v>0.89966402977661597</v>
      </c>
      <c r="G343" s="3">
        <v>2.4420483205702546</v>
      </c>
      <c r="H343" s="3">
        <f t="shared" si="27"/>
        <v>-0.10573388559991347</v>
      </c>
      <c r="I343" s="3">
        <f t="shared" si="28"/>
        <v>0.89283716278605352</v>
      </c>
      <c r="Q343">
        <f t="shared" si="29"/>
        <v>-0.10573388559991347</v>
      </c>
      <c r="R343">
        <f t="shared" si="30"/>
        <v>0.89283716278605352</v>
      </c>
      <c r="S343">
        <v>2.4420483205702546</v>
      </c>
      <c r="U343">
        <f t="shared" si="31"/>
        <v>0.89966402977661597</v>
      </c>
      <c r="AA343">
        <v>2.4420483205702546</v>
      </c>
    </row>
    <row r="344" spans="1:27">
      <c r="A344" s="3" t="s">
        <v>90</v>
      </c>
      <c r="B344" s="3" t="s">
        <v>105</v>
      </c>
      <c r="C344" s="3" t="s">
        <v>78</v>
      </c>
      <c r="D344" s="3" t="s">
        <v>75</v>
      </c>
      <c r="E344" s="3">
        <v>11</v>
      </c>
      <c r="F344" s="3">
        <v>0.91056389512816405</v>
      </c>
      <c r="G344" s="3">
        <v>2.5026585863836881</v>
      </c>
      <c r="H344" s="3">
        <f t="shared" si="27"/>
        <v>-9.3691206408301017E-2</v>
      </c>
      <c r="I344" s="3">
        <f t="shared" si="28"/>
        <v>0.917353601381663</v>
      </c>
      <c r="Q344">
        <f t="shared" si="29"/>
        <v>-9.3691206408301017E-2</v>
      </c>
      <c r="R344">
        <f t="shared" si="30"/>
        <v>0.917353601381663</v>
      </c>
      <c r="S344">
        <v>2.5026585863836881</v>
      </c>
      <c r="U344">
        <f t="shared" si="31"/>
        <v>0.91056389512816405</v>
      </c>
      <c r="AA344">
        <v>2.5026585863836881</v>
      </c>
    </row>
    <row r="345" spans="1:27">
      <c r="A345" s="3" t="s">
        <v>90</v>
      </c>
      <c r="B345" s="3" t="s">
        <v>105</v>
      </c>
      <c r="C345" s="3" t="s">
        <v>78</v>
      </c>
      <c r="D345" s="3" t="s">
        <v>75</v>
      </c>
      <c r="E345" s="3">
        <v>12</v>
      </c>
      <c r="F345" s="3">
        <v>0.887302820999186</v>
      </c>
      <c r="G345" s="3">
        <v>2.3942639787625759</v>
      </c>
      <c r="H345" s="3">
        <f t="shared" si="27"/>
        <v>-0.11956895583880327</v>
      </c>
      <c r="I345" s="3">
        <f t="shared" si="28"/>
        <v>0.87307586787496128</v>
      </c>
      <c r="Q345">
        <f t="shared" si="29"/>
        <v>-0.11956895583880327</v>
      </c>
      <c r="R345">
        <f t="shared" si="30"/>
        <v>0.87307586787496128</v>
      </c>
      <c r="S345">
        <v>2.3942639787625759</v>
      </c>
      <c r="U345">
        <f t="shared" si="31"/>
        <v>0.887302820999186</v>
      </c>
      <c r="AA345">
        <v>2.3942639787625759</v>
      </c>
    </row>
    <row r="346" spans="1:27">
      <c r="A346" s="3" t="s">
        <v>90</v>
      </c>
      <c r="B346" s="3" t="s">
        <v>105</v>
      </c>
      <c r="C346" s="3" t="s">
        <v>78</v>
      </c>
      <c r="D346" s="3" t="s">
        <v>75</v>
      </c>
      <c r="E346" s="3">
        <v>13</v>
      </c>
      <c r="F346" s="3">
        <v>0.912373802675154</v>
      </c>
      <c r="G346" s="3">
        <v>2.4973586046060747</v>
      </c>
      <c r="H346" s="3">
        <f t="shared" si="27"/>
        <v>-9.1705501527788696E-2</v>
      </c>
      <c r="I346" s="3">
        <f t="shared" si="28"/>
        <v>0.91523361516555235</v>
      </c>
      <c r="Q346">
        <f t="shared" si="29"/>
        <v>-9.1705501527788696E-2</v>
      </c>
      <c r="R346">
        <f t="shared" si="30"/>
        <v>0.91523361516555235</v>
      </c>
      <c r="S346">
        <v>2.4973586046060747</v>
      </c>
      <c r="U346">
        <f t="shared" si="31"/>
        <v>0.912373802675154</v>
      </c>
      <c r="AA346">
        <v>2.4973586046060747</v>
      </c>
    </row>
    <row r="347" spans="1:27">
      <c r="A347" s="3" t="s">
        <v>90</v>
      </c>
      <c r="B347" s="3" t="s">
        <v>105</v>
      </c>
      <c r="C347" s="3" t="s">
        <v>78</v>
      </c>
      <c r="D347" s="3" t="s">
        <v>75</v>
      </c>
      <c r="E347" s="3">
        <v>15</v>
      </c>
      <c r="F347" s="3">
        <v>0.87006825012754097</v>
      </c>
      <c r="G347" s="3">
        <v>2.3728674636397202</v>
      </c>
      <c r="H347" s="3">
        <f t="shared" si="27"/>
        <v>-0.13918362198796336</v>
      </c>
      <c r="I347" s="3">
        <f t="shared" si="28"/>
        <v>0.86409912407747147</v>
      </c>
      <c r="Q347">
        <f t="shared" si="29"/>
        <v>-0.13918362198796336</v>
      </c>
      <c r="R347">
        <f t="shared" si="30"/>
        <v>0.86409912407747147</v>
      </c>
      <c r="S347">
        <v>2.3728674636397202</v>
      </c>
      <c r="U347">
        <f t="shared" si="31"/>
        <v>0.87006825012754097</v>
      </c>
      <c r="AA347">
        <v>2.3728674636397202</v>
      </c>
    </row>
    <row r="348" spans="1:27">
      <c r="A348" s="3" t="s">
        <v>90</v>
      </c>
      <c r="B348" s="3" t="s">
        <v>105</v>
      </c>
      <c r="C348" s="3" t="s">
        <v>78</v>
      </c>
      <c r="D348" s="3" t="s">
        <v>75</v>
      </c>
      <c r="E348" s="3">
        <v>16</v>
      </c>
      <c r="F348" s="3">
        <v>0.89836597302801602</v>
      </c>
      <c r="G348" s="3">
        <v>2.4105808428675441</v>
      </c>
      <c r="H348" s="3">
        <f t="shared" si="27"/>
        <v>-0.10717775135530723</v>
      </c>
      <c r="I348" s="3">
        <f t="shared" si="28"/>
        <v>0.87986773210142766</v>
      </c>
      <c r="Q348">
        <f t="shared" si="29"/>
        <v>-0.10717775135530723</v>
      </c>
      <c r="R348">
        <f t="shared" si="30"/>
        <v>0.87986773210142766</v>
      </c>
      <c r="S348">
        <v>2.4105808428675441</v>
      </c>
      <c r="U348">
        <f t="shared" si="31"/>
        <v>0.89836597302801602</v>
      </c>
      <c r="AA348">
        <v>2.4105808428675441</v>
      </c>
    </row>
    <row r="349" spans="1:27">
      <c r="A349" s="3" t="s">
        <v>90</v>
      </c>
      <c r="B349" s="3" t="s">
        <v>105</v>
      </c>
      <c r="C349" s="3" t="s">
        <v>78</v>
      </c>
      <c r="D349" s="3" t="s">
        <v>75</v>
      </c>
      <c r="E349" s="3">
        <v>17</v>
      </c>
      <c r="F349" s="3">
        <v>0.91242908185641203</v>
      </c>
      <c r="G349" s="3">
        <v>2.3847222060441338</v>
      </c>
      <c r="H349" s="3">
        <f t="shared" si="27"/>
        <v>-9.1644915059251708E-2</v>
      </c>
      <c r="I349" s="3">
        <f t="shared" si="28"/>
        <v>0.86908264210331876</v>
      </c>
      <c r="Q349">
        <f t="shared" si="29"/>
        <v>-9.1644915059251708E-2</v>
      </c>
      <c r="R349">
        <f t="shared" si="30"/>
        <v>0.86908264210331876</v>
      </c>
      <c r="S349">
        <v>2.3847222060441338</v>
      </c>
      <c r="U349">
        <f t="shared" si="31"/>
        <v>0.91242908185641203</v>
      </c>
      <c r="AA349">
        <v>2.3847222060441338</v>
      </c>
    </row>
    <row r="350" spans="1:27">
      <c r="A350" s="3" t="s">
        <v>90</v>
      </c>
      <c r="B350" s="3" t="s">
        <v>105</v>
      </c>
      <c r="C350" s="3" t="s">
        <v>78</v>
      </c>
      <c r="D350" s="3" t="s">
        <v>75</v>
      </c>
      <c r="E350" s="3">
        <v>18</v>
      </c>
      <c r="F350" s="3">
        <v>0.91082257650654197</v>
      </c>
      <c r="G350" s="3">
        <v>2.4520399670478454</v>
      </c>
      <c r="H350" s="3">
        <f t="shared" si="27"/>
        <v>-9.3407157543169125E-2</v>
      </c>
      <c r="I350" s="3">
        <f t="shared" si="28"/>
        <v>0.89692031771593972</v>
      </c>
      <c r="Q350">
        <f t="shared" si="29"/>
        <v>-9.3407157543169125E-2</v>
      </c>
      <c r="R350">
        <f t="shared" si="30"/>
        <v>0.89692031771593972</v>
      </c>
      <c r="S350">
        <v>2.4520399670478454</v>
      </c>
      <c r="U350">
        <f t="shared" si="31"/>
        <v>0.91082257650654197</v>
      </c>
      <c r="AA350">
        <v>2.4520399670478454</v>
      </c>
    </row>
    <row r="351" spans="1:27">
      <c r="A351" s="3" t="s">
        <v>90</v>
      </c>
      <c r="B351" s="3" t="s">
        <v>105</v>
      </c>
      <c r="C351" s="3" t="s">
        <v>78</v>
      </c>
      <c r="D351" s="3" t="s">
        <v>75</v>
      </c>
      <c r="E351" s="3">
        <v>19</v>
      </c>
      <c r="F351" s="3">
        <v>0.92925108350014896</v>
      </c>
      <c r="G351" s="3">
        <v>2.4687648733729177</v>
      </c>
      <c r="H351" s="3">
        <f t="shared" si="27"/>
        <v>-7.3376303811213753E-2</v>
      </c>
      <c r="I351" s="3">
        <f t="shared" si="28"/>
        <v>0.90371797430653111</v>
      </c>
      <c r="Q351">
        <f t="shared" si="29"/>
        <v>-7.3376303811213753E-2</v>
      </c>
      <c r="R351">
        <f t="shared" si="30"/>
        <v>0.90371797430653111</v>
      </c>
      <c r="S351">
        <v>2.4687648733729177</v>
      </c>
      <c r="U351">
        <f t="shared" si="31"/>
        <v>0.92925108350014896</v>
      </c>
      <c r="AA351">
        <v>2.4687648733729177</v>
      </c>
    </row>
    <row r="352" spans="1:27">
      <c r="A352" s="3" t="s">
        <v>90</v>
      </c>
      <c r="B352" s="3" t="s">
        <v>105</v>
      </c>
      <c r="C352" s="3" t="s">
        <v>78</v>
      </c>
      <c r="D352" s="3" t="s">
        <v>75</v>
      </c>
      <c r="E352" s="3">
        <v>20</v>
      </c>
      <c r="F352" s="3">
        <v>0.87805624630065204</v>
      </c>
      <c r="G352" s="3">
        <v>2.3713498265755728</v>
      </c>
      <c r="H352" s="3">
        <f t="shared" si="27"/>
        <v>-0.13004462555304766</v>
      </c>
      <c r="I352" s="3">
        <f t="shared" si="28"/>
        <v>0.86345934009496106</v>
      </c>
      <c r="Q352">
        <f t="shared" si="29"/>
        <v>-0.13004462555304766</v>
      </c>
      <c r="R352">
        <f t="shared" si="30"/>
        <v>0.86345934009496106</v>
      </c>
      <c r="S352">
        <v>2.3713498265755728</v>
      </c>
      <c r="U352">
        <f t="shared" si="31"/>
        <v>0.87805624630065204</v>
      </c>
      <c r="AA352">
        <v>2.3713498265755728</v>
      </c>
    </row>
    <row r="353" spans="1:27">
      <c r="A353" s="3" t="s">
        <v>90</v>
      </c>
      <c r="B353" s="3" t="s">
        <v>105</v>
      </c>
      <c r="C353" s="3" t="s">
        <v>78</v>
      </c>
      <c r="D353" s="3" t="s">
        <v>75</v>
      </c>
      <c r="E353" s="3">
        <v>21</v>
      </c>
      <c r="F353" s="3">
        <v>0.90739445953949105</v>
      </c>
      <c r="G353" s="3">
        <v>2.4166091947189146</v>
      </c>
      <c r="H353" s="3">
        <f t="shared" si="27"/>
        <v>-9.7178017634380276E-2</v>
      </c>
      <c r="I353" s="3">
        <f t="shared" si="28"/>
        <v>0.88236539842006789</v>
      </c>
      <c r="Q353">
        <f t="shared" si="29"/>
        <v>-9.7178017634380276E-2</v>
      </c>
      <c r="R353">
        <f t="shared" si="30"/>
        <v>0.88236539842006789</v>
      </c>
      <c r="S353">
        <v>2.4166091947189146</v>
      </c>
      <c r="U353">
        <f t="shared" si="31"/>
        <v>0.90739445953949105</v>
      </c>
      <c r="AA353">
        <v>2.4166091947189146</v>
      </c>
    </row>
    <row r="354" spans="1:27">
      <c r="A354" s="3" t="s">
        <v>90</v>
      </c>
      <c r="B354" s="3" t="s">
        <v>105</v>
      </c>
      <c r="C354" s="3" t="s">
        <v>78</v>
      </c>
      <c r="D354" s="3" t="s">
        <v>75</v>
      </c>
      <c r="E354" s="3">
        <v>22</v>
      </c>
      <c r="F354" s="3">
        <v>0.92064629383317698</v>
      </c>
      <c r="G354" s="3">
        <v>2.4798790293076798</v>
      </c>
      <c r="H354" s="3">
        <f t="shared" si="27"/>
        <v>-8.2679362275037124E-2</v>
      </c>
      <c r="I354" s="3">
        <f t="shared" si="28"/>
        <v>0.90820978048221301</v>
      </c>
      <c r="Q354">
        <f t="shared" si="29"/>
        <v>-8.2679362275037124E-2</v>
      </c>
      <c r="R354">
        <f t="shared" si="30"/>
        <v>0.90820978048221301</v>
      </c>
      <c r="S354">
        <v>2.4798790293076798</v>
      </c>
      <c r="U354">
        <f t="shared" si="31"/>
        <v>0.92064629383317698</v>
      </c>
      <c r="AA354">
        <v>2.4798790293076798</v>
      </c>
    </row>
    <row r="355" spans="1:27">
      <c r="A355" s="3" t="s">
        <v>90</v>
      </c>
      <c r="B355" s="3" t="s">
        <v>105</v>
      </c>
      <c r="C355" s="3" t="s">
        <v>78</v>
      </c>
      <c r="D355" s="3" t="s">
        <v>75</v>
      </c>
      <c r="E355" s="3">
        <v>23</v>
      </c>
      <c r="F355" s="3">
        <v>0.90959530766257601</v>
      </c>
      <c r="G355" s="3">
        <v>2.4301646034785378</v>
      </c>
      <c r="H355" s="3">
        <f t="shared" si="27"/>
        <v>-9.4755495241421114E-2</v>
      </c>
      <c r="I355" s="3">
        <f t="shared" si="28"/>
        <v>0.88795899311534998</v>
      </c>
      <c r="Q355">
        <f t="shared" si="29"/>
        <v>-9.4755495241421114E-2</v>
      </c>
      <c r="R355">
        <f t="shared" si="30"/>
        <v>0.88795899311534998</v>
      </c>
      <c r="S355">
        <v>2.4301646034785378</v>
      </c>
      <c r="U355">
        <f t="shared" si="31"/>
        <v>0.90959530766257601</v>
      </c>
      <c r="AA355">
        <v>2.4301646034785378</v>
      </c>
    </row>
    <row r="356" spans="1:27">
      <c r="A356" s="3" t="s">
        <v>90</v>
      </c>
      <c r="B356" s="3" t="s">
        <v>106</v>
      </c>
      <c r="C356" s="3" t="s">
        <v>78</v>
      </c>
      <c r="D356" s="3" t="s">
        <v>79</v>
      </c>
      <c r="E356" s="3">
        <v>1</v>
      </c>
      <c r="F356" s="3">
        <v>0.93745351204572103</v>
      </c>
      <c r="G356" s="3">
        <v>2.4439517180173591</v>
      </c>
      <c r="H356" s="3">
        <f t="shared" si="27"/>
        <v>-6.4588109518285503E-2</v>
      </c>
      <c r="I356" s="3">
        <f t="shared" si="28"/>
        <v>0.8936162858021639</v>
      </c>
      <c r="Q356">
        <f t="shared" si="29"/>
        <v>-6.4588109518285503E-2</v>
      </c>
      <c r="R356">
        <f t="shared" si="30"/>
        <v>0.8936162858021639</v>
      </c>
      <c r="S356">
        <v>2.4439517180173591</v>
      </c>
      <c r="U356">
        <f t="shared" si="31"/>
        <v>0.93745351204572103</v>
      </c>
      <c r="AA356">
        <v>2.4439517180173591</v>
      </c>
    </row>
    <row r="357" spans="1:27">
      <c r="A357" s="3" t="s">
        <v>90</v>
      </c>
      <c r="B357" s="3" t="s">
        <v>106</v>
      </c>
      <c r="C357" s="3" t="s">
        <v>78</v>
      </c>
      <c r="D357" s="3" t="s">
        <v>79</v>
      </c>
      <c r="E357" s="3">
        <v>2</v>
      </c>
      <c r="F357" s="3">
        <v>0.86805018095162501</v>
      </c>
      <c r="G357" s="3">
        <v>2.3085276693165282</v>
      </c>
      <c r="H357" s="3">
        <f t="shared" si="27"/>
        <v>-0.14150575383659517</v>
      </c>
      <c r="I357" s="3">
        <f t="shared" si="28"/>
        <v>0.83660994873519445</v>
      </c>
      <c r="Q357">
        <f t="shared" si="29"/>
        <v>-0.14150575383659517</v>
      </c>
      <c r="R357">
        <f t="shared" si="30"/>
        <v>0.83660994873519445</v>
      </c>
      <c r="S357">
        <v>2.3085276693165282</v>
      </c>
      <c r="U357">
        <f t="shared" si="31"/>
        <v>0.86805018095162501</v>
      </c>
      <c r="AA357">
        <v>2.3085276693165282</v>
      </c>
    </row>
    <row r="358" spans="1:27">
      <c r="A358" s="3" t="s">
        <v>90</v>
      </c>
      <c r="B358" s="3" t="s">
        <v>106</v>
      </c>
      <c r="C358" s="3" t="s">
        <v>78</v>
      </c>
      <c r="D358" s="3" t="s">
        <v>79</v>
      </c>
      <c r="E358" s="3">
        <v>3</v>
      </c>
      <c r="F358" s="3">
        <v>0.91660874500427403</v>
      </c>
      <c r="G358" s="3">
        <v>2.4644877763949244</v>
      </c>
      <c r="H358" s="3">
        <f t="shared" si="27"/>
        <v>-8.7074566254093988E-2</v>
      </c>
      <c r="I358" s="3">
        <f t="shared" si="28"/>
        <v>0.90198398727877949</v>
      </c>
      <c r="Q358">
        <f t="shared" si="29"/>
        <v>-8.7074566254093988E-2</v>
      </c>
      <c r="R358">
        <f t="shared" si="30"/>
        <v>0.90198398727877949</v>
      </c>
      <c r="S358">
        <v>2.4644877763949244</v>
      </c>
      <c r="U358">
        <f t="shared" si="31"/>
        <v>0.91660874500427403</v>
      </c>
      <c r="AA358">
        <v>2.4644877763949244</v>
      </c>
    </row>
    <row r="359" spans="1:27">
      <c r="A359" s="3" t="s">
        <v>90</v>
      </c>
      <c r="B359" s="3" t="s">
        <v>106</v>
      </c>
      <c r="C359" s="3" t="s">
        <v>78</v>
      </c>
      <c r="D359" s="3" t="s">
        <v>79</v>
      </c>
      <c r="E359" s="3">
        <v>4</v>
      </c>
      <c r="F359" s="3">
        <v>0.87766246193935604</v>
      </c>
      <c r="G359" s="3">
        <v>2.3754157530840785</v>
      </c>
      <c r="H359" s="3">
        <f t="shared" si="27"/>
        <v>-0.13049319896751424</v>
      </c>
      <c r="I359" s="3">
        <f t="shared" si="28"/>
        <v>0.86517247609659154</v>
      </c>
      <c r="Q359">
        <f t="shared" si="29"/>
        <v>-0.13049319896751424</v>
      </c>
      <c r="R359">
        <f t="shared" si="30"/>
        <v>0.86517247609659154</v>
      </c>
      <c r="S359">
        <v>2.3754157530840785</v>
      </c>
      <c r="U359">
        <f t="shared" si="31"/>
        <v>0.87766246193935604</v>
      </c>
      <c r="AA359">
        <v>2.3754157530840785</v>
      </c>
    </row>
    <row r="360" spans="1:27">
      <c r="A360" s="3" t="s">
        <v>90</v>
      </c>
      <c r="B360" s="3" t="s">
        <v>106</v>
      </c>
      <c r="C360" s="3" t="s">
        <v>78</v>
      </c>
      <c r="D360" s="3" t="s">
        <v>79</v>
      </c>
      <c r="E360" s="3">
        <v>5</v>
      </c>
      <c r="F360" s="3">
        <v>0.88995572590174199</v>
      </c>
      <c r="G360" s="3">
        <v>2.346912865872953</v>
      </c>
      <c r="H360" s="3">
        <f t="shared" si="27"/>
        <v>-0.11658356367115166</v>
      </c>
      <c r="I360" s="3">
        <f t="shared" si="28"/>
        <v>0.85310079043320397</v>
      </c>
      <c r="Q360">
        <f t="shared" si="29"/>
        <v>-0.11658356367115166</v>
      </c>
      <c r="R360">
        <f t="shared" si="30"/>
        <v>0.85310079043320397</v>
      </c>
      <c r="S360">
        <v>2.346912865872953</v>
      </c>
      <c r="U360">
        <f t="shared" si="31"/>
        <v>0.88995572590174199</v>
      </c>
      <c r="AA360">
        <v>2.346912865872953</v>
      </c>
    </row>
    <row r="361" spans="1:27">
      <c r="A361" s="3" t="s">
        <v>90</v>
      </c>
      <c r="B361" s="3" t="s">
        <v>106</v>
      </c>
      <c r="C361" s="3" t="s">
        <v>78</v>
      </c>
      <c r="D361" s="3" t="s">
        <v>79</v>
      </c>
      <c r="E361" s="3">
        <v>6</v>
      </c>
      <c r="F361" s="3">
        <v>0.92201468199584602</v>
      </c>
      <c r="G361" s="3">
        <v>2.4500000000000002</v>
      </c>
      <c r="H361" s="3">
        <f t="shared" si="27"/>
        <v>-8.1194131478744228E-2</v>
      </c>
      <c r="I361" s="3">
        <f t="shared" si="28"/>
        <v>0.89608802455663572</v>
      </c>
      <c r="Q361">
        <f t="shared" si="29"/>
        <v>-8.1194131478744228E-2</v>
      </c>
      <c r="R361">
        <f t="shared" si="30"/>
        <v>0.89608802455663572</v>
      </c>
      <c r="S361">
        <v>2.4500000000000002</v>
      </c>
      <c r="U361">
        <f t="shared" si="31"/>
        <v>0.92201468199584602</v>
      </c>
      <c r="AA361">
        <v>2.4500000000000002</v>
      </c>
    </row>
    <row r="362" spans="1:27">
      <c r="A362" s="3" t="s">
        <v>90</v>
      </c>
      <c r="B362" s="3" t="s">
        <v>106</v>
      </c>
      <c r="C362" s="3" t="s">
        <v>78</v>
      </c>
      <c r="D362" s="3" t="s">
        <v>79</v>
      </c>
      <c r="E362" s="3">
        <v>7</v>
      </c>
      <c r="F362" s="3">
        <v>0.89468701900270498</v>
      </c>
      <c r="G362" s="3">
        <v>2.4311519903124119</v>
      </c>
      <c r="H362" s="3">
        <f t="shared" si="27"/>
        <v>-0.11128132130470735</v>
      </c>
      <c r="I362" s="3">
        <f t="shared" si="28"/>
        <v>0.88836521510414745</v>
      </c>
      <c r="Q362">
        <f t="shared" si="29"/>
        <v>-0.11128132130470735</v>
      </c>
      <c r="R362">
        <f t="shared" si="30"/>
        <v>0.88836521510414745</v>
      </c>
      <c r="S362">
        <v>2.4311519903124119</v>
      </c>
      <c r="U362">
        <f t="shared" si="31"/>
        <v>0.89468701900270498</v>
      </c>
      <c r="AA362">
        <v>2.4311519903124119</v>
      </c>
    </row>
    <row r="363" spans="1:27">
      <c r="A363" s="3" t="s">
        <v>90</v>
      </c>
      <c r="B363" s="3" t="s">
        <v>106</v>
      </c>
      <c r="C363" s="3" t="s">
        <v>78</v>
      </c>
      <c r="D363" s="3" t="s">
        <v>79</v>
      </c>
      <c r="E363" s="3">
        <v>8</v>
      </c>
      <c r="F363" s="3">
        <v>0.91886615022701901</v>
      </c>
      <c r="G363" s="3">
        <v>2.3120986138138657</v>
      </c>
      <c r="H363" s="3">
        <f t="shared" si="27"/>
        <v>-8.4614814429877214E-2</v>
      </c>
      <c r="I363" s="3">
        <f t="shared" si="28"/>
        <v>0.83815560293419522</v>
      </c>
      <c r="Q363">
        <f t="shared" si="29"/>
        <v>-8.4614814429877214E-2</v>
      </c>
      <c r="R363">
        <f t="shared" si="30"/>
        <v>0.83815560293419522</v>
      </c>
      <c r="S363">
        <v>2.3120986138138657</v>
      </c>
      <c r="U363">
        <f t="shared" si="31"/>
        <v>0.91886615022701901</v>
      </c>
      <c r="AA363">
        <v>2.3120986138138657</v>
      </c>
    </row>
    <row r="364" spans="1:27">
      <c r="A364" s="3" t="s">
        <v>90</v>
      </c>
      <c r="B364" s="3" t="s">
        <v>106</v>
      </c>
      <c r="C364" s="3" t="s">
        <v>78</v>
      </c>
      <c r="D364" s="3" t="s">
        <v>79</v>
      </c>
      <c r="E364" s="3">
        <v>9</v>
      </c>
      <c r="F364" s="3">
        <v>0.89010814829824803</v>
      </c>
      <c r="G364" s="3">
        <v>2.3394016328967542</v>
      </c>
      <c r="H364" s="3">
        <f t="shared" si="27"/>
        <v>-0.11641230869644233</v>
      </c>
      <c r="I364" s="3">
        <f t="shared" si="28"/>
        <v>0.84989518423232557</v>
      </c>
      <c r="Q364">
        <f t="shared" si="29"/>
        <v>-0.11641230869644233</v>
      </c>
      <c r="R364">
        <f t="shared" si="30"/>
        <v>0.84989518423232557</v>
      </c>
      <c r="S364">
        <v>2.3394016328967542</v>
      </c>
      <c r="U364">
        <f t="shared" si="31"/>
        <v>0.89010814829824803</v>
      </c>
      <c r="AA364">
        <v>2.3394016328967542</v>
      </c>
    </row>
    <row r="365" spans="1:27">
      <c r="A365" s="3" t="s">
        <v>90</v>
      </c>
      <c r="B365" s="3" t="s">
        <v>106</v>
      </c>
      <c r="C365" s="3" t="s">
        <v>78</v>
      </c>
      <c r="D365" s="3" t="s">
        <v>79</v>
      </c>
      <c r="E365" s="3">
        <v>10</v>
      </c>
      <c r="F365" s="3">
        <v>0.93737670761844705</v>
      </c>
      <c r="G365" s="3">
        <v>2.542380773999048</v>
      </c>
      <c r="H365" s="3">
        <f t="shared" si="27"/>
        <v>-6.467004165967237E-2</v>
      </c>
      <c r="I365" s="3">
        <f t="shared" si="28"/>
        <v>0.93310095462534315</v>
      </c>
      <c r="Q365">
        <f t="shared" si="29"/>
        <v>-6.467004165967237E-2</v>
      </c>
      <c r="R365">
        <f t="shared" si="30"/>
        <v>0.93310095462534315</v>
      </c>
      <c r="S365">
        <v>2.542380773999048</v>
      </c>
      <c r="U365">
        <f t="shared" si="31"/>
        <v>0.93737670761844705</v>
      </c>
      <c r="AA365">
        <v>2.542380773999048</v>
      </c>
    </row>
    <row r="366" spans="1:27">
      <c r="A366" s="3" t="s">
        <v>90</v>
      </c>
      <c r="B366" s="3" t="s">
        <v>106</v>
      </c>
      <c r="C366" s="3" t="s">
        <v>78</v>
      </c>
      <c r="D366" s="3" t="s">
        <v>79</v>
      </c>
      <c r="E366" s="3">
        <v>11</v>
      </c>
      <c r="F366" s="3">
        <v>0.92951566629693705</v>
      </c>
      <c r="G366" s="3">
        <v>2.4085265205099984</v>
      </c>
      <c r="H366" s="3">
        <f t="shared" si="27"/>
        <v>-7.3091617420515273E-2</v>
      </c>
      <c r="I366" s="3">
        <f t="shared" si="28"/>
        <v>0.87901515824196363</v>
      </c>
      <c r="Q366">
        <f t="shared" si="29"/>
        <v>-7.3091617420515273E-2</v>
      </c>
      <c r="R366">
        <f t="shared" si="30"/>
        <v>0.87901515824196363</v>
      </c>
      <c r="S366">
        <v>2.4085265205099984</v>
      </c>
      <c r="U366">
        <f t="shared" si="31"/>
        <v>0.92951566629693705</v>
      </c>
      <c r="AA366">
        <v>2.4085265205099984</v>
      </c>
    </row>
    <row r="367" spans="1:27">
      <c r="A367" s="3" t="s">
        <v>90</v>
      </c>
      <c r="B367" s="3" t="s">
        <v>106</v>
      </c>
      <c r="C367" s="3" t="s">
        <v>78</v>
      </c>
      <c r="D367" s="3" t="s">
        <v>79</v>
      </c>
      <c r="E367" s="3">
        <v>12</v>
      </c>
      <c r="F367" s="3">
        <v>0.90406143211845902</v>
      </c>
      <c r="G367" s="3">
        <v>2.4008540147205952</v>
      </c>
      <c r="H367" s="3">
        <f t="shared" si="27"/>
        <v>-0.10085796501560586</v>
      </c>
      <c r="I367" s="3">
        <f t="shared" si="28"/>
        <v>0.87582451352496649</v>
      </c>
      <c r="Q367">
        <f t="shared" si="29"/>
        <v>-0.10085796501560586</v>
      </c>
      <c r="R367">
        <f t="shared" si="30"/>
        <v>0.87582451352496649</v>
      </c>
      <c r="S367">
        <v>2.4008540147205952</v>
      </c>
      <c r="U367">
        <f t="shared" si="31"/>
        <v>0.90406143211845902</v>
      </c>
      <c r="AA367">
        <v>2.4008540147205952</v>
      </c>
    </row>
    <row r="368" spans="1:27">
      <c r="A368" s="3" t="s">
        <v>90</v>
      </c>
      <c r="B368" s="3" t="s">
        <v>106</v>
      </c>
      <c r="C368" s="3" t="s">
        <v>78</v>
      </c>
      <c r="D368" s="3" t="s">
        <v>79</v>
      </c>
      <c r="E368" s="3">
        <v>13</v>
      </c>
      <c r="F368" s="3">
        <v>0.94596280787397102</v>
      </c>
      <c r="G368" s="3">
        <v>2.5249158401816092</v>
      </c>
      <c r="H368" s="3">
        <f t="shared" si="27"/>
        <v>-5.5552025846913142E-2</v>
      </c>
      <c r="I368" s="3">
        <f t="shared" si="28"/>
        <v>0.9262077315507008</v>
      </c>
      <c r="Q368">
        <f t="shared" si="29"/>
        <v>-5.5552025846913142E-2</v>
      </c>
      <c r="R368">
        <f t="shared" si="30"/>
        <v>0.9262077315507008</v>
      </c>
      <c r="S368">
        <v>2.5249158401816092</v>
      </c>
      <c r="U368">
        <f t="shared" si="31"/>
        <v>0.94596280787397102</v>
      </c>
      <c r="AA368">
        <v>2.5249158401816092</v>
      </c>
    </row>
    <row r="369" spans="1:27">
      <c r="A369" s="3" t="s">
        <v>90</v>
      </c>
      <c r="B369" s="3" t="s">
        <v>106</v>
      </c>
      <c r="C369" s="3" t="s">
        <v>78</v>
      </c>
      <c r="D369" s="3" t="s">
        <v>79</v>
      </c>
      <c r="E369" s="3">
        <v>14</v>
      </c>
      <c r="F369" s="3">
        <v>0.89280564806780305</v>
      </c>
      <c r="G369" s="3">
        <v>2.3914012628582433</v>
      </c>
      <c r="H369" s="3">
        <f t="shared" si="27"/>
        <v>-0.11338636113428231</v>
      </c>
      <c r="I369" s="3">
        <f t="shared" si="28"/>
        <v>0.87187949658643604</v>
      </c>
      <c r="Q369">
        <f t="shared" si="29"/>
        <v>-0.11338636113428231</v>
      </c>
      <c r="R369">
        <f t="shared" si="30"/>
        <v>0.87187949658643604</v>
      </c>
      <c r="S369">
        <v>2.3914012628582433</v>
      </c>
      <c r="U369">
        <f t="shared" si="31"/>
        <v>0.89280564806780305</v>
      </c>
      <c r="AA369">
        <v>2.3914012628582433</v>
      </c>
    </row>
    <row r="370" spans="1:27">
      <c r="A370" s="3" t="s">
        <v>90</v>
      </c>
      <c r="B370" s="3" t="s">
        <v>106</v>
      </c>
      <c r="C370" s="3" t="s">
        <v>78</v>
      </c>
      <c r="D370" s="3" t="s">
        <v>79</v>
      </c>
      <c r="E370" s="3">
        <v>15</v>
      </c>
      <c r="F370" s="3">
        <v>0.89281261938232304</v>
      </c>
      <c r="G370" s="3">
        <v>2.4212806528777282</v>
      </c>
      <c r="H370" s="3">
        <f t="shared" si="27"/>
        <v>-0.11337855284216623</v>
      </c>
      <c r="I370" s="3">
        <f t="shared" si="28"/>
        <v>0.88429659559810758</v>
      </c>
      <c r="Q370">
        <f t="shared" si="29"/>
        <v>-0.11337855284216623</v>
      </c>
      <c r="R370">
        <f t="shared" si="30"/>
        <v>0.88429659559810758</v>
      </c>
      <c r="S370">
        <v>2.4212806528777282</v>
      </c>
      <c r="U370">
        <f t="shared" si="31"/>
        <v>0.89281261938232304</v>
      </c>
      <c r="AA370">
        <v>2.4212806528777282</v>
      </c>
    </row>
    <row r="371" spans="1:27">
      <c r="A371" s="3" t="s">
        <v>90</v>
      </c>
      <c r="B371" s="3" t="s">
        <v>106</v>
      </c>
      <c r="C371" s="3" t="s">
        <v>78</v>
      </c>
      <c r="D371" s="3" t="s">
        <v>79</v>
      </c>
      <c r="E371" s="3">
        <v>16</v>
      </c>
      <c r="F371" s="3">
        <v>0.89697273303520797</v>
      </c>
      <c r="G371" s="3">
        <v>2.4480400323524125</v>
      </c>
      <c r="H371" s="3">
        <f t="shared" si="27"/>
        <v>-0.10872981533942834</v>
      </c>
      <c r="I371" s="3">
        <f t="shared" si="28"/>
        <v>0.89528771760150527</v>
      </c>
      <c r="Q371">
        <f t="shared" si="29"/>
        <v>-0.10872981533942834</v>
      </c>
      <c r="R371">
        <f t="shared" si="30"/>
        <v>0.89528771760150527</v>
      </c>
      <c r="S371">
        <v>2.4480400323524125</v>
      </c>
      <c r="U371">
        <f t="shared" si="31"/>
        <v>0.89697273303520797</v>
      </c>
      <c r="AA371">
        <v>2.4480400323524125</v>
      </c>
    </row>
    <row r="372" spans="1:27">
      <c r="A372" s="3" t="s">
        <v>90</v>
      </c>
      <c r="B372" s="3" t="s">
        <v>106</v>
      </c>
      <c r="C372" s="3" t="s">
        <v>78</v>
      </c>
      <c r="D372" s="3" t="s">
        <v>79</v>
      </c>
      <c r="E372" s="3">
        <v>17</v>
      </c>
      <c r="F372" s="3">
        <v>0.90641402352641898</v>
      </c>
      <c r="G372" s="3">
        <v>2.5145377308761945</v>
      </c>
      <c r="H372" s="3">
        <f t="shared" si="27"/>
        <v>-9.8259097712806096E-2</v>
      </c>
      <c r="I372" s="3">
        <f t="shared" si="28"/>
        <v>0.92208898183692767</v>
      </c>
      <c r="Q372">
        <f t="shared" si="29"/>
        <v>-9.8259097712806096E-2</v>
      </c>
      <c r="R372">
        <f t="shared" si="30"/>
        <v>0.92208898183692767</v>
      </c>
      <c r="S372">
        <v>2.5145377308761945</v>
      </c>
      <c r="U372">
        <f t="shared" si="31"/>
        <v>0.90641402352641898</v>
      </c>
      <c r="AA372">
        <v>2.5145377308761945</v>
      </c>
    </row>
    <row r="373" spans="1:27">
      <c r="A373" s="3" t="s">
        <v>90</v>
      </c>
      <c r="B373" s="3" t="s">
        <v>106</v>
      </c>
      <c r="C373" s="3" t="s">
        <v>78</v>
      </c>
      <c r="D373" s="3" t="s">
        <v>79</v>
      </c>
      <c r="E373" s="3">
        <v>18</v>
      </c>
      <c r="F373" s="3">
        <v>0.90891000475902795</v>
      </c>
      <c r="G373" s="3">
        <v>2.358664876577425</v>
      </c>
      <c r="H373" s="3">
        <f t="shared" si="27"/>
        <v>-9.5509194371479436E-2</v>
      </c>
      <c r="I373" s="3">
        <f t="shared" si="28"/>
        <v>0.85809572868797024</v>
      </c>
      <c r="Q373">
        <f t="shared" si="29"/>
        <v>-9.5509194371479436E-2</v>
      </c>
      <c r="R373">
        <f t="shared" si="30"/>
        <v>0.85809572868797024</v>
      </c>
      <c r="S373">
        <v>2.358664876577425</v>
      </c>
      <c r="U373">
        <f t="shared" si="31"/>
        <v>0.90891000475902795</v>
      </c>
      <c r="AA373">
        <v>2.358664876577425</v>
      </c>
    </row>
    <row r="374" spans="1:27">
      <c r="A374" s="3" t="s">
        <v>90</v>
      </c>
      <c r="B374" s="3" t="s">
        <v>106</v>
      </c>
      <c r="C374" s="3" t="s">
        <v>78</v>
      </c>
      <c r="D374" s="3" t="s">
        <v>79</v>
      </c>
      <c r="E374" s="3">
        <v>19</v>
      </c>
      <c r="F374" s="3">
        <v>0.924755787414969</v>
      </c>
      <c r="G374" s="3">
        <v>2.3995416228938393</v>
      </c>
      <c r="H374" s="3">
        <f t="shared" si="27"/>
        <v>-7.822558993287812E-2</v>
      </c>
      <c r="I374" s="3">
        <f t="shared" si="28"/>
        <v>0.87527772865199893</v>
      </c>
      <c r="Q374">
        <f t="shared" si="29"/>
        <v>-7.822558993287812E-2</v>
      </c>
      <c r="R374">
        <f t="shared" si="30"/>
        <v>0.87527772865199893</v>
      </c>
      <c r="S374">
        <v>2.3995416228938393</v>
      </c>
      <c r="U374">
        <f t="shared" si="31"/>
        <v>0.924755787414969</v>
      </c>
      <c r="AA374">
        <v>2.3995416228938393</v>
      </c>
    </row>
    <row r="375" spans="1:27">
      <c r="A375" s="3" t="s">
        <v>90</v>
      </c>
      <c r="B375" s="3" t="s">
        <v>106</v>
      </c>
      <c r="C375" s="3" t="s">
        <v>78</v>
      </c>
      <c r="D375" s="3" t="s">
        <v>79</v>
      </c>
      <c r="E375" s="3">
        <v>20</v>
      </c>
      <c r="F375" s="3">
        <v>0.92360101138861594</v>
      </c>
      <c r="G375" s="3">
        <v>2.4318717071424638</v>
      </c>
      <c r="H375" s="3">
        <f t="shared" si="27"/>
        <v>-7.9475106451924321E-2</v>
      </c>
      <c r="I375" s="3">
        <f t="shared" si="28"/>
        <v>0.88866121071514281</v>
      </c>
      <c r="Q375">
        <f t="shared" si="29"/>
        <v>-7.9475106451924321E-2</v>
      </c>
      <c r="R375">
        <f t="shared" si="30"/>
        <v>0.88866121071514281</v>
      </c>
      <c r="S375">
        <v>2.4318717071424638</v>
      </c>
      <c r="U375">
        <f t="shared" si="31"/>
        <v>0.92360101138861594</v>
      </c>
      <c r="AA375">
        <v>2.4318717071424638</v>
      </c>
    </row>
    <row r="376" spans="1:27">
      <c r="A376" s="3" t="s">
        <v>90</v>
      </c>
      <c r="B376" s="3" t="s">
        <v>106</v>
      </c>
      <c r="C376" s="3" t="s">
        <v>78</v>
      </c>
      <c r="D376" s="3" t="s">
        <v>75</v>
      </c>
      <c r="E376" s="3">
        <v>2</v>
      </c>
      <c r="F376" s="3">
        <v>0.87517271929805995</v>
      </c>
      <c r="G376" s="3">
        <v>2.3120553626589482</v>
      </c>
      <c r="H376" s="3">
        <f t="shared" si="27"/>
        <v>-0.13333401862055583</v>
      </c>
      <c r="I376" s="3">
        <f t="shared" si="28"/>
        <v>0.83813689631017751</v>
      </c>
      <c r="Q376">
        <f t="shared" si="29"/>
        <v>-0.13333401862055583</v>
      </c>
      <c r="R376">
        <f t="shared" si="30"/>
        <v>0.83813689631017751</v>
      </c>
      <c r="S376">
        <v>2.3120553626589482</v>
      </c>
      <c r="U376">
        <f t="shared" si="31"/>
        <v>0.87517271929805995</v>
      </c>
      <c r="AA376">
        <v>2.3120553626589482</v>
      </c>
    </row>
    <row r="377" spans="1:27">
      <c r="A377" s="3" t="s">
        <v>90</v>
      </c>
      <c r="B377" s="3" t="s">
        <v>106</v>
      </c>
      <c r="C377" s="3" t="s">
        <v>78</v>
      </c>
      <c r="D377" s="3" t="s">
        <v>75</v>
      </c>
      <c r="E377" s="3">
        <v>4</v>
      </c>
      <c r="F377" s="3">
        <v>0.897263641169607</v>
      </c>
      <c r="G377" s="3">
        <v>2.3653540961133075</v>
      </c>
      <c r="H377" s="3">
        <f t="shared" si="27"/>
        <v>-0.10840554576031332</v>
      </c>
      <c r="I377" s="3">
        <f t="shared" si="28"/>
        <v>0.86092773425159008</v>
      </c>
      <c r="Q377">
        <f t="shared" si="29"/>
        <v>-0.10840554576031332</v>
      </c>
      <c r="R377">
        <f t="shared" si="30"/>
        <v>0.86092773425159008</v>
      </c>
      <c r="S377">
        <v>2.3653540961133075</v>
      </c>
      <c r="U377">
        <f t="shared" si="31"/>
        <v>0.897263641169607</v>
      </c>
      <c r="AA377">
        <v>2.3653540961133075</v>
      </c>
    </row>
    <row r="378" spans="1:27">
      <c r="A378" s="3" t="s">
        <v>90</v>
      </c>
      <c r="B378" s="3" t="s">
        <v>106</v>
      </c>
      <c r="C378" s="3" t="s">
        <v>78</v>
      </c>
      <c r="D378" s="3" t="s">
        <v>75</v>
      </c>
      <c r="E378" s="3">
        <v>5</v>
      </c>
      <c r="F378" s="3">
        <v>0.88033112029189298</v>
      </c>
      <c r="G378" s="3">
        <v>2.2998478210525151</v>
      </c>
      <c r="H378" s="3">
        <f t="shared" si="27"/>
        <v>-0.12745716922387032</v>
      </c>
      <c r="I378" s="3">
        <f t="shared" si="28"/>
        <v>0.83284295598634372</v>
      </c>
      <c r="Q378">
        <f t="shared" si="29"/>
        <v>-0.12745716922387032</v>
      </c>
      <c r="R378">
        <f t="shared" si="30"/>
        <v>0.83284295598634372</v>
      </c>
      <c r="S378">
        <v>2.2998478210525151</v>
      </c>
      <c r="U378">
        <f t="shared" si="31"/>
        <v>0.88033112029189298</v>
      </c>
      <c r="AA378">
        <v>2.2998478210525151</v>
      </c>
    </row>
    <row r="379" spans="1:27">
      <c r="A379" s="3" t="s">
        <v>90</v>
      </c>
      <c r="B379" s="3" t="s">
        <v>106</v>
      </c>
      <c r="C379" s="3" t="s">
        <v>78</v>
      </c>
      <c r="D379" s="3" t="s">
        <v>75</v>
      </c>
      <c r="E379" s="3">
        <v>6</v>
      </c>
      <c r="F379" s="3">
        <v>0.93792044583836898</v>
      </c>
      <c r="G379" s="3">
        <v>2.3769728648009427</v>
      </c>
      <c r="H379" s="3">
        <f t="shared" si="27"/>
        <v>-6.40901461117514E-2</v>
      </c>
      <c r="I379" s="3">
        <f t="shared" si="28"/>
        <v>0.86582777257917487</v>
      </c>
      <c r="Q379">
        <f t="shared" si="29"/>
        <v>-6.40901461117514E-2</v>
      </c>
      <c r="R379">
        <f t="shared" si="30"/>
        <v>0.86582777257917487</v>
      </c>
      <c r="S379">
        <v>2.3769728648009427</v>
      </c>
      <c r="U379">
        <f t="shared" si="31"/>
        <v>0.93792044583836898</v>
      </c>
      <c r="AA379">
        <v>2.3769728648009427</v>
      </c>
    </row>
    <row r="380" spans="1:27">
      <c r="A380" s="3" t="s">
        <v>90</v>
      </c>
      <c r="B380" s="3" t="s">
        <v>106</v>
      </c>
      <c r="C380" s="3" t="s">
        <v>78</v>
      </c>
      <c r="D380" s="3" t="s">
        <v>75</v>
      </c>
      <c r="E380" s="3">
        <v>7</v>
      </c>
      <c r="F380" s="3">
        <v>0.91967117808304399</v>
      </c>
      <c r="G380" s="3">
        <v>2.3097185975785015</v>
      </c>
      <c r="H380" s="3">
        <f t="shared" si="27"/>
        <v>-8.3739087954187177E-2</v>
      </c>
      <c r="I380" s="3">
        <f t="shared" si="28"/>
        <v>0.83712569788305113</v>
      </c>
      <c r="Q380">
        <f t="shared" si="29"/>
        <v>-8.3739087954187177E-2</v>
      </c>
      <c r="R380">
        <f t="shared" si="30"/>
        <v>0.83712569788305113</v>
      </c>
      <c r="S380">
        <v>2.3097185975785015</v>
      </c>
      <c r="U380">
        <f t="shared" si="31"/>
        <v>0.91967117808304399</v>
      </c>
      <c r="AA380">
        <v>2.3097185975785015</v>
      </c>
    </row>
    <row r="381" spans="1:27">
      <c r="A381" s="3" t="s">
        <v>90</v>
      </c>
      <c r="B381" s="3" t="s">
        <v>106</v>
      </c>
      <c r="C381" s="3" t="s">
        <v>78</v>
      </c>
      <c r="D381" s="3" t="s">
        <v>75</v>
      </c>
      <c r="E381" s="3">
        <v>8</v>
      </c>
      <c r="F381" s="3">
        <v>0.93033962237259005</v>
      </c>
      <c r="G381" s="3">
        <v>2.2821262015935928</v>
      </c>
      <c r="H381" s="3">
        <f t="shared" si="27"/>
        <v>-7.2205574151903901E-2</v>
      </c>
      <c r="I381" s="3">
        <f t="shared" si="28"/>
        <v>0.82510755297540272</v>
      </c>
      <c r="Q381">
        <f t="shared" si="29"/>
        <v>-7.2205574151903901E-2</v>
      </c>
      <c r="R381">
        <f t="shared" si="30"/>
        <v>0.82510755297540272</v>
      </c>
      <c r="S381">
        <v>2.2821262015935928</v>
      </c>
      <c r="U381">
        <f t="shared" si="31"/>
        <v>0.93033962237259005</v>
      </c>
      <c r="AA381">
        <v>2.2821262015935928</v>
      </c>
    </row>
    <row r="382" spans="1:27">
      <c r="A382" s="3" t="s">
        <v>90</v>
      </c>
      <c r="B382" s="3" t="s">
        <v>106</v>
      </c>
      <c r="C382" s="3" t="s">
        <v>78</v>
      </c>
      <c r="D382" s="3" t="s">
        <v>75</v>
      </c>
      <c r="E382" s="3">
        <v>9</v>
      </c>
      <c r="F382" s="3">
        <v>0.90891946429370396</v>
      </c>
      <c r="G382" s="3">
        <v>2.4206197553519222</v>
      </c>
      <c r="H382" s="3">
        <f t="shared" si="27"/>
        <v>-9.5498786866444293E-2</v>
      </c>
      <c r="I382" s="3">
        <f t="shared" si="28"/>
        <v>0.88402360463415164</v>
      </c>
      <c r="Q382">
        <f t="shared" si="29"/>
        <v>-9.5498786866444293E-2</v>
      </c>
      <c r="R382">
        <f t="shared" si="30"/>
        <v>0.88402360463415164</v>
      </c>
      <c r="S382">
        <v>2.4206197553519222</v>
      </c>
      <c r="U382">
        <f t="shared" si="31"/>
        <v>0.90891946429370396</v>
      </c>
      <c r="AA382">
        <v>2.4206197553519222</v>
      </c>
    </row>
    <row r="383" spans="1:27">
      <c r="A383" s="3" t="s">
        <v>90</v>
      </c>
      <c r="B383" s="3" t="s">
        <v>106</v>
      </c>
      <c r="C383" s="3" t="s">
        <v>78</v>
      </c>
      <c r="D383" s="3" t="s">
        <v>75</v>
      </c>
      <c r="E383" s="3">
        <v>10</v>
      </c>
      <c r="F383" s="3">
        <v>0.88167602445623094</v>
      </c>
      <c r="G383" s="3">
        <v>2.3097185975785015</v>
      </c>
      <c r="H383" s="3">
        <f t="shared" si="27"/>
        <v>-0.12593060966419406</v>
      </c>
      <c r="I383" s="3">
        <f t="shared" si="28"/>
        <v>0.83712569788305113</v>
      </c>
      <c r="Q383">
        <f t="shared" si="29"/>
        <v>-0.12593060966419406</v>
      </c>
      <c r="R383">
        <f t="shared" si="30"/>
        <v>0.83712569788305113</v>
      </c>
      <c r="S383">
        <v>2.3097185975785015</v>
      </c>
      <c r="U383">
        <f t="shared" si="31"/>
        <v>0.88167602445623094</v>
      </c>
      <c r="AA383">
        <v>2.3097185975785015</v>
      </c>
    </row>
    <row r="384" spans="1:27">
      <c r="A384" s="3" t="s">
        <v>90</v>
      </c>
      <c r="B384" s="3" t="s">
        <v>106</v>
      </c>
      <c r="C384" s="3" t="s">
        <v>78</v>
      </c>
      <c r="D384" s="3" t="s">
        <v>75</v>
      </c>
      <c r="E384" s="3">
        <v>11</v>
      </c>
      <c r="F384" s="3">
        <v>0.91913711576199397</v>
      </c>
      <c r="G384" s="3">
        <v>2.4340295807569801</v>
      </c>
      <c r="H384" s="3">
        <f t="shared" si="27"/>
        <v>-8.4319966709035757E-2</v>
      </c>
      <c r="I384" s="3">
        <f t="shared" si="28"/>
        <v>0.88954814763732881</v>
      </c>
      <c r="Q384">
        <f t="shared" si="29"/>
        <v>-8.4319966709035757E-2</v>
      </c>
      <c r="R384">
        <f t="shared" si="30"/>
        <v>0.88954814763732881</v>
      </c>
      <c r="S384">
        <v>2.4340295807569801</v>
      </c>
      <c r="U384">
        <f t="shared" si="31"/>
        <v>0.91913711576199397</v>
      </c>
      <c r="AA384">
        <v>2.4340295807569801</v>
      </c>
    </row>
    <row r="385" spans="1:33">
      <c r="A385" s="3" t="s">
        <v>90</v>
      </c>
      <c r="B385" s="3" t="s">
        <v>106</v>
      </c>
      <c r="C385" s="3" t="s">
        <v>78</v>
      </c>
      <c r="D385" s="3" t="s">
        <v>75</v>
      </c>
      <c r="E385" s="3">
        <v>12</v>
      </c>
      <c r="F385" s="3">
        <v>0.89727046225752605</v>
      </c>
      <c r="G385" s="3">
        <v>2.3564804263986581</v>
      </c>
      <c r="H385" s="3">
        <f t="shared" si="27"/>
        <v>-0.10839794368921747</v>
      </c>
      <c r="I385" s="3">
        <f t="shared" si="28"/>
        <v>0.85716916112973518</v>
      </c>
      <c r="Q385">
        <f t="shared" si="29"/>
        <v>-0.10839794368921747</v>
      </c>
      <c r="R385">
        <f t="shared" si="30"/>
        <v>0.85716916112973518</v>
      </c>
      <c r="S385">
        <v>2.3564804263986581</v>
      </c>
      <c r="U385">
        <f t="shared" si="31"/>
        <v>0.89727046225752605</v>
      </c>
      <c r="AA385">
        <v>2.3564804263986581</v>
      </c>
    </row>
    <row r="386" spans="1:33">
      <c r="A386" s="3" t="s">
        <v>90</v>
      </c>
      <c r="B386" s="3" t="s">
        <v>106</v>
      </c>
      <c r="C386" s="3" t="s">
        <v>78</v>
      </c>
      <c r="D386" s="3" t="s">
        <v>75</v>
      </c>
      <c r="E386" s="3">
        <v>13</v>
      </c>
      <c r="F386" s="3">
        <v>0.91166101701991697</v>
      </c>
      <c r="G386" s="3">
        <v>2.4047037239543672</v>
      </c>
      <c r="H386" s="3">
        <f t="shared" ref="H386:H449" si="32">LN(F386)</f>
        <v>-9.2487049866474505E-2</v>
      </c>
      <c r="I386" s="3">
        <f t="shared" ref="I386:I449" si="33">LN(G386)</f>
        <v>0.87742670426603753</v>
      </c>
      <c r="Q386">
        <f t="shared" si="29"/>
        <v>-9.2487049866474505E-2</v>
      </c>
      <c r="R386">
        <f t="shared" si="30"/>
        <v>0.87742670426603753</v>
      </c>
      <c r="S386">
        <v>2.4047037239543672</v>
      </c>
      <c r="U386">
        <f t="shared" si="31"/>
        <v>0.91166101701991697</v>
      </c>
      <c r="AA386">
        <v>2.4047037239543672</v>
      </c>
    </row>
    <row r="387" spans="1:33">
      <c r="A387" s="3" t="s">
        <v>90</v>
      </c>
      <c r="B387" s="3" t="s">
        <v>106</v>
      </c>
      <c r="C387" s="3" t="s">
        <v>78</v>
      </c>
      <c r="D387" s="3" t="s">
        <v>75</v>
      </c>
      <c r="E387" s="3">
        <v>14</v>
      </c>
      <c r="F387" s="3">
        <v>0.93254761940014996</v>
      </c>
      <c r="G387" s="3">
        <v>2.4422940035957996</v>
      </c>
      <c r="H387" s="3">
        <f t="shared" si="32"/>
        <v>-6.9835062387151814E-2</v>
      </c>
      <c r="I387" s="3">
        <f t="shared" si="33"/>
        <v>0.89293776303454009</v>
      </c>
      <c r="Q387">
        <f t="shared" si="29"/>
        <v>-6.9835062387151814E-2</v>
      </c>
      <c r="R387">
        <f t="shared" si="30"/>
        <v>0.89293776303454009</v>
      </c>
      <c r="S387">
        <v>2.4422940035957996</v>
      </c>
      <c r="U387">
        <f t="shared" si="31"/>
        <v>0.93254761940014996</v>
      </c>
      <c r="AA387">
        <v>2.4422940035957996</v>
      </c>
    </row>
    <row r="388" spans="1:33">
      <c r="A388" s="3" t="s">
        <v>90</v>
      </c>
      <c r="B388" s="3" t="s">
        <v>106</v>
      </c>
      <c r="C388" s="3" t="s">
        <v>78</v>
      </c>
      <c r="D388" s="3" t="s">
        <v>75</v>
      </c>
      <c r="E388" s="3">
        <v>15</v>
      </c>
      <c r="F388" s="3">
        <v>0.93534176874702202</v>
      </c>
      <c r="G388" s="3">
        <v>2.2722015755649854</v>
      </c>
      <c r="H388" s="3">
        <f t="shared" si="32"/>
        <v>-6.6843288410879304E-2</v>
      </c>
      <c r="I388" s="3">
        <f t="shared" si="33"/>
        <v>0.82074921856289129</v>
      </c>
      <c r="Q388">
        <f t="shared" si="29"/>
        <v>-6.6843288410879304E-2</v>
      </c>
      <c r="R388">
        <f t="shared" si="30"/>
        <v>0.82074921856289129</v>
      </c>
      <c r="S388">
        <v>2.2722015755649854</v>
      </c>
      <c r="U388">
        <f t="shared" si="31"/>
        <v>0.93534176874702202</v>
      </c>
      <c r="AA388">
        <v>2.2722015755649854</v>
      </c>
    </row>
    <row r="389" spans="1:33">
      <c r="A389" s="3" t="s">
        <v>90</v>
      </c>
      <c r="B389" s="3" t="s">
        <v>106</v>
      </c>
      <c r="C389" s="3" t="s">
        <v>78</v>
      </c>
      <c r="D389" s="3" t="s">
        <v>75</v>
      </c>
      <c r="E389" s="3">
        <v>16</v>
      </c>
      <c r="F389" s="3">
        <v>0.90149430439373801</v>
      </c>
      <c r="G389" s="3">
        <v>2.3415593095200471</v>
      </c>
      <c r="H389" s="3">
        <f t="shared" si="32"/>
        <v>-0.10370155428025624</v>
      </c>
      <c r="I389" s="3">
        <f t="shared" si="33"/>
        <v>0.85081707903241099</v>
      </c>
      <c r="Q389">
        <f t="shared" si="29"/>
        <v>-0.10370155428025624</v>
      </c>
      <c r="R389">
        <f t="shared" si="30"/>
        <v>0.85081707903241099</v>
      </c>
      <c r="S389">
        <v>2.3415593095200471</v>
      </c>
      <c r="U389">
        <f t="shared" si="31"/>
        <v>0.90149430439373801</v>
      </c>
      <c r="AA389">
        <v>2.3415593095200471</v>
      </c>
    </row>
    <row r="390" spans="1:33">
      <c r="A390" s="3" t="s">
        <v>90</v>
      </c>
      <c r="B390" s="3" t="s">
        <v>106</v>
      </c>
      <c r="C390" s="3" t="s">
        <v>78</v>
      </c>
      <c r="D390" s="3" t="s">
        <v>75</v>
      </c>
      <c r="E390" s="3">
        <v>17</v>
      </c>
      <c r="F390" s="3">
        <v>0.89485976929867606</v>
      </c>
      <c r="G390" s="3">
        <v>2.3569683918118209</v>
      </c>
      <c r="H390" s="3">
        <f t="shared" si="32"/>
        <v>-0.11108825533109103</v>
      </c>
      <c r="I390" s="3">
        <f t="shared" si="33"/>
        <v>0.85737621351694726</v>
      </c>
      <c r="Q390">
        <f t="shared" si="29"/>
        <v>-0.11108825533109103</v>
      </c>
      <c r="R390">
        <f t="shared" si="30"/>
        <v>0.85737621351694726</v>
      </c>
      <c r="S390">
        <v>2.3569683918118209</v>
      </c>
      <c r="U390">
        <f t="shared" si="31"/>
        <v>0.89485976929867606</v>
      </c>
      <c r="AA390">
        <v>2.3569683918118209</v>
      </c>
    </row>
    <row r="391" spans="1:33">
      <c r="A391" s="3" t="s">
        <v>90</v>
      </c>
      <c r="B391" s="3" t="s">
        <v>106</v>
      </c>
      <c r="C391" s="3" t="s">
        <v>78</v>
      </c>
      <c r="D391" s="3" t="s">
        <v>75</v>
      </c>
      <c r="E391" s="3">
        <v>18</v>
      </c>
      <c r="F391" s="3">
        <v>0.90705325603645304</v>
      </c>
      <c r="G391" s="3">
        <v>2.3355513267749011</v>
      </c>
      <c r="H391" s="3">
        <f t="shared" si="32"/>
        <v>-9.7554113902275877E-2</v>
      </c>
      <c r="I391" s="3">
        <f t="shared" si="33"/>
        <v>0.84824797750077097</v>
      </c>
      <c r="Q391">
        <f t="shared" si="29"/>
        <v>-9.7554113902275877E-2</v>
      </c>
      <c r="R391">
        <f t="shared" si="30"/>
        <v>0.84824797750077097</v>
      </c>
      <c r="S391">
        <v>2.3355513267749011</v>
      </c>
      <c r="U391">
        <f t="shared" si="31"/>
        <v>0.90705325603645304</v>
      </c>
      <c r="AA391">
        <v>2.3355513267749011</v>
      </c>
    </row>
    <row r="392" spans="1:33">
      <c r="A392" s="3" t="s">
        <v>90</v>
      </c>
      <c r="B392" s="3" t="s">
        <v>106</v>
      </c>
      <c r="C392" s="3" t="s">
        <v>78</v>
      </c>
      <c r="D392" s="3" t="s">
        <v>75</v>
      </c>
      <c r="E392" s="3">
        <v>19</v>
      </c>
      <c r="F392" s="3">
        <v>0.87903093911512398</v>
      </c>
      <c r="G392" s="3">
        <v>2.3152537657889685</v>
      </c>
      <c r="H392" s="3">
        <f t="shared" si="32"/>
        <v>-0.12893518383320809</v>
      </c>
      <c r="I392" s="3">
        <f t="shared" si="33"/>
        <v>0.83951929958196814</v>
      </c>
      <c r="Q392">
        <f t="shared" si="29"/>
        <v>-0.12893518383320809</v>
      </c>
      <c r="R392">
        <f t="shared" si="30"/>
        <v>0.83951929958196814</v>
      </c>
      <c r="S392">
        <v>2.3152537657889685</v>
      </c>
      <c r="U392">
        <f t="shared" si="31"/>
        <v>0.87903093911512398</v>
      </c>
      <c r="AA392">
        <v>2.3152537657889685</v>
      </c>
    </row>
    <row r="393" spans="1:33">
      <c r="A393" s="3" t="s">
        <v>90</v>
      </c>
      <c r="B393" s="3" t="s">
        <v>106</v>
      </c>
      <c r="C393" s="3" t="s">
        <v>78</v>
      </c>
      <c r="D393" s="3" t="s">
        <v>75</v>
      </c>
      <c r="E393" s="3">
        <v>20</v>
      </c>
      <c r="F393" s="3">
        <v>0.90148229947033598</v>
      </c>
      <c r="G393" s="3">
        <v>2.3566925976885487</v>
      </c>
      <c r="H393" s="3">
        <f t="shared" si="32"/>
        <v>-0.10371487106248899</v>
      </c>
      <c r="I393" s="3">
        <f t="shared" si="33"/>
        <v>0.85725919444230381</v>
      </c>
      <c r="Q393">
        <f t="shared" si="29"/>
        <v>-0.10371487106248899</v>
      </c>
      <c r="R393">
        <f t="shared" si="30"/>
        <v>0.85725919444230381</v>
      </c>
      <c r="S393">
        <v>2.3566925976885487</v>
      </c>
      <c r="U393">
        <f t="shared" si="31"/>
        <v>0.90148229947033598</v>
      </c>
      <c r="AA393">
        <v>2.3566925976885487</v>
      </c>
    </row>
    <row r="394" spans="1:33">
      <c r="A394" s="3" t="s">
        <v>90</v>
      </c>
      <c r="B394" s="3" t="s">
        <v>106</v>
      </c>
      <c r="C394" s="3" t="s">
        <v>78</v>
      </c>
      <c r="D394" s="3" t="s">
        <v>75</v>
      </c>
      <c r="E394" s="3">
        <v>21</v>
      </c>
      <c r="F394" s="3">
        <v>0.90869368008602502</v>
      </c>
      <c r="G394" s="3">
        <v>2.3759208741033442</v>
      </c>
      <c r="H394" s="3">
        <f t="shared" si="32"/>
        <v>-9.5747227200998888E-2</v>
      </c>
      <c r="I394" s="3">
        <f t="shared" si="33"/>
        <v>0.8653850988008126</v>
      </c>
      <c r="Q394">
        <f t="shared" si="29"/>
        <v>-9.5747227200998888E-2</v>
      </c>
      <c r="R394">
        <f t="shared" si="30"/>
        <v>0.8653850988008126</v>
      </c>
      <c r="S394">
        <v>2.3759208741033442</v>
      </c>
      <c r="U394">
        <f t="shared" si="31"/>
        <v>0.90869368008602502</v>
      </c>
      <c r="AA394">
        <v>2.3759208741033442</v>
      </c>
    </row>
    <row r="395" spans="1:33">
      <c r="A395" s="3" t="s">
        <v>90</v>
      </c>
      <c r="B395" s="3" t="s">
        <v>106</v>
      </c>
      <c r="C395" s="3" t="s">
        <v>78</v>
      </c>
      <c r="D395" s="3" t="s">
        <v>75</v>
      </c>
      <c r="E395" s="3">
        <v>22</v>
      </c>
      <c r="F395" s="3">
        <v>0.88907091172340802</v>
      </c>
      <c r="G395" s="3">
        <v>2.3815961034566713</v>
      </c>
      <c r="H395" s="3">
        <f t="shared" si="32"/>
        <v>-0.11757828093122895</v>
      </c>
      <c r="I395" s="3">
        <f t="shared" si="33"/>
        <v>0.86777089461491319</v>
      </c>
      <c r="Q395">
        <f t="shared" si="29"/>
        <v>-0.11757828093122895</v>
      </c>
      <c r="R395">
        <f t="shared" si="30"/>
        <v>0.86777089461491319</v>
      </c>
      <c r="S395">
        <v>2.3815961034566713</v>
      </c>
      <c r="U395">
        <f t="shared" si="31"/>
        <v>0.88907091172340802</v>
      </c>
      <c r="AA395">
        <v>2.3815961034566713</v>
      </c>
    </row>
    <row r="396" spans="1:33">
      <c r="A396" s="3" t="s">
        <v>91</v>
      </c>
      <c r="B396" s="3" t="s">
        <v>77</v>
      </c>
      <c r="C396" s="3" t="s">
        <v>78</v>
      </c>
      <c r="D396" s="3" t="s">
        <v>79</v>
      </c>
      <c r="E396" s="3">
        <v>1</v>
      </c>
      <c r="F396" s="3">
        <v>1.05712866389797</v>
      </c>
      <c r="G396" s="3">
        <v>2.5166843266488548</v>
      </c>
      <c r="H396" s="3">
        <f t="shared" si="32"/>
        <v>5.5556425022219837E-2</v>
      </c>
      <c r="I396" s="3">
        <f t="shared" si="33"/>
        <v>0.92294229177966858</v>
      </c>
      <c r="L396">
        <v>2.5166843266488548</v>
      </c>
      <c r="M396">
        <f t="shared" ref="M396:M450" si="34">LN(L396)</f>
        <v>0.92294229177966858</v>
      </c>
      <c r="AG396">
        <f>G396</f>
        <v>2.5166843266488548</v>
      </c>
    </row>
    <row r="397" spans="1:33">
      <c r="A397" s="3" t="s">
        <v>91</v>
      </c>
      <c r="B397" s="3" t="s">
        <v>77</v>
      </c>
      <c r="C397" s="3" t="s">
        <v>78</v>
      </c>
      <c r="D397" s="3" t="s">
        <v>79</v>
      </c>
      <c r="E397" s="3">
        <v>2</v>
      </c>
      <c r="F397" s="3">
        <v>1.0788485673469801</v>
      </c>
      <c r="G397" s="3">
        <v>2.5787787807409925</v>
      </c>
      <c r="H397" s="3">
        <f t="shared" si="32"/>
        <v>7.5894331057786271E-2</v>
      </c>
      <c r="I397" s="3">
        <f t="shared" si="33"/>
        <v>0.94731594607434211</v>
      </c>
      <c r="L397">
        <v>2.5787787807409925</v>
      </c>
      <c r="M397">
        <f t="shared" si="34"/>
        <v>0.94731594607434211</v>
      </c>
      <c r="AG397">
        <f t="shared" ref="AG397:AG460" si="35">G397</f>
        <v>2.5787787807409925</v>
      </c>
    </row>
    <row r="398" spans="1:33">
      <c r="A398" s="3" t="s">
        <v>91</v>
      </c>
      <c r="B398" s="3" t="s">
        <v>77</v>
      </c>
      <c r="C398" s="3" t="s">
        <v>78</v>
      </c>
      <c r="D398" s="3" t="s">
        <v>79</v>
      </c>
      <c r="E398" s="3">
        <v>3</v>
      </c>
      <c r="F398" s="3">
        <v>1.06833792992611</v>
      </c>
      <c r="G398" s="3">
        <v>2.5405511213120664</v>
      </c>
      <c r="H398" s="3">
        <f t="shared" si="32"/>
        <v>6.6104104278209855E-2</v>
      </c>
      <c r="I398" s="3">
        <f t="shared" si="33"/>
        <v>0.93238103438887765</v>
      </c>
      <c r="L398">
        <v>2.5405511213120664</v>
      </c>
      <c r="M398">
        <f t="shared" si="34"/>
        <v>0.93238103438887765</v>
      </c>
      <c r="AG398">
        <f t="shared" si="35"/>
        <v>2.5405511213120664</v>
      </c>
    </row>
    <row r="399" spans="1:33">
      <c r="A399" s="3" t="s">
        <v>91</v>
      </c>
      <c r="B399" s="3" t="s">
        <v>77</v>
      </c>
      <c r="C399" s="3" t="s">
        <v>78</v>
      </c>
      <c r="D399" s="3" t="s">
        <v>79</v>
      </c>
      <c r="E399" s="3">
        <v>4</v>
      </c>
      <c r="F399" s="3">
        <v>1.0624031551503701</v>
      </c>
      <c r="G399" s="3">
        <v>2.5556603843233945</v>
      </c>
      <c r="H399" s="3">
        <f t="shared" si="32"/>
        <v>6.0533469568425584E-2</v>
      </c>
      <c r="I399" s="3">
        <f t="shared" si="33"/>
        <v>0.93831065770426769</v>
      </c>
      <c r="L399">
        <v>2.5556603843233945</v>
      </c>
      <c r="M399">
        <f t="shared" si="34"/>
        <v>0.93831065770426769</v>
      </c>
      <c r="AG399">
        <f t="shared" si="35"/>
        <v>2.5556603843233945</v>
      </c>
    </row>
    <row r="400" spans="1:33">
      <c r="A400" s="3" t="s">
        <v>91</v>
      </c>
      <c r="B400" s="3" t="s">
        <v>77</v>
      </c>
      <c r="C400" s="3" t="s">
        <v>78</v>
      </c>
      <c r="D400" s="3" t="s">
        <v>79</v>
      </c>
      <c r="E400" s="3">
        <v>6</v>
      </c>
      <c r="F400" s="3">
        <v>1.0768113735114799</v>
      </c>
      <c r="G400" s="3">
        <v>2.54939208439973</v>
      </c>
      <c r="H400" s="3">
        <f t="shared" si="32"/>
        <v>7.400424217747098E-2</v>
      </c>
      <c r="I400" s="3">
        <f t="shared" si="33"/>
        <v>0.93585493247433327</v>
      </c>
      <c r="L400">
        <v>2.54939208439973</v>
      </c>
      <c r="M400">
        <f t="shared" si="34"/>
        <v>0.93585493247433327</v>
      </c>
      <c r="AG400">
        <f t="shared" si="35"/>
        <v>2.54939208439973</v>
      </c>
    </row>
    <row r="401" spans="1:33">
      <c r="A401" s="3" t="s">
        <v>91</v>
      </c>
      <c r="B401" s="3" t="s">
        <v>77</v>
      </c>
      <c r="C401" s="3" t="s">
        <v>78</v>
      </c>
      <c r="D401" s="3" t="s">
        <v>79</v>
      </c>
      <c r="E401" s="3">
        <v>8</v>
      </c>
      <c r="F401" s="3">
        <v>1.0768545625808701</v>
      </c>
      <c r="G401" s="3">
        <v>2.4906224121692957</v>
      </c>
      <c r="H401" s="3">
        <f t="shared" si="32"/>
        <v>7.40443496692339E-2</v>
      </c>
      <c r="I401" s="3">
        <f t="shared" si="33"/>
        <v>0.91253264396726386</v>
      </c>
      <c r="L401">
        <v>2.4906224121692957</v>
      </c>
      <c r="M401">
        <f t="shared" si="34"/>
        <v>0.91253264396726386</v>
      </c>
      <c r="AG401">
        <f t="shared" si="35"/>
        <v>2.4906224121692957</v>
      </c>
    </row>
    <row r="402" spans="1:33">
      <c r="A402" s="3" t="s">
        <v>91</v>
      </c>
      <c r="B402" s="3" t="s">
        <v>77</v>
      </c>
      <c r="C402" s="3" t="s">
        <v>78</v>
      </c>
      <c r="D402" s="3" t="s">
        <v>79</v>
      </c>
      <c r="E402" s="3">
        <v>9</v>
      </c>
      <c r="F402" s="3">
        <v>1.05796306476611</v>
      </c>
      <c r="G402" s="3">
        <v>2.49897979183506</v>
      </c>
      <c r="H402" s="3">
        <f t="shared" si="32"/>
        <v>5.6345422397716886E-2</v>
      </c>
      <c r="I402" s="3">
        <f t="shared" si="33"/>
        <v>0.91588256531954315</v>
      </c>
      <c r="L402">
        <v>2.49897979183506</v>
      </c>
      <c r="M402">
        <f t="shared" si="34"/>
        <v>0.91588256531954315</v>
      </c>
      <c r="AG402">
        <f t="shared" si="35"/>
        <v>2.49897979183506</v>
      </c>
    </row>
    <row r="403" spans="1:33">
      <c r="A403" s="3" t="s">
        <v>91</v>
      </c>
      <c r="B403" s="3" t="s">
        <v>77</v>
      </c>
      <c r="C403" s="3" t="s">
        <v>78</v>
      </c>
      <c r="D403" s="3" t="s">
        <v>79</v>
      </c>
      <c r="E403" s="3">
        <v>10</v>
      </c>
      <c r="F403" s="3">
        <v>1.08538731476326</v>
      </c>
      <c r="G403" s="3">
        <v>2.5111352014576998</v>
      </c>
      <c r="H403" s="3">
        <f t="shared" si="32"/>
        <v>8.1936895425067033E-2</v>
      </c>
      <c r="I403" s="3">
        <f t="shared" si="33"/>
        <v>0.92073492239685739</v>
      </c>
      <c r="L403">
        <v>2.5111352014576998</v>
      </c>
      <c r="M403">
        <f t="shared" si="34"/>
        <v>0.92073492239685739</v>
      </c>
      <c r="AG403">
        <f t="shared" si="35"/>
        <v>2.5111352014576998</v>
      </c>
    </row>
    <row r="404" spans="1:33">
      <c r="A404" s="3" t="s">
        <v>91</v>
      </c>
      <c r="B404" s="3" t="s">
        <v>77</v>
      </c>
      <c r="C404" s="3" t="s">
        <v>78</v>
      </c>
      <c r="D404" s="3" t="s">
        <v>79</v>
      </c>
      <c r="E404" s="3">
        <v>11</v>
      </c>
      <c r="F404" s="3">
        <v>1.0757168414218901</v>
      </c>
      <c r="G404" s="3">
        <v>2.5770137756713685</v>
      </c>
      <c r="H404" s="3">
        <f t="shared" si="32"/>
        <v>7.2987268577468817E-2</v>
      </c>
      <c r="I404" s="3">
        <f t="shared" si="33"/>
        <v>0.94663127727928853</v>
      </c>
      <c r="L404">
        <v>2.5770137756713685</v>
      </c>
      <c r="M404">
        <f t="shared" si="34"/>
        <v>0.94663127727928853</v>
      </c>
      <c r="AG404">
        <f t="shared" si="35"/>
        <v>2.5770137756713685</v>
      </c>
    </row>
    <row r="405" spans="1:33">
      <c r="A405" s="3" t="s">
        <v>91</v>
      </c>
      <c r="B405" s="3" t="s">
        <v>77</v>
      </c>
      <c r="C405" s="3" t="s">
        <v>78</v>
      </c>
      <c r="D405" s="3" t="s">
        <v>79</v>
      </c>
      <c r="E405" s="3">
        <v>12</v>
      </c>
      <c r="F405" s="3">
        <v>1.0769977276028799</v>
      </c>
      <c r="G405" s="3">
        <v>2.5379716310471241</v>
      </c>
      <c r="H405" s="3">
        <f t="shared" si="32"/>
        <v>7.4177288239694994E-2</v>
      </c>
      <c r="I405" s="3">
        <f t="shared" si="33"/>
        <v>0.93136519154931707</v>
      </c>
      <c r="L405">
        <v>2.5379716310471241</v>
      </c>
      <c r="M405">
        <f t="shared" si="34"/>
        <v>0.93136519154931707</v>
      </c>
      <c r="AG405">
        <f t="shared" si="35"/>
        <v>2.5379716310471241</v>
      </c>
    </row>
    <row r="406" spans="1:33">
      <c r="A406" s="3" t="s">
        <v>91</v>
      </c>
      <c r="B406" s="3" t="s">
        <v>77</v>
      </c>
      <c r="C406" s="3" t="s">
        <v>78</v>
      </c>
      <c r="D406" s="3" t="s">
        <v>79</v>
      </c>
      <c r="E406" s="3">
        <v>13</v>
      </c>
      <c r="F406" s="3">
        <v>1.0882461952278799</v>
      </c>
      <c r="G406" s="3">
        <v>2.5880108191427635</v>
      </c>
      <c r="H406" s="3">
        <f t="shared" si="32"/>
        <v>8.4567405214321059E-2</v>
      </c>
      <c r="I406" s="3">
        <f t="shared" si="33"/>
        <v>0.95088955713330203</v>
      </c>
      <c r="L406">
        <v>2.5880108191427635</v>
      </c>
      <c r="M406">
        <f t="shared" si="34"/>
        <v>0.95088955713330203</v>
      </c>
      <c r="AG406">
        <f t="shared" si="35"/>
        <v>2.5880108191427635</v>
      </c>
    </row>
    <row r="407" spans="1:33">
      <c r="A407" s="3" t="s">
        <v>91</v>
      </c>
      <c r="B407" s="3" t="s">
        <v>77</v>
      </c>
      <c r="C407" s="3" t="s">
        <v>78</v>
      </c>
      <c r="D407" s="3" t="s">
        <v>79</v>
      </c>
      <c r="E407" s="3">
        <v>14</v>
      </c>
      <c r="F407" s="3">
        <v>1.04279087543799</v>
      </c>
      <c r="G407" s="3">
        <v>2.5111352014576998</v>
      </c>
      <c r="H407" s="3">
        <f t="shared" si="32"/>
        <v>4.1900652979462702E-2</v>
      </c>
      <c r="I407" s="3">
        <f t="shared" si="33"/>
        <v>0.92073492239685739</v>
      </c>
      <c r="L407">
        <v>2.5111352014576998</v>
      </c>
      <c r="M407">
        <f t="shared" si="34"/>
        <v>0.92073492239685739</v>
      </c>
      <c r="AG407">
        <f t="shared" si="35"/>
        <v>2.5111352014576998</v>
      </c>
    </row>
    <row r="408" spans="1:33">
      <c r="A408" s="3" t="s">
        <v>91</v>
      </c>
      <c r="B408" s="3" t="s">
        <v>77</v>
      </c>
      <c r="C408" s="3" t="s">
        <v>78</v>
      </c>
      <c r="D408" s="3" t="s">
        <v>79</v>
      </c>
      <c r="E408" s="3">
        <v>16</v>
      </c>
      <c r="F408" s="3">
        <v>1.05753677752718</v>
      </c>
      <c r="G408" s="3">
        <v>2.5347583711273152</v>
      </c>
      <c r="H408" s="3">
        <f t="shared" si="32"/>
        <v>5.5942409137042105E-2</v>
      </c>
      <c r="I408" s="3">
        <f t="shared" si="33"/>
        <v>0.93009831539064169</v>
      </c>
      <c r="L408">
        <v>2.5347583711273152</v>
      </c>
      <c r="M408">
        <f t="shared" si="34"/>
        <v>0.93009831539064169</v>
      </c>
      <c r="AG408">
        <f t="shared" si="35"/>
        <v>2.5347583711273152</v>
      </c>
    </row>
    <row r="409" spans="1:33">
      <c r="A409" s="3" t="s">
        <v>91</v>
      </c>
      <c r="B409" s="3" t="s">
        <v>77</v>
      </c>
      <c r="C409" s="3" t="s">
        <v>78</v>
      </c>
      <c r="D409" s="3" t="s">
        <v>79</v>
      </c>
      <c r="E409" s="3">
        <v>17</v>
      </c>
      <c r="F409" s="3">
        <v>1.07899653889336</v>
      </c>
      <c r="G409" s="3">
        <v>2.5609568524284043</v>
      </c>
      <c r="H409" s="3">
        <f t="shared" si="32"/>
        <v>7.6031478572391398E-2</v>
      </c>
      <c r="I409" s="3">
        <f t="shared" si="33"/>
        <v>0.94038095913653164</v>
      </c>
      <c r="L409">
        <v>2.5609568524284043</v>
      </c>
      <c r="M409">
        <f t="shared" si="34"/>
        <v>0.94038095913653164</v>
      </c>
      <c r="AG409">
        <f t="shared" si="35"/>
        <v>2.5609568524284043</v>
      </c>
    </row>
    <row r="410" spans="1:33">
      <c r="A410" s="3" t="s">
        <v>91</v>
      </c>
      <c r="B410" s="3" t="s">
        <v>77</v>
      </c>
      <c r="C410" s="3" t="s">
        <v>78</v>
      </c>
      <c r="D410" s="3" t="s">
        <v>79</v>
      </c>
      <c r="E410" s="3">
        <v>19</v>
      </c>
      <c r="F410" s="3">
        <v>1.06192991081218</v>
      </c>
      <c r="G410" s="3">
        <v>2.5331403435261928</v>
      </c>
      <c r="H410" s="3">
        <f t="shared" si="32"/>
        <v>6.0087923289829821E-2</v>
      </c>
      <c r="I410" s="3">
        <f t="shared" si="33"/>
        <v>0.92945977553528869</v>
      </c>
      <c r="L410">
        <v>2.5331403435261928</v>
      </c>
      <c r="M410">
        <f t="shared" si="34"/>
        <v>0.92945977553528869</v>
      </c>
      <c r="AG410">
        <f t="shared" si="35"/>
        <v>2.5331403435261928</v>
      </c>
    </row>
    <row r="411" spans="1:33">
      <c r="A411" s="3" t="s">
        <v>91</v>
      </c>
      <c r="B411" s="3" t="s">
        <v>77</v>
      </c>
      <c r="C411" s="3" t="s">
        <v>78</v>
      </c>
      <c r="D411" s="3" t="s">
        <v>79</v>
      </c>
      <c r="E411" s="3">
        <v>20</v>
      </c>
      <c r="F411" s="3">
        <v>1.0680890370893099</v>
      </c>
      <c r="G411" s="3">
        <v>2.5133443854752575</v>
      </c>
      <c r="H411" s="3">
        <f t="shared" si="32"/>
        <v>6.5871105124231014E-2</v>
      </c>
      <c r="I411" s="3">
        <f t="shared" si="33"/>
        <v>0.92161429074603507</v>
      </c>
      <c r="L411">
        <v>2.5133443854752575</v>
      </c>
      <c r="M411">
        <f t="shared" si="34"/>
        <v>0.92161429074603507</v>
      </c>
      <c r="AG411">
        <f t="shared" si="35"/>
        <v>2.5133443854752575</v>
      </c>
    </row>
    <row r="412" spans="1:33">
      <c r="A412" s="3" t="s">
        <v>91</v>
      </c>
      <c r="B412" s="3" t="s">
        <v>77</v>
      </c>
      <c r="C412" s="3" t="s">
        <v>78</v>
      </c>
      <c r="D412" s="3" t="s">
        <v>79</v>
      </c>
      <c r="E412" s="3">
        <v>21</v>
      </c>
      <c r="F412" s="3">
        <v>1.0935902319758599</v>
      </c>
      <c r="G412" s="3">
        <v>2.610785322465254</v>
      </c>
      <c r="H412" s="3">
        <f t="shared" si="32"/>
        <v>8.9466074397825598E-2</v>
      </c>
      <c r="I412" s="3">
        <f t="shared" si="33"/>
        <v>0.95965106590976501</v>
      </c>
      <c r="L412">
        <v>2.610785322465254</v>
      </c>
      <c r="M412">
        <f t="shared" si="34"/>
        <v>0.95965106590976501</v>
      </c>
      <c r="AG412">
        <f t="shared" si="35"/>
        <v>2.610785322465254</v>
      </c>
    </row>
    <row r="413" spans="1:33">
      <c r="A413" s="3" t="s">
        <v>91</v>
      </c>
      <c r="B413" s="3" t="s">
        <v>77</v>
      </c>
      <c r="C413" s="3" t="s">
        <v>78</v>
      </c>
      <c r="D413" s="3" t="s">
        <v>79</v>
      </c>
      <c r="E413" s="3">
        <v>22</v>
      </c>
      <c r="F413" s="3">
        <v>1.07661970577584</v>
      </c>
      <c r="G413" s="3">
        <v>2.5244801445050031</v>
      </c>
      <c r="H413" s="3">
        <f t="shared" si="32"/>
        <v>7.3826230688745276E-2</v>
      </c>
      <c r="I413" s="3">
        <f t="shared" si="33"/>
        <v>0.92603515816607862</v>
      </c>
      <c r="L413">
        <v>2.5244801445050031</v>
      </c>
      <c r="M413">
        <f t="shared" si="34"/>
        <v>0.92603515816607862</v>
      </c>
      <c r="AG413">
        <f t="shared" si="35"/>
        <v>2.5244801445050031</v>
      </c>
    </row>
    <row r="414" spans="1:33">
      <c r="A414" s="3" t="s">
        <v>91</v>
      </c>
      <c r="B414" s="3" t="s">
        <v>77</v>
      </c>
      <c r="C414" s="3" t="s">
        <v>78</v>
      </c>
      <c r="D414" s="3" t="s">
        <v>75</v>
      </c>
      <c r="E414" s="3">
        <v>2</v>
      </c>
      <c r="F414" s="3">
        <v>1.0513198220990001</v>
      </c>
      <c r="G414" s="3">
        <v>2.4819548746905129</v>
      </c>
      <c r="H414" s="3">
        <f t="shared" si="32"/>
        <v>5.0046348267327366E-2</v>
      </c>
      <c r="I414" s="3">
        <f t="shared" si="33"/>
        <v>0.90904650558994793</v>
      </c>
      <c r="L414">
        <v>2.4819548746905129</v>
      </c>
      <c r="M414">
        <f t="shared" si="34"/>
        <v>0.90904650558994793</v>
      </c>
      <c r="AG414">
        <f t="shared" si="35"/>
        <v>2.4819548746905129</v>
      </c>
    </row>
    <row r="415" spans="1:33">
      <c r="A415" s="3" t="s">
        <v>91</v>
      </c>
      <c r="B415" s="3" t="s">
        <v>77</v>
      </c>
      <c r="C415" s="3" t="s">
        <v>78</v>
      </c>
      <c r="D415" s="3" t="s">
        <v>75</v>
      </c>
      <c r="E415" s="3">
        <v>3</v>
      </c>
      <c r="F415" s="3">
        <v>1.05630292938551</v>
      </c>
      <c r="G415" s="3">
        <v>2.5143587651725441</v>
      </c>
      <c r="H415" s="3">
        <f t="shared" si="32"/>
        <v>5.4775009094587157E-2</v>
      </c>
      <c r="I415" s="3">
        <f t="shared" si="33"/>
        <v>0.92201780689671309</v>
      </c>
      <c r="L415">
        <v>2.5143587651725441</v>
      </c>
      <c r="M415">
        <f t="shared" si="34"/>
        <v>0.92201780689671309</v>
      </c>
      <c r="AG415">
        <f t="shared" si="35"/>
        <v>2.5143587651725441</v>
      </c>
    </row>
    <row r="416" spans="1:33">
      <c r="A416" s="3" t="s">
        <v>91</v>
      </c>
      <c r="B416" s="3" t="s">
        <v>77</v>
      </c>
      <c r="C416" s="3" t="s">
        <v>78</v>
      </c>
      <c r="D416" s="3" t="s">
        <v>75</v>
      </c>
      <c r="E416" s="3">
        <v>4</v>
      </c>
      <c r="F416" s="3">
        <v>1.0571339128224</v>
      </c>
      <c r="G416" s="3">
        <v>2.449693858423946</v>
      </c>
      <c r="H416" s="3">
        <f t="shared" si="32"/>
        <v>5.5561390275341939E-2</v>
      </c>
      <c r="I416" s="3">
        <f t="shared" si="33"/>
        <v>0.89596306100368794</v>
      </c>
      <c r="L416">
        <v>2.449693858423946</v>
      </c>
      <c r="M416">
        <f t="shared" si="34"/>
        <v>0.89596306100368794</v>
      </c>
      <c r="AG416">
        <f t="shared" si="35"/>
        <v>2.449693858423946</v>
      </c>
    </row>
    <row r="417" spans="1:33">
      <c r="A417" s="3" t="s">
        <v>91</v>
      </c>
      <c r="B417" s="3" t="s">
        <v>77</v>
      </c>
      <c r="C417" s="3" t="s">
        <v>78</v>
      </c>
      <c r="D417" s="3" t="s">
        <v>75</v>
      </c>
      <c r="E417" s="3">
        <v>5</v>
      </c>
      <c r="F417" s="3">
        <v>1.0564131402252599</v>
      </c>
      <c r="G417" s="3">
        <v>2.4684408034222738</v>
      </c>
      <c r="H417" s="3">
        <f t="shared" si="32"/>
        <v>5.4879340046990251E-2</v>
      </c>
      <c r="I417" s="3">
        <f t="shared" si="33"/>
        <v>0.90358669764020449</v>
      </c>
      <c r="L417">
        <v>2.4684408034222738</v>
      </c>
      <c r="M417">
        <f t="shared" si="34"/>
        <v>0.90358669764020449</v>
      </c>
      <c r="AG417">
        <f t="shared" si="35"/>
        <v>2.4684408034222738</v>
      </c>
    </row>
    <row r="418" spans="1:33">
      <c r="A418" s="3" t="s">
        <v>91</v>
      </c>
      <c r="B418" s="3" t="s">
        <v>77</v>
      </c>
      <c r="C418" s="3" t="s">
        <v>78</v>
      </c>
      <c r="D418" s="3" t="s">
        <v>75</v>
      </c>
      <c r="E418" s="3">
        <v>6</v>
      </c>
      <c r="F418" s="3">
        <v>1.07050792502198</v>
      </c>
      <c r="G418" s="3">
        <v>2.4906424873915567</v>
      </c>
      <c r="H418" s="3">
        <f t="shared" si="32"/>
        <v>6.8133232123401707E-2</v>
      </c>
      <c r="I418" s="3">
        <f t="shared" si="33"/>
        <v>0.91254070425824052</v>
      </c>
      <c r="L418">
        <v>2.4906424873915567</v>
      </c>
      <c r="M418">
        <f t="shared" si="34"/>
        <v>0.91254070425824052</v>
      </c>
      <c r="AG418">
        <f t="shared" si="35"/>
        <v>2.4906424873915567</v>
      </c>
    </row>
    <row r="419" spans="1:33">
      <c r="A419" s="3" t="s">
        <v>91</v>
      </c>
      <c r="B419" s="3" t="s">
        <v>77</v>
      </c>
      <c r="C419" s="3" t="s">
        <v>78</v>
      </c>
      <c r="D419" s="3" t="s">
        <v>75</v>
      </c>
      <c r="E419" s="3">
        <v>8</v>
      </c>
      <c r="F419" s="3">
        <v>1.04694824302736</v>
      </c>
      <c r="G419" s="3">
        <v>2.4933912649241394</v>
      </c>
      <c r="H419" s="3">
        <f t="shared" si="32"/>
        <v>4.5879497072784964E-2</v>
      </c>
      <c r="I419" s="3">
        <f t="shared" si="33"/>
        <v>0.9136437376436003</v>
      </c>
      <c r="L419">
        <v>2.4933912649241394</v>
      </c>
      <c r="M419">
        <f t="shared" si="34"/>
        <v>0.9136437376436003</v>
      </c>
      <c r="AG419">
        <f t="shared" si="35"/>
        <v>2.4933912649241394</v>
      </c>
    </row>
    <row r="420" spans="1:33">
      <c r="A420" s="3" t="s">
        <v>91</v>
      </c>
      <c r="B420" s="3" t="s">
        <v>77</v>
      </c>
      <c r="C420" s="3" t="s">
        <v>78</v>
      </c>
      <c r="D420" s="3" t="s">
        <v>75</v>
      </c>
      <c r="E420" s="3">
        <v>9</v>
      </c>
      <c r="F420" s="3">
        <v>1.05851346332548</v>
      </c>
      <c r="G420" s="3">
        <v>2.4528350943347172</v>
      </c>
      <c r="H420" s="3">
        <f t="shared" si="32"/>
        <v>5.6865530761284491E-2</v>
      </c>
      <c r="I420" s="3">
        <f t="shared" si="33"/>
        <v>0.89724453689946071</v>
      </c>
      <c r="L420">
        <v>2.4528350943347172</v>
      </c>
      <c r="M420">
        <f t="shared" si="34"/>
        <v>0.89724453689946071</v>
      </c>
      <c r="AG420">
        <f t="shared" si="35"/>
        <v>2.4528350943347172</v>
      </c>
    </row>
    <row r="421" spans="1:33">
      <c r="A421" s="3" t="s">
        <v>91</v>
      </c>
      <c r="B421" s="3" t="s">
        <v>77</v>
      </c>
      <c r="C421" s="3" t="s">
        <v>78</v>
      </c>
      <c r="D421" s="3" t="s">
        <v>75</v>
      </c>
      <c r="E421" s="3">
        <v>10</v>
      </c>
      <c r="F421" s="3">
        <v>1.0962446514633</v>
      </c>
      <c r="G421" s="3">
        <v>2.5044959572736389</v>
      </c>
      <c r="H421" s="3">
        <f t="shared" si="32"/>
        <v>9.1890385753516712E-2</v>
      </c>
      <c r="I421" s="3">
        <f t="shared" si="33"/>
        <v>0.91808749962922021</v>
      </c>
      <c r="L421">
        <v>2.5044959572736389</v>
      </c>
      <c r="M421">
        <f t="shared" si="34"/>
        <v>0.91808749962922021</v>
      </c>
      <c r="AG421">
        <f t="shared" si="35"/>
        <v>2.5044959572736389</v>
      </c>
    </row>
    <row r="422" spans="1:33">
      <c r="A422" s="3" t="s">
        <v>91</v>
      </c>
      <c r="B422" s="3" t="s">
        <v>77</v>
      </c>
      <c r="C422" s="3" t="s">
        <v>78</v>
      </c>
      <c r="D422" s="3" t="s">
        <v>75</v>
      </c>
      <c r="E422" s="3">
        <v>11</v>
      </c>
      <c r="F422" s="3">
        <v>1.03673089288764</v>
      </c>
      <c r="G422" s="3">
        <v>2.4520399670478459</v>
      </c>
      <c r="H422" s="3">
        <f t="shared" si="32"/>
        <v>3.6072390157922504E-2</v>
      </c>
      <c r="I422" s="3">
        <f t="shared" si="33"/>
        <v>0.89692031771593983</v>
      </c>
      <c r="L422">
        <v>2.4520399670478459</v>
      </c>
      <c r="M422">
        <f t="shared" si="34"/>
        <v>0.89692031771593983</v>
      </c>
      <c r="AG422">
        <f t="shared" si="35"/>
        <v>2.4520399670478459</v>
      </c>
    </row>
    <row r="423" spans="1:33">
      <c r="A423" s="3" t="s">
        <v>91</v>
      </c>
      <c r="B423" s="3" t="s">
        <v>77</v>
      </c>
      <c r="C423" s="3" t="s">
        <v>78</v>
      </c>
      <c r="D423" s="3" t="s">
        <v>75</v>
      </c>
      <c r="E423" s="3">
        <v>12</v>
      </c>
      <c r="F423" s="3">
        <v>1.0678890970291399</v>
      </c>
      <c r="G423" s="3">
        <v>2.5026585863836881</v>
      </c>
      <c r="H423" s="3">
        <f t="shared" si="32"/>
        <v>6.5683893413062008E-2</v>
      </c>
      <c r="I423" s="3">
        <f t="shared" si="33"/>
        <v>0.917353601381663</v>
      </c>
      <c r="L423">
        <v>2.5026585863836881</v>
      </c>
      <c r="M423">
        <f t="shared" si="34"/>
        <v>0.917353601381663</v>
      </c>
      <c r="AG423">
        <f t="shared" si="35"/>
        <v>2.5026585863836881</v>
      </c>
    </row>
    <row r="424" spans="1:33">
      <c r="A424" s="3" t="s">
        <v>91</v>
      </c>
      <c r="B424" s="3" t="s">
        <v>77</v>
      </c>
      <c r="C424" s="3" t="s">
        <v>78</v>
      </c>
      <c r="D424" s="3" t="s">
        <v>75</v>
      </c>
      <c r="E424" s="3">
        <v>13</v>
      </c>
      <c r="F424" s="3">
        <v>1.10337432639139</v>
      </c>
      <c r="G424" s="3">
        <v>2.5572641631243336</v>
      </c>
      <c r="H424" s="3">
        <f t="shared" si="32"/>
        <v>9.8373053859729803E-2</v>
      </c>
      <c r="I424" s="3">
        <f t="shared" si="33"/>
        <v>0.93893800075956002</v>
      </c>
      <c r="L424">
        <v>2.5572641631243336</v>
      </c>
      <c r="M424">
        <f t="shared" si="34"/>
        <v>0.93893800075956002</v>
      </c>
      <c r="AG424">
        <f t="shared" si="35"/>
        <v>2.5572641631243336</v>
      </c>
    </row>
    <row r="425" spans="1:33">
      <c r="A425" s="3" t="s">
        <v>91</v>
      </c>
      <c r="B425" s="3" t="s">
        <v>77</v>
      </c>
      <c r="C425" s="3" t="s">
        <v>78</v>
      </c>
      <c r="D425" s="3" t="s">
        <v>75</v>
      </c>
      <c r="E425" s="3">
        <v>14</v>
      </c>
      <c r="F425" s="3">
        <v>1.0577277888569501</v>
      </c>
      <c r="G425" s="3">
        <v>2.4850955716028307</v>
      </c>
      <c r="H425" s="3">
        <f t="shared" si="32"/>
        <v>5.6123011916784003E-2</v>
      </c>
      <c r="I425" s="3">
        <f t="shared" si="33"/>
        <v>0.91031111820656574</v>
      </c>
      <c r="L425">
        <v>2.4850955716028307</v>
      </c>
      <c r="M425">
        <f t="shared" si="34"/>
        <v>0.91031111820656574</v>
      </c>
      <c r="AG425">
        <f t="shared" si="35"/>
        <v>2.4850955716028307</v>
      </c>
    </row>
    <row r="426" spans="1:33">
      <c r="A426" s="3" t="s">
        <v>91</v>
      </c>
      <c r="B426" s="3" t="s">
        <v>77</v>
      </c>
      <c r="C426" s="3" t="s">
        <v>78</v>
      </c>
      <c r="D426" s="3" t="s">
        <v>75</v>
      </c>
      <c r="E426" s="3">
        <v>15</v>
      </c>
      <c r="F426" s="3">
        <v>1.0954765148851899</v>
      </c>
      <c r="G426" s="3">
        <v>2.5314027731674784</v>
      </c>
      <c r="H426" s="3">
        <f t="shared" si="32"/>
        <v>9.1189442019109113E-2</v>
      </c>
      <c r="I426" s="3">
        <f t="shared" si="33"/>
        <v>0.92877360488302907</v>
      </c>
      <c r="L426">
        <v>2.5314027731674784</v>
      </c>
      <c r="M426">
        <f t="shared" si="34"/>
        <v>0.92877360488302907</v>
      </c>
      <c r="AG426">
        <f t="shared" si="35"/>
        <v>2.5314027731674784</v>
      </c>
    </row>
    <row r="427" spans="1:33">
      <c r="A427" s="3" t="s">
        <v>91</v>
      </c>
      <c r="B427" s="3" t="s">
        <v>77</v>
      </c>
      <c r="C427" s="3" t="s">
        <v>78</v>
      </c>
      <c r="D427" s="3" t="s">
        <v>75</v>
      </c>
      <c r="E427" s="3">
        <v>17</v>
      </c>
      <c r="F427" s="3">
        <v>1.1043983464996401</v>
      </c>
      <c r="G427" s="3">
        <v>2.5184916120567085</v>
      </c>
      <c r="H427" s="3">
        <f t="shared" si="32"/>
        <v>9.9300703879369623E-2</v>
      </c>
      <c r="I427" s="3">
        <f t="shared" si="33"/>
        <v>0.92366015566663751</v>
      </c>
      <c r="L427">
        <v>2.5184916120567085</v>
      </c>
      <c r="M427">
        <f t="shared" si="34"/>
        <v>0.92366015566663751</v>
      </c>
      <c r="AG427">
        <f t="shared" si="35"/>
        <v>2.5184916120567085</v>
      </c>
    </row>
    <row r="428" spans="1:33">
      <c r="A428" s="3" t="s">
        <v>91</v>
      </c>
      <c r="B428" s="3" t="s">
        <v>77</v>
      </c>
      <c r="C428" s="3" t="s">
        <v>78</v>
      </c>
      <c r="D428" s="3" t="s">
        <v>75</v>
      </c>
      <c r="E428" s="3">
        <v>18</v>
      </c>
      <c r="F428" s="3">
        <v>1.05892239134294</v>
      </c>
      <c r="G428" s="3">
        <v>2.5183526361492743</v>
      </c>
      <c r="H428" s="3">
        <f t="shared" si="32"/>
        <v>5.7251779082944196E-2</v>
      </c>
      <c r="I428" s="3">
        <f t="shared" si="33"/>
        <v>0.92360497194420299</v>
      </c>
      <c r="L428">
        <v>2.5183526361492743</v>
      </c>
      <c r="M428">
        <f t="shared" si="34"/>
        <v>0.92360497194420299</v>
      </c>
      <c r="AG428">
        <f t="shared" si="35"/>
        <v>2.5183526361492743</v>
      </c>
    </row>
    <row r="429" spans="1:33">
      <c r="A429" s="3" t="s">
        <v>91</v>
      </c>
      <c r="B429" s="3" t="s">
        <v>77</v>
      </c>
      <c r="C429" s="3" t="s">
        <v>78</v>
      </c>
      <c r="D429" s="3" t="s">
        <v>75</v>
      </c>
      <c r="E429" s="3">
        <v>20</v>
      </c>
      <c r="F429" s="3">
        <v>1.0862976540645499</v>
      </c>
      <c r="G429" s="3">
        <v>2.5253910588263357</v>
      </c>
      <c r="H429" s="3">
        <f t="shared" si="32"/>
        <v>8.2775266890244961E-2</v>
      </c>
      <c r="I429" s="3">
        <f t="shared" si="33"/>
        <v>0.92639592551816941</v>
      </c>
      <c r="L429">
        <v>2.5253910588263357</v>
      </c>
      <c r="M429">
        <f t="shared" si="34"/>
        <v>0.92639592551816941</v>
      </c>
      <c r="AG429">
        <f t="shared" si="35"/>
        <v>2.5253910588263357</v>
      </c>
    </row>
    <row r="430" spans="1:33">
      <c r="A430" s="3" t="s">
        <v>91</v>
      </c>
      <c r="B430" s="3" t="s">
        <v>77</v>
      </c>
      <c r="C430" s="3" t="s">
        <v>78</v>
      </c>
      <c r="D430" s="3" t="s">
        <v>75</v>
      </c>
      <c r="E430" s="3">
        <v>21</v>
      </c>
      <c r="F430" s="3">
        <v>1.0528231731633</v>
      </c>
      <c r="G430" s="3">
        <v>2.5158895047279004</v>
      </c>
      <c r="H430" s="3">
        <f t="shared" si="32"/>
        <v>5.1475292330055211E-2</v>
      </c>
      <c r="I430" s="3">
        <f t="shared" si="33"/>
        <v>0.92262642083402746</v>
      </c>
      <c r="L430">
        <v>2.5158895047279004</v>
      </c>
      <c r="M430">
        <f t="shared" si="34"/>
        <v>0.92262642083402746</v>
      </c>
      <c r="AG430">
        <f t="shared" si="35"/>
        <v>2.5158895047279004</v>
      </c>
    </row>
    <row r="431" spans="1:33">
      <c r="A431" s="3" t="s">
        <v>91</v>
      </c>
      <c r="B431" s="3" t="s">
        <v>77</v>
      </c>
      <c r="C431" s="3" t="s">
        <v>78</v>
      </c>
      <c r="D431" s="3" t="s">
        <v>75</v>
      </c>
      <c r="E431" s="3">
        <v>22</v>
      </c>
      <c r="F431" s="3">
        <v>1.0863816497404699</v>
      </c>
      <c r="G431" s="3">
        <v>2.5128469909646309</v>
      </c>
      <c r="H431" s="3">
        <f t="shared" si="32"/>
        <v>8.2852586792740213E-2</v>
      </c>
      <c r="I431" s="3">
        <f t="shared" si="33"/>
        <v>0.9214163697060278</v>
      </c>
      <c r="L431">
        <v>2.5128469909646309</v>
      </c>
      <c r="M431">
        <f t="shared" si="34"/>
        <v>0.9214163697060278</v>
      </c>
      <c r="AG431">
        <f t="shared" si="35"/>
        <v>2.5128469909646309</v>
      </c>
    </row>
    <row r="432" spans="1:33">
      <c r="A432" s="3" t="s">
        <v>91</v>
      </c>
      <c r="B432" s="3" t="s">
        <v>77</v>
      </c>
      <c r="C432" s="3" t="s">
        <v>78</v>
      </c>
      <c r="D432" s="3" t="s">
        <v>75</v>
      </c>
      <c r="E432" s="3">
        <v>23</v>
      </c>
      <c r="F432" s="3">
        <v>1.0768083227015901</v>
      </c>
      <c r="G432" s="3">
        <v>2.4370679104202249</v>
      </c>
      <c r="H432" s="3">
        <f t="shared" si="32"/>
        <v>7.4001408984688447E-2</v>
      </c>
      <c r="I432" s="3">
        <f t="shared" si="33"/>
        <v>0.89079564065621353</v>
      </c>
      <c r="L432">
        <v>2.4370679104202249</v>
      </c>
      <c r="M432">
        <f t="shared" si="34"/>
        <v>0.89079564065621353</v>
      </c>
      <c r="AG432">
        <f t="shared" si="35"/>
        <v>2.4370679104202249</v>
      </c>
    </row>
    <row r="433" spans="1:33">
      <c r="A433" s="3" t="s">
        <v>91</v>
      </c>
      <c r="B433" s="3" t="s">
        <v>77</v>
      </c>
      <c r="C433" s="3" t="s">
        <v>78</v>
      </c>
      <c r="D433" s="3" t="s">
        <v>75</v>
      </c>
      <c r="E433" s="3">
        <v>24</v>
      </c>
      <c r="F433" s="3">
        <v>1.0504462263747401</v>
      </c>
      <c r="G433" s="3">
        <v>2.4911041728518697</v>
      </c>
      <c r="H433" s="3">
        <f t="shared" si="32"/>
        <v>4.9215051391823111E-2</v>
      </c>
      <c r="I433" s="3">
        <f t="shared" si="33"/>
        <v>0.91272605509726223</v>
      </c>
      <c r="L433">
        <v>2.4911041728518697</v>
      </c>
      <c r="M433">
        <f t="shared" si="34"/>
        <v>0.91272605509726223</v>
      </c>
      <c r="AG433">
        <f t="shared" si="35"/>
        <v>2.4911041728518697</v>
      </c>
    </row>
    <row r="434" spans="1:33">
      <c r="A434" s="3" t="s">
        <v>91</v>
      </c>
      <c r="B434" s="3" t="s">
        <v>103</v>
      </c>
      <c r="C434" s="3" t="s">
        <v>78</v>
      </c>
      <c r="D434" s="3" t="s">
        <v>79</v>
      </c>
      <c r="E434" s="3">
        <v>1</v>
      </c>
      <c r="F434" s="3">
        <v>1.05990822424687</v>
      </c>
      <c r="G434" s="3">
        <v>2.5824213443975403</v>
      </c>
      <c r="H434" s="3">
        <f t="shared" si="32"/>
        <v>5.8182323476454155E-2</v>
      </c>
      <c r="I434" s="3">
        <f t="shared" si="33"/>
        <v>0.94872746439295497</v>
      </c>
      <c r="L434">
        <v>2.5824213443975403</v>
      </c>
      <c r="M434">
        <f t="shared" si="34"/>
        <v>0.94872746439295497</v>
      </c>
      <c r="AG434">
        <f t="shared" si="35"/>
        <v>2.5824213443975403</v>
      </c>
    </row>
    <row r="435" spans="1:33">
      <c r="A435" s="3" t="s">
        <v>91</v>
      </c>
      <c r="B435" s="3" t="s">
        <v>103</v>
      </c>
      <c r="C435" s="3" t="s">
        <v>78</v>
      </c>
      <c r="D435" s="3" t="s">
        <v>79</v>
      </c>
      <c r="E435" s="3">
        <v>3</v>
      </c>
      <c r="F435" s="3">
        <v>1.0406736589232699</v>
      </c>
      <c r="G435" s="3">
        <v>2.5072694310743713</v>
      </c>
      <c r="H435" s="3">
        <f t="shared" si="32"/>
        <v>3.9868252419153177E-2</v>
      </c>
      <c r="I435" s="3">
        <f t="shared" si="33"/>
        <v>0.91919428491102928</v>
      </c>
      <c r="L435">
        <v>2.5072694310743713</v>
      </c>
      <c r="M435">
        <f t="shared" si="34"/>
        <v>0.91919428491102928</v>
      </c>
      <c r="AG435">
        <f t="shared" si="35"/>
        <v>2.5072694310743713</v>
      </c>
    </row>
    <row r="436" spans="1:33">
      <c r="A436" s="3" t="s">
        <v>91</v>
      </c>
      <c r="B436" s="3" t="s">
        <v>103</v>
      </c>
      <c r="C436" s="3" t="s">
        <v>78</v>
      </c>
      <c r="D436" s="3" t="s">
        <v>79</v>
      </c>
      <c r="E436" s="3">
        <v>4</v>
      </c>
      <c r="F436" s="3">
        <v>1.04194021674951</v>
      </c>
      <c r="G436" s="3">
        <v>2.5433245958783943</v>
      </c>
      <c r="H436" s="3">
        <f t="shared" si="32"/>
        <v>4.1084568124318557E-2</v>
      </c>
      <c r="I436" s="3">
        <f t="shared" si="33"/>
        <v>0.93347212118790956</v>
      </c>
      <c r="L436">
        <v>2.5433245958783943</v>
      </c>
      <c r="M436">
        <f t="shared" si="34"/>
        <v>0.93347212118790956</v>
      </c>
      <c r="AG436">
        <f t="shared" si="35"/>
        <v>2.5433245958783943</v>
      </c>
    </row>
    <row r="437" spans="1:33">
      <c r="A437" s="3" t="s">
        <v>91</v>
      </c>
      <c r="B437" s="3" t="s">
        <v>103</v>
      </c>
      <c r="C437" s="3" t="s">
        <v>78</v>
      </c>
      <c r="D437" s="3" t="s">
        <v>79</v>
      </c>
      <c r="E437" s="3">
        <v>5</v>
      </c>
      <c r="F437" s="3">
        <v>1.0452588804916101</v>
      </c>
      <c r="G437" s="3">
        <v>2.5238858928247923</v>
      </c>
      <c r="H437" s="3">
        <f t="shared" si="32"/>
        <v>4.4264587263995146E-2</v>
      </c>
      <c r="I437" s="3">
        <f t="shared" si="33"/>
        <v>0.92579973479203592</v>
      </c>
      <c r="L437">
        <v>2.5238858928247923</v>
      </c>
      <c r="M437">
        <f t="shared" si="34"/>
        <v>0.92579973479203592</v>
      </c>
      <c r="AG437">
        <f t="shared" si="35"/>
        <v>2.5238858928247923</v>
      </c>
    </row>
    <row r="438" spans="1:33">
      <c r="A438" s="3" t="s">
        <v>91</v>
      </c>
      <c r="B438" s="3" t="s">
        <v>103</v>
      </c>
      <c r="C438" s="3" t="s">
        <v>78</v>
      </c>
      <c r="D438" s="3" t="s">
        <v>79</v>
      </c>
      <c r="E438" s="3">
        <v>6</v>
      </c>
      <c r="F438" s="3">
        <v>1.0302926579271301</v>
      </c>
      <c r="G438" s="3">
        <v>2.5471749056552833</v>
      </c>
      <c r="H438" s="3">
        <f t="shared" si="32"/>
        <v>2.98428957929847E-2</v>
      </c>
      <c r="I438" s="3">
        <f t="shared" si="33"/>
        <v>0.9349848648823077</v>
      </c>
      <c r="L438">
        <v>2.5471749056552833</v>
      </c>
      <c r="M438">
        <f t="shared" si="34"/>
        <v>0.9349848648823077</v>
      </c>
      <c r="AG438">
        <f t="shared" si="35"/>
        <v>2.5471749056552833</v>
      </c>
    </row>
    <row r="439" spans="1:33">
      <c r="A439" s="3" t="s">
        <v>91</v>
      </c>
      <c r="B439" s="3" t="s">
        <v>103</v>
      </c>
      <c r="C439" s="3" t="s">
        <v>78</v>
      </c>
      <c r="D439" s="3" t="s">
        <v>79</v>
      </c>
      <c r="E439" s="3">
        <v>7</v>
      </c>
      <c r="F439" s="3">
        <v>1.07105866026485</v>
      </c>
      <c r="G439" s="3">
        <v>2.5962472917655592</v>
      </c>
      <c r="H439" s="3">
        <f t="shared" si="32"/>
        <v>6.8647561454830766E-2</v>
      </c>
      <c r="I439" s="3">
        <f t="shared" si="33"/>
        <v>0.95406705307449091</v>
      </c>
      <c r="L439">
        <v>2.5962472917655592</v>
      </c>
      <c r="M439">
        <f t="shared" si="34"/>
        <v>0.95406705307449091</v>
      </c>
      <c r="AG439">
        <f t="shared" si="35"/>
        <v>2.5962472917655592</v>
      </c>
    </row>
    <row r="440" spans="1:33">
      <c r="A440" s="3" t="s">
        <v>91</v>
      </c>
      <c r="B440" s="3" t="s">
        <v>103</v>
      </c>
      <c r="C440" s="3" t="s">
        <v>78</v>
      </c>
      <c r="D440" s="3" t="s">
        <v>79</v>
      </c>
      <c r="E440" s="3">
        <v>8</v>
      </c>
      <c r="F440" s="3">
        <v>1.04915890873437</v>
      </c>
      <c r="G440" s="3">
        <v>2.5460754112948027</v>
      </c>
      <c r="H440" s="3">
        <f t="shared" si="32"/>
        <v>4.7988803865415777E-2</v>
      </c>
      <c r="I440" s="3">
        <f t="shared" si="33"/>
        <v>0.93455311921534112</v>
      </c>
      <c r="L440">
        <v>2.5460754112948027</v>
      </c>
      <c r="M440">
        <f t="shared" si="34"/>
        <v>0.93455311921534112</v>
      </c>
      <c r="AG440">
        <f t="shared" si="35"/>
        <v>2.5460754112948027</v>
      </c>
    </row>
    <row r="441" spans="1:33">
      <c r="A441" s="3" t="s">
        <v>91</v>
      </c>
      <c r="B441" s="3" t="s">
        <v>103</v>
      </c>
      <c r="C441" s="3" t="s">
        <v>78</v>
      </c>
      <c r="D441" s="3" t="s">
        <v>79</v>
      </c>
      <c r="E441" s="3">
        <v>9</v>
      </c>
      <c r="F441" s="3">
        <v>1.0582859866215399</v>
      </c>
      <c r="G441" s="3">
        <v>2.5460754112948027</v>
      </c>
      <c r="H441" s="3">
        <f t="shared" si="32"/>
        <v>5.6650605625300145E-2</v>
      </c>
      <c r="I441" s="3">
        <f t="shared" si="33"/>
        <v>0.93455311921534112</v>
      </c>
      <c r="L441">
        <v>2.5460754112948027</v>
      </c>
      <c r="M441">
        <f t="shared" si="34"/>
        <v>0.93455311921534112</v>
      </c>
      <c r="AG441">
        <f t="shared" si="35"/>
        <v>2.5460754112948027</v>
      </c>
    </row>
    <row r="442" spans="1:33">
      <c r="A442" s="3" t="s">
        <v>91</v>
      </c>
      <c r="B442" s="3" t="s">
        <v>103</v>
      </c>
      <c r="C442" s="3" t="s">
        <v>78</v>
      </c>
      <c r="D442" s="3" t="s">
        <v>79</v>
      </c>
      <c r="E442" s="3">
        <v>10</v>
      </c>
      <c r="F442" s="3">
        <v>1.0754977671746999</v>
      </c>
      <c r="G442" s="3">
        <v>2.5674306222369476</v>
      </c>
      <c r="H442" s="3">
        <f t="shared" si="32"/>
        <v>7.2783593642320996E-2</v>
      </c>
      <c r="I442" s="3">
        <f t="shared" si="33"/>
        <v>0.94290564093141727</v>
      </c>
      <c r="L442">
        <v>2.5674306222369476</v>
      </c>
      <c r="M442">
        <f t="shared" si="34"/>
        <v>0.94290564093141727</v>
      </c>
      <c r="AG442">
        <f t="shared" si="35"/>
        <v>2.5674306222369476</v>
      </c>
    </row>
    <row r="443" spans="1:33">
      <c r="A443" s="3" t="s">
        <v>91</v>
      </c>
      <c r="B443" s="3" t="s">
        <v>103</v>
      </c>
      <c r="C443" s="3" t="s">
        <v>78</v>
      </c>
      <c r="D443" s="3" t="s">
        <v>79</v>
      </c>
      <c r="E443" s="3">
        <v>11</v>
      </c>
      <c r="F443" s="3">
        <v>1.0315916304931401</v>
      </c>
      <c r="G443" s="3">
        <v>2.5211505310076192</v>
      </c>
      <c r="H443" s="3">
        <f t="shared" si="32"/>
        <v>3.1102881860248885E-2</v>
      </c>
      <c r="I443" s="3">
        <f t="shared" si="33"/>
        <v>0.92471535725522036</v>
      </c>
      <c r="L443">
        <v>2.5211505310076192</v>
      </c>
      <c r="M443">
        <f t="shared" si="34"/>
        <v>0.92471535725522036</v>
      </c>
      <c r="AG443">
        <f t="shared" si="35"/>
        <v>2.5211505310076192</v>
      </c>
    </row>
    <row r="444" spans="1:33">
      <c r="A444" s="3" t="s">
        <v>91</v>
      </c>
      <c r="B444" s="3" t="s">
        <v>103</v>
      </c>
      <c r="C444" s="3" t="s">
        <v>78</v>
      </c>
      <c r="D444" s="3" t="s">
        <v>79</v>
      </c>
      <c r="E444" s="3">
        <v>12</v>
      </c>
      <c r="F444" s="3">
        <v>1.01844571517459</v>
      </c>
      <c r="G444" s="3">
        <v>2.4989797918350605</v>
      </c>
      <c r="H444" s="3">
        <f t="shared" si="32"/>
        <v>1.8277656466638696E-2</v>
      </c>
      <c r="I444" s="3">
        <f t="shared" si="33"/>
        <v>0.91588256531954337</v>
      </c>
      <c r="L444">
        <v>2.4989797918350605</v>
      </c>
      <c r="M444">
        <f t="shared" si="34"/>
        <v>0.91588256531954337</v>
      </c>
      <c r="AG444">
        <f t="shared" si="35"/>
        <v>2.4989797918350605</v>
      </c>
    </row>
    <row r="445" spans="1:33">
      <c r="A445" s="3" t="s">
        <v>91</v>
      </c>
      <c r="B445" s="3" t="s">
        <v>103</v>
      </c>
      <c r="C445" s="3" t="s">
        <v>78</v>
      </c>
      <c r="D445" s="3" t="s">
        <v>79</v>
      </c>
      <c r="E445" s="3">
        <v>14</v>
      </c>
      <c r="F445" s="3">
        <v>1.03923918855842</v>
      </c>
      <c r="G445" s="3">
        <v>2.5726639889422018</v>
      </c>
      <c r="H445" s="3">
        <f t="shared" si="32"/>
        <v>3.8488895977343729E-2</v>
      </c>
      <c r="I445" s="3">
        <f t="shared" si="33"/>
        <v>0.94494193361062706</v>
      </c>
      <c r="L445">
        <v>2.5726639889422018</v>
      </c>
      <c r="M445">
        <f t="shared" si="34"/>
        <v>0.94494193361062706</v>
      </c>
      <c r="AG445">
        <f t="shared" si="35"/>
        <v>2.5726639889422018</v>
      </c>
    </row>
    <row r="446" spans="1:33">
      <c r="A446" s="3" t="s">
        <v>91</v>
      </c>
      <c r="B446" s="3" t="s">
        <v>103</v>
      </c>
      <c r="C446" s="3" t="s">
        <v>78</v>
      </c>
      <c r="D446" s="3" t="s">
        <v>79</v>
      </c>
      <c r="E446" s="3">
        <v>15</v>
      </c>
      <c r="F446" s="3">
        <v>1.0480200504571699</v>
      </c>
      <c r="G446" s="3">
        <v>2.5690854403853525</v>
      </c>
      <c r="H446" s="3">
        <f t="shared" si="32"/>
        <v>4.6902717831454013E-2</v>
      </c>
      <c r="I446" s="3">
        <f t="shared" si="33"/>
        <v>0.94354997580177769</v>
      </c>
      <c r="L446">
        <v>2.5690854403853525</v>
      </c>
      <c r="M446">
        <f t="shared" si="34"/>
        <v>0.94354997580177769</v>
      </c>
      <c r="AG446">
        <f t="shared" si="35"/>
        <v>2.5690854403853525</v>
      </c>
    </row>
    <row r="447" spans="1:33">
      <c r="A447" s="3" t="s">
        <v>91</v>
      </c>
      <c r="B447" s="3" t="s">
        <v>103</v>
      </c>
      <c r="C447" s="3" t="s">
        <v>78</v>
      </c>
      <c r="D447" s="3" t="s">
        <v>79</v>
      </c>
      <c r="E447" s="3">
        <v>16</v>
      </c>
      <c r="F447" s="3">
        <v>1.0521608952044701</v>
      </c>
      <c r="G447" s="3">
        <v>2.5355867171130235</v>
      </c>
      <c r="H447" s="3">
        <f t="shared" si="32"/>
        <v>5.0846044830623084E-2</v>
      </c>
      <c r="I447" s="3">
        <f t="shared" si="33"/>
        <v>0.9304250568564244</v>
      </c>
      <c r="L447">
        <v>2.5355867171130235</v>
      </c>
      <c r="M447">
        <f t="shared" si="34"/>
        <v>0.9304250568564244</v>
      </c>
      <c r="AG447">
        <f t="shared" si="35"/>
        <v>2.5355867171130235</v>
      </c>
    </row>
    <row r="448" spans="1:33">
      <c r="A448" s="3" t="s">
        <v>91</v>
      </c>
      <c r="B448" s="3" t="s">
        <v>103</v>
      </c>
      <c r="C448" s="3" t="s">
        <v>78</v>
      </c>
      <c r="D448" s="3" t="s">
        <v>79</v>
      </c>
      <c r="E448" s="3">
        <v>17</v>
      </c>
      <c r="F448" s="3">
        <v>1.0454269113582999</v>
      </c>
      <c r="G448" s="3">
        <v>2.5599414055794325</v>
      </c>
      <c r="H448" s="3">
        <f t="shared" si="32"/>
        <v>4.4425329607686054E-2</v>
      </c>
      <c r="I448" s="3">
        <f t="shared" si="33"/>
        <v>0.93998436978399247</v>
      </c>
      <c r="L448">
        <v>2.5599414055794325</v>
      </c>
      <c r="M448">
        <f t="shared" si="34"/>
        <v>0.93998436978399247</v>
      </c>
      <c r="AG448">
        <f t="shared" si="35"/>
        <v>2.5599414055794325</v>
      </c>
    </row>
    <row r="449" spans="1:33">
      <c r="A449" s="3" t="s">
        <v>91</v>
      </c>
      <c r="B449" s="3" t="s">
        <v>103</v>
      </c>
      <c r="C449" s="3" t="s">
        <v>78</v>
      </c>
      <c r="D449" s="3" t="s">
        <v>79</v>
      </c>
      <c r="E449" s="3">
        <v>18</v>
      </c>
      <c r="F449" s="3">
        <v>1.0592789342136899</v>
      </c>
      <c r="G449" s="3">
        <v>2.5711087102648928</v>
      </c>
      <c r="H449" s="3">
        <f t="shared" si="32"/>
        <v>5.7588425906657727E-2</v>
      </c>
      <c r="I449" s="3">
        <f t="shared" si="33"/>
        <v>0.94433721065117571</v>
      </c>
      <c r="L449">
        <v>2.5711087102648928</v>
      </c>
      <c r="M449">
        <f t="shared" si="34"/>
        <v>0.94433721065117571</v>
      </c>
      <c r="AG449">
        <f t="shared" si="35"/>
        <v>2.5711087102648928</v>
      </c>
    </row>
    <row r="450" spans="1:33">
      <c r="A450" s="3" t="s">
        <v>91</v>
      </c>
      <c r="B450" s="3" t="s">
        <v>103</v>
      </c>
      <c r="C450" s="3" t="s">
        <v>78</v>
      </c>
      <c r="D450" s="3" t="s">
        <v>79</v>
      </c>
      <c r="E450" s="3">
        <v>19</v>
      </c>
      <c r="F450" s="3">
        <v>1.0340312191712</v>
      </c>
      <c r="G450" s="3">
        <v>2.5879142180528318</v>
      </c>
      <c r="H450" s="3">
        <f t="shared" ref="H450:H513" si="36">LN(F450)</f>
        <v>3.3464968252499637E-2</v>
      </c>
      <c r="I450" s="3">
        <f t="shared" ref="I450:I513" si="37">LN(G450)</f>
        <v>0.95085223005099362</v>
      </c>
      <c r="L450">
        <v>2.5879142180528318</v>
      </c>
      <c r="M450">
        <f t="shared" si="34"/>
        <v>0.95085223005099362</v>
      </c>
      <c r="AG450">
        <f t="shared" si="35"/>
        <v>2.5879142180528318</v>
      </c>
    </row>
    <row r="451" spans="1:33">
      <c r="A451" s="3" t="s">
        <v>91</v>
      </c>
      <c r="B451" s="3" t="s">
        <v>103</v>
      </c>
      <c r="C451" s="3" t="s">
        <v>78</v>
      </c>
      <c r="D451" s="3" t="s">
        <v>79</v>
      </c>
      <c r="E451" s="3">
        <v>20</v>
      </c>
      <c r="F451" s="3">
        <v>1.04385267227678</v>
      </c>
      <c r="G451" s="3">
        <v>2.5748980562344599</v>
      </c>
      <c r="H451" s="3">
        <f t="shared" si="36"/>
        <v>4.2918360993461954E-2</v>
      </c>
      <c r="I451" s="3">
        <f t="shared" si="37"/>
        <v>0.94580994352014192</v>
      </c>
      <c r="L451">
        <v>2.5748980562344599</v>
      </c>
      <c r="M451">
        <f t="shared" ref="M451:M474" si="38">LN(L451)</f>
        <v>0.94580994352014192</v>
      </c>
      <c r="AG451">
        <f t="shared" si="35"/>
        <v>2.5748980562344599</v>
      </c>
    </row>
    <row r="452" spans="1:33">
      <c r="A452" s="3" t="s">
        <v>91</v>
      </c>
      <c r="B452" s="3" t="s">
        <v>103</v>
      </c>
      <c r="C452" s="3" t="s">
        <v>78</v>
      </c>
      <c r="D452" s="3" t="s">
        <v>79</v>
      </c>
      <c r="E452" s="3">
        <v>21</v>
      </c>
      <c r="F452" s="3">
        <v>1.02274384662367</v>
      </c>
      <c r="G452" s="3">
        <v>2.5547798339583001</v>
      </c>
      <c r="H452" s="3">
        <f t="shared" si="36"/>
        <v>2.248906130833794E-2</v>
      </c>
      <c r="I452" s="3">
        <f t="shared" si="37"/>
        <v>0.93796604928064953</v>
      </c>
      <c r="L452">
        <v>2.5547798339583001</v>
      </c>
      <c r="M452">
        <f t="shared" si="38"/>
        <v>0.93796604928064953</v>
      </c>
      <c r="AG452">
        <f t="shared" si="35"/>
        <v>2.5547798339583001</v>
      </c>
    </row>
    <row r="453" spans="1:33">
      <c r="A453" s="3" t="s">
        <v>91</v>
      </c>
      <c r="B453" s="3" t="s">
        <v>103</v>
      </c>
      <c r="C453" s="3" t="s">
        <v>78</v>
      </c>
      <c r="D453" s="3" t="s">
        <v>75</v>
      </c>
      <c r="E453" s="3">
        <v>1</v>
      </c>
      <c r="F453" s="3">
        <v>1.0964422727957599</v>
      </c>
      <c r="G453" s="3">
        <v>2.5006399181009651</v>
      </c>
      <c r="H453" s="3">
        <f t="shared" si="36"/>
        <v>9.2070640700822326E-2</v>
      </c>
      <c r="I453" s="3">
        <f t="shared" si="37"/>
        <v>0.91654666636051618</v>
      </c>
      <c r="L453">
        <v>2.5006399181009651</v>
      </c>
      <c r="M453">
        <f t="shared" si="38"/>
        <v>0.91654666636051618</v>
      </c>
      <c r="AG453">
        <f t="shared" si="35"/>
        <v>2.5006399181009651</v>
      </c>
    </row>
    <row r="454" spans="1:33">
      <c r="A454" s="3" t="s">
        <v>91</v>
      </c>
      <c r="B454" s="3" t="s">
        <v>103</v>
      </c>
      <c r="C454" s="3" t="s">
        <v>78</v>
      </c>
      <c r="D454" s="3" t="s">
        <v>75</v>
      </c>
      <c r="E454" s="3">
        <v>2</v>
      </c>
      <c r="F454" s="3">
        <v>1.0556431667519299</v>
      </c>
      <c r="G454" s="3">
        <v>2.5193848455525805</v>
      </c>
      <c r="H454" s="3">
        <f t="shared" si="36"/>
        <v>5.4150217906735368E-2</v>
      </c>
      <c r="I454" s="3">
        <f t="shared" si="37"/>
        <v>0.92401476281619677</v>
      </c>
      <c r="L454">
        <v>2.5193848455525805</v>
      </c>
      <c r="M454">
        <f t="shared" si="38"/>
        <v>0.92401476281619677</v>
      </c>
      <c r="AG454">
        <f t="shared" si="35"/>
        <v>2.5193848455525805</v>
      </c>
    </row>
    <row r="455" spans="1:33">
      <c r="A455" s="3" t="s">
        <v>91</v>
      </c>
      <c r="B455" s="3" t="s">
        <v>103</v>
      </c>
      <c r="C455" s="3" t="s">
        <v>78</v>
      </c>
      <c r="D455" s="3" t="s">
        <v>75</v>
      </c>
      <c r="E455" s="3">
        <v>3</v>
      </c>
      <c r="F455" s="3">
        <v>1.06461474817683</v>
      </c>
      <c r="G455" s="3">
        <v>2.5439536159293472</v>
      </c>
      <c r="H455" s="3">
        <f t="shared" si="36"/>
        <v>6.2612994917027001E-2</v>
      </c>
      <c r="I455" s="3">
        <f t="shared" si="37"/>
        <v>0.93371941257948254</v>
      </c>
      <c r="L455">
        <v>2.5439536159293472</v>
      </c>
      <c r="M455">
        <f t="shared" si="38"/>
        <v>0.93371941257948254</v>
      </c>
      <c r="AG455">
        <f t="shared" si="35"/>
        <v>2.5439536159293472</v>
      </c>
    </row>
    <row r="456" spans="1:33">
      <c r="A456" s="3" t="s">
        <v>91</v>
      </c>
      <c r="B456" s="3" t="s">
        <v>103</v>
      </c>
      <c r="C456" s="3" t="s">
        <v>78</v>
      </c>
      <c r="D456" s="3" t="s">
        <v>75</v>
      </c>
      <c r="E456" s="3">
        <v>4</v>
      </c>
      <c r="F456" s="3">
        <v>1.0561603869218099</v>
      </c>
      <c r="G456" s="3">
        <v>2.5547798339583001</v>
      </c>
      <c r="H456" s="3">
        <f t="shared" si="36"/>
        <v>5.4640055305978368E-2</v>
      </c>
      <c r="I456" s="3">
        <f t="shared" si="37"/>
        <v>0.93796604928064953</v>
      </c>
      <c r="L456">
        <v>2.5547798339583001</v>
      </c>
      <c r="M456">
        <f t="shared" si="38"/>
        <v>0.93796604928064953</v>
      </c>
      <c r="AG456">
        <f t="shared" si="35"/>
        <v>2.5547798339583001</v>
      </c>
    </row>
    <row r="457" spans="1:33">
      <c r="A457" s="3" t="s">
        <v>91</v>
      </c>
      <c r="B457" s="3" t="s">
        <v>103</v>
      </c>
      <c r="C457" s="3" t="s">
        <v>78</v>
      </c>
      <c r="D457" s="3" t="s">
        <v>75</v>
      </c>
      <c r="E457" s="3">
        <v>5</v>
      </c>
      <c r="F457" s="3">
        <v>1.0442815414651601</v>
      </c>
      <c r="G457" s="3">
        <v>2.5312447530809821</v>
      </c>
      <c r="H457" s="3">
        <f t="shared" si="36"/>
        <v>4.3329128837394516E-2</v>
      </c>
      <c r="I457" s="3">
        <f t="shared" si="37"/>
        <v>0.92871117901366784</v>
      </c>
      <c r="L457">
        <v>2.5312447530809821</v>
      </c>
      <c r="M457">
        <f t="shared" si="38"/>
        <v>0.92871117901366784</v>
      </c>
      <c r="AG457">
        <f t="shared" si="35"/>
        <v>2.5312447530809821</v>
      </c>
    </row>
    <row r="458" spans="1:33">
      <c r="A458" s="3" t="s">
        <v>91</v>
      </c>
      <c r="B458" s="3" t="s">
        <v>103</v>
      </c>
      <c r="C458" s="3" t="s">
        <v>78</v>
      </c>
      <c r="D458" s="3" t="s">
        <v>75</v>
      </c>
      <c r="E458" s="3">
        <v>6</v>
      </c>
      <c r="F458" s="3">
        <v>1.0225158853718701</v>
      </c>
      <c r="G458" s="3">
        <v>2.5001799935204669</v>
      </c>
      <c r="H458" s="3">
        <f t="shared" si="36"/>
        <v>2.22661446301501E-2</v>
      </c>
      <c r="I458" s="3">
        <f t="shared" si="37"/>
        <v>0.91636272669065288</v>
      </c>
      <c r="L458">
        <v>2.5001799935204669</v>
      </c>
      <c r="M458">
        <f t="shared" si="38"/>
        <v>0.91636272669065288</v>
      </c>
      <c r="AG458">
        <f t="shared" si="35"/>
        <v>2.5001799935204669</v>
      </c>
    </row>
    <row r="459" spans="1:33">
      <c r="A459" s="3" t="s">
        <v>91</v>
      </c>
      <c r="B459" s="3" t="s">
        <v>103</v>
      </c>
      <c r="C459" s="3" t="s">
        <v>78</v>
      </c>
      <c r="D459" s="3" t="s">
        <v>75</v>
      </c>
      <c r="E459" s="3">
        <v>7</v>
      </c>
      <c r="F459" s="3">
        <v>1.0716978754079001</v>
      </c>
      <c r="G459" s="3">
        <v>2.5853626438084079</v>
      </c>
      <c r="H459" s="3">
        <f t="shared" si="36"/>
        <v>6.9244190284443438E-2</v>
      </c>
      <c r="I459" s="3">
        <f t="shared" si="37"/>
        <v>0.94986578586118409</v>
      </c>
      <c r="L459">
        <v>2.5853626438084079</v>
      </c>
      <c r="M459">
        <f t="shared" si="38"/>
        <v>0.94986578586118409</v>
      </c>
      <c r="AG459">
        <f t="shared" si="35"/>
        <v>2.5853626438084079</v>
      </c>
    </row>
    <row r="460" spans="1:33">
      <c r="A460" s="3" t="s">
        <v>91</v>
      </c>
      <c r="B460" s="3" t="s">
        <v>103</v>
      </c>
      <c r="C460" s="3" t="s">
        <v>78</v>
      </c>
      <c r="D460" s="3" t="s">
        <v>75</v>
      </c>
      <c r="E460" s="3">
        <v>8</v>
      </c>
      <c r="F460" s="3">
        <v>1.0703597031624299</v>
      </c>
      <c r="G460" s="3">
        <v>2.584027863626861</v>
      </c>
      <c r="H460" s="3">
        <f t="shared" si="36"/>
        <v>6.7994763160785246E-2</v>
      </c>
      <c r="I460" s="3">
        <f t="shared" si="37"/>
        <v>0.94934936899954792</v>
      </c>
      <c r="L460">
        <v>2.584027863626861</v>
      </c>
      <c r="M460">
        <f t="shared" si="38"/>
        <v>0.94934936899954792</v>
      </c>
      <c r="AG460">
        <f t="shared" si="35"/>
        <v>2.584027863626861</v>
      </c>
    </row>
    <row r="461" spans="1:33">
      <c r="A461" s="3" t="s">
        <v>91</v>
      </c>
      <c r="B461" s="3" t="s">
        <v>103</v>
      </c>
      <c r="C461" s="3" t="s">
        <v>78</v>
      </c>
      <c r="D461" s="3" t="s">
        <v>75</v>
      </c>
      <c r="E461" s="3">
        <v>9</v>
      </c>
      <c r="F461" s="3">
        <v>1.0655044474975199</v>
      </c>
      <c r="G461" s="3">
        <v>2.6299239532731744</v>
      </c>
      <c r="H461" s="3">
        <f t="shared" si="36"/>
        <v>6.3448346642163894E-2</v>
      </c>
      <c r="I461" s="3">
        <f t="shared" si="37"/>
        <v>0.96695493066636662</v>
      </c>
      <c r="L461">
        <v>2.6299239532731744</v>
      </c>
      <c r="M461">
        <f t="shared" si="38"/>
        <v>0.96695493066636662</v>
      </c>
      <c r="AG461">
        <f t="shared" ref="AG461:AG474" si="39">G461</f>
        <v>2.6299239532731744</v>
      </c>
    </row>
    <row r="462" spans="1:33">
      <c r="A462" s="3" t="s">
        <v>91</v>
      </c>
      <c r="B462" s="3" t="s">
        <v>103</v>
      </c>
      <c r="C462" s="3" t="s">
        <v>78</v>
      </c>
      <c r="D462" s="3" t="s">
        <v>75</v>
      </c>
      <c r="E462" s="3">
        <v>10</v>
      </c>
      <c r="F462" s="3">
        <v>1.04648612065887</v>
      </c>
      <c r="G462" s="3">
        <v>2.5707780923292467</v>
      </c>
      <c r="H462" s="3">
        <f t="shared" si="36"/>
        <v>4.5438000187081197E-2</v>
      </c>
      <c r="I462" s="3">
        <f t="shared" si="37"/>
        <v>0.94420861274585621</v>
      </c>
      <c r="L462">
        <v>2.5707780923292467</v>
      </c>
      <c r="M462">
        <f t="shared" si="38"/>
        <v>0.94420861274585621</v>
      </c>
      <c r="AG462">
        <f t="shared" si="39"/>
        <v>2.5707780923292467</v>
      </c>
    </row>
    <row r="463" spans="1:33">
      <c r="A463" s="3" t="s">
        <v>91</v>
      </c>
      <c r="B463" s="3" t="s">
        <v>103</v>
      </c>
      <c r="C463" s="3" t="s">
        <v>78</v>
      </c>
      <c r="D463" s="3" t="s">
        <v>75</v>
      </c>
      <c r="E463" s="3">
        <v>11</v>
      </c>
      <c r="F463" s="3">
        <v>1.0615410858998799</v>
      </c>
      <c r="G463" s="3">
        <v>2.5039169315294783</v>
      </c>
      <c r="H463" s="3">
        <f t="shared" si="36"/>
        <v>5.9721706923090916E-2</v>
      </c>
      <c r="I463" s="3">
        <f t="shared" si="37"/>
        <v>0.91785627837825867</v>
      </c>
      <c r="L463">
        <v>2.5039169315294783</v>
      </c>
      <c r="M463">
        <f t="shared" si="38"/>
        <v>0.91785627837825867</v>
      </c>
      <c r="AG463">
        <f t="shared" si="39"/>
        <v>2.5039169315294783</v>
      </c>
    </row>
    <row r="464" spans="1:33">
      <c r="A464" s="3" t="s">
        <v>91</v>
      </c>
      <c r="B464" s="3" t="s">
        <v>103</v>
      </c>
      <c r="C464" s="3" t="s">
        <v>78</v>
      </c>
      <c r="D464" s="3" t="s">
        <v>75</v>
      </c>
      <c r="E464" s="3">
        <v>12</v>
      </c>
      <c r="F464" s="3">
        <v>1.0519542422114301</v>
      </c>
      <c r="G464" s="3">
        <v>2.5518032839543099</v>
      </c>
      <c r="H464" s="3">
        <f t="shared" si="36"/>
        <v>5.0649617372800354E-2</v>
      </c>
      <c r="I464" s="3">
        <f t="shared" si="37"/>
        <v>0.93680027942148547</v>
      </c>
      <c r="L464">
        <v>2.5518032839543099</v>
      </c>
      <c r="M464">
        <f t="shared" si="38"/>
        <v>0.93680027942148547</v>
      </c>
      <c r="AG464">
        <f t="shared" si="39"/>
        <v>2.5518032839543099</v>
      </c>
    </row>
    <row r="465" spans="1:33">
      <c r="A465" s="3" t="s">
        <v>91</v>
      </c>
      <c r="B465" s="3" t="s">
        <v>103</v>
      </c>
      <c r="C465" s="3" t="s">
        <v>78</v>
      </c>
      <c r="D465" s="3" t="s">
        <v>75</v>
      </c>
      <c r="E465" s="3">
        <v>13</v>
      </c>
      <c r="F465" s="3">
        <v>1.0822719643812699</v>
      </c>
      <c r="G465" s="3">
        <v>2.6224606765402605</v>
      </c>
      <c r="H465" s="3">
        <f t="shared" si="36"/>
        <v>7.906250224259849E-2</v>
      </c>
      <c r="I465" s="3">
        <f t="shared" si="37"/>
        <v>0.96411306652966389</v>
      </c>
      <c r="L465">
        <v>2.6224606765402605</v>
      </c>
      <c r="M465">
        <f t="shared" si="38"/>
        <v>0.96411306652966389</v>
      </c>
      <c r="AG465">
        <f t="shared" si="39"/>
        <v>2.6224606765402605</v>
      </c>
    </row>
    <row r="466" spans="1:33">
      <c r="A466" s="3" t="s">
        <v>91</v>
      </c>
      <c r="B466" s="3" t="s">
        <v>103</v>
      </c>
      <c r="C466" s="3" t="s">
        <v>78</v>
      </c>
      <c r="D466" s="3" t="s">
        <v>75</v>
      </c>
      <c r="E466" s="3">
        <v>14</v>
      </c>
      <c r="F466" s="3">
        <v>1.0601018856776201</v>
      </c>
      <c r="G466" s="3">
        <v>2.5403149411047439</v>
      </c>
      <c r="H466" s="3">
        <f t="shared" si="36"/>
        <v>5.8365022068675144E-2</v>
      </c>
      <c r="I466" s="3">
        <f t="shared" si="37"/>
        <v>0.93228806590492574</v>
      </c>
      <c r="L466">
        <v>2.5403149411047439</v>
      </c>
      <c r="M466">
        <f t="shared" si="38"/>
        <v>0.93228806590492574</v>
      </c>
      <c r="AG466">
        <f t="shared" si="39"/>
        <v>2.5403149411047439</v>
      </c>
    </row>
    <row r="467" spans="1:33">
      <c r="A467" s="3" t="s">
        <v>91</v>
      </c>
      <c r="B467" s="3" t="s">
        <v>103</v>
      </c>
      <c r="C467" s="3" t="s">
        <v>78</v>
      </c>
      <c r="D467" s="3" t="s">
        <v>75</v>
      </c>
      <c r="E467" s="3">
        <v>15</v>
      </c>
      <c r="F467" s="3">
        <v>1.0365133572770799</v>
      </c>
      <c r="G467" s="3">
        <v>2.5045957757690163</v>
      </c>
      <c r="H467" s="3">
        <f t="shared" si="36"/>
        <v>3.5862539715707548E-2</v>
      </c>
      <c r="I467" s="3">
        <f t="shared" si="37"/>
        <v>0.9181273545573031</v>
      </c>
      <c r="L467">
        <v>2.5045957757690163</v>
      </c>
      <c r="M467">
        <f t="shared" si="38"/>
        <v>0.9181273545573031</v>
      </c>
      <c r="AG467">
        <f t="shared" si="39"/>
        <v>2.5045957757690163</v>
      </c>
    </row>
    <row r="468" spans="1:33">
      <c r="A468" s="3" t="s">
        <v>91</v>
      </c>
      <c r="B468" s="3" t="s">
        <v>103</v>
      </c>
      <c r="C468" s="3" t="s">
        <v>78</v>
      </c>
      <c r="D468" s="3" t="s">
        <v>75</v>
      </c>
      <c r="E468" s="3">
        <v>17</v>
      </c>
      <c r="F468" s="3">
        <v>1.0355374258615899</v>
      </c>
      <c r="G468" s="3">
        <v>2.5092827660508887</v>
      </c>
      <c r="H468" s="3">
        <f t="shared" si="36"/>
        <v>3.4920543992824488E-2</v>
      </c>
      <c r="I468" s="3">
        <f t="shared" si="37"/>
        <v>0.91999696173188195</v>
      </c>
      <c r="L468">
        <v>2.5092827660508887</v>
      </c>
      <c r="M468">
        <f t="shared" si="38"/>
        <v>0.91999696173188195</v>
      </c>
      <c r="AG468">
        <f t="shared" si="39"/>
        <v>2.5092827660508887</v>
      </c>
    </row>
    <row r="469" spans="1:33">
      <c r="A469" s="3" t="s">
        <v>91</v>
      </c>
      <c r="B469" s="3" t="s">
        <v>103</v>
      </c>
      <c r="C469" s="3" t="s">
        <v>78</v>
      </c>
      <c r="D469" s="3" t="s">
        <v>75</v>
      </c>
      <c r="E469" s="3">
        <v>19</v>
      </c>
      <c r="F469" s="3">
        <v>1.0929899162576</v>
      </c>
      <c r="G469" s="3">
        <v>2.5897104085206131</v>
      </c>
      <c r="H469" s="3">
        <f t="shared" si="36"/>
        <v>8.8916983403994079E-2</v>
      </c>
      <c r="I469" s="3">
        <f t="shared" si="37"/>
        <v>0.95154605807808512</v>
      </c>
      <c r="L469">
        <v>2.5897104085206131</v>
      </c>
      <c r="M469">
        <f t="shared" si="38"/>
        <v>0.95154605807808512</v>
      </c>
      <c r="AG469">
        <f t="shared" si="39"/>
        <v>2.5897104085206131</v>
      </c>
    </row>
    <row r="470" spans="1:33">
      <c r="A470" s="3" t="s">
        <v>91</v>
      </c>
      <c r="B470" s="3" t="s">
        <v>103</v>
      </c>
      <c r="C470" s="3" t="s">
        <v>78</v>
      </c>
      <c r="D470" s="3" t="s">
        <v>75</v>
      </c>
      <c r="E470" s="3">
        <v>22</v>
      </c>
      <c r="F470" s="3">
        <v>1.05515007222059</v>
      </c>
      <c r="G470" s="3">
        <v>2.5144581921360314</v>
      </c>
      <c r="H470" s="3">
        <f t="shared" si="36"/>
        <v>5.3683005361986391E-2</v>
      </c>
      <c r="I470" s="3">
        <f t="shared" si="37"/>
        <v>0.92205734978099152</v>
      </c>
      <c r="L470">
        <v>2.5144581921360314</v>
      </c>
      <c r="M470">
        <f t="shared" si="38"/>
        <v>0.92205734978099152</v>
      </c>
      <c r="AG470">
        <f t="shared" si="39"/>
        <v>2.5144581921360314</v>
      </c>
    </row>
    <row r="471" spans="1:33">
      <c r="A471" s="3" t="s">
        <v>91</v>
      </c>
      <c r="B471" s="3" t="s">
        <v>103</v>
      </c>
      <c r="C471" s="3" t="s">
        <v>78</v>
      </c>
      <c r="D471" s="3" t="s">
        <v>75</v>
      </c>
      <c r="E471" s="3">
        <v>23</v>
      </c>
      <c r="F471" s="3">
        <v>1.06604607457081</v>
      </c>
      <c r="G471" s="3">
        <v>2.4465894629054543</v>
      </c>
      <c r="H471" s="3">
        <f t="shared" si="36"/>
        <v>6.3956546733449152E-2</v>
      </c>
      <c r="I471" s="3">
        <f t="shared" si="37"/>
        <v>0.89469499878966019</v>
      </c>
      <c r="L471">
        <v>2.4465894629054543</v>
      </c>
      <c r="M471">
        <f t="shared" si="38"/>
        <v>0.89469499878966019</v>
      </c>
      <c r="AG471">
        <f t="shared" si="39"/>
        <v>2.4465894629054543</v>
      </c>
    </row>
    <row r="472" spans="1:33">
      <c r="A472" s="3" t="s">
        <v>91</v>
      </c>
      <c r="B472" s="3" t="s">
        <v>103</v>
      </c>
      <c r="C472" s="3" t="s">
        <v>78</v>
      </c>
      <c r="D472" s="3" t="s">
        <v>75</v>
      </c>
      <c r="E472" s="3">
        <v>24</v>
      </c>
      <c r="F472" s="3">
        <v>1.0472644910926401</v>
      </c>
      <c r="G472" s="3">
        <v>2.5147763320025103</v>
      </c>
      <c r="H472" s="3">
        <f t="shared" si="36"/>
        <v>4.6181518030380654E-2</v>
      </c>
      <c r="I472" s="3">
        <f t="shared" si="37"/>
        <v>0.92218386599946423</v>
      </c>
      <c r="L472">
        <v>2.5147763320025103</v>
      </c>
      <c r="M472">
        <f t="shared" si="38"/>
        <v>0.92218386599946423</v>
      </c>
      <c r="AG472">
        <f t="shared" si="39"/>
        <v>2.5147763320025103</v>
      </c>
    </row>
    <row r="473" spans="1:33">
      <c r="A473" s="3" t="s">
        <v>91</v>
      </c>
      <c r="B473" s="3" t="s">
        <v>103</v>
      </c>
      <c r="C473" s="3" t="s">
        <v>78</v>
      </c>
      <c r="D473" s="3" t="s">
        <v>75</v>
      </c>
      <c r="E473" s="3">
        <v>25</v>
      </c>
      <c r="F473" s="3">
        <v>1.0331557969132701</v>
      </c>
      <c r="G473" s="3">
        <v>2.4200206610688264</v>
      </c>
      <c r="H473" s="3">
        <f t="shared" si="36"/>
        <v>3.2617998623287625E-2</v>
      </c>
      <c r="I473" s="3">
        <f t="shared" si="37"/>
        <v>0.88377607776389611</v>
      </c>
      <c r="L473">
        <v>2.4200206610688264</v>
      </c>
      <c r="M473">
        <f t="shared" si="38"/>
        <v>0.88377607776389611</v>
      </c>
      <c r="AG473">
        <f t="shared" si="39"/>
        <v>2.4200206610688264</v>
      </c>
    </row>
    <row r="474" spans="1:33">
      <c r="A474" s="3" t="s">
        <v>91</v>
      </c>
      <c r="B474" s="3" t="s">
        <v>103</v>
      </c>
      <c r="C474" s="3" t="s">
        <v>78</v>
      </c>
      <c r="D474" s="3" t="s">
        <v>75</v>
      </c>
      <c r="E474" s="3">
        <v>26</v>
      </c>
      <c r="F474" s="3">
        <v>1.06051858232761</v>
      </c>
      <c r="G474" s="3">
        <v>2.510019920239678</v>
      </c>
      <c r="H474" s="3">
        <f t="shared" si="36"/>
        <v>5.8758017101628798E-2</v>
      </c>
      <c r="I474" s="3">
        <f t="shared" si="37"/>
        <v>0.92029068946266923</v>
      </c>
      <c r="L474">
        <v>2.510019920239678</v>
      </c>
      <c r="M474">
        <f t="shared" si="38"/>
        <v>0.92029068946266923</v>
      </c>
      <c r="AG474">
        <f t="shared" si="39"/>
        <v>2.510019920239678</v>
      </c>
    </row>
    <row r="475" spans="1:33">
      <c r="A475" s="3" t="s">
        <v>91</v>
      </c>
      <c r="B475" s="3" t="s">
        <v>104</v>
      </c>
      <c r="C475" s="3" t="s">
        <v>78</v>
      </c>
      <c r="D475" s="3" t="s">
        <v>79</v>
      </c>
      <c r="E475" s="3">
        <v>1</v>
      </c>
      <c r="F475" s="3">
        <v>0.92469966765337996</v>
      </c>
      <c r="G475" s="3">
        <v>2.5494509212769718</v>
      </c>
      <c r="H475" s="3">
        <f t="shared" si="36"/>
        <v>-7.8286277808817459E-2</v>
      </c>
      <c r="I475" s="3">
        <f t="shared" si="37"/>
        <v>0.9358780109951581</v>
      </c>
      <c r="Q475">
        <f t="shared" ref="Q475:Q529" si="40">LN(F475)</f>
        <v>-7.8286277808817459E-2</v>
      </c>
      <c r="R475">
        <f t="shared" ref="R475:R529" si="41">LN(S475)</f>
        <v>0.9358780109951581</v>
      </c>
      <c r="S475">
        <v>2.5494509212769718</v>
      </c>
      <c r="U475">
        <f t="shared" ref="U475:U538" si="42">F475</f>
        <v>0.92469966765337996</v>
      </c>
      <c r="AE475">
        <v>2.5494509212769718</v>
      </c>
    </row>
    <row r="476" spans="1:33">
      <c r="A476" s="3" t="s">
        <v>91</v>
      </c>
      <c r="B476" s="3" t="s">
        <v>104</v>
      </c>
      <c r="C476" s="3" t="s">
        <v>78</v>
      </c>
      <c r="D476" s="3" t="s">
        <v>79</v>
      </c>
      <c r="E476" s="3">
        <v>2</v>
      </c>
      <c r="F476" s="3">
        <v>0.90481497349534801</v>
      </c>
      <c r="G476" s="3">
        <v>2.5147763320025103</v>
      </c>
      <c r="H476" s="3">
        <f t="shared" si="36"/>
        <v>-0.10002480536120389</v>
      </c>
      <c r="I476" s="3">
        <f t="shared" si="37"/>
        <v>0.92218386599946423</v>
      </c>
      <c r="Q476">
        <f t="shared" si="40"/>
        <v>-0.10002480536120389</v>
      </c>
      <c r="R476">
        <f t="shared" si="41"/>
        <v>0.92218386599946423</v>
      </c>
      <c r="S476">
        <v>2.5147763320025103</v>
      </c>
      <c r="U476">
        <f t="shared" si="42"/>
        <v>0.90481497349534801</v>
      </c>
      <c r="AE476">
        <v>2.5147763320025103</v>
      </c>
    </row>
    <row r="477" spans="1:33">
      <c r="A477" s="3" t="s">
        <v>91</v>
      </c>
      <c r="B477" s="3" t="s">
        <v>104</v>
      </c>
      <c r="C477" s="3" t="s">
        <v>78</v>
      </c>
      <c r="D477" s="3" t="s">
        <v>79</v>
      </c>
      <c r="E477" s="3">
        <v>3</v>
      </c>
      <c r="F477" s="3">
        <v>0.93248941218616099</v>
      </c>
      <c r="G477" s="3">
        <v>2.5601953050499877</v>
      </c>
      <c r="H477" s="3">
        <f t="shared" si="36"/>
        <v>-6.9897481752582175E-2</v>
      </c>
      <c r="I477" s="3">
        <f t="shared" si="37"/>
        <v>0.94008354661660953</v>
      </c>
      <c r="Q477">
        <f t="shared" si="40"/>
        <v>-6.9897481752582175E-2</v>
      </c>
      <c r="R477">
        <f t="shared" si="41"/>
        <v>0.94008354661660953</v>
      </c>
      <c r="S477">
        <v>2.5601953050499877</v>
      </c>
      <c r="U477">
        <f t="shared" si="42"/>
        <v>0.93248941218616099</v>
      </c>
      <c r="AE477">
        <v>2.5601953050499877</v>
      </c>
    </row>
    <row r="478" spans="1:33">
      <c r="A478" s="3" t="s">
        <v>91</v>
      </c>
      <c r="B478" s="3" t="s">
        <v>104</v>
      </c>
      <c r="C478" s="3" t="s">
        <v>78</v>
      </c>
      <c r="D478" s="3" t="s">
        <v>79</v>
      </c>
      <c r="E478" s="3">
        <v>4</v>
      </c>
      <c r="F478" s="3">
        <v>0.93774934251596698</v>
      </c>
      <c r="G478" s="3">
        <v>2.6670020622414223</v>
      </c>
      <c r="H478" s="3">
        <f t="shared" si="36"/>
        <v>-6.4272591149720198E-2</v>
      </c>
      <c r="I478" s="3">
        <f t="shared" si="37"/>
        <v>0.98095501844345612</v>
      </c>
      <c r="Q478">
        <f t="shared" si="40"/>
        <v>-6.4272591149720198E-2</v>
      </c>
      <c r="R478">
        <f t="shared" si="41"/>
        <v>0.98095501844345612</v>
      </c>
      <c r="S478">
        <v>2.6670020622414223</v>
      </c>
      <c r="U478">
        <f t="shared" si="42"/>
        <v>0.93774934251596698</v>
      </c>
      <c r="AE478">
        <v>2.6670020622414223</v>
      </c>
    </row>
    <row r="479" spans="1:33">
      <c r="A479" s="3" t="s">
        <v>91</v>
      </c>
      <c r="B479" s="3" t="s">
        <v>104</v>
      </c>
      <c r="C479" s="3" t="s">
        <v>78</v>
      </c>
      <c r="D479" s="3" t="s">
        <v>79</v>
      </c>
      <c r="E479" s="3">
        <v>5</v>
      </c>
      <c r="F479" s="3">
        <v>0.93019168025478205</v>
      </c>
      <c r="G479" s="3">
        <v>2.6532432983049259</v>
      </c>
      <c r="H479" s="3">
        <f t="shared" si="36"/>
        <v>-7.2364606271289239E-2</v>
      </c>
      <c r="I479" s="3">
        <f t="shared" si="37"/>
        <v>0.97578277781280043</v>
      </c>
      <c r="Q479">
        <f t="shared" si="40"/>
        <v>-7.2364606271289239E-2</v>
      </c>
      <c r="R479">
        <f t="shared" si="41"/>
        <v>0.97578277781280043</v>
      </c>
      <c r="S479">
        <v>2.6532432983049259</v>
      </c>
      <c r="U479">
        <f t="shared" si="42"/>
        <v>0.93019168025478205</v>
      </c>
      <c r="AE479">
        <v>2.6532432983049259</v>
      </c>
    </row>
    <row r="480" spans="1:33">
      <c r="A480" s="3" t="s">
        <v>91</v>
      </c>
      <c r="B480" s="3" t="s">
        <v>104</v>
      </c>
      <c r="C480" s="3" t="s">
        <v>78</v>
      </c>
      <c r="D480" s="3" t="s">
        <v>79</v>
      </c>
      <c r="E480" s="3">
        <v>6</v>
      </c>
      <c r="F480" s="3">
        <v>0.89709889649628605</v>
      </c>
      <c r="G480" s="3">
        <v>2.5188290930509756</v>
      </c>
      <c r="H480" s="3">
        <f t="shared" si="36"/>
        <v>-0.1085891704964808</v>
      </c>
      <c r="I480" s="3">
        <f t="shared" si="37"/>
        <v>0.9237941479274161</v>
      </c>
      <c r="Q480">
        <f t="shared" si="40"/>
        <v>-0.1085891704964808</v>
      </c>
      <c r="R480">
        <f t="shared" si="41"/>
        <v>0.9237941479274161</v>
      </c>
      <c r="S480">
        <v>2.5188290930509756</v>
      </c>
      <c r="U480">
        <f t="shared" si="42"/>
        <v>0.89709889649628605</v>
      </c>
      <c r="AE480">
        <v>2.5188290930509756</v>
      </c>
    </row>
    <row r="481" spans="1:31">
      <c r="A481" s="3" t="s">
        <v>91</v>
      </c>
      <c r="B481" s="3" t="s">
        <v>104</v>
      </c>
      <c r="C481" s="3" t="s">
        <v>78</v>
      </c>
      <c r="D481" s="3" t="s">
        <v>79</v>
      </c>
      <c r="E481" s="3">
        <v>7</v>
      </c>
      <c r="F481" s="3">
        <v>0.93009296368535699</v>
      </c>
      <c r="G481" s="3">
        <v>2.5292291315734921</v>
      </c>
      <c r="H481" s="3">
        <f t="shared" si="36"/>
        <v>-7.2470736878601713E-2</v>
      </c>
      <c r="I481" s="3">
        <f t="shared" si="37"/>
        <v>0.9279145652340004</v>
      </c>
      <c r="Q481">
        <f t="shared" si="40"/>
        <v>-7.2470736878601713E-2</v>
      </c>
      <c r="R481">
        <f t="shared" si="41"/>
        <v>0.9279145652340004</v>
      </c>
      <c r="S481">
        <v>2.5292291315734921</v>
      </c>
      <c r="U481">
        <f t="shared" si="42"/>
        <v>0.93009296368535699</v>
      </c>
      <c r="AE481">
        <v>2.5292291315734921</v>
      </c>
    </row>
    <row r="482" spans="1:31">
      <c r="A482" s="3" t="s">
        <v>91</v>
      </c>
      <c r="B482" s="3" t="s">
        <v>104</v>
      </c>
      <c r="C482" s="3" t="s">
        <v>78</v>
      </c>
      <c r="D482" s="3" t="s">
        <v>79</v>
      </c>
      <c r="E482" s="3">
        <v>8</v>
      </c>
      <c r="F482" s="3">
        <v>0.917128900171162</v>
      </c>
      <c r="G482" s="3">
        <v>2.5059928172283334</v>
      </c>
      <c r="H482" s="3">
        <f t="shared" si="36"/>
        <v>-8.6507249351147231E-2</v>
      </c>
      <c r="I482" s="3">
        <f t="shared" si="37"/>
        <v>0.91868499024005357</v>
      </c>
      <c r="Q482">
        <f t="shared" si="40"/>
        <v>-8.6507249351147231E-2</v>
      </c>
      <c r="R482">
        <f t="shared" si="41"/>
        <v>0.91868499024005357</v>
      </c>
      <c r="S482">
        <v>2.5059928172283334</v>
      </c>
      <c r="U482">
        <f t="shared" si="42"/>
        <v>0.917128900171162</v>
      </c>
      <c r="AE482">
        <v>2.5059928172283334</v>
      </c>
    </row>
    <row r="483" spans="1:31">
      <c r="A483" s="3" t="s">
        <v>91</v>
      </c>
      <c r="B483" s="3" t="s">
        <v>104</v>
      </c>
      <c r="C483" s="3" t="s">
        <v>78</v>
      </c>
      <c r="D483" s="3" t="s">
        <v>79</v>
      </c>
      <c r="E483" s="3">
        <v>9</v>
      </c>
      <c r="F483" s="3">
        <v>0.92678865834721802</v>
      </c>
      <c r="G483" s="3">
        <v>2.5536836139193126</v>
      </c>
      <c r="H483" s="3">
        <f t="shared" si="36"/>
        <v>-7.6029723931661811E-2</v>
      </c>
      <c r="I483" s="3">
        <f t="shared" si="37"/>
        <v>0.93753687128339114</v>
      </c>
      <c r="Q483">
        <f t="shared" si="40"/>
        <v>-7.6029723931661811E-2</v>
      </c>
      <c r="R483">
        <f t="shared" si="41"/>
        <v>0.93753687128339114</v>
      </c>
      <c r="S483">
        <v>2.5536836139193126</v>
      </c>
      <c r="U483">
        <f t="shared" si="42"/>
        <v>0.92678865834721802</v>
      </c>
      <c r="AE483">
        <v>2.5536836139193126</v>
      </c>
    </row>
    <row r="484" spans="1:31">
      <c r="A484" s="3" t="s">
        <v>91</v>
      </c>
      <c r="B484" s="3" t="s">
        <v>104</v>
      </c>
      <c r="C484" s="3" t="s">
        <v>78</v>
      </c>
      <c r="D484" s="3" t="s">
        <v>79</v>
      </c>
      <c r="E484" s="3">
        <v>10</v>
      </c>
      <c r="F484" s="3">
        <v>0.94098634821676796</v>
      </c>
      <c r="G484" s="3">
        <v>2.6016341018675164</v>
      </c>
      <c r="H484" s="3">
        <f t="shared" si="36"/>
        <v>-6.0826647241880957E-2</v>
      </c>
      <c r="I484" s="3">
        <f t="shared" si="37"/>
        <v>0.95613974832185178</v>
      </c>
      <c r="Q484">
        <f t="shared" si="40"/>
        <v>-6.0826647241880957E-2</v>
      </c>
      <c r="R484">
        <f t="shared" si="41"/>
        <v>0.95613974832185178</v>
      </c>
      <c r="S484">
        <v>2.6016341018675164</v>
      </c>
      <c r="U484">
        <f t="shared" si="42"/>
        <v>0.94098634821676796</v>
      </c>
      <c r="AE484">
        <v>2.6016341018675164</v>
      </c>
    </row>
    <row r="485" spans="1:31">
      <c r="A485" s="3" t="s">
        <v>91</v>
      </c>
      <c r="B485" s="3" t="s">
        <v>104</v>
      </c>
      <c r="C485" s="3" t="s">
        <v>78</v>
      </c>
      <c r="D485" s="3" t="s">
        <v>79</v>
      </c>
      <c r="E485" s="3">
        <v>11</v>
      </c>
      <c r="F485" s="3">
        <v>0.90798083194954005</v>
      </c>
      <c r="G485" s="3">
        <v>2.6564638149238924</v>
      </c>
      <c r="H485" s="3">
        <f t="shared" si="36"/>
        <v>-9.6532010791398129E-2</v>
      </c>
      <c r="I485" s="3">
        <f t="shared" si="37"/>
        <v>0.9769958454812101</v>
      </c>
      <c r="Q485">
        <f t="shared" si="40"/>
        <v>-9.6532010791398129E-2</v>
      </c>
      <c r="R485">
        <f t="shared" si="41"/>
        <v>0.9769958454812101</v>
      </c>
      <c r="S485">
        <v>2.6564638149238924</v>
      </c>
      <c r="U485">
        <f t="shared" si="42"/>
        <v>0.90798083194954005</v>
      </c>
      <c r="AE485">
        <v>2.6564638149238924</v>
      </c>
    </row>
    <row r="486" spans="1:31">
      <c r="A486" s="3" t="s">
        <v>91</v>
      </c>
      <c r="B486" s="3" t="s">
        <v>104</v>
      </c>
      <c r="C486" s="3" t="s">
        <v>78</v>
      </c>
      <c r="D486" s="3" t="s">
        <v>79</v>
      </c>
      <c r="E486" s="3">
        <v>12</v>
      </c>
      <c r="F486" s="3">
        <v>0.96696867619098703</v>
      </c>
      <c r="G486" s="3">
        <v>2.6513770007299979</v>
      </c>
      <c r="H486" s="3">
        <f t="shared" si="36"/>
        <v>-3.358917682393725E-2</v>
      </c>
      <c r="I486" s="3">
        <f t="shared" si="37"/>
        <v>0.97507912795787244</v>
      </c>
      <c r="Q486">
        <f t="shared" si="40"/>
        <v>-3.358917682393725E-2</v>
      </c>
      <c r="R486">
        <f t="shared" si="41"/>
        <v>0.97507912795787244</v>
      </c>
      <c r="S486">
        <v>2.6513770007299979</v>
      </c>
      <c r="U486">
        <f t="shared" si="42"/>
        <v>0.96696867619098703</v>
      </c>
      <c r="AE486">
        <v>2.6513770007299979</v>
      </c>
    </row>
    <row r="487" spans="1:31">
      <c r="A487" s="3" t="s">
        <v>91</v>
      </c>
      <c r="B487" s="3" t="s">
        <v>104</v>
      </c>
      <c r="C487" s="3" t="s">
        <v>78</v>
      </c>
      <c r="D487" s="3" t="s">
        <v>79</v>
      </c>
      <c r="E487" s="3">
        <v>13</v>
      </c>
      <c r="F487" s="3">
        <v>0.953672751425515</v>
      </c>
      <c r="G487" s="3">
        <v>2.5895559464896678</v>
      </c>
      <c r="H487" s="3">
        <f t="shared" si="36"/>
        <v>-4.7434694237217717E-2</v>
      </c>
      <c r="I487" s="3">
        <f t="shared" si="37"/>
        <v>0.95148641178055826</v>
      </c>
      <c r="Q487">
        <f t="shared" si="40"/>
        <v>-4.7434694237217717E-2</v>
      </c>
      <c r="R487">
        <f t="shared" si="41"/>
        <v>0.95148641178055826</v>
      </c>
      <c r="S487">
        <v>2.5895559464896678</v>
      </c>
      <c r="U487">
        <f t="shared" si="42"/>
        <v>0.953672751425515</v>
      </c>
      <c r="AE487">
        <v>2.5895559464896678</v>
      </c>
    </row>
    <row r="488" spans="1:31">
      <c r="A488" s="3" t="s">
        <v>91</v>
      </c>
      <c r="B488" s="3" t="s">
        <v>104</v>
      </c>
      <c r="C488" s="3" t="s">
        <v>78</v>
      </c>
      <c r="D488" s="3" t="s">
        <v>79</v>
      </c>
      <c r="E488" s="3">
        <v>14</v>
      </c>
      <c r="F488" s="3">
        <v>0.93123103102935201</v>
      </c>
      <c r="G488" s="3">
        <v>2.7220764133286188</v>
      </c>
      <c r="H488" s="3">
        <f t="shared" si="36"/>
        <v>-7.124787886028032E-2</v>
      </c>
      <c r="I488" s="3">
        <f t="shared" si="37"/>
        <v>1.0013949763292311</v>
      </c>
      <c r="Q488">
        <f t="shared" si="40"/>
        <v>-7.124787886028032E-2</v>
      </c>
      <c r="R488">
        <f t="shared" si="41"/>
        <v>1.0013949763292311</v>
      </c>
      <c r="S488">
        <v>2.7220764133286188</v>
      </c>
      <c r="U488">
        <f t="shared" si="42"/>
        <v>0.93123103102935201</v>
      </c>
      <c r="AE488">
        <v>2.7220764133286188</v>
      </c>
    </row>
    <row r="489" spans="1:31">
      <c r="A489" s="3" t="s">
        <v>91</v>
      </c>
      <c r="B489" s="3" t="s">
        <v>104</v>
      </c>
      <c r="C489" s="3" t="s">
        <v>78</v>
      </c>
      <c r="D489" s="3" t="s">
        <v>79</v>
      </c>
      <c r="E489" s="3">
        <v>15</v>
      </c>
      <c r="F489" s="3">
        <v>0.95827389909648897</v>
      </c>
      <c r="G489" s="3">
        <v>2.5437374078312405</v>
      </c>
      <c r="H489" s="3">
        <f t="shared" si="36"/>
        <v>-4.2621634676110798E-2</v>
      </c>
      <c r="I489" s="3">
        <f t="shared" si="37"/>
        <v>0.93363441995818264</v>
      </c>
      <c r="Q489">
        <f t="shared" si="40"/>
        <v>-4.2621634676110798E-2</v>
      </c>
      <c r="R489">
        <f t="shared" si="41"/>
        <v>0.93363441995818264</v>
      </c>
      <c r="S489">
        <v>2.5437374078312405</v>
      </c>
      <c r="U489">
        <f t="shared" si="42"/>
        <v>0.95827389909648897</v>
      </c>
      <c r="AE489">
        <v>2.5437374078312405</v>
      </c>
    </row>
    <row r="490" spans="1:31">
      <c r="A490" s="3" t="s">
        <v>91</v>
      </c>
      <c r="B490" s="3" t="s">
        <v>104</v>
      </c>
      <c r="C490" s="3" t="s">
        <v>78</v>
      </c>
      <c r="D490" s="3" t="s">
        <v>79</v>
      </c>
      <c r="E490" s="3">
        <v>16</v>
      </c>
      <c r="F490" s="3">
        <v>0.94455854542010997</v>
      </c>
      <c r="G490" s="3">
        <v>2.6102107194630859</v>
      </c>
      <c r="H490" s="3">
        <f t="shared" si="36"/>
        <v>-5.7037608339463433E-2</v>
      </c>
      <c r="I490" s="3">
        <f t="shared" si="37"/>
        <v>0.95943095350214258</v>
      </c>
      <c r="Q490">
        <f t="shared" si="40"/>
        <v>-5.7037608339463433E-2</v>
      </c>
      <c r="R490">
        <f t="shared" si="41"/>
        <v>0.95943095350214258</v>
      </c>
      <c r="S490">
        <v>2.6102107194630859</v>
      </c>
      <c r="U490">
        <f t="shared" si="42"/>
        <v>0.94455854542010997</v>
      </c>
      <c r="AE490">
        <v>2.6102107194630859</v>
      </c>
    </row>
    <row r="491" spans="1:31">
      <c r="A491" s="3" t="s">
        <v>91</v>
      </c>
      <c r="B491" s="3" t="s">
        <v>104</v>
      </c>
      <c r="C491" s="3" t="s">
        <v>78</v>
      </c>
      <c r="D491" s="3" t="s">
        <v>79</v>
      </c>
      <c r="E491" s="3">
        <v>17</v>
      </c>
      <c r="F491" s="3">
        <v>0.94364307540971004</v>
      </c>
      <c r="G491" s="3">
        <v>2.5935689695861184</v>
      </c>
      <c r="H491" s="3">
        <f t="shared" si="36"/>
        <v>-5.8007282416673314E-2</v>
      </c>
      <c r="I491" s="3">
        <f t="shared" si="37"/>
        <v>0.95303490770273291</v>
      </c>
      <c r="Q491">
        <f t="shared" si="40"/>
        <v>-5.8007282416673314E-2</v>
      </c>
      <c r="R491">
        <f t="shared" si="41"/>
        <v>0.95303490770273291</v>
      </c>
      <c r="S491">
        <v>2.5935689695861184</v>
      </c>
      <c r="U491">
        <f t="shared" si="42"/>
        <v>0.94364307540971004</v>
      </c>
      <c r="AE491">
        <v>2.5935689695861184</v>
      </c>
    </row>
    <row r="492" spans="1:31">
      <c r="A492" s="3" t="s">
        <v>91</v>
      </c>
      <c r="B492" s="3" t="s">
        <v>104</v>
      </c>
      <c r="C492" s="3" t="s">
        <v>78</v>
      </c>
      <c r="D492" s="3" t="s">
        <v>79</v>
      </c>
      <c r="E492" s="3">
        <v>18</v>
      </c>
      <c r="F492" s="3">
        <v>0.91436810070129204</v>
      </c>
      <c r="G492" s="3">
        <v>2.5457808232446091</v>
      </c>
      <c r="H492" s="3">
        <f t="shared" si="36"/>
        <v>-8.9522052607323932E-2</v>
      </c>
      <c r="I492" s="3">
        <f t="shared" si="37"/>
        <v>0.93443740972278944</v>
      </c>
      <c r="Q492">
        <f t="shared" si="40"/>
        <v>-8.9522052607323932E-2</v>
      </c>
      <c r="R492">
        <f t="shared" si="41"/>
        <v>0.93443740972278944</v>
      </c>
      <c r="S492">
        <v>2.5457808232446091</v>
      </c>
      <c r="U492">
        <f t="shared" si="42"/>
        <v>0.91436810070129204</v>
      </c>
      <c r="AE492">
        <v>2.5457808232446091</v>
      </c>
    </row>
    <row r="493" spans="1:31">
      <c r="A493" s="3" t="s">
        <v>91</v>
      </c>
      <c r="B493" s="3" t="s">
        <v>104</v>
      </c>
      <c r="C493" s="3" t="s">
        <v>78</v>
      </c>
      <c r="D493" s="3" t="s">
        <v>79</v>
      </c>
      <c r="E493" s="3">
        <v>19</v>
      </c>
      <c r="F493" s="3">
        <v>0.91755140917172695</v>
      </c>
      <c r="G493" s="3">
        <v>2.5352711886502401</v>
      </c>
      <c r="H493" s="3">
        <f t="shared" si="36"/>
        <v>-8.6046668828336323E-2</v>
      </c>
      <c r="I493" s="3">
        <f t="shared" si="37"/>
        <v>0.93030060909273071</v>
      </c>
      <c r="Q493">
        <f t="shared" si="40"/>
        <v>-8.6046668828336323E-2</v>
      </c>
      <c r="R493">
        <f t="shared" si="41"/>
        <v>0.93030060909273071</v>
      </c>
      <c r="S493">
        <v>2.5352711886502401</v>
      </c>
      <c r="U493">
        <f t="shared" si="42"/>
        <v>0.91755140917172695</v>
      </c>
      <c r="AE493">
        <v>2.5352711886502401</v>
      </c>
    </row>
    <row r="494" spans="1:31">
      <c r="A494" s="3" t="s">
        <v>91</v>
      </c>
      <c r="B494" s="3" t="s">
        <v>104</v>
      </c>
      <c r="C494" s="3" t="s">
        <v>78</v>
      </c>
      <c r="D494" s="3" t="s">
        <v>79</v>
      </c>
      <c r="E494" s="3">
        <v>20</v>
      </c>
      <c r="F494" s="3">
        <v>0.96294794344163903</v>
      </c>
      <c r="G494" s="3">
        <v>2.6172504656604798</v>
      </c>
      <c r="H494" s="3">
        <f t="shared" si="36"/>
        <v>-3.7755925299705548E-2</v>
      </c>
      <c r="I494" s="3">
        <f t="shared" si="37"/>
        <v>0.96212432613706689</v>
      </c>
      <c r="Q494">
        <f t="shared" si="40"/>
        <v>-3.7755925299705548E-2</v>
      </c>
      <c r="R494">
        <f t="shared" si="41"/>
        <v>0.96212432613706689</v>
      </c>
      <c r="S494">
        <v>2.6172504656604798</v>
      </c>
      <c r="U494">
        <f t="shared" si="42"/>
        <v>0.96294794344163903</v>
      </c>
      <c r="AE494">
        <v>2.6172504656604798</v>
      </c>
    </row>
    <row r="495" spans="1:31">
      <c r="A495" s="3" t="s">
        <v>91</v>
      </c>
      <c r="B495" s="3" t="s">
        <v>104</v>
      </c>
      <c r="C495" s="3" t="s">
        <v>78</v>
      </c>
      <c r="D495" s="3" t="s">
        <v>75</v>
      </c>
      <c r="E495" s="3">
        <v>1</v>
      </c>
      <c r="F495" s="3">
        <v>0.94905957254701501</v>
      </c>
      <c r="G495" s="3">
        <v>2.6629307163349178</v>
      </c>
      <c r="H495" s="3">
        <f t="shared" si="36"/>
        <v>-5.2283708320271294E-2</v>
      </c>
      <c r="I495" s="3">
        <f t="shared" si="37"/>
        <v>0.97942728934535905</v>
      </c>
      <c r="Q495">
        <f t="shared" si="40"/>
        <v>-5.2283708320271294E-2</v>
      </c>
      <c r="R495">
        <f t="shared" si="41"/>
        <v>0.97942728934535905</v>
      </c>
      <c r="S495">
        <v>2.6629307163349178</v>
      </c>
      <c r="U495">
        <f t="shared" si="42"/>
        <v>0.94905957254701501</v>
      </c>
      <c r="AE495">
        <v>2.6629307163349178</v>
      </c>
    </row>
    <row r="496" spans="1:31">
      <c r="A496" s="3" t="s">
        <v>91</v>
      </c>
      <c r="B496" s="3" t="s">
        <v>104</v>
      </c>
      <c r="C496" s="3" t="s">
        <v>78</v>
      </c>
      <c r="D496" s="3" t="s">
        <v>75</v>
      </c>
      <c r="E496" s="3">
        <v>2</v>
      </c>
      <c r="F496" s="3">
        <v>0.93179361265093696</v>
      </c>
      <c r="G496" s="3">
        <v>2.5079872407968904</v>
      </c>
      <c r="H496" s="3">
        <f t="shared" si="36"/>
        <v>-7.0643934472756076E-2</v>
      </c>
      <c r="I496" s="3">
        <f t="shared" si="37"/>
        <v>0.91948053535617458</v>
      </c>
      <c r="Q496">
        <f t="shared" si="40"/>
        <v>-7.0643934472756076E-2</v>
      </c>
      <c r="R496">
        <f t="shared" si="41"/>
        <v>0.91948053535617458</v>
      </c>
      <c r="S496">
        <v>2.5079872407968904</v>
      </c>
      <c r="U496">
        <f t="shared" si="42"/>
        <v>0.93179361265093696</v>
      </c>
      <c r="AE496">
        <v>2.5079872407968904</v>
      </c>
    </row>
    <row r="497" spans="1:31">
      <c r="A497" s="3" t="s">
        <v>91</v>
      </c>
      <c r="B497" s="3" t="s">
        <v>104</v>
      </c>
      <c r="C497" s="3" t="s">
        <v>78</v>
      </c>
      <c r="D497" s="3" t="s">
        <v>75</v>
      </c>
      <c r="E497" s="3">
        <v>3</v>
      </c>
      <c r="F497" s="3">
        <v>0.948805780825701</v>
      </c>
      <c r="G497" s="3">
        <v>2.6102107194630859</v>
      </c>
      <c r="H497" s="3">
        <f t="shared" si="36"/>
        <v>-5.2551157981413792E-2</v>
      </c>
      <c r="I497" s="3">
        <f t="shared" si="37"/>
        <v>0.95943095350214258</v>
      </c>
      <c r="Q497">
        <f t="shared" si="40"/>
        <v>-5.2551157981413792E-2</v>
      </c>
      <c r="R497">
        <f t="shared" si="41"/>
        <v>0.95943095350214258</v>
      </c>
      <c r="S497">
        <v>2.6102107194630859</v>
      </c>
      <c r="U497">
        <f t="shared" si="42"/>
        <v>0.948805780825701</v>
      </c>
      <c r="AE497">
        <v>2.6102107194630859</v>
      </c>
    </row>
    <row r="498" spans="1:31">
      <c r="A498" s="3" t="s">
        <v>91</v>
      </c>
      <c r="B498" s="3" t="s">
        <v>104</v>
      </c>
      <c r="C498" s="3" t="s">
        <v>78</v>
      </c>
      <c r="D498" s="3" t="s">
        <v>75</v>
      </c>
      <c r="E498" s="3">
        <v>4</v>
      </c>
      <c r="F498" s="3">
        <v>0.92989071800228496</v>
      </c>
      <c r="G498" s="3">
        <v>2.5515681452785071</v>
      </c>
      <c r="H498" s="3">
        <f t="shared" si="36"/>
        <v>-7.2688207263810256E-2</v>
      </c>
      <c r="I498" s="3">
        <f t="shared" si="37"/>
        <v>0.93670812909332302</v>
      </c>
      <c r="Q498">
        <f t="shared" si="40"/>
        <v>-7.2688207263810256E-2</v>
      </c>
      <c r="R498">
        <f t="shared" si="41"/>
        <v>0.93670812909332302</v>
      </c>
      <c r="S498">
        <v>2.5515681452785071</v>
      </c>
      <c r="U498">
        <f t="shared" si="42"/>
        <v>0.92989071800228496</v>
      </c>
      <c r="AE498">
        <v>2.5515681452785071</v>
      </c>
    </row>
    <row r="499" spans="1:31">
      <c r="A499" s="3" t="s">
        <v>91</v>
      </c>
      <c r="B499" s="3" t="s">
        <v>104</v>
      </c>
      <c r="C499" s="3" t="s">
        <v>78</v>
      </c>
      <c r="D499" s="3" t="s">
        <v>75</v>
      </c>
      <c r="E499" s="3">
        <v>5</v>
      </c>
      <c r="F499" s="3">
        <v>0.92427984320188605</v>
      </c>
      <c r="G499" s="3">
        <v>2.5026585863836881</v>
      </c>
      <c r="H499" s="3">
        <f t="shared" si="36"/>
        <v>-7.8740392585367261E-2</v>
      </c>
      <c r="I499" s="3">
        <f t="shared" si="37"/>
        <v>0.917353601381663</v>
      </c>
      <c r="Q499">
        <f t="shared" si="40"/>
        <v>-7.8740392585367261E-2</v>
      </c>
      <c r="R499">
        <f t="shared" si="41"/>
        <v>0.917353601381663</v>
      </c>
      <c r="S499">
        <v>2.5026585863836881</v>
      </c>
      <c r="U499">
        <f t="shared" si="42"/>
        <v>0.92427984320188605</v>
      </c>
      <c r="AE499">
        <v>2.5026585863836881</v>
      </c>
    </row>
    <row r="500" spans="1:31">
      <c r="A500" s="3" t="s">
        <v>91</v>
      </c>
      <c r="B500" s="3" t="s">
        <v>104</v>
      </c>
      <c r="C500" s="3" t="s">
        <v>78</v>
      </c>
      <c r="D500" s="3" t="s">
        <v>75</v>
      </c>
      <c r="E500" s="3">
        <v>6</v>
      </c>
      <c r="F500" s="3">
        <v>0.94041571640908195</v>
      </c>
      <c r="G500" s="3">
        <v>2.6332679316772909</v>
      </c>
      <c r="H500" s="3">
        <f t="shared" si="36"/>
        <v>-6.1433249983435086E-2</v>
      </c>
      <c r="I500" s="3">
        <f t="shared" si="37"/>
        <v>0.96822563442453091</v>
      </c>
      <c r="Q500">
        <f t="shared" si="40"/>
        <v>-6.1433249983435086E-2</v>
      </c>
      <c r="R500">
        <f t="shared" si="41"/>
        <v>0.96822563442453091</v>
      </c>
      <c r="S500">
        <v>2.6332679316772909</v>
      </c>
      <c r="U500">
        <f t="shared" si="42"/>
        <v>0.94041571640908195</v>
      </c>
      <c r="AE500">
        <v>2.6332679316772909</v>
      </c>
    </row>
    <row r="501" spans="1:31">
      <c r="A501" s="3" t="s">
        <v>91</v>
      </c>
      <c r="B501" s="3" t="s">
        <v>104</v>
      </c>
      <c r="C501" s="3" t="s">
        <v>78</v>
      </c>
      <c r="D501" s="3" t="s">
        <v>75</v>
      </c>
      <c r="E501" s="3">
        <v>7</v>
      </c>
      <c r="F501" s="3">
        <v>0.93750720217773498</v>
      </c>
      <c r="G501" s="3">
        <v>2.5516269319788893</v>
      </c>
      <c r="H501" s="3">
        <f t="shared" si="36"/>
        <v>-6.4530838844162761E-2</v>
      </c>
      <c r="I501" s="3">
        <f t="shared" si="37"/>
        <v>0.93673116826760305</v>
      </c>
      <c r="Q501">
        <f t="shared" si="40"/>
        <v>-6.4530838844162761E-2</v>
      </c>
      <c r="R501">
        <f t="shared" si="41"/>
        <v>0.93673116826760305</v>
      </c>
      <c r="S501">
        <v>2.5516269319788893</v>
      </c>
      <c r="U501">
        <f t="shared" si="42"/>
        <v>0.93750720217773498</v>
      </c>
      <c r="AE501">
        <v>2.5516269319788893</v>
      </c>
    </row>
    <row r="502" spans="1:31">
      <c r="A502" s="3" t="s">
        <v>91</v>
      </c>
      <c r="B502" s="3" t="s">
        <v>104</v>
      </c>
      <c r="C502" s="3" t="s">
        <v>78</v>
      </c>
      <c r="D502" s="3" t="s">
        <v>75</v>
      </c>
      <c r="E502" s="3">
        <v>9</v>
      </c>
      <c r="F502" s="3">
        <v>0.91995818318076295</v>
      </c>
      <c r="G502" s="3">
        <v>2.5899034731047412</v>
      </c>
      <c r="H502" s="3">
        <f t="shared" si="36"/>
        <v>-8.3427063036460997E-2</v>
      </c>
      <c r="I502" s="3">
        <f t="shared" si="37"/>
        <v>0.95162060594540876</v>
      </c>
      <c r="Q502">
        <f t="shared" si="40"/>
        <v>-8.3427063036460997E-2</v>
      </c>
      <c r="R502">
        <f t="shared" si="41"/>
        <v>0.95162060594540876</v>
      </c>
      <c r="S502">
        <v>2.5899034731047412</v>
      </c>
      <c r="U502">
        <f t="shared" si="42"/>
        <v>0.91995818318076295</v>
      </c>
      <c r="AE502">
        <v>2.5899034731047412</v>
      </c>
    </row>
    <row r="503" spans="1:31">
      <c r="A503" s="3" t="s">
        <v>91</v>
      </c>
      <c r="B503" s="3" t="s">
        <v>104</v>
      </c>
      <c r="C503" s="3" t="s">
        <v>78</v>
      </c>
      <c r="D503" s="3" t="s">
        <v>75</v>
      </c>
      <c r="E503" s="3">
        <v>10</v>
      </c>
      <c r="F503" s="3">
        <v>0.90399410516538803</v>
      </c>
      <c r="G503" s="3">
        <v>2.5073093147834791</v>
      </c>
      <c r="H503" s="3">
        <f t="shared" si="36"/>
        <v>-0.10093243944596905</v>
      </c>
      <c r="I503" s="3">
        <f t="shared" si="37"/>
        <v>0.9192101920135517</v>
      </c>
      <c r="Q503">
        <f t="shared" si="40"/>
        <v>-0.10093243944596905</v>
      </c>
      <c r="R503">
        <f t="shared" si="41"/>
        <v>0.9192101920135517</v>
      </c>
      <c r="S503">
        <v>2.5073093147834791</v>
      </c>
      <c r="U503">
        <f t="shared" si="42"/>
        <v>0.90399410516538803</v>
      </c>
      <c r="AE503">
        <v>2.5073093147834791</v>
      </c>
    </row>
    <row r="504" spans="1:31">
      <c r="A504" s="3" t="s">
        <v>91</v>
      </c>
      <c r="B504" s="3" t="s">
        <v>104</v>
      </c>
      <c r="C504" s="3" t="s">
        <v>78</v>
      </c>
      <c r="D504" s="3" t="s">
        <v>75</v>
      </c>
      <c r="E504" s="3">
        <v>11</v>
      </c>
      <c r="F504" s="3">
        <v>0.96247609385181399</v>
      </c>
      <c r="G504" s="3">
        <v>2.5949373788205374</v>
      </c>
      <c r="H504" s="3">
        <f t="shared" si="36"/>
        <v>-3.8246050685211877E-2</v>
      </c>
      <c r="I504" s="3">
        <f t="shared" si="37"/>
        <v>0.95356238485097511</v>
      </c>
      <c r="Q504">
        <f t="shared" si="40"/>
        <v>-3.8246050685211877E-2</v>
      </c>
      <c r="R504">
        <f t="shared" si="41"/>
        <v>0.95356238485097511</v>
      </c>
      <c r="S504">
        <v>2.5949373788205374</v>
      </c>
      <c r="U504">
        <f t="shared" si="42"/>
        <v>0.96247609385181399</v>
      </c>
      <c r="AE504">
        <v>2.5949373788205374</v>
      </c>
    </row>
    <row r="505" spans="1:31">
      <c r="A505" s="3" t="s">
        <v>91</v>
      </c>
      <c r="B505" s="3" t="s">
        <v>104</v>
      </c>
      <c r="C505" s="3" t="s">
        <v>78</v>
      </c>
      <c r="D505" s="3" t="s">
        <v>75</v>
      </c>
      <c r="E505" s="3">
        <v>12</v>
      </c>
      <c r="F505" s="3">
        <v>0.95919364154554498</v>
      </c>
      <c r="G505" s="3">
        <v>2.6840454541605663</v>
      </c>
      <c r="H505" s="3">
        <f t="shared" si="36"/>
        <v>-4.1662304204956348E-2</v>
      </c>
      <c r="I505" s="3">
        <f t="shared" si="37"/>
        <v>0.98732515419724542</v>
      </c>
      <c r="Q505">
        <f t="shared" si="40"/>
        <v>-4.1662304204956348E-2</v>
      </c>
      <c r="R505">
        <f t="shared" si="41"/>
        <v>0.98732515419724542</v>
      </c>
      <c r="S505">
        <v>2.6840454541605663</v>
      </c>
      <c r="U505">
        <f t="shared" si="42"/>
        <v>0.95919364154554498</v>
      </c>
      <c r="AE505">
        <v>2.6840454541605663</v>
      </c>
    </row>
    <row r="506" spans="1:31">
      <c r="A506" s="3" t="s">
        <v>91</v>
      </c>
      <c r="B506" s="3" t="s">
        <v>104</v>
      </c>
      <c r="C506" s="3" t="s">
        <v>78</v>
      </c>
      <c r="D506" s="3" t="s">
        <v>75</v>
      </c>
      <c r="E506" s="3">
        <v>13</v>
      </c>
      <c r="F506" s="3">
        <v>0.93019957068242298</v>
      </c>
      <c r="G506" s="3">
        <v>2.619255619446105</v>
      </c>
      <c r="H506" s="3">
        <f t="shared" si="36"/>
        <v>-7.2356123724795857E-2</v>
      </c>
      <c r="I506" s="3">
        <f t="shared" si="37"/>
        <v>0.9628901626895463</v>
      </c>
      <c r="Q506">
        <f t="shared" si="40"/>
        <v>-7.2356123724795857E-2</v>
      </c>
      <c r="R506">
        <f t="shared" si="41"/>
        <v>0.9628901626895463</v>
      </c>
      <c r="S506">
        <v>2.619255619446105</v>
      </c>
      <c r="U506">
        <f t="shared" si="42"/>
        <v>0.93019957068242298</v>
      </c>
      <c r="AE506">
        <v>2.619255619446105</v>
      </c>
    </row>
    <row r="507" spans="1:31">
      <c r="A507" s="3" t="s">
        <v>91</v>
      </c>
      <c r="B507" s="3" t="s">
        <v>104</v>
      </c>
      <c r="C507" s="3" t="s">
        <v>78</v>
      </c>
      <c r="D507" s="3" t="s">
        <v>75</v>
      </c>
      <c r="E507" s="3">
        <v>14</v>
      </c>
      <c r="F507" s="3">
        <v>0.90023078690285996</v>
      </c>
      <c r="G507" s="3">
        <v>2.5428330656966063</v>
      </c>
      <c r="H507" s="3">
        <f t="shared" si="36"/>
        <v>-0.10510411863828491</v>
      </c>
      <c r="I507" s="3">
        <f t="shared" si="37"/>
        <v>0.93327883965162073</v>
      </c>
      <c r="Q507">
        <f t="shared" si="40"/>
        <v>-0.10510411863828491</v>
      </c>
      <c r="R507">
        <f t="shared" si="41"/>
        <v>0.93327883965162073</v>
      </c>
      <c r="S507">
        <v>2.5428330656966063</v>
      </c>
      <c r="U507">
        <f t="shared" si="42"/>
        <v>0.90023078690285996</v>
      </c>
      <c r="AE507">
        <v>2.5428330656966063</v>
      </c>
    </row>
    <row r="508" spans="1:31">
      <c r="A508" s="3" t="s">
        <v>91</v>
      </c>
      <c r="B508" s="3" t="s">
        <v>104</v>
      </c>
      <c r="C508" s="3" t="s">
        <v>78</v>
      </c>
      <c r="D508" s="3" t="s">
        <v>75</v>
      </c>
      <c r="E508" s="3">
        <v>15</v>
      </c>
      <c r="F508" s="3">
        <v>0.94355348840255204</v>
      </c>
      <c r="G508" s="3">
        <v>2.6046496885377888</v>
      </c>
      <c r="H508" s="3">
        <f t="shared" si="36"/>
        <v>-5.8102224309789438E-2</v>
      </c>
      <c r="I508" s="3">
        <f t="shared" si="37"/>
        <v>0.95729818959355872</v>
      </c>
      <c r="Q508">
        <f t="shared" si="40"/>
        <v>-5.8102224309789438E-2</v>
      </c>
      <c r="R508">
        <f t="shared" si="41"/>
        <v>0.95729818959355872</v>
      </c>
      <c r="S508">
        <v>2.6046496885377888</v>
      </c>
      <c r="U508">
        <f t="shared" si="42"/>
        <v>0.94355348840255204</v>
      </c>
      <c r="AE508">
        <v>2.6046496885377888</v>
      </c>
    </row>
    <row r="509" spans="1:31">
      <c r="A509" s="3" t="s">
        <v>91</v>
      </c>
      <c r="B509" s="3" t="s">
        <v>104</v>
      </c>
      <c r="C509" s="3" t="s">
        <v>78</v>
      </c>
      <c r="D509" s="3" t="s">
        <v>75</v>
      </c>
      <c r="E509" s="3">
        <v>16</v>
      </c>
      <c r="F509" s="3">
        <v>0.94310665869383103</v>
      </c>
      <c r="G509" s="3">
        <v>2.5267568145747621</v>
      </c>
      <c r="H509" s="3">
        <f t="shared" si="36"/>
        <v>-5.8575897024785974E-2</v>
      </c>
      <c r="I509" s="3">
        <f t="shared" si="37"/>
        <v>0.92693658894129927</v>
      </c>
      <c r="Q509">
        <f t="shared" si="40"/>
        <v>-5.8575897024785974E-2</v>
      </c>
      <c r="R509">
        <f t="shared" si="41"/>
        <v>0.92693658894129927</v>
      </c>
      <c r="S509">
        <v>2.5267568145747621</v>
      </c>
      <c r="U509">
        <f t="shared" si="42"/>
        <v>0.94310665869383103</v>
      </c>
      <c r="AE509">
        <v>2.5267568145747621</v>
      </c>
    </row>
    <row r="510" spans="1:31">
      <c r="A510" s="3" t="s">
        <v>91</v>
      </c>
      <c r="B510" s="3" t="s">
        <v>104</v>
      </c>
      <c r="C510" s="3" t="s">
        <v>78</v>
      </c>
      <c r="D510" s="3" t="s">
        <v>75</v>
      </c>
      <c r="E510" s="3">
        <v>17</v>
      </c>
      <c r="F510" s="3">
        <v>0.90417312173781805</v>
      </c>
      <c r="G510" s="3">
        <v>2.4709512338368804</v>
      </c>
      <c r="H510" s="3">
        <f t="shared" si="36"/>
        <v>-0.10073443057781638</v>
      </c>
      <c r="I510" s="3">
        <f t="shared" si="37"/>
        <v>0.90460319141588796</v>
      </c>
      <c r="Q510">
        <f t="shared" si="40"/>
        <v>-0.10073443057781638</v>
      </c>
      <c r="R510">
        <f t="shared" si="41"/>
        <v>0.90460319141588796</v>
      </c>
      <c r="S510">
        <v>2.4709512338368804</v>
      </c>
      <c r="U510">
        <f t="shared" si="42"/>
        <v>0.90417312173781805</v>
      </c>
      <c r="AE510">
        <v>2.4709512338368804</v>
      </c>
    </row>
    <row r="511" spans="1:31">
      <c r="A511" s="3" t="s">
        <v>91</v>
      </c>
      <c r="B511" s="3" t="s">
        <v>104</v>
      </c>
      <c r="C511" s="3" t="s">
        <v>78</v>
      </c>
      <c r="D511" s="3" t="s">
        <v>75</v>
      </c>
      <c r="E511" s="3">
        <v>19</v>
      </c>
      <c r="F511" s="3">
        <v>0.96164313060682605</v>
      </c>
      <c r="G511" s="3">
        <v>2.6043233286210836</v>
      </c>
      <c r="H511" s="3">
        <f t="shared" si="36"/>
        <v>-3.9111863246548258E-2</v>
      </c>
      <c r="I511" s="3">
        <f t="shared" si="37"/>
        <v>0.95717288277547496</v>
      </c>
      <c r="Q511">
        <f t="shared" si="40"/>
        <v>-3.9111863246548258E-2</v>
      </c>
      <c r="R511">
        <f t="shared" si="41"/>
        <v>0.95717288277547496</v>
      </c>
      <c r="S511">
        <v>2.6043233286210836</v>
      </c>
      <c r="U511">
        <f t="shared" si="42"/>
        <v>0.96164313060682605</v>
      </c>
      <c r="AE511">
        <v>2.6043233286210836</v>
      </c>
    </row>
    <row r="512" spans="1:31">
      <c r="A512" s="3" t="s">
        <v>91</v>
      </c>
      <c r="B512" s="3" t="s">
        <v>104</v>
      </c>
      <c r="C512" s="3" t="s">
        <v>78</v>
      </c>
      <c r="D512" s="3" t="s">
        <v>75</v>
      </c>
      <c r="E512" s="3">
        <v>20</v>
      </c>
      <c r="F512" s="3">
        <v>0.92117435201156805</v>
      </c>
      <c r="G512" s="3">
        <v>2.5451522547776979</v>
      </c>
      <c r="H512" s="3">
        <f t="shared" si="36"/>
        <v>-8.210595335593189E-2</v>
      </c>
      <c r="I512" s="3">
        <f t="shared" si="37"/>
        <v>0.93419047327303772</v>
      </c>
      <c r="Q512">
        <f t="shared" si="40"/>
        <v>-8.210595335593189E-2</v>
      </c>
      <c r="R512">
        <f t="shared" si="41"/>
        <v>0.93419047327303772</v>
      </c>
      <c r="S512">
        <v>2.5451522547776979</v>
      </c>
      <c r="U512">
        <f t="shared" si="42"/>
        <v>0.92117435201156805</v>
      </c>
      <c r="AE512">
        <v>2.5451522547776979</v>
      </c>
    </row>
    <row r="513" spans="1:31">
      <c r="A513" s="3" t="s">
        <v>91</v>
      </c>
      <c r="B513" s="3" t="s">
        <v>104</v>
      </c>
      <c r="C513" s="3" t="s">
        <v>78</v>
      </c>
      <c r="D513" s="3" t="s">
        <v>75</v>
      </c>
      <c r="E513" s="3">
        <v>21</v>
      </c>
      <c r="F513" s="3">
        <v>0.94972591040634902</v>
      </c>
      <c r="G513" s="3">
        <v>2.581259382549534</v>
      </c>
      <c r="H513" s="3">
        <f t="shared" si="36"/>
        <v>-5.1581851377852567E-2</v>
      </c>
      <c r="I513" s="3">
        <f t="shared" si="37"/>
        <v>0.94827741260661769</v>
      </c>
      <c r="Q513">
        <f t="shared" si="40"/>
        <v>-5.1581851377852567E-2</v>
      </c>
      <c r="R513">
        <f t="shared" si="41"/>
        <v>0.94827741260661769</v>
      </c>
      <c r="S513">
        <v>2.581259382549534</v>
      </c>
      <c r="U513">
        <f t="shared" si="42"/>
        <v>0.94972591040634902</v>
      </c>
      <c r="AE513">
        <v>2.581259382549534</v>
      </c>
    </row>
    <row r="514" spans="1:31">
      <c r="A514" s="3" t="s">
        <v>91</v>
      </c>
      <c r="B514" s="3" t="s">
        <v>104</v>
      </c>
      <c r="C514" s="3" t="s">
        <v>78</v>
      </c>
      <c r="D514" s="3" t="s">
        <v>75</v>
      </c>
      <c r="E514" s="3">
        <v>22</v>
      </c>
      <c r="F514" s="3">
        <v>0.92714320663405303</v>
      </c>
      <c r="G514" s="3">
        <v>2.5280031645549816</v>
      </c>
      <c r="H514" s="3">
        <f t="shared" ref="H514:H577" si="43">LN(F514)</f>
        <v>-7.5647241384320829E-2</v>
      </c>
      <c r="I514" s="3">
        <f t="shared" ref="I514:I577" si="44">LN(G514)</f>
        <v>0.92742972808563984</v>
      </c>
      <c r="Q514">
        <f t="shared" si="40"/>
        <v>-7.5647241384320829E-2</v>
      </c>
      <c r="R514">
        <f t="shared" si="41"/>
        <v>0.92742972808563984</v>
      </c>
      <c r="S514">
        <v>2.5280031645549816</v>
      </c>
      <c r="U514">
        <f t="shared" si="42"/>
        <v>0.92714320663405303</v>
      </c>
      <c r="AE514">
        <v>2.5280031645549816</v>
      </c>
    </row>
    <row r="515" spans="1:31">
      <c r="A515" s="3" t="s">
        <v>91</v>
      </c>
      <c r="B515" s="3" t="s">
        <v>105</v>
      </c>
      <c r="C515" s="3" t="s">
        <v>78</v>
      </c>
      <c r="D515" s="3" t="s">
        <v>79</v>
      </c>
      <c r="E515" s="3">
        <v>1</v>
      </c>
      <c r="F515" s="3">
        <v>0.93909789814035405</v>
      </c>
      <c r="G515" s="3">
        <v>2.6565579233286067</v>
      </c>
      <c r="H515" s="3">
        <f t="shared" si="43"/>
        <v>-6.2835547337896605E-2</v>
      </c>
      <c r="I515" s="3">
        <f t="shared" si="44"/>
        <v>0.97703127104856535</v>
      </c>
      <c r="Q515">
        <f t="shared" si="40"/>
        <v>-6.2835547337896605E-2</v>
      </c>
      <c r="R515">
        <f t="shared" si="41"/>
        <v>0.97703127104856535</v>
      </c>
      <c r="S515">
        <v>2.6565579233286067</v>
      </c>
      <c r="U515">
        <f t="shared" si="42"/>
        <v>0.93909789814035405</v>
      </c>
      <c r="AE515">
        <v>2.6565579233286067</v>
      </c>
    </row>
    <row r="516" spans="1:31">
      <c r="A516" s="3" t="s">
        <v>91</v>
      </c>
      <c r="B516" s="3" t="s">
        <v>105</v>
      </c>
      <c r="C516" s="3" t="s">
        <v>78</v>
      </c>
      <c r="D516" s="3" t="s">
        <v>79</v>
      </c>
      <c r="E516" s="3">
        <v>2</v>
      </c>
      <c r="F516" s="3">
        <v>0.931923637272283</v>
      </c>
      <c r="G516" s="3">
        <v>2.6225560051217207</v>
      </c>
      <c r="H516" s="3">
        <f t="shared" si="43"/>
        <v>-7.0504401910547562E-2</v>
      </c>
      <c r="I516" s="3">
        <f t="shared" si="44"/>
        <v>0.9641494166834409</v>
      </c>
      <c r="Q516">
        <f t="shared" si="40"/>
        <v>-7.0504401910547562E-2</v>
      </c>
      <c r="R516">
        <f t="shared" si="41"/>
        <v>0.9641494166834409</v>
      </c>
      <c r="S516">
        <v>2.6225560051217207</v>
      </c>
      <c r="U516">
        <f t="shared" si="42"/>
        <v>0.931923637272283</v>
      </c>
      <c r="AE516">
        <v>2.6225560051217207</v>
      </c>
    </row>
    <row r="517" spans="1:31">
      <c r="A517" s="3" t="s">
        <v>91</v>
      </c>
      <c r="B517" s="3" t="s">
        <v>105</v>
      </c>
      <c r="C517" s="3" t="s">
        <v>78</v>
      </c>
      <c r="D517" s="3" t="s">
        <v>79</v>
      </c>
      <c r="E517" s="3">
        <v>3</v>
      </c>
      <c r="F517" s="3">
        <v>0.94537756490971603</v>
      </c>
      <c r="G517" s="3">
        <v>2.5515681452785071</v>
      </c>
      <c r="H517" s="3">
        <f t="shared" si="43"/>
        <v>-5.6170891696080617E-2</v>
      </c>
      <c r="I517" s="3">
        <f t="shared" si="44"/>
        <v>0.93670812909332302</v>
      </c>
      <c r="Q517">
        <f t="shared" si="40"/>
        <v>-5.6170891696080617E-2</v>
      </c>
      <c r="R517">
        <f t="shared" si="41"/>
        <v>0.93670812909332302</v>
      </c>
      <c r="S517">
        <v>2.5515681452785071</v>
      </c>
      <c r="U517">
        <f t="shared" si="42"/>
        <v>0.94537756490971603</v>
      </c>
      <c r="AE517">
        <v>2.5515681452785071</v>
      </c>
    </row>
    <row r="518" spans="1:31">
      <c r="A518" s="3" t="s">
        <v>91</v>
      </c>
      <c r="B518" s="3" t="s">
        <v>105</v>
      </c>
      <c r="C518" s="3" t="s">
        <v>78</v>
      </c>
      <c r="D518" s="3" t="s">
        <v>79</v>
      </c>
      <c r="E518" s="3">
        <v>5</v>
      </c>
      <c r="F518" s="3">
        <v>0.91491883153147002</v>
      </c>
      <c r="G518" s="3">
        <v>2.5347583711273156</v>
      </c>
      <c r="H518" s="3">
        <f t="shared" si="43"/>
        <v>-8.8919926350241887E-2</v>
      </c>
      <c r="I518" s="3">
        <f t="shared" si="44"/>
        <v>0.93009831539064192</v>
      </c>
      <c r="Q518">
        <f t="shared" si="40"/>
        <v>-8.8919926350241887E-2</v>
      </c>
      <c r="R518">
        <f t="shared" si="41"/>
        <v>0.93009831539064192</v>
      </c>
      <c r="S518">
        <v>2.5347583711273156</v>
      </c>
      <c r="U518">
        <f t="shared" si="42"/>
        <v>0.91491883153147002</v>
      </c>
      <c r="AE518">
        <v>2.5347583711273156</v>
      </c>
    </row>
    <row r="519" spans="1:31">
      <c r="A519" s="3" t="s">
        <v>91</v>
      </c>
      <c r="B519" s="3" t="s">
        <v>105</v>
      </c>
      <c r="C519" s="3" t="s">
        <v>78</v>
      </c>
      <c r="D519" s="3" t="s">
        <v>79</v>
      </c>
      <c r="E519" s="3">
        <v>6</v>
      </c>
      <c r="F519" s="3">
        <v>0.93080323913904595</v>
      </c>
      <c r="G519" s="3">
        <v>2.5341073379002714</v>
      </c>
      <c r="H519" s="3">
        <f t="shared" si="43"/>
        <v>-7.1707367608351544E-2</v>
      </c>
      <c r="I519" s="3">
        <f t="shared" si="44"/>
        <v>0.9298414400784929</v>
      </c>
      <c r="Q519">
        <f t="shared" si="40"/>
        <v>-7.1707367608351544E-2</v>
      </c>
      <c r="R519">
        <f t="shared" si="41"/>
        <v>0.9298414400784929</v>
      </c>
      <c r="S519">
        <v>2.5341073379002714</v>
      </c>
      <c r="U519">
        <f t="shared" si="42"/>
        <v>0.93080323913904595</v>
      </c>
      <c r="AE519">
        <v>2.5341073379002714</v>
      </c>
    </row>
    <row r="520" spans="1:31">
      <c r="A520" s="3" t="s">
        <v>91</v>
      </c>
      <c r="B520" s="3" t="s">
        <v>105</v>
      </c>
      <c r="C520" s="3" t="s">
        <v>78</v>
      </c>
      <c r="D520" s="3" t="s">
        <v>79</v>
      </c>
      <c r="E520" s="3">
        <v>7</v>
      </c>
      <c r="F520" s="3">
        <v>0.89949663187876105</v>
      </c>
      <c r="G520" s="3">
        <v>2.5350542400508909</v>
      </c>
      <c r="H520" s="3">
        <f t="shared" si="43"/>
        <v>-0.10591997003573472</v>
      </c>
      <c r="I520" s="3">
        <f t="shared" si="44"/>
        <v>0.93021503328402477</v>
      </c>
      <c r="Q520">
        <f t="shared" si="40"/>
        <v>-0.10591997003573472</v>
      </c>
      <c r="R520">
        <f t="shared" si="41"/>
        <v>0.93021503328402477</v>
      </c>
      <c r="S520">
        <v>2.5350542400508909</v>
      </c>
      <c r="U520">
        <f t="shared" si="42"/>
        <v>0.89949663187876105</v>
      </c>
      <c r="AE520">
        <v>2.5350542400508909</v>
      </c>
    </row>
    <row r="521" spans="1:31">
      <c r="A521" s="3" t="s">
        <v>91</v>
      </c>
      <c r="B521" s="3" t="s">
        <v>105</v>
      </c>
      <c r="C521" s="3" t="s">
        <v>78</v>
      </c>
      <c r="D521" s="3" t="s">
        <v>79</v>
      </c>
      <c r="E521" s="3">
        <v>8</v>
      </c>
      <c r="F521" s="3">
        <v>0.92313781780116999</v>
      </c>
      <c r="G521" s="3">
        <v>2.5536836139193126</v>
      </c>
      <c r="H521" s="3">
        <f t="shared" si="43"/>
        <v>-7.9976740564813159E-2</v>
      </c>
      <c r="I521" s="3">
        <f t="shared" si="44"/>
        <v>0.93753687128339114</v>
      </c>
      <c r="Q521">
        <f t="shared" si="40"/>
        <v>-7.9976740564813159E-2</v>
      </c>
      <c r="R521">
        <f t="shared" si="41"/>
        <v>0.93753687128339114</v>
      </c>
      <c r="S521">
        <v>2.5536836139193126</v>
      </c>
      <c r="U521">
        <f t="shared" si="42"/>
        <v>0.92313781780116999</v>
      </c>
      <c r="AE521">
        <v>2.5536836139193126</v>
      </c>
    </row>
    <row r="522" spans="1:31">
      <c r="A522" s="3" t="s">
        <v>91</v>
      </c>
      <c r="B522" s="3" t="s">
        <v>105</v>
      </c>
      <c r="C522" s="3" t="s">
        <v>78</v>
      </c>
      <c r="D522" s="3" t="s">
        <v>79</v>
      </c>
      <c r="E522" s="3">
        <v>9</v>
      </c>
      <c r="F522" s="3">
        <v>0.90645879706700005</v>
      </c>
      <c r="G522" s="3">
        <v>2.4560537453402764</v>
      </c>
      <c r="H522" s="3">
        <f t="shared" si="43"/>
        <v>-9.8209702586924602E-2</v>
      </c>
      <c r="I522" s="3">
        <f t="shared" si="44"/>
        <v>0.89855589332733199</v>
      </c>
      <c r="Q522">
        <f t="shared" si="40"/>
        <v>-9.8209702586924602E-2</v>
      </c>
      <c r="R522">
        <f t="shared" si="41"/>
        <v>0.89855589332733199</v>
      </c>
      <c r="S522">
        <v>2.4560537453402764</v>
      </c>
      <c r="U522">
        <f t="shared" si="42"/>
        <v>0.90645879706700005</v>
      </c>
      <c r="AE522">
        <v>2.4560537453402764</v>
      </c>
    </row>
    <row r="523" spans="1:31">
      <c r="A523" s="3" t="s">
        <v>91</v>
      </c>
      <c r="B523" s="3" t="s">
        <v>105</v>
      </c>
      <c r="C523" s="3" t="s">
        <v>78</v>
      </c>
      <c r="D523" s="3" t="s">
        <v>79</v>
      </c>
      <c r="E523" s="3">
        <v>10</v>
      </c>
      <c r="F523" s="3">
        <v>0.92393655371304995</v>
      </c>
      <c r="G523" s="3">
        <v>2.6050911692299756</v>
      </c>
      <c r="H523" s="3">
        <f t="shared" si="43"/>
        <v>-7.9111874510705574E-2</v>
      </c>
      <c r="I523" s="3">
        <f t="shared" si="44"/>
        <v>0.9574676723779415</v>
      </c>
      <c r="Q523">
        <f t="shared" si="40"/>
        <v>-7.9111874510705574E-2</v>
      </c>
      <c r="R523">
        <f t="shared" si="41"/>
        <v>0.9574676723779415</v>
      </c>
      <c r="S523">
        <v>2.6050911692299756</v>
      </c>
      <c r="U523">
        <f t="shared" si="42"/>
        <v>0.92393655371304995</v>
      </c>
      <c r="AE523">
        <v>2.6050911692299756</v>
      </c>
    </row>
    <row r="524" spans="1:31">
      <c r="A524" s="3" t="s">
        <v>91</v>
      </c>
      <c r="B524" s="3" t="s">
        <v>105</v>
      </c>
      <c r="C524" s="3" t="s">
        <v>78</v>
      </c>
      <c r="D524" s="3" t="s">
        <v>79</v>
      </c>
      <c r="E524" s="3">
        <v>12</v>
      </c>
      <c r="F524" s="3">
        <v>0.91830827750903499</v>
      </c>
      <c r="G524" s="3">
        <v>2.5179356624028344</v>
      </c>
      <c r="H524" s="3">
        <f t="shared" si="43"/>
        <v>-8.522213045464716E-2</v>
      </c>
      <c r="I524" s="3">
        <f t="shared" si="44"/>
        <v>0.92343938422456728</v>
      </c>
      <c r="Q524">
        <f t="shared" si="40"/>
        <v>-8.522213045464716E-2</v>
      </c>
      <c r="R524">
        <f t="shared" si="41"/>
        <v>0.92343938422456728</v>
      </c>
      <c r="S524">
        <v>2.5179356624028344</v>
      </c>
      <c r="U524">
        <f t="shared" si="42"/>
        <v>0.91830827750903499</v>
      </c>
      <c r="AE524">
        <v>2.5179356624028344</v>
      </c>
    </row>
    <row r="525" spans="1:31">
      <c r="A525" s="3" t="s">
        <v>91</v>
      </c>
      <c r="B525" s="3" t="s">
        <v>105</v>
      </c>
      <c r="C525" s="3" t="s">
        <v>78</v>
      </c>
      <c r="D525" s="3" t="s">
        <v>79</v>
      </c>
      <c r="E525" s="3">
        <v>14</v>
      </c>
      <c r="F525" s="3">
        <v>0.93548328642187895</v>
      </c>
      <c r="G525" s="3">
        <v>2.6239092972128439</v>
      </c>
      <c r="H525" s="3">
        <f t="shared" si="43"/>
        <v>-6.6691999358238233E-2</v>
      </c>
      <c r="I525" s="3">
        <f t="shared" si="44"/>
        <v>0.96466530387344462</v>
      </c>
      <c r="Q525">
        <f t="shared" si="40"/>
        <v>-6.6691999358238233E-2</v>
      </c>
      <c r="R525">
        <f t="shared" si="41"/>
        <v>0.96466530387344462</v>
      </c>
      <c r="S525">
        <v>2.6239092972128439</v>
      </c>
      <c r="U525">
        <f t="shared" si="42"/>
        <v>0.93548328642187895</v>
      </c>
      <c r="AE525">
        <v>2.6239092972128439</v>
      </c>
    </row>
    <row r="526" spans="1:31">
      <c r="A526" s="3" t="s">
        <v>91</v>
      </c>
      <c r="B526" s="3" t="s">
        <v>105</v>
      </c>
      <c r="C526" s="3" t="s">
        <v>78</v>
      </c>
      <c r="D526" s="3" t="s">
        <v>79</v>
      </c>
      <c r="E526" s="3">
        <v>15</v>
      </c>
      <c r="F526" s="3">
        <v>0.91854497665700097</v>
      </c>
      <c r="G526" s="3">
        <v>2.522320360303187</v>
      </c>
      <c r="H526" s="3">
        <f t="shared" si="43"/>
        <v>-8.4964408016842949E-2</v>
      </c>
      <c r="I526" s="3">
        <f t="shared" si="44"/>
        <v>0.92517925576549531</v>
      </c>
      <c r="Q526">
        <f t="shared" si="40"/>
        <v>-8.4964408016842949E-2</v>
      </c>
      <c r="R526">
        <f t="shared" si="41"/>
        <v>0.92517925576549531</v>
      </c>
      <c r="S526">
        <v>2.522320360303187</v>
      </c>
      <c r="U526">
        <f t="shared" si="42"/>
        <v>0.91854497665700097</v>
      </c>
      <c r="AE526">
        <v>2.522320360303187</v>
      </c>
    </row>
    <row r="527" spans="1:31">
      <c r="A527" s="3" t="s">
        <v>91</v>
      </c>
      <c r="B527" s="3" t="s">
        <v>105</v>
      </c>
      <c r="C527" s="3" t="s">
        <v>78</v>
      </c>
      <c r="D527" s="3" t="s">
        <v>79</v>
      </c>
      <c r="E527" s="3">
        <v>17</v>
      </c>
      <c r="F527" s="3">
        <v>0.93430997755524503</v>
      </c>
      <c r="G527" s="3">
        <v>2.6153584840323516</v>
      </c>
      <c r="H527" s="3">
        <f t="shared" si="43"/>
        <v>-6.7947014063062944E-2</v>
      </c>
      <c r="I527" s="3">
        <f t="shared" si="44"/>
        <v>0.96140117570531536</v>
      </c>
      <c r="Q527">
        <f t="shared" si="40"/>
        <v>-6.7947014063062944E-2</v>
      </c>
      <c r="R527">
        <f t="shared" si="41"/>
        <v>0.96140117570531536</v>
      </c>
      <c r="S527">
        <v>2.6153584840323516</v>
      </c>
      <c r="U527">
        <f t="shared" si="42"/>
        <v>0.93430997755524503</v>
      </c>
      <c r="AE527">
        <v>2.6153584840323516</v>
      </c>
    </row>
    <row r="528" spans="1:31">
      <c r="A528" s="3" t="s">
        <v>91</v>
      </c>
      <c r="B528" s="3" t="s">
        <v>105</v>
      </c>
      <c r="C528" s="3" t="s">
        <v>78</v>
      </c>
      <c r="D528" s="3" t="s">
        <v>79</v>
      </c>
      <c r="E528" s="3">
        <v>18</v>
      </c>
      <c r="F528" s="3">
        <v>0.92147742696402102</v>
      </c>
      <c r="G528" s="3">
        <v>2.5556603843233945</v>
      </c>
      <c r="H528" s="3">
        <f t="shared" si="43"/>
        <v>-8.177699814188219E-2</v>
      </c>
      <c r="I528" s="3">
        <f t="shared" si="44"/>
        <v>0.93831065770426769</v>
      </c>
      <c r="Q528">
        <f t="shared" si="40"/>
        <v>-8.177699814188219E-2</v>
      </c>
      <c r="R528">
        <f t="shared" si="41"/>
        <v>0.93831065770426769</v>
      </c>
      <c r="S528">
        <v>2.5556603843233945</v>
      </c>
      <c r="U528">
        <f t="shared" si="42"/>
        <v>0.92147742696402102</v>
      </c>
      <c r="AE528">
        <v>2.5556603843233945</v>
      </c>
    </row>
    <row r="529" spans="1:31">
      <c r="A529" s="3" t="s">
        <v>91</v>
      </c>
      <c r="B529" s="3" t="s">
        <v>105</v>
      </c>
      <c r="C529" s="3" t="s">
        <v>78</v>
      </c>
      <c r="D529" s="3" t="s">
        <v>79</v>
      </c>
      <c r="E529" s="3">
        <v>19</v>
      </c>
      <c r="F529" s="3">
        <v>0.89481832571273401</v>
      </c>
      <c r="G529" s="3">
        <v>2.5133443854752575</v>
      </c>
      <c r="H529" s="3">
        <f t="shared" si="43"/>
        <v>-0.11113456934260514</v>
      </c>
      <c r="I529" s="3">
        <f t="shared" si="44"/>
        <v>0.92161429074603507</v>
      </c>
      <c r="Q529">
        <f t="shared" si="40"/>
        <v>-0.11113456934260514</v>
      </c>
      <c r="R529">
        <f t="shared" si="41"/>
        <v>0.92161429074603507</v>
      </c>
      <c r="S529">
        <v>2.5133443854752575</v>
      </c>
      <c r="U529">
        <f t="shared" si="42"/>
        <v>0.89481832571273401</v>
      </c>
      <c r="AE529">
        <v>2.5133443854752575</v>
      </c>
    </row>
    <row r="530" spans="1:31">
      <c r="A530" s="3" t="s">
        <v>91</v>
      </c>
      <c r="B530" s="3" t="s">
        <v>105</v>
      </c>
      <c r="C530" s="3" t="s">
        <v>78</v>
      </c>
      <c r="D530" s="3" t="s">
        <v>79</v>
      </c>
      <c r="E530" s="3">
        <v>20</v>
      </c>
      <c r="F530" s="3">
        <v>0.93056020190434197</v>
      </c>
      <c r="G530" s="3">
        <v>2.6436716891475007</v>
      </c>
      <c r="H530" s="3">
        <f t="shared" si="43"/>
        <v>-7.1968506546321531E-2</v>
      </c>
      <c r="I530" s="3">
        <f t="shared" si="44"/>
        <v>0.97216874224749594</v>
      </c>
      <c r="Q530">
        <f t="shared" ref="Q530:Q593" si="45">LN(F530)</f>
        <v>-7.1968506546321531E-2</v>
      </c>
      <c r="R530">
        <f t="shared" ref="R530:R593" si="46">LN(S530)</f>
        <v>0.97216874224749594</v>
      </c>
      <c r="S530">
        <v>2.6436716891475007</v>
      </c>
      <c r="U530">
        <f t="shared" si="42"/>
        <v>0.93056020190434197</v>
      </c>
      <c r="AE530">
        <v>2.6436716891475007</v>
      </c>
    </row>
    <row r="531" spans="1:31">
      <c r="A531" s="3" t="s">
        <v>91</v>
      </c>
      <c r="B531" s="3" t="s">
        <v>105</v>
      </c>
      <c r="C531" s="3" t="s">
        <v>78</v>
      </c>
      <c r="D531" s="3" t="s">
        <v>79</v>
      </c>
      <c r="E531" s="3">
        <v>21</v>
      </c>
      <c r="F531" s="3">
        <v>0.89362252447136403</v>
      </c>
      <c r="G531" s="3">
        <v>2.5366316248127161</v>
      </c>
      <c r="H531" s="3">
        <f t="shared" si="43"/>
        <v>-0.11247182510865016</v>
      </c>
      <c r="I531" s="3">
        <f t="shared" si="44"/>
        <v>0.93083706897579122</v>
      </c>
      <c r="Q531">
        <f t="shared" si="45"/>
        <v>-0.11247182510865016</v>
      </c>
      <c r="R531">
        <f t="shared" si="46"/>
        <v>0.93083706897579122</v>
      </c>
      <c r="S531">
        <v>2.5366316248127161</v>
      </c>
      <c r="U531">
        <f t="shared" si="42"/>
        <v>0.89362252447136403</v>
      </c>
      <c r="AE531">
        <v>2.5366316248127161</v>
      </c>
    </row>
    <row r="532" spans="1:31">
      <c r="A532" s="3" t="s">
        <v>91</v>
      </c>
      <c r="B532" s="3" t="s">
        <v>105</v>
      </c>
      <c r="C532" s="3" t="s">
        <v>78</v>
      </c>
      <c r="D532" s="3" t="s">
        <v>79</v>
      </c>
      <c r="E532" s="3">
        <v>23</v>
      </c>
      <c r="F532" s="3">
        <v>0.91523388330447897</v>
      </c>
      <c r="G532" s="3">
        <v>2.6109385285755007</v>
      </c>
      <c r="H532" s="3">
        <f t="shared" si="43"/>
        <v>-8.8575636200499644E-2</v>
      </c>
      <c r="I532" s="3">
        <f t="shared" si="44"/>
        <v>0.95970974619032412</v>
      </c>
      <c r="Q532">
        <f t="shared" si="45"/>
        <v>-8.8575636200499644E-2</v>
      </c>
      <c r="R532">
        <f t="shared" si="46"/>
        <v>0.95970974619032412</v>
      </c>
      <c r="S532">
        <v>2.6109385285755007</v>
      </c>
      <c r="U532">
        <f t="shared" si="42"/>
        <v>0.91523388330447897</v>
      </c>
      <c r="AE532">
        <v>2.6109385285755007</v>
      </c>
    </row>
    <row r="533" spans="1:31">
      <c r="A533" s="3" t="s">
        <v>91</v>
      </c>
      <c r="B533" s="3" t="s">
        <v>105</v>
      </c>
      <c r="C533" s="3" t="s">
        <v>78</v>
      </c>
      <c r="D533" s="3" t="s">
        <v>79</v>
      </c>
      <c r="E533" s="3">
        <v>24</v>
      </c>
      <c r="F533" s="3">
        <v>0.93049261870376898</v>
      </c>
      <c r="G533" s="3">
        <v>2.5988074187980916</v>
      </c>
      <c r="H533" s="3">
        <f t="shared" si="43"/>
        <v>-7.2041135544117105E-2</v>
      </c>
      <c r="I533" s="3">
        <f t="shared" si="44"/>
        <v>0.95505265472160006</v>
      </c>
      <c r="Q533">
        <f t="shared" si="45"/>
        <v>-7.2041135544117105E-2</v>
      </c>
      <c r="R533">
        <f t="shared" si="46"/>
        <v>0.95505265472160006</v>
      </c>
      <c r="S533">
        <v>2.5988074187980916</v>
      </c>
      <c r="U533">
        <f t="shared" si="42"/>
        <v>0.93049261870376898</v>
      </c>
      <c r="AE533">
        <v>2.5988074187980916</v>
      </c>
    </row>
    <row r="534" spans="1:31">
      <c r="A534" s="3" t="s">
        <v>91</v>
      </c>
      <c r="B534" s="3" t="s">
        <v>105</v>
      </c>
      <c r="C534" s="3" t="s">
        <v>78</v>
      </c>
      <c r="D534" s="3" t="s">
        <v>75</v>
      </c>
      <c r="E534" s="3">
        <v>1</v>
      </c>
      <c r="F534" s="3">
        <v>0.94820124691818797</v>
      </c>
      <c r="G534" s="3">
        <v>2.5283393759541064</v>
      </c>
      <c r="H534" s="3">
        <f t="shared" si="43"/>
        <v>-5.3188513477873477E-2</v>
      </c>
      <c r="I534" s="3">
        <f t="shared" si="44"/>
        <v>0.92756271409160229</v>
      </c>
      <c r="Q534">
        <f t="shared" si="45"/>
        <v>-5.3188513477873477E-2</v>
      </c>
      <c r="R534">
        <f t="shared" si="46"/>
        <v>0.92756271409160229</v>
      </c>
      <c r="S534">
        <v>2.5283393759541064</v>
      </c>
      <c r="U534">
        <f t="shared" si="42"/>
        <v>0.94820124691818797</v>
      </c>
      <c r="AE534">
        <v>2.5283393759541064</v>
      </c>
    </row>
    <row r="535" spans="1:31">
      <c r="A535" s="3" t="s">
        <v>91</v>
      </c>
      <c r="B535" s="3" t="s">
        <v>105</v>
      </c>
      <c r="C535" s="3" t="s">
        <v>78</v>
      </c>
      <c r="D535" s="3" t="s">
        <v>75</v>
      </c>
      <c r="E535" s="3">
        <v>2</v>
      </c>
      <c r="F535" s="3">
        <v>0.94181963791067402</v>
      </c>
      <c r="G535" s="3">
        <v>2.5292291315734921</v>
      </c>
      <c r="H535" s="3">
        <f t="shared" si="43"/>
        <v>-5.9941489924076712E-2</v>
      </c>
      <c r="I535" s="3">
        <f t="shared" si="44"/>
        <v>0.9279145652340004</v>
      </c>
      <c r="Q535">
        <f t="shared" si="45"/>
        <v>-5.9941489924076712E-2</v>
      </c>
      <c r="R535">
        <f t="shared" si="46"/>
        <v>0.9279145652340004</v>
      </c>
      <c r="S535">
        <v>2.5292291315734921</v>
      </c>
      <c r="U535">
        <f t="shared" si="42"/>
        <v>0.94181963791067402</v>
      </c>
      <c r="AE535">
        <v>2.5292291315734921</v>
      </c>
    </row>
    <row r="536" spans="1:31">
      <c r="A536" s="3" t="s">
        <v>91</v>
      </c>
      <c r="B536" s="3" t="s">
        <v>105</v>
      </c>
      <c r="C536" s="3" t="s">
        <v>78</v>
      </c>
      <c r="D536" s="3" t="s">
        <v>75</v>
      </c>
      <c r="E536" s="3">
        <v>3</v>
      </c>
      <c r="F536" s="3">
        <v>0.90041210963111795</v>
      </c>
      <c r="G536" s="3">
        <v>2.4720234626718254</v>
      </c>
      <c r="H536" s="3">
        <f t="shared" si="43"/>
        <v>-0.10490272087172064</v>
      </c>
      <c r="I536" s="3">
        <f t="shared" si="44"/>
        <v>0.90503703092249921</v>
      </c>
      <c r="Q536">
        <f t="shared" si="45"/>
        <v>-0.10490272087172064</v>
      </c>
      <c r="R536">
        <f t="shared" si="46"/>
        <v>0.90503703092249921</v>
      </c>
      <c r="S536">
        <v>2.4720234626718254</v>
      </c>
      <c r="U536">
        <f t="shared" si="42"/>
        <v>0.90041210963111795</v>
      </c>
      <c r="AE536">
        <v>2.4720234626718254</v>
      </c>
    </row>
    <row r="537" spans="1:31">
      <c r="A537" s="3" t="s">
        <v>91</v>
      </c>
      <c r="B537" s="3" t="s">
        <v>105</v>
      </c>
      <c r="C537" s="3" t="s">
        <v>78</v>
      </c>
      <c r="D537" s="3" t="s">
        <v>75</v>
      </c>
      <c r="E537" s="3">
        <v>4</v>
      </c>
      <c r="F537" s="3">
        <v>0.948735767603481</v>
      </c>
      <c r="G537" s="3">
        <v>2.5741989045137905</v>
      </c>
      <c r="H537" s="3">
        <f t="shared" si="43"/>
        <v>-5.2624951593268805E-2</v>
      </c>
      <c r="I537" s="3">
        <f t="shared" si="44"/>
        <v>0.94553838066929807</v>
      </c>
      <c r="Q537">
        <f t="shared" si="45"/>
        <v>-5.2624951593268805E-2</v>
      </c>
      <c r="R537">
        <f t="shared" si="46"/>
        <v>0.94553838066929807</v>
      </c>
      <c r="S537">
        <v>2.5741989045137905</v>
      </c>
      <c r="U537">
        <f t="shared" si="42"/>
        <v>0.948735767603481</v>
      </c>
      <c r="AE537">
        <v>2.5741989045137905</v>
      </c>
    </row>
    <row r="538" spans="1:31">
      <c r="A538" s="3" t="s">
        <v>91</v>
      </c>
      <c r="B538" s="3" t="s">
        <v>105</v>
      </c>
      <c r="C538" s="3" t="s">
        <v>78</v>
      </c>
      <c r="D538" s="3" t="s">
        <v>75</v>
      </c>
      <c r="E538" s="3">
        <v>5</v>
      </c>
      <c r="F538" s="3">
        <v>0.93659372688305098</v>
      </c>
      <c r="G538" s="3">
        <v>2.5800775182152957</v>
      </c>
      <c r="H538" s="3">
        <f t="shared" si="43"/>
        <v>-6.5505680009715753E-2</v>
      </c>
      <c r="I538" s="3">
        <f t="shared" si="44"/>
        <v>0.94781944430204157</v>
      </c>
      <c r="Q538">
        <f t="shared" si="45"/>
        <v>-6.5505680009715753E-2</v>
      </c>
      <c r="R538">
        <f t="shared" si="46"/>
        <v>0.94781944430204157</v>
      </c>
      <c r="S538">
        <v>2.5800775182152957</v>
      </c>
      <c r="U538">
        <f t="shared" si="42"/>
        <v>0.93659372688305098</v>
      </c>
      <c r="AE538">
        <v>2.5800775182152957</v>
      </c>
    </row>
    <row r="539" spans="1:31">
      <c r="A539" s="3" t="s">
        <v>91</v>
      </c>
      <c r="B539" s="3" t="s">
        <v>105</v>
      </c>
      <c r="C539" s="3" t="s">
        <v>78</v>
      </c>
      <c r="D539" s="3" t="s">
        <v>75</v>
      </c>
      <c r="E539" s="3">
        <v>6</v>
      </c>
      <c r="F539" s="3">
        <v>0.93525900656929095</v>
      </c>
      <c r="G539" s="3">
        <v>2.5524889813670106</v>
      </c>
      <c r="H539" s="3">
        <f t="shared" si="43"/>
        <v>-6.6931775680720271E-2</v>
      </c>
      <c r="I539" s="3">
        <f t="shared" si="44"/>
        <v>0.93706895424697856</v>
      </c>
      <c r="Q539">
        <f t="shared" si="45"/>
        <v>-6.6931775680720271E-2</v>
      </c>
      <c r="R539">
        <f t="shared" si="46"/>
        <v>0.93706895424697856</v>
      </c>
      <c r="S539">
        <v>2.5524889813670106</v>
      </c>
      <c r="U539">
        <f t="shared" ref="U539:U596" si="47">F539</f>
        <v>0.93525900656929095</v>
      </c>
      <c r="AE539">
        <v>2.5524889813670106</v>
      </c>
    </row>
    <row r="540" spans="1:31">
      <c r="A540" s="3" t="s">
        <v>91</v>
      </c>
      <c r="B540" s="3" t="s">
        <v>105</v>
      </c>
      <c r="C540" s="3" t="s">
        <v>78</v>
      </c>
      <c r="D540" s="3" t="s">
        <v>75</v>
      </c>
      <c r="E540" s="3">
        <v>7</v>
      </c>
      <c r="F540" s="3">
        <v>0.95055386834085198</v>
      </c>
      <c r="G540" s="3">
        <v>2.6330400680582131</v>
      </c>
      <c r="H540" s="3">
        <f t="shared" si="43"/>
        <v>-5.0710444971116778E-2</v>
      </c>
      <c r="I540" s="3">
        <f t="shared" si="44"/>
        <v>0.96813909804297804</v>
      </c>
      <c r="Q540">
        <f t="shared" si="45"/>
        <v>-5.0710444971116778E-2</v>
      </c>
      <c r="R540">
        <f t="shared" si="46"/>
        <v>0.96813909804297804</v>
      </c>
      <c r="S540">
        <v>2.6330400680582131</v>
      </c>
      <c r="U540">
        <f t="shared" si="47"/>
        <v>0.95055386834085198</v>
      </c>
      <c r="AE540">
        <v>2.6330400680582131</v>
      </c>
    </row>
    <row r="541" spans="1:31">
      <c r="A541" s="3" t="s">
        <v>91</v>
      </c>
      <c r="B541" s="3" t="s">
        <v>105</v>
      </c>
      <c r="C541" s="3" t="s">
        <v>78</v>
      </c>
      <c r="D541" s="3" t="s">
        <v>75</v>
      </c>
      <c r="E541" s="3">
        <v>8</v>
      </c>
      <c r="F541" s="3">
        <v>0.91920094103868299</v>
      </c>
      <c r="G541" s="3">
        <v>2.4605893602956184</v>
      </c>
      <c r="H541" s="3">
        <f t="shared" si="43"/>
        <v>-8.4250528689756812E-2</v>
      </c>
      <c r="I541" s="3">
        <f t="shared" si="44"/>
        <v>0.90040089860614203</v>
      </c>
      <c r="Q541">
        <f t="shared" si="45"/>
        <v>-8.4250528689756812E-2</v>
      </c>
      <c r="R541">
        <f t="shared" si="46"/>
        <v>0.90040089860614203</v>
      </c>
      <c r="S541">
        <v>2.4605893602956184</v>
      </c>
      <c r="U541">
        <f t="shared" si="47"/>
        <v>0.91920094103868299</v>
      </c>
      <c r="AE541">
        <v>2.4605893602956184</v>
      </c>
    </row>
    <row r="542" spans="1:31">
      <c r="A542" s="3" t="s">
        <v>91</v>
      </c>
      <c r="B542" s="3" t="s">
        <v>105</v>
      </c>
      <c r="C542" s="3" t="s">
        <v>78</v>
      </c>
      <c r="D542" s="3" t="s">
        <v>75</v>
      </c>
      <c r="E542" s="3">
        <v>9</v>
      </c>
      <c r="F542" s="3">
        <v>0.940104223468615</v>
      </c>
      <c r="G542" s="3">
        <v>2.5916982849089516</v>
      </c>
      <c r="H542" s="3">
        <f t="shared" si="43"/>
        <v>-6.1764533833938734E-2</v>
      </c>
      <c r="I542" s="3">
        <f t="shared" si="44"/>
        <v>0.95231336928763799</v>
      </c>
      <c r="Q542">
        <f t="shared" si="45"/>
        <v>-6.1764533833938734E-2</v>
      </c>
      <c r="R542">
        <f t="shared" si="46"/>
        <v>0.95231336928763799</v>
      </c>
      <c r="S542">
        <v>2.5916982849089516</v>
      </c>
      <c r="U542">
        <f t="shared" si="47"/>
        <v>0.940104223468615</v>
      </c>
      <c r="AE542">
        <v>2.5916982849089516</v>
      </c>
    </row>
    <row r="543" spans="1:31">
      <c r="A543" s="3" t="s">
        <v>91</v>
      </c>
      <c r="B543" s="3" t="s">
        <v>105</v>
      </c>
      <c r="C543" s="3" t="s">
        <v>78</v>
      </c>
      <c r="D543" s="3" t="s">
        <v>75</v>
      </c>
      <c r="E543" s="3">
        <v>10</v>
      </c>
      <c r="F543" s="3">
        <v>0.90685260452695604</v>
      </c>
      <c r="G543" s="3">
        <v>2.5292291315734921</v>
      </c>
      <c r="H543" s="3">
        <f t="shared" si="43"/>
        <v>-9.7775350863551352E-2</v>
      </c>
      <c r="I543" s="3">
        <f t="shared" si="44"/>
        <v>0.9279145652340004</v>
      </c>
      <c r="Q543">
        <f t="shared" si="45"/>
        <v>-9.7775350863551352E-2</v>
      </c>
      <c r="R543">
        <f t="shared" si="46"/>
        <v>0.9279145652340004</v>
      </c>
      <c r="S543">
        <v>2.5292291315734921</v>
      </c>
      <c r="U543">
        <f t="shared" si="47"/>
        <v>0.90685260452695604</v>
      </c>
      <c r="AE543">
        <v>2.5292291315734921</v>
      </c>
    </row>
    <row r="544" spans="1:31">
      <c r="A544" s="3" t="s">
        <v>91</v>
      </c>
      <c r="B544" s="3" t="s">
        <v>105</v>
      </c>
      <c r="C544" s="3" t="s">
        <v>78</v>
      </c>
      <c r="D544" s="3" t="s">
        <v>75</v>
      </c>
      <c r="E544" s="3">
        <v>11</v>
      </c>
      <c r="F544" s="3">
        <v>0.95487479846878398</v>
      </c>
      <c r="G544" s="3">
        <v>2.6284025566872358</v>
      </c>
      <c r="H544" s="3">
        <f t="shared" si="43"/>
        <v>-4.6175048175711893E-2</v>
      </c>
      <c r="I544" s="3">
        <f t="shared" si="44"/>
        <v>0.96637626875729343</v>
      </c>
      <c r="Q544">
        <f t="shared" si="45"/>
        <v>-4.6175048175711893E-2</v>
      </c>
      <c r="R544">
        <f t="shared" si="46"/>
        <v>0.96637626875729343</v>
      </c>
      <c r="S544">
        <v>2.6284025566872358</v>
      </c>
      <c r="U544">
        <f t="shared" si="47"/>
        <v>0.95487479846878398</v>
      </c>
      <c r="AE544">
        <v>2.6284025566872358</v>
      </c>
    </row>
    <row r="545" spans="1:31">
      <c r="A545" s="3" t="s">
        <v>91</v>
      </c>
      <c r="B545" s="3" t="s">
        <v>105</v>
      </c>
      <c r="C545" s="3" t="s">
        <v>78</v>
      </c>
      <c r="D545" s="3" t="s">
        <v>75</v>
      </c>
      <c r="E545" s="3">
        <v>12</v>
      </c>
      <c r="F545" s="3">
        <v>0.91913126601497697</v>
      </c>
      <c r="G545" s="3">
        <v>2.5316002844051031</v>
      </c>
      <c r="H545" s="3">
        <f t="shared" si="43"/>
        <v>-8.4326331119232892E-2</v>
      </c>
      <c r="I545" s="3">
        <f t="shared" si="44"/>
        <v>0.92885162626104478</v>
      </c>
      <c r="Q545">
        <f t="shared" si="45"/>
        <v>-8.4326331119232892E-2</v>
      </c>
      <c r="R545">
        <f t="shared" si="46"/>
        <v>0.92885162626104478</v>
      </c>
      <c r="S545">
        <v>2.5316002844051031</v>
      </c>
      <c r="U545">
        <f t="shared" si="47"/>
        <v>0.91913126601497697</v>
      </c>
      <c r="AE545">
        <v>2.5316002844051031</v>
      </c>
    </row>
    <row r="546" spans="1:31">
      <c r="A546" s="3" t="s">
        <v>91</v>
      </c>
      <c r="B546" s="3" t="s">
        <v>105</v>
      </c>
      <c r="C546" s="3" t="s">
        <v>78</v>
      </c>
      <c r="D546" s="3" t="s">
        <v>75</v>
      </c>
      <c r="E546" s="3">
        <v>13</v>
      </c>
      <c r="F546" s="3">
        <v>0.925614017838439</v>
      </c>
      <c r="G546" s="3">
        <v>2.5537815098398688</v>
      </c>
      <c r="H546" s="3">
        <f t="shared" si="43"/>
        <v>-7.7297958620936427E-2</v>
      </c>
      <c r="I546" s="3">
        <f t="shared" si="44"/>
        <v>0.93757520572844211</v>
      </c>
      <c r="Q546">
        <f t="shared" si="45"/>
        <v>-7.7297958620936427E-2</v>
      </c>
      <c r="R546">
        <f t="shared" si="46"/>
        <v>0.93757520572844211</v>
      </c>
      <c r="S546">
        <v>2.5537815098398688</v>
      </c>
      <c r="U546">
        <f t="shared" si="47"/>
        <v>0.925614017838439</v>
      </c>
      <c r="AE546">
        <v>2.5537815098398688</v>
      </c>
    </row>
    <row r="547" spans="1:31">
      <c r="A547" s="3" t="s">
        <v>91</v>
      </c>
      <c r="B547" s="3" t="s">
        <v>105</v>
      </c>
      <c r="C547" s="3" t="s">
        <v>78</v>
      </c>
      <c r="D547" s="3" t="s">
        <v>75</v>
      </c>
      <c r="E547" s="3">
        <v>14</v>
      </c>
      <c r="F547" s="3">
        <v>0.893219855912042</v>
      </c>
      <c r="G547" s="3">
        <v>2.4935316320431955</v>
      </c>
      <c r="H547" s="3">
        <f t="shared" si="43"/>
        <v>-0.11292252917808457</v>
      </c>
      <c r="I547" s="3">
        <f t="shared" si="44"/>
        <v>0.91370003172393521</v>
      </c>
      <c r="Q547">
        <f t="shared" si="45"/>
        <v>-0.11292252917808457</v>
      </c>
      <c r="R547">
        <f t="shared" si="46"/>
        <v>0.91370003172393521</v>
      </c>
      <c r="S547">
        <v>2.4935316320431955</v>
      </c>
      <c r="U547">
        <f t="shared" si="47"/>
        <v>0.893219855912042</v>
      </c>
      <c r="AE547">
        <v>2.4935316320431955</v>
      </c>
    </row>
    <row r="548" spans="1:31">
      <c r="A548" s="3" t="s">
        <v>91</v>
      </c>
      <c r="B548" s="3" t="s">
        <v>105</v>
      </c>
      <c r="C548" s="3" t="s">
        <v>78</v>
      </c>
      <c r="D548" s="3" t="s">
        <v>75</v>
      </c>
      <c r="E548" s="3">
        <v>15</v>
      </c>
      <c r="F548" s="3">
        <v>0.92991229111903495</v>
      </c>
      <c r="G548" s="3">
        <v>2.5633766793040778</v>
      </c>
      <c r="H548" s="3">
        <f t="shared" si="43"/>
        <v>-7.2665007907055629E-2</v>
      </c>
      <c r="I548" s="3">
        <f t="shared" si="44"/>
        <v>0.94132540470806125</v>
      </c>
      <c r="Q548">
        <f t="shared" si="45"/>
        <v>-7.2665007907055629E-2</v>
      </c>
      <c r="R548">
        <f t="shared" si="46"/>
        <v>0.94132540470806125</v>
      </c>
      <c r="S548">
        <v>2.5633766793040778</v>
      </c>
      <c r="U548">
        <f t="shared" si="47"/>
        <v>0.92991229111903495</v>
      </c>
      <c r="AE548">
        <v>2.5633766793040778</v>
      </c>
    </row>
    <row r="549" spans="1:31">
      <c r="A549" s="3" t="s">
        <v>91</v>
      </c>
      <c r="B549" s="3" t="s">
        <v>105</v>
      </c>
      <c r="C549" s="3" t="s">
        <v>78</v>
      </c>
      <c r="D549" s="3" t="s">
        <v>75</v>
      </c>
      <c r="E549" s="3">
        <v>16</v>
      </c>
      <c r="F549" s="3">
        <v>0.88899526642037197</v>
      </c>
      <c r="G549" s="3">
        <v>2.4742675683927153</v>
      </c>
      <c r="H549" s="3">
        <f t="shared" si="43"/>
        <v>-0.11766336809391337</v>
      </c>
      <c r="I549" s="3">
        <f t="shared" si="44"/>
        <v>0.90594442026161037</v>
      </c>
      <c r="Q549">
        <f t="shared" si="45"/>
        <v>-0.11766336809391337</v>
      </c>
      <c r="R549">
        <f t="shared" si="46"/>
        <v>0.90594442026161037</v>
      </c>
      <c r="S549">
        <v>2.4742675683927153</v>
      </c>
      <c r="U549">
        <f t="shared" si="47"/>
        <v>0.88899526642037197</v>
      </c>
      <c r="AE549">
        <v>2.4742675683927153</v>
      </c>
    </row>
    <row r="550" spans="1:31">
      <c r="A550" s="3" t="s">
        <v>91</v>
      </c>
      <c r="B550" s="3" t="s">
        <v>105</v>
      </c>
      <c r="C550" s="3" t="s">
        <v>78</v>
      </c>
      <c r="D550" s="3" t="s">
        <v>75</v>
      </c>
      <c r="E550" s="3">
        <v>17</v>
      </c>
      <c r="F550" s="3">
        <v>0.89835171621651499</v>
      </c>
      <c r="G550" s="3">
        <v>2.5294465797877606</v>
      </c>
      <c r="H550" s="3">
        <f t="shared" si="43"/>
        <v>-0.10719362119572419</v>
      </c>
      <c r="I550" s="3">
        <f t="shared" si="44"/>
        <v>0.92800053564475982</v>
      </c>
      <c r="Q550">
        <f t="shared" si="45"/>
        <v>-0.10719362119572419</v>
      </c>
      <c r="R550">
        <f t="shared" si="46"/>
        <v>0.92800053564475982</v>
      </c>
      <c r="S550">
        <v>2.5294465797877606</v>
      </c>
      <c r="U550">
        <f t="shared" si="47"/>
        <v>0.89835171621651499</v>
      </c>
      <c r="AE550">
        <v>2.5294465797877606</v>
      </c>
    </row>
    <row r="551" spans="1:31">
      <c r="A551" s="3" t="s">
        <v>91</v>
      </c>
      <c r="B551" s="3" t="s">
        <v>105</v>
      </c>
      <c r="C551" s="3" t="s">
        <v>78</v>
      </c>
      <c r="D551" s="3" t="s">
        <v>75</v>
      </c>
      <c r="E551" s="3">
        <v>18</v>
      </c>
      <c r="F551" s="3">
        <v>0.921456066772114</v>
      </c>
      <c r="G551" s="3">
        <v>2.5556603843233945</v>
      </c>
      <c r="H551" s="3">
        <f t="shared" si="43"/>
        <v>-8.1800178785112754E-2</v>
      </c>
      <c r="I551" s="3">
        <f t="shared" si="44"/>
        <v>0.93831065770426769</v>
      </c>
      <c r="Q551">
        <f t="shared" si="45"/>
        <v>-8.1800178785112754E-2</v>
      </c>
      <c r="R551">
        <f t="shared" si="46"/>
        <v>0.93831065770426769</v>
      </c>
      <c r="S551">
        <v>2.5556603843233945</v>
      </c>
      <c r="U551">
        <f t="shared" si="47"/>
        <v>0.921456066772114</v>
      </c>
      <c r="AE551">
        <v>2.5556603843233945</v>
      </c>
    </row>
    <row r="552" spans="1:31">
      <c r="A552" s="3" t="s">
        <v>91</v>
      </c>
      <c r="B552" s="3" t="s">
        <v>105</v>
      </c>
      <c r="C552" s="3" t="s">
        <v>78</v>
      </c>
      <c r="D552" s="3" t="s">
        <v>75</v>
      </c>
      <c r="E552" s="3">
        <v>19</v>
      </c>
      <c r="F552" s="3">
        <v>0.92102675065978701</v>
      </c>
      <c r="G552" s="3">
        <v>2.4696963376091401</v>
      </c>
      <c r="H552" s="3">
        <f t="shared" si="43"/>
        <v>-8.226619791542418E-2</v>
      </c>
      <c r="I552" s="3">
        <f t="shared" si="44"/>
        <v>0.90409520284290068</v>
      </c>
      <c r="Q552">
        <f t="shared" si="45"/>
        <v>-8.226619791542418E-2</v>
      </c>
      <c r="R552">
        <f t="shared" si="46"/>
        <v>0.90409520284290068</v>
      </c>
      <c r="S552">
        <v>2.4696963376091401</v>
      </c>
      <c r="U552">
        <f t="shared" si="47"/>
        <v>0.92102675065978701</v>
      </c>
      <c r="AE552">
        <v>2.4696963376091401</v>
      </c>
    </row>
    <row r="553" spans="1:31">
      <c r="A553" s="3" t="s">
        <v>91</v>
      </c>
      <c r="B553" s="3" t="s">
        <v>105</v>
      </c>
      <c r="C553" s="3" t="s">
        <v>78</v>
      </c>
      <c r="D553" s="3" t="s">
        <v>75</v>
      </c>
      <c r="E553" s="3">
        <v>20</v>
      </c>
      <c r="F553" s="3">
        <v>0.91808085710568099</v>
      </c>
      <c r="G553" s="3">
        <v>2.5879142180528318</v>
      </c>
      <c r="H553" s="3">
        <f t="shared" si="43"/>
        <v>-8.5469812604611881E-2</v>
      </c>
      <c r="I553" s="3">
        <f t="shared" si="44"/>
        <v>0.95085223005099362</v>
      </c>
      <c r="Q553">
        <f t="shared" si="45"/>
        <v>-8.5469812604611881E-2</v>
      </c>
      <c r="R553">
        <f t="shared" si="46"/>
        <v>0.95085223005099362</v>
      </c>
      <c r="S553">
        <v>2.5879142180528318</v>
      </c>
      <c r="U553">
        <f t="shared" si="47"/>
        <v>0.91808085710568099</v>
      </c>
      <c r="AE553">
        <v>2.5879142180528318</v>
      </c>
    </row>
    <row r="554" spans="1:31">
      <c r="A554" s="3" t="s">
        <v>91</v>
      </c>
      <c r="B554" s="3" t="s">
        <v>105</v>
      </c>
      <c r="C554" s="3" t="s">
        <v>78</v>
      </c>
      <c r="D554" s="3" t="s">
        <v>75</v>
      </c>
      <c r="E554" s="3">
        <v>21</v>
      </c>
      <c r="F554" s="3">
        <v>0.93990726406833902</v>
      </c>
      <c r="G554" s="3">
        <v>2.5694357357209774</v>
      </c>
      <c r="H554" s="3">
        <f t="shared" si="43"/>
        <v>-6.1974063831284239E-2</v>
      </c>
      <c r="I554" s="3">
        <f t="shared" si="44"/>
        <v>0.94368631671550063</v>
      </c>
      <c r="Q554">
        <f t="shared" si="45"/>
        <v>-6.1974063831284239E-2</v>
      </c>
      <c r="R554">
        <f t="shared" si="46"/>
        <v>0.94368631671550063</v>
      </c>
      <c r="S554">
        <v>2.5694357357209774</v>
      </c>
      <c r="U554">
        <f t="shared" si="47"/>
        <v>0.93990726406833902</v>
      </c>
      <c r="AE554">
        <v>2.5694357357209774</v>
      </c>
    </row>
    <row r="555" spans="1:31">
      <c r="A555" s="3" t="s">
        <v>91</v>
      </c>
      <c r="B555" s="3" t="s">
        <v>105</v>
      </c>
      <c r="C555" s="3" t="s">
        <v>78</v>
      </c>
      <c r="D555" s="3" t="s">
        <v>75</v>
      </c>
      <c r="E555" s="3">
        <v>22</v>
      </c>
      <c r="F555" s="3">
        <v>0.90669613715410702</v>
      </c>
      <c r="G555" s="3">
        <v>2.4404302899283969</v>
      </c>
      <c r="H555" s="3">
        <f t="shared" si="43"/>
        <v>-9.7947904674365635E-2</v>
      </c>
      <c r="I555" s="3">
        <f t="shared" si="44"/>
        <v>0.89217437208888162</v>
      </c>
      <c r="Q555">
        <f t="shared" si="45"/>
        <v>-9.7947904674365635E-2</v>
      </c>
      <c r="R555">
        <f t="shared" si="46"/>
        <v>0.89217437208888162</v>
      </c>
      <c r="S555">
        <v>2.4404302899283969</v>
      </c>
      <c r="U555">
        <f t="shared" si="47"/>
        <v>0.90669613715410702</v>
      </c>
      <c r="AE555">
        <v>2.4404302899283969</v>
      </c>
    </row>
    <row r="556" spans="1:31">
      <c r="A556" s="3" t="s">
        <v>91</v>
      </c>
      <c r="B556" s="3" t="s">
        <v>106</v>
      </c>
      <c r="C556" s="3" t="s">
        <v>78</v>
      </c>
      <c r="D556" s="3" t="s">
        <v>79</v>
      </c>
      <c r="E556" s="3">
        <v>1</v>
      </c>
      <c r="F556" s="3">
        <v>0.92112605530243097</v>
      </c>
      <c r="G556" s="3">
        <v>2.4520399670478459</v>
      </c>
      <c r="H556" s="3">
        <f t="shared" si="43"/>
        <v>-8.2158384228721584E-2</v>
      </c>
      <c r="I556" s="3">
        <f t="shared" si="44"/>
        <v>0.89692031771593983</v>
      </c>
      <c r="Q556">
        <f t="shared" si="45"/>
        <v>-8.2158384228721584E-2</v>
      </c>
      <c r="R556">
        <f t="shared" si="46"/>
        <v>0.89692031771593983</v>
      </c>
      <c r="S556">
        <v>2.4520399670478459</v>
      </c>
      <c r="U556">
        <f t="shared" si="47"/>
        <v>0.92112605530243097</v>
      </c>
      <c r="AE556">
        <v>2.4520399670478459</v>
      </c>
    </row>
    <row r="557" spans="1:31">
      <c r="A557" s="3" t="s">
        <v>91</v>
      </c>
      <c r="B557" s="3" t="s">
        <v>106</v>
      </c>
      <c r="C557" s="3" t="s">
        <v>78</v>
      </c>
      <c r="D557" s="3" t="s">
        <v>79</v>
      </c>
      <c r="E557" s="3">
        <v>2</v>
      </c>
      <c r="F557" s="3">
        <v>0.95424031810452403</v>
      </c>
      <c r="G557" s="3">
        <v>2.6035744659986202</v>
      </c>
      <c r="H557" s="3">
        <f t="shared" si="43"/>
        <v>-4.6839733486840306E-2</v>
      </c>
      <c r="I557" s="3">
        <f t="shared" si="44"/>
        <v>0.95688529547742984</v>
      </c>
      <c r="Q557">
        <f t="shared" si="45"/>
        <v>-4.6839733486840306E-2</v>
      </c>
      <c r="R557">
        <f t="shared" si="46"/>
        <v>0.95688529547742984</v>
      </c>
      <c r="S557">
        <v>2.6035744659986202</v>
      </c>
      <c r="U557">
        <f t="shared" si="47"/>
        <v>0.95424031810452403</v>
      </c>
      <c r="AE557">
        <v>2.6035744659986202</v>
      </c>
    </row>
    <row r="558" spans="1:31">
      <c r="A558" s="3" t="s">
        <v>91</v>
      </c>
      <c r="B558" s="3" t="s">
        <v>106</v>
      </c>
      <c r="C558" s="3" t="s">
        <v>78</v>
      </c>
      <c r="D558" s="3" t="s">
        <v>79</v>
      </c>
      <c r="E558" s="3">
        <v>3</v>
      </c>
      <c r="F558" s="3">
        <v>0.94328855875545004</v>
      </c>
      <c r="G558" s="3">
        <v>2.5656188337319321</v>
      </c>
      <c r="H558" s="3">
        <f t="shared" si="43"/>
        <v>-5.8383042356262439E-2</v>
      </c>
      <c r="I558" s="3">
        <f t="shared" si="44"/>
        <v>0.94219971023825044</v>
      </c>
      <c r="Q558">
        <f t="shared" si="45"/>
        <v>-5.8383042356262439E-2</v>
      </c>
      <c r="R558">
        <f t="shared" si="46"/>
        <v>0.94219971023825044</v>
      </c>
      <c r="S558">
        <v>2.5656188337319321</v>
      </c>
      <c r="U558">
        <f t="shared" si="47"/>
        <v>0.94328855875545004</v>
      </c>
      <c r="AE558">
        <v>2.5656188337319321</v>
      </c>
    </row>
    <row r="559" spans="1:31">
      <c r="A559" s="3" t="s">
        <v>91</v>
      </c>
      <c r="B559" s="3" t="s">
        <v>106</v>
      </c>
      <c r="C559" s="3" t="s">
        <v>78</v>
      </c>
      <c r="D559" s="3" t="s">
        <v>79</v>
      </c>
      <c r="E559" s="3">
        <v>4</v>
      </c>
      <c r="F559" s="3">
        <v>0.946618162729985</v>
      </c>
      <c r="G559" s="3">
        <v>2.5526456863419176</v>
      </c>
      <c r="H559" s="3">
        <f t="shared" si="43"/>
        <v>-5.4859474360464774E-2</v>
      </c>
      <c r="I559" s="3">
        <f t="shared" si="44"/>
        <v>0.93713034536989925</v>
      </c>
      <c r="Q559">
        <f t="shared" si="45"/>
        <v>-5.4859474360464774E-2</v>
      </c>
      <c r="R559">
        <f t="shared" si="46"/>
        <v>0.93713034536989925</v>
      </c>
      <c r="S559">
        <v>2.5526456863419176</v>
      </c>
      <c r="U559">
        <f t="shared" si="47"/>
        <v>0.946618162729985</v>
      </c>
      <c r="AE559">
        <v>2.5526456863419176</v>
      </c>
    </row>
    <row r="560" spans="1:31">
      <c r="A560" s="3" t="s">
        <v>91</v>
      </c>
      <c r="B560" s="3" t="s">
        <v>106</v>
      </c>
      <c r="C560" s="3" t="s">
        <v>78</v>
      </c>
      <c r="D560" s="3" t="s">
        <v>79</v>
      </c>
      <c r="E560" s="3">
        <v>5</v>
      </c>
      <c r="F560" s="3">
        <v>0.94598169385567699</v>
      </c>
      <c r="G560" s="3">
        <v>2.4742675683927149</v>
      </c>
      <c r="H560" s="3">
        <f t="shared" si="43"/>
        <v>-5.5532061221429334E-2</v>
      </c>
      <c r="I560" s="3">
        <f t="shared" si="44"/>
        <v>0.90594442026161026</v>
      </c>
      <c r="Q560">
        <f t="shared" si="45"/>
        <v>-5.5532061221429334E-2</v>
      </c>
      <c r="R560">
        <f t="shared" si="46"/>
        <v>0.90594442026161026</v>
      </c>
      <c r="S560">
        <v>2.4742675683927149</v>
      </c>
      <c r="U560">
        <f t="shared" si="47"/>
        <v>0.94598169385567699</v>
      </c>
      <c r="AE560">
        <v>2.4742675683927149</v>
      </c>
    </row>
    <row r="561" spans="1:31">
      <c r="A561" s="3" t="s">
        <v>91</v>
      </c>
      <c r="B561" s="3" t="s">
        <v>106</v>
      </c>
      <c r="C561" s="3" t="s">
        <v>78</v>
      </c>
      <c r="D561" s="3" t="s">
        <v>79</v>
      </c>
      <c r="E561" s="3">
        <v>6</v>
      </c>
      <c r="F561" s="3">
        <v>0.91660826444546795</v>
      </c>
      <c r="G561" s="3">
        <v>2.5026585863836881</v>
      </c>
      <c r="H561" s="3">
        <f t="shared" si="43"/>
        <v>-8.7075090533329458E-2</v>
      </c>
      <c r="I561" s="3">
        <f t="shared" si="44"/>
        <v>0.917353601381663</v>
      </c>
      <c r="Q561">
        <f t="shared" si="45"/>
        <v>-8.7075090533329458E-2</v>
      </c>
      <c r="R561">
        <f t="shared" si="46"/>
        <v>0.917353601381663</v>
      </c>
      <c r="S561">
        <v>2.5026585863836881</v>
      </c>
      <c r="U561">
        <f t="shared" si="47"/>
        <v>0.91660826444546795</v>
      </c>
      <c r="AE561">
        <v>2.5026585863836881</v>
      </c>
    </row>
    <row r="562" spans="1:31">
      <c r="A562" s="3" t="s">
        <v>91</v>
      </c>
      <c r="B562" s="3" t="s">
        <v>106</v>
      </c>
      <c r="C562" s="3" t="s">
        <v>78</v>
      </c>
      <c r="D562" s="3" t="s">
        <v>79</v>
      </c>
      <c r="E562" s="3">
        <v>7</v>
      </c>
      <c r="F562" s="3">
        <v>0.93448859369616599</v>
      </c>
      <c r="G562" s="3">
        <v>2.5794766911139164</v>
      </c>
      <c r="H562" s="3">
        <f t="shared" si="43"/>
        <v>-6.77558579436046E-2</v>
      </c>
      <c r="I562" s="3">
        <f t="shared" si="44"/>
        <v>0.94758654545856824</v>
      </c>
      <c r="Q562">
        <f t="shared" si="45"/>
        <v>-6.77558579436046E-2</v>
      </c>
      <c r="R562">
        <f t="shared" si="46"/>
        <v>0.94758654545856824</v>
      </c>
      <c r="S562">
        <v>2.5794766911139164</v>
      </c>
      <c r="U562">
        <f t="shared" si="47"/>
        <v>0.93448859369616599</v>
      </c>
      <c r="AE562">
        <v>2.5794766911139164</v>
      </c>
    </row>
    <row r="563" spans="1:31">
      <c r="A563" s="3" t="s">
        <v>91</v>
      </c>
      <c r="B563" s="3" t="s">
        <v>106</v>
      </c>
      <c r="C563" s="3" t="s">
        <v>78</v>
      </c>
      <c r="D563" s="3" t="s">
        <v>79</v>
      </c>
      <c r="E563" s="3">
        <v>9</v>
      </c>
      <c r="F563" s="3">
        <v>0.95780430492467705</v>
      </c>
      <c r="G563" s="3">
        <v>2.5849564793241684</v>
      </c>
      <c r="H563" s="3">
        <f t="shared" si="43"/>
        <v>-4.31117964870728E-2</v>
      </c>
      <c r="I563" s="3">
        <f t="shared" si="44"/>
        <v>0.94970867196728237</v>
      </c>
      <c r="Q563">
        <f t="shared" si="45"/>
        <v>-4.31117964870728E-2</v>
      </c>
      <c r="R563">
        <f t="shared" si="46"/>
        <v>0.94970867196728237</v>
      </c>
      <c r="S563">
        <v>2.5849564793241684</v>
      </c>
      <c r="U563">
        <f t="shared" si="47"/>
        <v>0.95780430492467705</v>
      </c>
      <c r="AE563">
        <v>2.5849564793241684</v>
      </c>
    </row>
    <row r="564" spans="1:31">
      <c r="A564" s="3" t="s">
        <v>91</v>
      </c>
      <c r="B564" s="3" t="s">
        <v>106</v>
      </c>
      <c r="C564" s="3" t="s">
        <v>78</v>
      </c>
      <c r="D564" s="3" t="s">
        <v>79</v>
      </c>
      <c r="E564" s="3">
        <v>10</v>
      </c>
      <c r="F564" s="3">
        <v>0.91576479813237899</v>
      </c>
      <c r="G564" s="3">
        <v>2.5107767722360346</v>
      </c>
      <c r="H564" s="3">
        <f t="shared" si="43"/>
        <v>-8.7995717877060425E-2</v>
      </c>
      <c r="I564" s="3">
        <f t="shared" si="44"/>
        <v>0.920592176277789</v>
      </c>
      <c r="Q564">
        <f t="shared" si="45"/>
        <v>-8.7995717877060425E-2</v>
      </c>
      <c r="R564">
        <f t="shared" si="46"/>
        <v>0.920592176277789</v>
      </c>
      <c r="S564">
        <v>2.5107767722360346</v>
      </c>
      <c r="U564">
        <f t="shared" si="47"/>
        <v>0.91576479813237899</v>
      </c>
      <c r="AE564">
        <v>2.5107767722360346</v>
      </c>
    </row>
    <row r="565" spans="1:31">
      <c r="A565" s="3" t="s">
        <v>91</v>
      </c>
      <c r="B565" s="3" t="s">
        <v>106</v>
      </c>
      <c r="C565" s="3" t="s">
        <v>78</v>
      </c>
      <c r="D565" s="3" t="s">
        <v>79</v>
      </c>
      <c r="E565" s="3">
        <v>11</v>
      </c>
      <c r="F565" s="3">
        <v>0.91623366066702305</v>
      </c>
      <c r="G565" s="3">
        <v>2.4992999019725506</v>
      </c>
      <c r="H565" s="3">
        <f t="shared" si="43"/>
        <v>-8.7483858772999648E-2</v>
      </c>
      <c r="I565" s="3">
        <f t="shared" si="44"/>
        <v>0.91601065344487353</v>
      </c>
      <c r="Q565">
        <f t="shared" si="45"/>
        <v>-8.7483858772999648E-2</v>
      </c>
      <c r="R565">
        <f t="shared" si="46"/>
        <v>0.91601065344487353</v>
      </c>
      <c r="S565">
        <v>2.4992999019725506</v>
      </c>
      <c r="U565">
        <f t="shared" si="47"/>
        <v>0.91623366066702305</v>
      </c>
      <c r="AE565">
        <v>2.4992999019725506</v>
      </c>
    </row>
    <row r="566" spans="1:31">
      <c r="A566" s="3" t="s">
        <v>91</v>
      </c>
      <c r="B566" s="3" t="s">
        <v>106</v>
      </c>
      <c r="C566" s="3" t="s">
        <v>78</v>
      </c>
      <c r="D566" s="3" t="s">
        <v>79</v>
      </c>
      <c r="E566" s="3">
        <v>12</v>
      </c>
      <c r="F566" s="3">
        <v>0.91530425563992401</v>
      </c>
      <c r="G566" s="3">
        <v>2.5156311335328949</v>
      </c>
      <c r="H566" s="3">
        <f t="shared" si="43"/>
        <v>-8.8498749154026737E-2</v>
      </c>
      <c r="I566" s="3">
        <f t="shared" si="44"/>
        <v>0.9225237197963857</v>
      </c>
      <c r="Q566">
        <f t="shared" si="45"/>
        <v>-8.8498749154026737E-2</v>
      </c>
      <c r="R566">
        <f t="shared" si="46"/>
        <v>0.9225237197963857</v>
      </c>
      <c r="S566">
        <v>2.5156311335328949</v>
      </c>
      <c r="U566">
        <f t="shared" si="47"/>
        <v>0.91530425563992401</v>
      </c>
      <c r="AE566">
        <v>2.5156311335328949</v>
      </c>
    </row>
    <row r="567" spans="1:31">
      <c r="A567" s="3" t="s">
        <v>91</v>
      </c>
      <c r="B567" s="3" t="s">
        <v>106</v>
      </c>
      <c r="C567" s="3" t="s">
        <v>78</v>
      </c>
      <c r="D567" s="3" t="s">
        <v>79</v>
      </c>
      <c r="E567" s="3">
        <v>13</v>
      </c>
      <c r="F567" s="3">
        <v>0.92754855440671502</v>
      </c>
      <c r="G567" s="3">
        <v>2.5347583711273152</v>
      </c>
      <c r="H567" s="3">
        <f t="shared" si="43"/>
        <v>-7.5210136106095643E-2</v>
      </c>
      <c r="I567" s="3">
        <f t="shared" si="44"/>
        <v>0.93009831539064169</v>
      </c>
      <c r="Q567">
        <f t="shared" si="45"/>
        <v>-7.5210136106095643E-2</v>
      </c>
      <c r="R567">
        <f t="shared" si="46"/>
        <v>0.93009831539064169</v>
      </c>
      <c r="S567">
        <v>2.5347583711273152</v>
      </c>
      <c r="U567">
        <f t="shared" si="47"/>
        <v>0.92754855440671502</v>
      </c>
      <c r="AE567">
        <v>2.5347583711273152</v>
      </c>
    </row>
    <row r="568" spans="1:31">
      <c r="A568" s="3" t="s">
        <v>91</v>
      </c>
      <c r="B568" s="3" t="s">
        <v>106</v>
      </c>
      <c r="C568" s="3" t="s">
        <v>78</v>
      </c>
      <c r="D568" s="3" t="s">
        <v>79</v>
      </c>
      <c r="E568" s="3">
        <v>14</v>
      </c>
      <c r="F568" s="3">
        <v>0.93823789943773905</v>
      </c>
      <c r="G568" s="3">
        <v>2.6076809620810595</v>
      </c>
      <c r="H568" s="3">
        <f t="shared" si="43"/>
        <v>-6.3751737999025795E-2</v>
      </c>
      <c r="I568" s="3">
        <f t="shared" si="44"/>
        <v>0.95846130609103053</v>
      </c>
      <c r="Q568">
        <f t="shared" si="45"/>
        <v>-6.3751737999025795E-2</v>
      </c>
      <c r="R568">
        <f t="shared" si="46"/>
        <v>0.95846130609103053</v>
      </c>
      <c r="S568">
        <v>2.6076809620810595</v>
      </c>
      <c r="U568">
        <f t="shared" si="47"/>
        <v>0.93823789943773905</v>
      </c>
      <c r="AE568">
        <v>2.6076809620810595</v>
      </c>
    </row>
    <row r="569" spans="1:31">
      <c r="A569" s="3" t="s">
        <v>91</v>
      </c>
      <c r="B569" s="3" t="s">
        <v>106</v>
      </c>
      <c r="C569" s="3" t="s">
        <v>78</v>
      </c>
      <c r="D569" s="3" t="s">
        <v>79</v>
      </c>
      <c r="E569" s="3">
        <v>16</v>
      </c>
      <c r="F569" s="3">
        <v>0.92809943133698902</v>
      </c>
      <c r="G569" s="3">
        <v>2.5452701231892854</v>
      </c>
      <c r="H569" s="3">
        <f t="shared" si="43"/>
        <v>-7.4616406098369059E-2</v>
      </c>
      <c r="I569" s="3">
        <f t="shared" si="44"/>
        <v>0.93423678314787983</v>
      </c>
      <c r="Q569">
        <f t="shared" si="45"/>
        <v>-7.4616406098369059E-2</v>
      </c>
      <c r="R569">
        <f t="shared" si="46"/>
        <v>0.93423678314787983</v>
      </c>
      <c r="S569">
        <v>2.5452701231892854</v>
      </c>
      <c r="U569">
        <f t="shared" si="47"/>
        <v>0.92809943133698902</v>
      </c>
      <c r="AE569">
        <v>2.5452701231892854</v>
      </c>
    </row>
    <row r="570" spans="1:31">
      <c r="A570" s="3" t="s">
        <v>91</v>
      </c>
      <c r="B570" s="3" t="s">
        <v>106</v>
      </c>
      <c r="C570" s="3" t="s">
        <v>78</v>
      </c>
      <c r="D570" s="3" t="s">
        <v>79</v>
      </c>
      <c r="E570" s="3">
        <v>17</v>
      </c>
      <c r="F570" s="3">
        <v>0.94176982050589297</v>
      </c>
      <c r="G570" s="3">
        <v>2.6034592372457075</v>
      </c>
      <c r="H570" s="3">
        <f t="shared" si="43"/>
        <v>-5.9994386169136979E-2</v>
      </c>
      <c r="I570" s="3">
        <f t="shared" si="44"/>
        <v>0.95684103659242992</v>
      </c>
      <c r="Q570">
        <f t="shared" si="45"/>
        <v>-5.9994386169136979E-2</v>
      </c>
      <c r="R570">
        <f t="shared" si="46"/>
        <v>0.95684103659242992</v>
      </c>
      <c r="S570">
        <v>2.6034592372457075</v>
      </c>
      <c r="U570">
        <f t="shared" si="47"/>
        <v>0.94176982050589297</v>
      </c>
      <c r="AE570">
        <v>2.6034592372457075</v>
      </c>
    </row>
    <row r="571" spans="1:31">
      <c r="A571" s="3" t="s">
        <v>91</v>
      </c>
      <c r="B571" s="3" t="s">
        <v>106</v>
      </c>
      <c r="C571" s="3" t="s">
        <v>78</v>
      </c>
      <c r="D571" s="3" t="s">
        <v>79</v>
      </c>
      <c r="E571" s="3">
        <v>18</v>
      </c>
      <c r="F571" s="3">
        <v>0.953274869630515</v>
      </c>
      <c r="G571" s="3">
        <v>2.6102107194630855</v>
      </c>
      <c r="H571" s="3">
        <f t="shared" si="43"/>
        <v>-4.7851991279234507E-2</v>
      </c>
      <c r="I571" s="3">
        <f t="shared" si="44"/>
        <v>0.95943095350214247</v>
      </c>
      <c r="Q571">
        <f t="shared" si="45"/>
        <v>-4.7851991279234507E-2</v>
      </c>
      <c r="R571">
        <f t="shared" si="46"/>
        <v>0.95943095350214247</v>
      </c>
      <c r="S571">
        <v>2.6102107194630855</v>
      </c>
      <c r="U571">
        <f t="shared" si="47"/>
        <v>0.953274869630515</v>
      </c>
      <c r="AE571">
        <v>2.6102107194630855</v>
      </c>
    </row>
    <row r="572" spans="1:31">
      <c r="A572" s="3" t="s">
        <v>91</v>
      </c>
      <c r="B572" s="3" t="s">
        <v>106</v>
      </c>
      <c r="C572" s="3" t="s">
        <v>78</v>
      </c>
      <c r="D572" s="3" t="s">
        <v>79</v>
      </c>
      <c r="E572" s="3">
        <v>19</v>
      </c>
      <c r="F572" s="3">
        <v>0.97403718913590498</v>
      </c>
      <c r="G572" s="3">
        <v>2.5715753926338616</v>
      </c>
      <c r="H572" s="3">
        <f t="shared" si="43"/>
        <v>-2.6305794204131951E-2</v>
      </c>
      <c r="I572" s="3">
        <f t="shared" si="44"/>
        <v>0.94451870434626262</v>
      </c>
      <c r="Q572">
        <f t="shared" si="45"/>
        <v>-2.6305794204131951E-2</v>
      </c>
      <c r="R572">
        <f t="shared" si="46"/>
        <v>0.94451870434626262</v>
      </c>
      <c r="S572">
        <v>2.5715753926338616</v>
      </c>
      <c r="U572">
        <f t="shared" si="47"/>
        <v>0.97403718913590498</v>
      </c>
      <c r="AE572">
        <v>2.5715753926338616</v>
      </c>
    </row>
    <row r="573" spans="1:31">
      <c r="A573" s="3" t="s">
        <v>91</v>
      </c>
      <c r="B573" s="3" t="s">
        <v>106</v>
      </c>
      <c r="C573" s="3" t="s">
        <v>78</v>
      </c>
      <c r="D573" s="3" t="s">
        <v>79</v>
      </c>
      <c r="E573" s="3">
        <v>20</v>
      </c>
      <c r="F573" s="3">
        <v>0.95998966101133199</v>
      </c>
      <c r="G573" s="3">
        <v>2.5020391683584813</v>
      </c>
      <c r="H573" s="3">
        <f t="shared" si="43"/>
        <v>-4.0832764358112138E-2</v>
      </c>
      <c r="I573" s="3">
        <f t="shared" si="44"/>
        <v>0.9171060667417209</v>
      </c>
      <c r="Q573">
        <f t="shared" si="45"/>
        <v>-4.0832764358112138E-2</v>
      </c>
      <c r="R573">
        <f t="shared" si="46"/>
        <v>0.9171060667417209</v>
      </c>
      <c r="S573">
        <v>2.5020391683584813</v>
      </c>
      <c r="U573">
        <f t="shared" si="47"/>
        <v>0.95998966101133199</v>
      </c>
      <c r="AE573">
        <v>2.5020391683584813</v>
      </c>
    </row>
    <row r="574" spans="1:31">
      <c r="A574" s="3" t="s">
        <v>91</v>
      </c>
      <c r="B574" s="3" t="s">
        <v>106</v>
      </c>
      <c r="C574" s="3" t="s">
        <v>78</v>
      </c>
      <c r="D574" s="3" t="s">
        <v>79</v>
      </c>
      <c r="E574" s="3">
        <v>21</v>
      </c>
      <c r="F574" s="3">
        <v>0.93425129650822003</v>
      </c>
      <c r="G574" s="3">
        <v>2.4285386552410482</v>
      </c>
      <c r="H574" s="3">
        <f t="shared" si="43"/>
        <v>-6.8009822864528349E-2</v>
      </c>
      <c r="I574" s="3">
        <f t="shared" si="44"/>
        <v>0.8872897000091009</v>
      </c>
      <c r="Q574">
        <f t="shared" si="45"/>
        <v>-6.8009822864528349E-2</v>
      </c>
      <c r="R574">
        <f t="shared" si="46"/>
        <v>0.8872897000091009</v>
      </c>
      <c r="S574">
        <v>2.4285386552410482</v>
      </c>
      <c r="U574">
        <f t="shared" si="47"/>
        <v>0.93425129650822003</v>
      </c>
      <c r="AE574">
        <v>2.4285386552410482</v>
      </c>
    </row>
    <row r="575" spans="1:31">
      <c r="A575" s="3" t="s">
        <v>91</v>
      </c>
      <c r="B575" s="3" t="s">
        <v>106</v>
      </c>
      <c r="C575" s="3" t="s">
        <v>78</v>
      </c>
      <c r="D575" s="3" t="s">
        <v>75</v>
      </c>
      <c r="E575" s="3">
        <v>1</v>
      </c>
      <c r="F575" s="3">
        <v>0.91394703381278897</v>
      </c>
      <c r="G575" s="3">
        <v>2.5489213404889526</v>
      </c>
      <c r="H575" s="3">
        <f t="shared" si="43"/>
        <v>-8.9982659083744518E-2</v>
      </c>
      <c r="I575" s="3">
        <f t="shared" si="44"/>
        <v>0.93567026594919689</v>
      </c>
      <c r="Q575">
        <f t="shared" si="45"/>
        <v>-8.9982659083744518E-2</v>
      </c>
      <c r="R575">
        <f t="shared" si="46"/>
        <v>0.93567026594919689</v>
      </c>
      <c r="S575">
        <v>2.5489213404889526</v>
      </c>
      <c r="U575">
        <f t="shared" si="47"/>
        <v>0.91394703381278897</v>
      </c>
      <c r="AE575">
        <v>2.5489213404889526</v>
      </c>
    </row>
    <row r="576" spans="1:31">
      <c r="A576" s="3" t="s">
        <v>91</v>
      </c>
      <c r="B576" s="3" t="s">
        <v>106</v>
      </c>
      <c r="C576" s="3" t="s">
        <v>78</v>
      </c>
      <c r="D576" s="3" t="s">
        <v>75</v>
      </c>
      <c r="E576" s="3">
        <v>2</v>
      </c>
      <c r="F576" s="3">
        <v>0.89972260353357303</v>
      </c>
      <c r="G576" s="3">
        <v>2.4577225229874915</v>
      </c>
      <c r="H576" s="3">
        <f t="shared" si="43"/>
        <v>-0.10566878146287763</v>
      </c>
      <c r="I576" s="3">
        <f t="shared" si="44"/>
        <v>0.8992351174597486</v>
      </c>
      <c r="Q576">
        <f t="shared" si="45"/>
        <v>-0.10566878146287763</v>
      </c>
      <c r="R576">
        <f t="shared" si="46"/>
        <v>0.8992351174597486</v>
      </c>
      <c r="S576">
        <v>2.4577225229874915</v>
      </c>
      <c r="U576">
        <f t="shared" si="47"/>
        <v>0.89972260353357303</v>
      </c>
      <c r="AE576">
        <v>2.4577225229874915</v>
      </c>
    </row>
    <row r="577" spans="1:31">
      <c r="A577" s="3" t="s">
        <v>91</v>
      </c>
      <c r="B577" s="3" t="s">
        <v>106</v>
      </c>
      <c r="C577" s="3" t="s">
        <v>78</v>
      </c>
      <c r="D577" s="3" t="s">
        <v>75</v>
      </c>
      <c r="E577" s="3">
        <v>3</v>
      </c>
      <c r="F577" s="3">
        <v>0.93316729714511104</v>
      </c>
      <c r="G577" s="3">
        <v>2.5489213404889526</v>
      </c>
      <c r="H577" s="3">
        <f t="shared" si="43"/>
        <v>-6.9170783228259231E-2</v>
      </c>
      <c r="I577" s="3">
        <f t="shared" si="44"/>
        <v>0.93567026594919689</v>
      </c>
      <c r="Q577">
        <f t="shared" si="45"/>
        <v>-6.9170783228259231E-2</v>
      </c>
      <c r="R577">
        <f t="shared" si="46"/>
        <v>0.93567026594919689</v>
      </c>
      <c r="S577">
        <v>2.5489213404889526</v>
      </c>
      <c r="U577">
        <f t="shared" si="47"/>
        <v>0.93316729714511104</v>
      </c>
      <c r="AE577">
        <v>2.5489213404889526</v>
      </c>
    </row>
    <row r="578" spans="1:31">
      <c r="A578" s="3" t="s">
        <v>91</v>
      </c>
      <c r="B578" s="3" t="s">
        <v>106</v>
      </c>
      <c r="C578" s="3" t="s">
        <v>78</v>
      </c>
      <c r="D578" s="3" t="s">
        <v>75</v>
      </c>
      <c r="E578" s="3">
        <v>4</v>
      </c>
      <c r="F578" s="3">
        <v>0.93344770630040996</v>
      </c>
      <c r="G578" s="3">
        <v>2.4987396823198691</v>
      </c>
      <c r="H578" s="3">
        <f t="shared" ref="H578:H641" si="48">LN(F578)</f>
        <v>-6.8870336529940984E-2</v>
      </c>
      <c r="I578" s="3">
        <f t="shared" ref="I578:I641" si="49">LN(G578)</f>
        <v>0.91578647768732724</v>
      </c>
      <c r="Q578">
        <f t="shared" si="45"/>
        <v>-6.8870336529940984E-2</v>
      </c>
      <c r="R578">
        <f t="shared" si="46"/>
        <v>0.91578647768732724</v>
      </c>
      <c r="S578">
        <v>2.4987396823198691</v>
      </c>
      <c r="U578">
        <f t="shared" si="47"/>
        <v>0.93344770630040996</v>
      </c>
      <c r="AE578">
        <v>2.4987396823198691</v>
      </c>
    </row>
    <row r="579" spans="1:31">
      <c r="A579" s="3" t="s">
        <v>91</v>
      </c>
      <c r="B579" s="3" t="s">
        <v>106</v>
      </c>
      <c r="C579" s="3" t="s">
        <v>78</v>
      </c>
      <c r="D579" s="3" t="s">
        <v>75</v>
      </c>
      <c r="E579" s="3">
        <v>5</v>
      </c>
      <c r="F579" s="3">
        <v>0.89876515305182403</v>
      </c>
      <c r="G579" s="3">
        <v>2.5536836139193122</v>
      </c>
      <c r="H579" s="3">
        <f t="shared" si="48"/>
        <v>-0.10673350994789961</v>
      </c>
      <c r="I579" s="3">
        <f t="shared" si="49"/>
        <v>0.93753687128339092</v>
      </c>
      <c r="Q579">
        <f t="shared" si="45"/>
        <v>-0.10673350994789961</v>
      </c>
      <c r="R579">
        <f t="shared" si="46"/>
        <v>0.93753687128339092</v>
      </c>
      <c r="S579">
        <v>2.5536836139193122</v>
      </c>
      <c r="U579">
        <f t="shared" si="47"/>
        <v>0.89876515305182403</v>
      </c>
      <c r="AE579">
        <v>2.5536836139193122</v>
      </c>
    </row>
    <row r="580" spans="1:31">
      <c r="A580" s="3" t="s">
        <v>91</v>
      </c>
      <c r="B580" s="3" t="s">
        <v>106</v>
      </c>
      <c r="C580" s="3" t="s">
        <v>78</v>
      </c>
      <c r="D580" s="3" t="s">
        <v>75</v>
      </c>
      <c r="E580" s="3">
        <v>6</v>
      </c>
      <c r="F580" s="3">
        <v>0.93572806226299399</v>
      </c>
      <c r="G580" s="3">
        <v>2.5599414055794325</v>
      </c>
      <c r="H580" s="3">
        <f t="shared" si="48"/>
        <v>-6.6430376487381607E-2</v>
      </c>
      <c r="I580" s="3">
        <f t="shared" si="49"/>
        <v>0.93998436978399247</v>
      </c>
      <c r="Q580">
        <f t="shared" si="45"/>
        <v>-6.6430376487381607E-2</v>
      </c>
      <c r="R580">
        <f t="shared" si="46"/>
        <v>0.93998436978399247</v>
      </c>
      <c r="S580">
        <v>2.5599414055794325</v>
      </c>
      <c r="U580">
        <f t="shared" si="47"/>
        <v>0.93572806226299399</v>
      </c>
      <c r="AE580">
        <v>2.5599414055794325</v>
      </c>
    </row>
    <row r="581" spans="1:31">
      <c r="A581" s="3" t="s">
        <v>91</v>
      </c>
      <c r="B581" s="3" t="s">
        <v>106</v>
      </c>
      <c r="C581" s="3" t="s">
        <v>78</v>
      </c>
      <c r="D581" s="3" t="s">
        <v>75</v>
      </c>
      <c r="E581" s="3">
        <v>7</v>
      </c>
      <c r="F581" s="3">
        <v>0.94017986433460299</v>
      </c>
      <c r="G581" s="3">
        <v>2.4602845363900494</v>
      </c>
      <c r="H581" s="3">
        <f t="shared" si="48"/>
        <v>-6.1684076985402438E-2</v>
      </c>
      <c r="I581" s="3">
        <f t="shared" si="49"/>
        <v>0.9002770084547751</v>
      </c>
      <c r="Q581">
        <f t="shared" si="45"/>
        <v>-6.1684076985402438E-2</v>
      </c>
      <c r="R581">
        <f t="shared" si="46"/>
        <v>0.9002770084547751</v>
      </c>
      <c r="S581">
        <v>2.4602845363900494</v>
      </c>
      <c r="U581">
        <f t="shared" si="47"/>
        <v>0.94017986433460299</v>
      </c>
      <c r="AE581">
        <v>2.4602845363900494</v>
      </c>
    </row>
    <row r="582" spans="1:31">
      <c r="A582" s="3" t="s">
        <v>91</v>
      </c>
      <c r="B582" s="3" t="s">
        <v>106</v>
      </c>
      <c r="C582" s="3" t="s">
        <v>78</v>
      </c>
      <c r="D582" s="3" t="s">
        <v>75</v>
      </c>
      <c r="E582" s="3">
        <v>8</v>
      </c>
      <c r="F582" s="3">
        <v>0.897755821098983</v>
      </c>
      <c r="G582" s="3">
        <v>2.5439536159293472</v>
      </c>
      <c r="H582" s="3">
        <f t="shared" si="48"/>
        <v>-0.10785716179896261</v>
      </c>
      <c r="I582" s="3">
        <f t="shared" si="49"/>
        <v>0.93371941257948254</v>
      </c>
      <c r="Q582">
        <f t="shared" si="45"/>
        <v>-0.10785716179896261</v>
      </c>
      <c r="R582">
        <f t="shared" si="46"/>
        <v>0.93371941257948254</v>
      </c>
      <c r="S582">
        <v>2.5439536159293472</v>
      </c>
      <c r="U582">
        <f t="shared" si="47"/>
        <v>0.897755821098983</v>
      </c>
      <c r="AE582">
        <v>2.5439536159293472</v>
      </c>
    </row>
    <row r="583" spans="1:31">
      <c r="A583" s="3" t="s">
        <v>91</v>
      </c>
      <c r="B583" s="3" t="s">
        <v>106</v>
      </c>
      <c r="C583" s="3" t="s">
        <v>78</v>
      </c>
      <c r="D583" s="3" t="s">
        <v>75</v>
      </c>
      <c r="E583" s="3">
        <v>9</v>
      </c>
      <c r="F583" s="3">
        <v>0.92869561806659295</v>
      </c>
      <c r="G583" s="3">
        <v>2.5366316248127165</v>
      </c>
      <c r="H583" s="3">
        <f t="shared" si="48"/>
        <v>-7.397423856320319E-2</v>
      </c>
      <c r="I583" s="3">
        <f t="shared" si="49"/>
        <v>0.93083706897579144</v>
      </c>
      <c r="Q583">
        <f t="shared" si="45"/>
        <v>-7.397423856320319E-2</v>
      </c>
      <c r="R583">
        <f t="shared" si="46"/>
        <v>0.93083706897579144</v>
      </c>
      <c r="S583">
        <v>2.5366316248127165</v>
      </c>
      <c r="U583">
        <f t="shared" si="47"/>
        <v>0.92869561806659295</v>
      </c>
      <c r="AE583">
        <v>2.5366316248127165</v>
      </c>
    </row>
    <row r="584" spans="1:31">
      <c r="A584" s="3" t="s">
        <v>91</v>
      </c>
      <c r="B584" s="3" t="s">
        <v>106</v>
      </c>
      <c r="C584" s="3" t="s">
        <v>78</v>
      </c>
      <c r="D584" s="3" t="s">
        <v>75</v>
      </c>
      <c r="E584" s="3">
        <v>10</v>
      </c>
      <c r="F584" s="3">
        <v>0.91251048084225905</v>
      </c>
      <c r="G584" s="3">
        <v>2.520495982936692</v>
      </c>
      <c r="H584" s="3">
        <f t="shared" si="48"/>
        <v>-9.155570773692194E-2</v>
      </c>
      <c r="I584" s="3">
        <f t="shared" si="49"/>
        <v>0.92445570078275874</v>
      </c>
      <c r="Q584">
        <f t="shared" si="45"/>
        <v>-9.155570773692194E-2</v>
      </c>
      <c r="R584">
        <f t="shared" si="46"/>
        <v>0.92445570078275874</v>
      </c>
      <c r="S584">
        <v>2.520495982936692</v>
      </c>
      <c r="U584">
        <f t="shared" si="47"/>
        <v>0.91251048084225905</v>
      </c>
      <c r="AE584">
        <v>2.520495982936692</v>
      </c>
    </row>
    <row r="585" spans="1:31">
      <c r="A585" s="3" t="s">
        <v>91</v>
      </c>
      <c r="B585" s="3" t="s">
        <v>106</v>
      </c>
      <c r="C585" s="3" t="s">
        <v>78</v>
      </c>
      <c r="D585" s="3" t="s">
        <v>75</v>
      </c>
      <c r="E585" s="3">
        <v>11</v>
      </c>
      <c r="F585" s="3">
        <v>0.92218747019608005</v>
      </c>
      <c r="G585" s="3">
        <v>2.4920874784003875</v>
      </c>
      <c r="H585" s="3">
        <f t="shared" si="48"/>
        <v>-8.1006746163599402E-2</v>
      </c>
      <c r="I585" s="3">
        <f t="shared" si="49"/>
        <v>0.91312070400105583</v>
      </c>
      <c r="Q585">
        <f t="shared" si="45"/>
        <v>-8.1006746163599402E-2</v>
      </c>
      <c r="R585">
        <f t="shared" si="46"/>
        <v>0.91312070400105583</v>
      </c>
      <c r="S585">
        <v>2.4920874784003875</v>
      </c>
      <c r="U585">
        <f t="shared" si="47"/>
        <v>0.92218747019608005</v>
      </c>
      <c r="AE585">
        <v>2.4920874784003875</v>
      </c>
    </row>
    <row r="586" spans="1:31">
      <c r="A586" s="3" t="s">
        <v>91</v>
      </c>
      <c r="B586" s="3" t="s">
        <v>106</v>
      </c>
      <c r="C586" s="3" t="s">
        <v>78</v>
      </c>
      <c r="D586" s="3" t="s">
        <v>75</v>
      </c>
      <c r="E586" s="3">
        <v>12</v>
      </c>
      <c r="F586" s="3">
        <v>0.95460226253009195</v>
      </c>
      <c r="G586" s="3">
        <v>2.5992498917957079</v>
      </c>
      <c r="H586" s="3">
        <f t="shared" si="48"/>
        <v>-4.6460504278965732E-2</v>
      </c>
      <c r="I586" s="3">
        <f t="shared" si="49"/>
        <v>0.95522290024689782</v>
      </c>
      <c r="Q586">
        <f t="shared" si="45"/>
        <v>-4.6460504278965732E-2</v>
      </c>
      <c r="R586">
        <f t="shared" si="46"/>
        <v>0.95522290024689782</v>
      </c>
      <c r="S586">
        <v>2.5992498917957079</v>
      </c>
      <c r="U586">
        <f t="shared" si="47"/>
        <v>0.95460226253009195</v>
      </c>
      <c r="AE586">
        <v>2.5992498917957079</v>
      </c>
    </row>
    <row r="587" spans="1:31">
      <c r="A587" s="3" t="s">
        <v>91</v>
      </c>
      <c r="B587" s="3" t="s">
        <v>106</v>
      </c>
      <c r="C587" s="3" t="s">
        <v>78</v>
      </c>
      <c r="D587" s="3" t="s">
        <v>75</v>
      </c>
      <c r="E587" s="3">
        <v>13</v>
      </c>
      <c r="F587" s="3">
        <v>0.92528125465043198</v>
      </c>
      <c r="G587" s="3">
        <v>2.5072694310743713</v>
      </c>
      <c r="H587" s="3">
        <f t="shared" si="48"/>
        <v>-7.7657528604758164E-2</v>
      </c>
      <c r="I587" s="3">
        <f t="shared" si="49"/>
        <v>0.91919428491102928</v>
      </c>
      <c r="Q587">
        <f t="shared" si="45"/>
        <v>-7.7657528604758164E-2</v>
      </c>
      <c r="R587">
        <f t="shared" si="46"/>
        <v>0.91919428491102928</v>
      </c>
      <c r="S587">
        <v>2.5072694310743713</v>
      </c>
      <c r="U587">
        <f t="shared" si="47"/>
        <v>0.92528125465043198</v>
      </c>
      <c r="AE587">
        <v>2.5072694310743713</v>
      </c>
    </row>
    <row r="588" spans="1:31">
      <c r="A588" s="3" t="s">
        <v>91</v>
      </c>
      <c r="B588" s="3" t="s">
        <v>106</v>
      </c>
      <c r="C588" s="3" t="s">
        <v>78</v>
      </c>
      <c r="D588" s="3" t="s">
        <v>75</v>
      </c>
      <c r="E588" s="3">
        <v>14</v>
      </c>
      <c r="F588" s="3">
        <v>0.92414315170124195</v>
      </c>
      <c r="G588" s="3">
        <v>2.5451522547776979</v>
      </c>
      <c r="H588" s="3">
        <f t="shared" si="48"/>
        <v>-7.8888293256664022E-2</v>
      </c>
      <c r="I588" s="3">
        <f t="shared" si="49"/>
        <v>0.93419047327303772</v>
      </c>
      <c r="Q588">
        <f t="shared" si="45"/>
        <v>-7.8888293256664022E-2</v>
      </c>
      <c r="R588">
        <f t="shared" si="46"/>
        <v>0.93419047327303772</v>
      </c>
      <c r="S588">
        <v>2.5451522547776979</v>
      </c>
      <c r="U588">
        <f t="shared" si="47"/>
        <v>0.92414315170124195</v>
      </c>
      <c r="AE588">
        <v>2.5451522547776979</v>
      </c>
    </row>
    <row r="589" spans="1:31">
      <c r="A589" s="3" t="s">
        <v>91</v>
      </c>
      <c r="B589" s="3" t="s">
        <v>106</v>
      </c>
      <c r="C589" s="3" t="s">
        <v>78</v>
      </c>
      <c r="D589" s="3" t="s">
        <v>75</v>
      </c>
      <c r="E589" s="3">
        <v>15</v>
      </c>
      <c r="F589" s="3">
        <v>0.891265704305503</v>
      </c>
      <c r="G589" s="3">
        <v>2.411514047232568</v>
      </c>
      <c r="H589" s="3">
        <f t="shared" si="48"/>
        <v>-0.11511268686973743</v>
      </c>
      <c r="I589" s="3">
        <f t="shared" si="49"/>
        <v>0.88025478561154835</v>
      </c>
      <c r="Q589">
        <f t="shared" si="45"/>
        <v>-0.11511268686973743</v>
      </c>
      <c r="R589">
        <f t="shared" si="46"/>
        <v>0.88025478561154835</v>
      </c>
      <c r="S589">
        <v>2.411514047232568</v>
      </c>
      <c r="U589">
        <f t="shared" si="47"/>
        <v>0.891265704305503</v>
      </c>
      <c r="AE589">
        <v>2.411514047232568</v>
      </c>
    </row>
    <row r="590" spans="1:31">
      <c r="A590" s="3" t="s">
        <v>91</v>
      </c>
      <c r="B590" s="3" t="s">
        <v>106</v>
      </c>
      <c r="C590" s="3" t="s">
        <v>78</v>
      </c>
      <c r="D590" s="3" t="s">
        <v>75</v>
      </c>
      <c r="E590" s="3">
        <v>16</v>
      </c>
      <c r="F590" s="3">
        <v>0.92255900628593002</v>
      </c>
      <c r="G590" s="3">
        <v>2.4935917869611295</v>
      </c>
      <c r="H590" s="3">
        <f t="shared" si="48"/>
        <v>-8.0603941659446593E-2</v>
      </c>
      <c r="I590" s="3">
        <f t="shared" si="49"/>
        <v>0.91372415581828093</v>
      </c>
      <c r="Q590">
        <f t="shared" si="45"/>
        <v>-8.0603941659446593E-2</v>
      </c>
      <c r="R590">
        <f t="shared" si="46"/>
        <v>0.91372415581828093</v>
      </c>
      <c r="S590">
        <v>2.4935917869611295</v>
      </c>
      <c r="U590">
        <f t="shared" si="47"/>
        <v>0.92255900628593002</v>
      </c>
      <c r="AE590">
        <v>2.4935917869611295</v>
      </c>
    </row>
    <row r="591" spans="1:31">
      <c r="A591" s="3" t="s">
        <v>91</v>
      </c>
      <c r="B591" s="3" t="s">
        <v>106</v>
      </c>
      <c r="C591" s="3" t="s">
        <v>78</v>
      </c>
      <c r="D591" s="3" t="s">
        <v>75</v>
      </c>
      <c r="E591" s="3">
        <v>17</v>
      </c>
      <c r="F591" s="3">
        <v>0.93606726478542501</v>
      </c>
      <c r="G591" s="3">
        <v>2.4541597340026584</v>
      </c>
      <c r="H591" s="3">
        <f t="shared" si="48"/>
        <v>-6.6067940999652269E-2</v>
      </c>
      <c r="I591" s="3">
        <f t="shared" si="49"/>
        <v>0.89778443545100106</v>
      </c>
      <c r="Q591">
        <f t="shared" si="45"/>
        <v>-6.6067940999652269E-2</v>
      </c>
      <c r="R591">
        <f t="shared" si="46"/>
        <v>0.89778443545100106</v>
      </c>
      <c r="S591">
        <v>2.4541597340026584</v>
      </c>
      <c r="U591">
        <f t="shared" si="47"/>
        <v>0.93606726478542501</v>
      </c>
      <c r="AE591">
        <v>2.4541597340026584</v>
      </c>
    </row>
    <row r="592" spans="1:31">
      <c r="A592" s="3" t="s">
        <v>91</v>
      </c>
      <c r="B592" s="3" t="s">
        <v>106</v>
      </c>
      <c r="C592" s="3" t="s">
        <v>78</v>
      </c>
      <c r="D592" s="3" t="s">
        <v>75</v>
      </c>
      <c r="E592" s="3">
        <v>18</v>
      </c>
      <c r="F592" s="3">
        <v>0.93533284854180798</v>
      </c>
      <c r="G592" s="3">
        <v>2.4581497106563708</v>
      </c>
      <c r="H592" s="3">
        <f t="shared" si="48"/>
        <v>-6.6852825296804488E-2</v>
      </c>
      <c r="I592" s="3">
        <f t="shared" si="49"/>
        <v>0.89940891679775048</v>
      </c>
      <c r="Q592">
        <f t="shared" si="45"/>
        <v>-6.6852825296804488E-2</v>
      </c>
      <c r="R592">
        <f t="shared" si="46"/>
        <v>0.89940891679775048</v>
      </c>
      <c r="S592">
        <v>2.4581497106563708</v>
      </c>
      <c r="U592">
        <f t="shared" si="47"/>
        <v>0.93533284854180798</v>
      </c>
      <c r="AE592">
        <v>2.4581497106563708</v>
      </c>
    </row>
    <row r="593" spans="1:31">
      <c r="A593" s="3" t="s">
        <v>91</v>
      </c>
      <c r="B593" s="3" t="s">
        <v>106</v>
      </c>
      <c r="C593" s="3" t="s">
        <v>78</v>
      </c>
      <c r="D593" s="3" t="s">
        <v>75</v>
      </c>
      <c r="E593" s="3">
        <v>19</v>
      </c>
      <c r="F593" s="3">
        <v>0.90949626333676004</v>
      </c>
      <c r="G593" s="3">
        <v>2.4473863609981974</v>
      </c>
      <c r="H593" s="3">
        <f t="shared" si="48"/>
        <v>-9.486438951314756E-2</v>
      </c>
      <c r="I593" s="3">
        <f t="shared" si="49"/>
        <v>0.89502066370034239</v>
      </c>
      <c r="Q593">
        <f t="shared" si="45"/>
        <v>-9.486438951314756E-2</v>
      </c>
      <c r="R593">
        <f t="shared" si="46"/>
        <v>0.89502066370034239</v>
      </c>
      <c r="S593">
        <v>2.4473863609981974</v>
      </c>
      <c r="U593">
        <f t="shared" si="47"/>
        <v>0.90949626333676004</v>
      </c>
      <c r="AE593">
        <v>2.4473863609981974</v>
      </c>
    </row>
    <row r="594" spans="1:31">
      <c r="A594" s="3" t="s">
        <v>91</v>
      </c>
      <c r="B594" s="3" t="s">
        <v>106</v>
      </c>
      <c r="C594" s="3" t="s">
        <v>78</v>
      </c>
      <c r="D594" s="3" t="s">
        <v>75</v>
      </c>
      <c r="E594" s="3">
        <v>20</v>
      </c>
      <c r="F594" s="3">
        <v>0.90065232230705805</v>
      </c>
      <c r="G594" s="3">
        <v>2.4214252001662162</v>
      </c>
      <c r="H594" s="3">
        <f t="shared" si="48"/>
        <v>-0.10463597563695308</v>
      </c>
      <c r="I594" s="3">
        <f t="shared" si="49"/>
        <v>0.88435629250843717</v>
      </c>
      <c r="Q594">
        <f t="shared" ref="Q594:Q596" si="50">LN(F594)</f>
        <v>-0.10463597563695308</v>
      </c>
      <c r="R594">
        <f t="shared" ref="R594:R596" si="51">LN(S594)</f>
        <v>0.88435629250843717</v>
      </c>
      <c r="S594">
        <v>2.4214252001662162</v>
      </c>
      <c r="U594">
        <f t="shared" si="47"/>
        <v>0.90065232230705805</v>
      </c>
      <c r="AE594">
        <v>2.4214252001662162</v>
      </c>
    </row>
    <row r="595" spans="1:31">
      <c r="A595" s="3" t="s">
        <v>91</v>
      </c>
      <c r="B595" s="3" t="s">
        <v>106</v>
      </c>
      <c r="C595" s="3" t="s">
        <v>78</v>
      </c>
      <c r="D595" s="3" t="s">
        <v>75</v>
      </c>
      <c r="E595" s="3">
        <v>21</v>
      </c>
      <c r="F595" s="3">
        <v>0.928709680071518</v>
      </c>
      <c r="G595" s="3">
        <v>2.5266974492408067</v>
      </c>
      <c r="H595" s="3">
        <f t="shared" si="48"/>
        <v>-7.3959097005311211E-2</v>
      </c>
      <c r="I595" s="3">
        <f t="shared" si="49"/>
        <v>0.92691309398879396</v>
      </c>
      <c r="Q595">
        <f t="shared" si="50"/>
        <v>-7.3959097005311211E-2</v>
      </c>
      <c r="R595">
        <f t="shared" si="51"/>
        <v>0.92691309398879396</v>
      </c>
      <c r="S595">
        <v>2.5266974492408067</v>
      </c>
      <c r="U595">
        <f t="shared" si="47"/>
        <v>0.928709680071518</v>
      </c>
      <c r="AE595">
        <v>2.5266974492408067</v>
      </c>
    </row>
    <row r="596" spans="1:31">
      <c r="A596" s="3" t="s">
        <v>91</v>
      </c>
      <c r="B596" s="3" t="s">
        <v>106</v>
      </c>
      <c r="C596" s="3" t="s">
        <v>78</v>
      </c>
      <c r="D596" s="3" t="s">
        <v>75</v>
      </c>
      <c r="E596" s="3">
        <v>22</v>
      </c>
      <c r="F596" s="3">
        <v>0.92334375731215201</v>
      </c>
      <c r="G596" s="3">
        <v>2.3434376458527764</v>
      </c>
      <c r="H596" s="3">
        <f t="shared" si="48"/>
        <v>-7.9753679024842705E-2</v>
      </c>
      <c r="I596" s="3">
        <f t="shared" si="49"/>
        <v>0.85161893075238593</v>
      </c>
      <c r="Q596">
        <f t="shared" si="50"/>
        <v>-7.9753679024842705E-2</v>
      </c>
      <c r="R596">
        <f t="shared" si="51"/>
        <v>0.85161893075238593</v>
      </c>
      <c r="S596">
        <v>2.3434376458527764</v>
      </c>
      <c r="U596">
        <f t="shared" si="47"/>
        <v>0.92334375731215201</v>
      </c>
      <c r="AE596">
        <v>2.3434376458527764</v>
      </c>
    </row>
    <row r="597" spans="1:31">
      <c r="A597" s="3" t="s">
        <v>76</v>
      </c>
      <c r="B597" s="3" t="s">
        <v>77</v>
      </c>
      <c r="C597" s="3" t="s">
        <v>107</v>
      </c>
      <c r="D597" s="3" t="s">
        <v>79</v>
      </c>
      <c r="E597" s="3">
        <v>1</v>
      </c>
      <c r="F597" s="3">
        <v>0.86940189324841</v>
      </c>
      <c r="G597" s="3">
        <v>1.9672569735548024</v>
      </c>
      <c r="H597" s="3">
        <f t="shared" si="48"/>
        <v>-0.13994978278039155</v>
      </c>
      <c r="I597" s="3">
        <f t="shared" si="49"/>
        <v>0.67664017325056525</v>
      </c>
      <c r="J597">
        <v>1.9672569735548024</v>
      </c>
      <c r="K597">
        <f t="shared" ref="K597:K642" si="52">LN(J597)</f>
        <v>0.67664017325056525</v>
      </c>
      <c r="X597" s="7">
        <f>G597</f>
        <v>1.9672569735548024</v>
      </c>
    </row>
    <row r="598" spans="1:31">
      <c r="A598" s="3" t="s">
        <v>76</v>
      </c>
      <c r="B598" s="3" t="s">
        <v>77</v>
      </c>
      <c r="C598" s="3" t="s">
        <v>107</v>
      </c>
      <c r="D598" s="3" t="s">
        <v>79</v>
      </c>
      <c r="E598" s="3">
        <v>2</v>
      </c>
      <c r="F598" s="3">
        <v>0.97063197692715797</v>
      </c>
      <c r="G598" s="3">
        <v>2.0416659863944449</v>
      </c>
      <c r="H598" s="3">
        <f t="shared" si="48"/>
        <v>-2.9807897028102218E-2</v>
      </c>
      <c r="I598" s="3">
        <f t="shared" si="49"/>
        <v>0.71376613456806781</v>
      </c>
      <c r="J598">
        <v>2.0416659863944449</v>
      </c>
      <c r="K598">
        <f t="shared" si="52"/>
        <v>0.71376613456806781</v>
      </c>
      <c r="X598" s="7">
        <f t="shared" ref="X598:X661" si="53">G598</f>
        <v>2.0416659863944449</v>
      </c>
    </row>
    <row r="599" spans="1:31">
      <c r="A599" s="3" t="s">
        <v>76</v>
      </c>
      <c r="B599" s="3" t="s">
        <v>77</v>
      </c>
      <c r="C599" s="3" t="s">
        <v>107</v>
      </c>
      <c r="D599" s="3" t="s">
        <v>79</v>
      </c>
      <c r="E599" s="3">
        <v>3</v>
      </c>
      <c r="F599" s="3">
        <v>0.92809924454067205</v>
      </c>
      <c r="G599" s="3">
        <v>1.9241881404893857</v>
      </c>
      <c r="H599" s="3">
        <f t="shared" si="48"/>
        <v>-7.4616607365959001E-2</v>
      </c>
      <c r="I599" s="3">
        <f t="shared" si="49"/>
        <v>0.65450413357990833</v>
      </c>
      <c r="J599">
        <v>1.9241881404893857</v>
      </c>
      <c r="K599">
        <f t="shared" si="52"/>
        <v>0.65450413357990833</v>
      </c>
      <c r="X599" s="7">
        <f t="shared" si="53"/>
        <v>1.9241881404893857</v>
      </c>
    </row>
    <row r="600" spans="1:31">
      <c r="A600" s="3" t="s">
        <v>76</v>
      </c>
      <c r="B600" s="3" t="s">
        <v>77</v>
      </c>
      <c r="C600" s="3" t="s">
        <v>107</v>
      </c>
      <c r="D600" s="3" t="s">
        <v>79</v>
      </c>
      <c r="E600" s="3">
        <v>4</v>
      </c>
      <c r="F600" s="3">
        <v>0.97345174377407495</v>
      </c>
      <c r="G600" s="3">
        <v>2.0225231766286389</v>
      </c>
      <c r="H600" s="3">
        <f t="shared" si="48"/>
        <v>-2.6907025224829715E-2</v>
      </c>
      <c r="I600" s="3">
        <f t="shared" si="49"/>
        <v>0.70434582928096445</v>
      </c>
      <c r="J600">
        <v>2.0225231766286389</v>
      </c>
      <c r="K600">
        <f t="shared" si="52"/>
        <v>0.70434582928096445</v>
      </c>
      <c r="X600" s="7">
        <f t="shared" si="53"/>
        <v>2.0225231766286389</v>
      </c>
    </row>
    <row r="601" spans="1:31">
      <c r="A601" s="3" t="s">
        <v>76</v>
      </c>
      <c r="B601" s="3" t="s">
        <v>77</v>
      </c>
      <c r="C601" s="3" t="s">
        <v>107</v>
      </c>
      <c r="D601" s="3" t="s">
        <v>79</v>
      </c>
      <c r="E601" s="3">
        <v>5</v>
      </c>
      <c r="F601" s="3">
        <v>0.92578475799832904</v>
      </c>
      <c r="G601" s="3">
        <v>1.9604081207748556</v>
      </c>
      <c r="H601" s="3">
        <f t="shared" si="48"/>
        <v>-7.7113514121347815E-2</v>
      </c>
      <c r="I601" s="3">
        <f t="shared" si="49"/>
        <v>0.6731526764517638</v>
      </c>
      <c r="J601">
        <v>1.9604081207748556</v>
      </c>
      <c r="K601">
        <f t="shared" si="52"/>
        <v>0.6731526764517638</v>
      </c>
      <c r="X601" s="7">
        <f t="shared" si="53"/>
        <v>1.9604081207748556</v>
      </c>
    </row>
    <row r="602" spans="1:31">
      <c r="A602" s="3" t="s">
        <v>76</v>
      </c>
      <c r="B602" s="3" t="s">
        <v>77</v>
      </c>
      <c r="C602" s="3" t="s">
        <v>107</v>
      </c>
      <c r="D602" s="3" t="s">
        <v>79</v>
      </c>
      <c r="E602" s="3">
        <v>6</v>
      </c>
      <c r="F602" s="3">
        <v>0.91410924232126201</v>
      </c>
      <c r="G602" s="3">
        <v>1.9918082237002634</v>
      </c>
      <c r="H602" s="3">
        <f t="shared" si="48"/>
        <v>-8.9805193530832994E-2</v>
      </c>
      <c r="I602" s="3">
        <f t="shared" si="49"/>
        <v>0.6890428812850008</v>
      </c>
      <c r="J602">
        <v>1.9918082237002634</v>
      </c>
      <c r="K602">
        <f t="shared" si="52"/>
        <v>0.6890428812850008</v>
      </c>
      <c r="X602" s="7">
        <f t="shared" si="53"/>
        <v>1.9918082237002634</v>
      </c>
    </row>
    <row r="603" spans="1:31">
      <c r="A603" s="3" t="s">
        <v>76</v>
      </c>
      <c r="B603" s="3" t="s">
        <v>77</v>
      </c>
      <c r="C603" s="3" t="s">
        <v>107</v>
      </c>
      <c r="D603" s="3" t="s">
        <v>79</v>
      </c>
      <c r="E603" s="3">
        <v>7</v>
      </c>
      <c r="F603" s="3">
        <v>0.94953344780292603</v>
      </c>
      <c r="G603" s="3">
        <v>2.0368603290358425</v>
      </c>
      <c r="H603" s="3">
        <f t="shared" si="48"/>
        <v>-5.1784522596240813E-2</v>
      </c>
      <c r="I603" s="3">
        <f t="shared" si="49"/>
        <v>0.71140956790113152</v>
      </c>
      <c r="J603">
        <v>2.0368603290358425</v>
      </c>
      <c r="K603">
        <f t="shared" si="52"/>
        <v>0.71140956790113152</v>
      </c>
      <c r="X603" s="7">
        <f t="shared" si="53"/>
        <v>2.0368603290358425</v>
      </c>
    </row>
    <row r="604" spans="1:31">
      <c r="A604" s="3" t="s">
        <v>76</v>
      </c>
      <c r="B604" s="3" t="s">
        <v>77</v>
      </c>
      <c r="C604" s="3" t="s">
        <v>107</v>
      </c>
      <c r="D604" s="3" t="s">
        <v>79</v>
      </c>
      <c r="E604" s="3">
        <v>8</v>
      </c>
      <c r="F604" s="3">
        <v>0.89606910654393601</v>
      </c>
      <c r="G604" s="3">
        <v>1.895521036549054</v>
      </c>
      <c r="H604" s="3">
        <f t="shared" si="48"/>
        <v>-0.10973774114219115</v>
      </c>
      <c r="I604" s="3">
        <f t="shared" si="49"/>
        <v>0.63949375406569087</v>
      </c>
      <c r="J604">
        <v>1.895521036549054</v>
      </c>
      <c r="K604">
        <f t="shared" si="52"/>
        <v>0.63949375406569087</v>
      </c>
      <c r="X604" s="7">
        <f t="shared" si="53"/>
        <v>1.895521036549054</v>
      </c>
    </row>
    <row r="605" spans="1:31">
      <c r="A605" s="3" t="s">
        <v>76</v>
      </c>
      <c r="B605" s="3" t="s">
        <v>77</v>
      </c>
      <c r="C605" s="3" t="s">
        <v>107</v>
      </c>
      <c r="D605" s="3" t="s">
        <v>79</v>
      </c>
      <c r="E605" s="3">
        <v>9</v>
      </c>
      <c r="F605" s="3">
        <v>0.93766511120352003</v>
      </c>
      <c r="G605" s="3">
        <v>2.0368603290358425</v>
      </c>
      <c r="H605" s="3">
        <f t="shared" si="48"/>
        <v>-6.4362418027546081E-2</v>
      </c>
      <c r="I605" s="3">
        <f t="shared" si="49"/>
        <v>0.71140956790113152</v>
      </c>
      <c r="J605">
        <v>2.0368603290358425</v>
      </c>
      <c r="K605">
        <f t="shared" si="52"/>
        <v>0.71140956790113152</v>
      </c>
      <c r="X605" s="7">
        <f t="shared" si="53"/>
        <v>2.0368603290358425</v>
      </c>
    </row>
    <row r="606" spans="1:31">
      <c r="A606" s="3" t="s">
        <v>76</v>
      </c>
      <c r="B606" s="3" t="s">
        <v>77</v>
      </c>
      <c r="C606" s="3" t="s">
        <v>107</v>
      </c>
      <c r="D606" s="3" t="s">
        <v>79</v>
      </c>
      <c r="E606" s="3">
        <v>10</v>
      </c>
      <c r="F606" s="3">
        <v>0.95087221264430399</v>
      </c>
      <c r="G606" s="3">
        <v>2.0525106577067995</v>
      </c>
      <c r="H606" s="3">
        <f t="shared" si="48"/>
        <v>-5.0375597027659987E-2</v>
      </c>
      <c r="I606" s="3">
        <f t="shared" si="49"/>
        <v>0.71906375487995378</v>
      </c>
      <c r="J606">
        <v>2.0525106577067995</v>
      </c>
      <c r="K606">
        <f t="shared" si="52"/>
        <v>0.71906375487995378</v>
      </c>
      <c r="X606" s="7">
        <f t="shared" si="53"/>
        <v>2.0525106577067995</v>
      </c>
    </row>
    <row r="607" spans="1:31">
      <c r="A607" s="3" t="s">
        <v>76</v>
      </c>
      <c r="B607" s="3" t="s">
        <v>77</v>
      </c>
      <c r="C607" s="3" t="s">
        <v>107</v>
      </c>
      <c r="D607" s="3" t="s">
        <v>79</v>
      </c>
      <c r="E607" s="3">
        <v>11</v>
      </c>
      <c r="F607" s="3">
        <v>0.92851341820028899</v>
      </c>
      <c r="G607" s="3">
        <v>1.9887936041731427</v>
      </c>
      <c r="H607" s="3">
        <f t="shared" si="48"/>
        <v>-7.4170446812603832E-2</v>
      </c>
      <c r="I607" s="3">
        <f t="shared" si="49"/>
        <v>0.68752822584654327</v>
      </c>
      <c r="J607">
        <v>1.9887936041731427</v>
      </c>
      <c r="K607">
        <f t="shared" si="52"/>
        <v>0.68752822584654327</v>
      </c>
      <c r="X607" s="7">
        <f t="shared" si="53"/>
        <v>1.9887936041731427</v>
      </c>
    </row>
    <row r="608" spans="1:31">
      <c r="A608" s="3" t="s">
        <v>76</v>
      </c>
      <c r="B608" s="3" t="s">
        <v>77</v>
      </c>
      <c r="C608" s="3" t="s">
        <v>107</v>
      </c>
      <c r="D608" s="3" t="s">
        <v>79</v>
      </c>
      <c r="E608" s="3">
        <v>12</v>
      </c>
      <c r="F608" s="3">
        <v>0.93460015637053495</v>
      </c>
      <c r="G608" s="3">
        <v>2.0169779374103229</v>
      </c>
      <c r="H608" s="3">
        <f t="shared" si="48"/>
        <v>-6.763648140303373E-2</v>
      </c>
      <c r="I608" s="3">
        <f t="shared" si="49"/>
        <v>0.70160032059312494</v>
      </c>
      <c r="J608">
        <v>2.0169779374103229</v>
      </c>
      <c r="K608">
        <f t="shared" si="52"/>
        <v>0.70160032059312494</v>
      </c>
      <c r="X608" s="7">
        <f t="shared" si="53"/>
        <v>2.0169779374103229</v>
      </c>
    </row>
    <row r="609" spans="1:24">
      <c r="A609" s="3" t="s">
        <v>76</v>
      </c>
      <c r="B609" s="3" t="s">
        <v>77</v>
      </c>
      <c r="C609" s="3" t="s">
        <v>107</v>
      </c>
      <c r="D609" s="3" t="s">
        <v>79</v>
      </c>
      <c r="E609" s="3">
        <v>13</v>
      </c>
      <c r="F609" s="3">
        <v>0.87028168246308402</v>
      </c>
      <c r="G609" s="3">
        <v>1.946175737183053</v>
      </c>
      <c r="H609" s="3">
        <f t="shared" si="48"/>
        <v>-0.13893834679058353</v>
      </c>
      <c r="I609" s="3">
        <f t="shared" si="49"/>
        <v>0.66586628656360403</v>
      </c>
      <c r="J609">
        <v>1.946175737183053</v>
      </c>
      <c r="K609">
        <f t="shared" si="52"/>
        <v>0.66586628656360403</v>
      </c>
      <c r="X609" s="7">
        <f t="shared" si="53"/>
        <v>1.946175737183053</v>
      </c>
    </row>
    <row r="610" spans="1:24">
      <c r="A610" s="3" t="s">
        <v>76</v>
      </c>
      <c r="B610" s="3" t="s">
        <v>77</v>
      </c>
      <c r="C610" s="3" t="s">
        <v>107</v>
      </c>
      <c r="D610" s="3" t="s">
        <v>79</v>
      </c>
      <c r="E610" s="3">
        <v>14</v>
      </c>
      <c r="F610" s="3">
        <v>0.95296769261759995</v>
      </c>
      <c r="G610" s="3">
        <v>1.9856485086741811</v>
      </c>
      <c r="H610" s="3">
        <f t="shared" si="48"/>
        <v>-4.8174276618631821E-2</v>
      </c>
      <c r="I610" s="3">
        <f t="shared" si="49"/>
        <v>0.6859455654045733</v>
      </c>
      <c r="J610">
        <v>1.9856485086741811</v>
      </c>
      <c r="K610">
        <f t="shared" si="52"/>
        <v>0.6859455654045733</v>
      </c>
      <c r="X610" s="7">
        <f t="shared" si="53"/>
        <v>1.9856485086741811</v>
      </c>
    </row>
    <row r="611" spans="1:24">
      <c r="A611" s="3" t="s">
        <v>76</v>
      </c>
      <c r="B611" s="3" t="s">
        <v>77</v>
      </c>
      <c r="C611" s="3" t="s">
        <v>107</v>
      </c>
      <c r="D611" s="3" t="s">
        <v>79</v>
      </c>
      <c r="E611" s="3">
        <v>15</v>
      </c>
      <c r="F611" s="3">
        <v>0.89308080488656005</v>
      </c>
      <c r="G611" s="3">
        <v>1.9895728184713419</v>
      </c>
      <c r="H611" s="3">
        <f t="shared" si="48"/>
        <v>-0.11307821520431113</v>
      </c>
      <c r="I611" s="3">
        <f t="shared" si="49"/>
        <v>0.68791995160801578</v>
      </c>
      <c r="J611">
        <v>1.9895728184713419</v>
      </c>
      <c r="K611">
        <f t="shared" si="52"/>
        <v>0.68791995160801578</v>
      </c>
      <c r="X611" s="7">
        <f t="shared" si="53"/>
        <v>1.9895728184713419</v>
      </c>
    </row>
    <row r="612" spans="1:24">
      <c r="A612" s="3" t="s">
        <v>76</v>
      </c>
      <c r="B612" s="3" t="s">
        <v>77</v>
      </c>
      <c r="C612" s="3" t="s">
        <v>107</v>
      </c>
      <c r="D612" s="3" t="s">
        <v>79</v>
      </c>
      <c r="E612" s="3">
        <v>16</v>
      </c>
      <c r="F612" s="3">
        <v>0.90676178121662199</v>
      </c>
      <c r="G612" s="3">
        <v>2.0193315725754397</v>
      </c>
      <c r="H612" s="3">
        <f t="shared" si="48"/>
        <v>-9.7875508108800316E-2</v>
      </c>
      <c r="I612" s="3">
        <f t="shared" si="49"/>
        <v>0.70276655198645988</v>
      </c>
      <c r="J612">
        <v>2.0193315725754397</v>
      </c>
      <c r="K612">
        <f t="shared" si="52"/>
        <v>0.70276655198645988</v>
      </c>
      <c r="X612" s="7">
        <f t="shared" si="53"/>
        <v>2.0193315725754397</v>
      </c>
    </row>
    <row r="613" spans="1:24">
      <c r="A613" s="3" t="s">
        <v>76</v>
      </c>
      <c r="B613" s="3" t="s">
        <v>77</v>
      </c>
      <c r="C613" s="3" t="s">
        <v>107</v>
      </c>
      <c r="D613" s="3" t="s">
        <v>79</v>
      </c>
      <c r="E613" s="3">
        <v>17</v>
      </c>
      <c r="F613" s="3">
        <v>0.93992321671799095</v>
      </c>
      <c r="G613" s="3">
        <v>1.9996499693696395</v>
      </c>
      <c r="H613" s="3">
        <f t="shared" si="48"/>
        <v>-6.1957091396997885E-2</v>
      </c>
      <c r="I613" s="3">
        <f t="shared" si="49"/>
        <v>0.69297214992779765</v>
      </c>
      <c r="J613">
        <v>1.9996499693696395</v>
      </c>
      <c r="K613">
        <f t="shared" si="52"/>
        <v>0.69297214992779765</v>
      </c>
      <c r="X613" s="7">
        <f t="shared" si="53"/>
        <v>1.9996499693696395</v>
      </c>
    </row>
    <row r="614" spans="1:24">
      <c r="A614" s="3" t="s">
        <v>76</v>
      </c>
      <c r="B614" s="3" t="s">
        <v>77</v>
      </c>
      <c r="C614" s="3" t="s">
        <v>107</v>
      </c>
      <c r="D614" s="3" t="s">
        <v>79</v>
      </c>
      <c r="E614" s="3">
        <v>18</v>
      </c>
      <c r="F614" s="3">
        <v>0.93038115829410895</v>
      </c>
      <c r="G614" s="3">
        <v>2.0064396327824068</v>
      </c>
      <c r="H614" s="3">
        <f t="shared" si="48"/>
        <v>-7.2160929171359398E-2</v>
      </c>
      <c r="I614" s="3">
        <f t="shared" si="49"/>
        <v>0.69636182444239714</v>
      </c>
      <c r="J614">
        <v>2.0064396327824068</v>
      </c>
      <c r="K614">
        <f t="shared" si="52"/>
        <v>0.69636182444239714</v>
      </c>
      <c r="X614" s="7">
        <f t="shared" si="53"/>
        <v>2.0064396327824068</v>
      </c>
    </row>
    <row r="615" spans="1:24">
      <c r="A615" s="3" t="s">
        <v>76</v>
      </c>
      <c r="B615" s="3" t="s">
        <v>77</v>
      </c>
      <c r="C615" s="3" t="s">
        <v>107</v>
      </c>
      <c r="D615" s="3" t="s">
        <v>79</v>
      </c>
      <c r="E615" s="3">
        <v>19</v>
      </c>
      <c r="F615" s="3">
        <v>0.93151632733871503</v>
      </c>
      <c r="G615" s="3">
        <v>2.0008498194517248</v>
      </c>
      <c r="H615" s="3">
        <f t="shared" si="48"/>
        <v>-7.0941561086898794E-2</v>
      </c>
      <c r="I615" s="3">
        <f t="shared" si="49"/>
        <v>0.69357200003723418</v>
      </c>
      <c r="J615">
        <v>2.0008498194517248</v>
      </c>
      <c r="K615">
        <f t="shared" si="52"/>
        <v>0.69357200003723418</v>
      </c>
      <c r="X615" s="7">
        <f t="shared" si="53"/>
        <v>2.0008498194517248</v>
      </c>
    </row>
    <row r="616" spans="1:24">
      <c r="A616" s="3" t="s">
        <v>76</v>
      </c>
      <c r="B616" s="3" t="s">
        <v>77</v>
      </c>
      <c r="C616" s="3" t="s">
        <v>107</v>
      </c>
      <c r="D616" s="3" t="s">
        <v>79</v>
      </c>
      <c r="E616" s="3">
        <v>20</v>
      </c>
      <c r="F616" s="3">
        <v>0.90485097964744399</v>
      </c>
      <c r="G616" s="3">
        <v>1.8989734068701436</v>
      </c>
      <c r="H616" s="3">
        <f t="shared" si="48"/>
        <v>-9.9985012213702609E-2</v>
      </c>
      <c r="I616" s="3">
        <f t="shared" si="49"/>
        <v>0.6413134279775633</v>
      </c>
      <c r="J616">
        <v>1.8989734068701436</v>
      </c>
      <c r="K616">
        <f t="shared" si="52"/>
        <v>0.6413134279775633</v>
      </c>
      <c r="X616" s="7">
        <f t="shared" si="53"/>
        <v>1.8989734068701436</v>
      </c>
    </row>
    <row r="617" spans="1:24">
      <c r="A617" s="3" t="s">
        <v>76</v>
      </c>
      <c r="B617" s="3" t="s">
        <v>77</v>
      </c>
      <c r="C617" s="3" t="s">
        <v>107</v>
      </c>
      <c r="D617" s="3" t="s">
        <v>75</v>
      </c>
      <c r="E617" s="3">
        <v>2</v>
      </c>
      <c r="F617" s="3">
        <v>0.96582183379154796</v>
      </c>
      <c r="G617" s="3">
        <v>2.0183656754909403</v>
      </c>
      <c r="H617" s="3">
        <f t="shared" si="48"/>
        <v>-3.4775898849017786E-2</v>
      </c>
      <c r="I617" s="3">
        <f t="shared" si="49"/>
        <v>0.7022881123989515</v>
      </c>
      <c r="J617">
        <v>2.0183656754909403</v>
      </c>
      <c r="K617">
        <f t="shared" si="52"/>
        <v>0.7022881123989515</v>
      </c>
      <c r="X617" s="7">
        <f t="shared" si="53"/>
        <v>2.0183656754909403</v>
      </c>
    </row>
    <row r="618" spans="1:24">
      <c r="A618" s="3" t="s">
        <v>76</v>
      </c>
      <c r="B618" s="3" t="s">
        <v>77</v>
      </c>
      <c r="C618" s="3" t="s">
        <v>107</v>
      </c>
      <c r="D618" s="3" t="s">
        <v>75</v>
      </c>
      <c r="E618" s="3">
        <v>4</v>
      </c>
      <c r="F618" s="3">
        <v>0.92184068905628302</v>
      </c>
      <c r="G618" s="3">
        <v>1.960229578391266</v>
      </c>
      <c r="H618" s="3">
        <f t="shared" si="48"/>
        <v>-8.1382858797395208E-2</v>
      </c>
      <c r="I618" s="3">
        <f t="shared" si="49"/>
        <v>0.67306159821530698</v>
      </c>
      <c r="J618">
        <v>1.960229578391266</v>
      </c>
      <c r="K618">
        <f t="shared" si="52"/>
        <v>0.67306159821530698</v>
      </c>
      <c r="X618" s="7">
        <f t="shared" si="53"/>
        <v>1.960229578391266</v>
      </c>
    </row>
    <row r="619" spans="1:24">
      <c r="A619" s="3" t="s">
        <v>76</v>
      </c>
      <c r="B619" s="3" t="s">
        <v>77</v>
      </c>
      <c r="C619" s="3" t="s">
        <v>107</v>
      </c>
      <c r="D619" s="3" t="s">
        <v>75</v>
      </c>
      <c r="E619" s="3">
        <v>5</v>
      </c>
      <c r="F619" s="3">
        <v>0.922122772403142</v>
      </c>
      <c r="G619" s="3">
        <v>1.9018412131405713</v>
      </c>
      <c r="H619" s="3">
        <f t="shared" si="48"/>
        <v>-8.1076905501730509E-2</v>
      </c>
      <c r="I619" s="3">
        <f t="shared" si="49"/>
        <v>0.64282247648498048</v>
      </c>
      <c r="J619">
        <v>1.9018412131405713</v>
      </c>
      <c r="K619">
        <f t="shared" si="52"/>
        <v>0.64282247648498048</v>
      </c>
      <c r="X619" s="7">
        <f t="shared" si="53"/>
        <v>1.9018412131405713</v>
      </c>
    </row>
    <row r="620" spans="1:24">
      <c r="A620" s="3" t="s">
        <v>76</v>
      </c>
      <c r="B620" s="3" t="s">
        <v>77</v>
      </c>
      <c r="C620" s="3" t="s">
        <v>107</v>
      </c>
      <c r="D620" s="3" t="s">
        <v>75</v>
      </c>
      <c r="E620" s="3">
        <v>6</v>
      </c>
      <c r="F620" s="3">
        <v>0.909755571060339</v>
      </c>
      <c r="G620" s="3">
        <v>1.8917980864775186</v>
      </c>
      <c r="H620" s="3">
        <f t="shared" si="48"/>
        <v>-9.4579318781946725E-2</v>
      </c>
      <c r="I620" s="3">
        <f t="shared" si="49"/>
        <v>0.63752774531398082</v>
      </c>
      <c r="J620">
        <v>1.8917980864775186</v>
      </c>
      <c r="K620">
        <f t="shared" si="52"/>
        <v>0.63752774531398082</v>
      </c>
      <c r="X620" s="7">
        <f t="shared" si="53"/>
        <v>1.8917980864775186</v>
      </c>
    </row>
    <row r="621" spans="1:24">
      <c r="A621" s="3" t="s">
        <v>76</v>
      </c>
      <c r="B621" s="3" t="s">
        <v>77</v>
      </c>
      <c r="C621" s="3" t="s">
        <v>107</v>
      </c>
      <c r="D621" s="3" t="s">
        <v>75</v>
      </c>
      <c r="E621" s="3">
        <v>7</v>
      </c>
      <c r="F621" s="3">
        <v>0.90951448266609802</v>
      </c>
      <c r="G621" s="3">
        <v>1.9119100397246727</v>
      </c>
      <c r="H621" s="3">
        <f t="shared" si="48"/>
        <v>-9.4844357383729275E-2</v>
      </c>
      <c r="I621" s="3">
        <f t="shared" si="49"/>
        <v>0.64810276316910231</v>
      </c>
      <c r="J621">
        <v>1.9119100397246727</v>
      </c>
      <c r="K621">
        <f t="shared" si="52"/>
        <v>0.64810276316910231</v>
      </c>
      <c r="X621" s="7">
        <f t="shared" si="53"/>
        <v>1.9119100397246727</v>
      </c>
    </row>
    <row r="622" spans="1:24">
      <c r="A622" s="3" t="s">
        <v>76</v>
      </c>
      <c r="B622" s="3" t="s">
        <v>77</v>
      </c>
      <c r="C622" s="3" t="s">
        <v>107</v>
      </c>
      <c r="D622" s="3" t="s">
        <v>75</v>
      </c>
      <c r="E622" s="3">
        <v>8</v>
      </c>
      <c r="F622" s="3">
        <v>0.96317509263104295</v>
      </c>
      <c r="G622" s="3">
        <v>1.9833809518093088</v>
      </c>
      <c r="H622" s="3">
        <f t="shared" si="48"/>
        <v>-3.752006374132856E-2</v>
      </c>
      <c r="I622" s="3">
        <f t="shared" si="49"/>
        <v>0.68480293991682761</v>
      </c>
      <c r="J622">
        <v>1.9833809518093088</v>
      </c>
      <c r="K622">
        <f t="shared" si="52"/>
        <v>0.68480293991682761</v>
      </c>
      <c r="X622" s="7">
        <f t="shared" si="53"/>
        <v>1.9833809518093088</v>
      </c>
    </row>
    <row r="623" spans="1:24">
      <c r="A623" s="3" t="s">
        <v>76</v>
      </c>
      <c r="B623" s="3" t="s">
        <v>77</v>
      </c>
      <c r="C623" s="3" t="s">
        <v>107</v>
      </c>
      <c r="D623" s="3" t="s">
        <v>75</v>
      </c>
      <c r="E623" s="3">
        <v>9</v>
      </c>
      <c r="F623" s="3">
        <v>0.94688812188846605</v>
      </c>
      <c r="G623" s="3">
        <v>1.9601020381602585</v>
      </c>
      <c r="H623" s="3">
        <f t="shared" si="48"/>
        <v>-5.4574332280395516E-2</v>
      </c>
      <c r="I623" s="3">
        <f t="shared" si="49"/>
        <v>0.67299653217318245</v>
      </c>
      <c r="J623">
        <v>1.9601020381602585</v>
      </c>
      <c r="K623">
        <f t="shared" si="52"/>
        <v>0.67299653217318245</v>
      </c>
      <c r="X623" s="7">
        <f t="shared" si="53"/>
        <v>1.9601020381602585</v>
      </c>
    </row>
    <row r="624" spans="1:24">
      <c r="A624" s="3" t="s">
        <v>76</v>
      </c>
      <c r="B624" s="3" t="s">
        <v>77</v>
      </c>
      <c r="C624" s="3" t="s">
        <v>107</v>
      </c>
      <c r="D624" s="3" t="s">
        <v>75</v>
      </c>
      <c r="E624" s="3">
        <v>10</v>
      </c>
      <c r="F624" s="3">
        <v>0.94295085203078499</v>
      </c>
      <c r="G624" s="3">
        <v>2.0392400545301181</v>
      </c>
      <c r="H624" s="3">
        <f t="shared" si="48"/>
        <v>-5.8741116444145682E-2</v>
      </c>
      <c r="I624" s="3">
        <f t="shared" si="49"/>
        <v>0.7125772161633025</v>
      </c>
      <c r="J624">
        <v>2.0392400545301181</v>
      </c>
      <c r="K624">
        <f t="shared" si="52"/>
        <v>0.7125772161633025</v>
      </c>
      <c r="X624" s="7">
        <f t="shared" si="53"/>
        <v>2.0392400545301181</v>
      </c>
    </row>
    <row r="625" spans="1:24">
      <c r="A625" s="3" t="s">
        <v>76</v>
      </c>
      <c r="B625" s="3" t="s">
        <v>77</v>
      </c>
      <c r="C625" s="3" t="s">
        <v>107</v>
      </c>
      <c r="D625" s="3" t="s">
        <v>75</v>
      </c>
      <c r="E625" s="3">
        <v>11</v>
      </c>
      <c r="F625" s="3">
        <v>0.92098469509218595</v>
      </c>
      <c r="G625" s="3">
        <v>1.9190883252211191</v>
      </c>
      <c r="H625" s="3">
        <f t="shared" si="48"/>
        <v>-8.2311860571544326E-2</v>
      </c>
      <c r="I625" s="3">
        <f t="shared" si="49"/>
        <v>0.65185024265793523</v>
      </c>
      <c r="J625">
        <v>1.9190883252211191</v>
      </c>
      <c r="K625">
        <f t="shared" si="52"/>
        <v>0.65185024265793523</v>
      </c>
      <c r="X625" s="7">
        <f t="shared" si="53"/>
        <v>1.9190883252211191</v>
      </c>
    </row>
    <row r="626" spans="1:24">
      <c r="A626" s="3" t="s">
        <v>76</v>
      </c>
      <c r="B626" s="3" t="s">
        <v>77</v>
      </c>
      <c r="C626" s="3" t="s">
        <v>107</v>
      </c>
      <c r="D626" s="3" t="s">
        <v>75</v>
      </c>
      <c r="E626" s="3">
        <v>12</v>
      </c>
      <c r="F626" s="3">
        <v>0.95131148422774003</v>
      </c>
      <c r="G626" s="3">
        <v>1.9739554199626697</v>
      </c>
      <c r="H626" s="3">
        <f t="shared" si="48"/>
        <v>-4.9913736701586352E-2</v>
      </c>
      <c r="I626" s="3">
        <f t="shared" si="49"/>
        <v>0.68003935715073927</v>
      </c>
      <c r="J626">
        <v>1.9739554199626697</v>
      </c>
      <c r="K626">
        <f t="shared" si="52"/>
        <v>0.68003935715073927</v>
      </c>
      <c r="X626" s="7">
        <f t="shared" si="53"/>
        <v>1.9739554199626697</v>
      </c>
    </row>
    <row r="627" spans="1:24">
      <c r="A627" s="3" t="s">
        <v>76</v>
      </c>
      <c r="B627" s="3" t="s">
        <v>77</v>
      </c>
      <c r="C627" s="3" t="s">
        <v>107</v>
      </c>
      <c r="D627" s="3" t="s">
        <v>75</v>
      </c>
      <c r="E627" s="3">
        <v>13</v>
      </c>
      <c r="F627" s="3">
        <v>0.94841860636754505</v>
      </c>
      <c r="G627" s="3">
        <v>1.966443490161871</v>
      </c>
      <c r="H627" s="3">
        <f t="shared" si="48"/>
        <v>-5.2959306291275571E-2</v>
      </c>
      <c r="I627" s="3">
        <f t="shared" si="49"/>
        <v>0.67622657622555993</v>
      </c>
      <c r="J627">
        <v>1.966443490161871</v>
      </c>
      <c r="K627">
        <f t="shared" si="52"/>
        <v>0.67622657622555993</v>
      </c>
      <c r="X627" s="7">
        <f t="shared" si="53"/>
        <v>1.966443490161871</v>
      </c>
    </row>
    <row r="628" spans="1:24">
      <c r="A628" s="3" t="s">
        <v>76</v>
      </c>
      <c r="B628" s="3" t="s">
        <v>77</v>
      </c>
      <c r="C628" s="3" t="s">
        <v>107</v>
      </c>
      <c r="D628" s="3" t="s">
        <v>75</v>
      </c>
      <c r="E628" s="3">
        <v>14</v>
      </c>
      <c r="F628" s="3">
        <v>0.92946797029934503</v>
      </c>
      <c r="G628" s="3">
        <v>2.04</v>
      </c>
      <c r="H628" s="3">
        <f t="shared" si="48"/>
        <v>-7.3142931479083115E-2</v>
      </c>
      <c r="I628" s="3">
        <f t="shared" si="49"/>
        <v>0.71294980785612505</v>
      </c>
      <c r="J628">
        <v>2.04</v>
      </c>
      <c r="K628">
        <f t="shared" si="52"/>
        <v>0.71294980785612505</v>
      </c>
      <c r="X628" s="7">
        <f t="shared" si="53"/>
        <v>2.04</v>
      </c>
    </row>
    <row r="629" spans="1:24">
      <c r="A629" s="3" t="s">
        <v>76</v>
      </c>
      <c r="B629" s="3" t="s">
        <v>77</v>
      </c>
      <c r="C629" s="3" t="s">
        <v>107</v>
      </c>
      <c r="D629" s="3" t="s">
        <v>75</v>
      </c>
      <c r="E629" s="3">
        <v>15</v>
      </c>
      <c r="F629" s="3">
        <v>0.92958589278061898</v>
      </c>
      <c r="G629" s="3">
        <v>1.9550959055759898</v>
      </c>
      <c r="H629" s="3">
        <f t="shared" si="48"/>
        <v>-7.3016068579869697E-2</v>
      </c>
      <c r="I629" s="3">
        <f t="shared" si="49"/>
        <v>0.67043924879470396</v>
      </c>
      <c r="J629">
        <v>1.9550959055759898</v>
      </c>
      <c r="K629">
        <f t="shared" si="52"/>
        <v>0.67043924879470396</v>
      </c>
      <c r="X629" s="7">
        <f t="shared" si="53"/>
        <v>1.9550959055759898</v>
      </c>
    </row>
    <row r="630" spans="1:24">
      <c r="A630" s="3" t="s">
        <v>76</v>
      </c>
      <c r="B630" s="3" t="s">
        <v>77</v>
      </c>
      <c r="C630" s="3" t="s">
        <v>107</v>
      </c>
      <c r="D630" s="3" t="s">
        <v>75</v>
      </c>
      <c r="E630" s="3">
        <v>16</v>
      </c>
      <c r="F630" s="3">
        <v>0.93660056699917305</v>
      </c>
      <c r="G630" s="3">
        <v>1.9458931111445972</v>
      </c>
      <c r="H630" s="3">
        <f t="shared" si="48"/>
        <v>-6.5498376852595921E-2</v>
      </c>
      <c r="I630" s="3">
        <f t="shared" si="49"/>
        <v>0.66572105478587007</v>
      </c>
      <c r="J630">
        <v>1.9458931111445972</v>
      </c>
      <c r="K630">
        <f t="shared" si="52"/>
        <v>0.66572105478587007</v>
      </c>
      <c r="X630" s="7">
        <f t="shared" si="53"/>
        <v>1.9458931111445972</v>
      </c>
    </row>
    <row r="631" spans="1:24">
      <c r="A631" s="3" t="s">
        <v>76</v>
      </c>
      <c r="B631" s="3" t="s">
        <v>77</v>
      </c>
      <c r="C631" s="3" t="s">
        <v>107</v>
      </c>
      <c r="D631" s="3" t="s">
        <v>75</v>
      </c>
      <c r="E631" s="3">
        <v>17</v>
      </c>
      <c r="F631" s="3">
        <v>0.94187654541889998</v>
      </c>
      <c r="G631" s="3">
        <v>1.924811679100062</v>
      </c>
      <c r="H631" s="3">
        <f t="shared" si="48"/>
        <v>-5.9881068812915696E-2</v>
      </c>
      <c r="I631" s="3">
        <f t="shared" si="49"/>
        <v>0.65482813391524619</v>
      </c>
      <c r="J631">
        <v>1.924811679100062</v>
      </c>
      <c r="K631">
        <f t="shared" si="52"/>
        <v>0.65482813391524619</v>
      </c>
      <c r="X631" s="7">
        <f t="shared" si="53"/>
        <v>1.924811679100062</v>
      </c>
    </row>
    <row r="632" spans="1:24">
      <c r="A632" s="3" t="s">
        <v>76</v>
      </c>
      <c r="B632" s="3" t="s">
        <v>77</v>
      </c>
      <c r="C632" s="3" t="s">
        <v>107</v>
      </c>
      <c r="D632" s="3" t="s">
        <v>75</v>
      </c>
      <c r="E632" s="3">
        <v>18</v>
      </c>
      <c r="F632" s="3">
        <v>0.94874877398281499</v>
      </c>
      <c r="G632" s="3">
        <v>2.0056171120131583</v>
      </c>
      <c r="H632" s="3">
        <f t="shared" si="48"/>
        <v>-5.2611242517859605E-2</v>
      </c>
      <c r="I632" s="3">
        <f t="shared" si="49"/>
        <v>0.6959517999422008</v>
      </c>
      <c r="J632">
        <v>2.0056171120131583</v>
      </c>
      <c r="K632">
        <f t="shared" si="52"/>
        <v>0.6959517999422008</v>
      </c>
      <c r="X632" s="7">
        <f t="shared" si="53"/>
        <v>2.0056171120131583</v>
      </c>
    </row>
    <row r="633" spans="1:24">
      <c r="A633" s="3" t="s">
        <v>76</v>
      </c>
      <c r="B633" s="3" t="s">
        <v>77</v>
      </c>
      <c r="C633" s="3" t="s">
        <v>107</v>
      </c>
      <c r="D633" s="3" t="s">
        <v>75</v>
      </c>
      <c r="E633" s="3">
        <v>19</v>
      </c>
      <c r="F633" s="3">
        <v>0.93924897327865198</v>
      </c>
      <c r="G633" s="3">
        <v>1.9299999999999997</v>
      </c>
      <c r="H633" s="3">
        <f t="shared" si="48"/>
        <v>-6.2674687657586797E-2</v>
      </c>
      <c r="I633" s="3">
        <f t="shared" si="49"/>
        <v>0.65752000291679402</v>
      </c>
      <c r="J633">
        <v>1.9299999999999997</v>
      </c>
      <c r="K633">
        <f t="shared" si="52"/>
        <v>0.65752000291679402</v>
      </c>
      <c r="X633" s="7">
        <f t="shared" si="53"/>
        <v>1.9299999999999997</v>
      </c>
    </row>
    <row r="634" spans="1:24">
      <c r="A634" s="3" t="s">
        <v>76</v>
      </c>
      <c r="B634" s="3" t="s">
        <v>77</v>
      </c>
      <c r="C634" s="3" t="s">
        <v>107</v>
      </c>
      <c r="D634" s="3" t="s">
        <v>75</v>
      </c>
      <c r="E634" s="3">
        <v>20</v>
      </c>
      <c r="F634" s="3">
        <v>0.92672190124025899</v>
      </c>
      <c r="G634" s="3">
        <v>1.9602295783912658</v>
      </c>
      <c r="H634" s="3">
        <f t="shared" si="48"/>
        <v>-7.6101757086954713E-2</v>
      </c>
      <c r="I634" s="3">
        <f t="shared" si="49"/>
        <v>0.67306159821530687</v>
      </c>
      <c r="J634">
        <v>1.9602295783912658</v>
      </c>
      <c r="K634">
        <f t="shared" si="52"/>
        <v>0.67306159821530687</v>
      </c>
      <c r="X634" s="7">
        <f t="shared" si="53"/>
        <v>1.9602295783912658</v>
      </c>
    </row>
    <row r="635" spans="1:24">
      <c r="A635" s="3" t="s">
        <v>76</v>
      </c>
      <c r="B635" s="3" t="s">
        <v>77</v>
      </c>
      <c r="C635" s="3" t="s">
        <v>107</v>
      </c>
      <c r="D635" s="3" t="s">
        <v>75</v>
      </c>
      <c r="E635" s="3">
        <v>21</v>
      </c>
      <c r="F635" s="3">
        <v>0.949813839648182</v>
      </c>
      <c r="G635" s="3">
        <v>1.9465096968677038</v>
      </c>
      <c r="H635" s="3">
        <f t="shared" si="48"/>
        <v>-5.148927185495155E-2</v>
      </c>
      <c r="I635" s="3">
        <f t="shared" si="49"/>
        <v>0.66603786975013579</v>
      </c>
      <c r="J635">
        <v>1.9465096968677038</v>
      </c>
      <c r="K635">
        <f t="shared" si="52"/>
        <v>0.66603786975013579</v>
      </c>
      <c r="X635" s="7">
        <f t="shared" si="53"/>
        <v>1.9465096968677038</v>
      </c>
    </row>
    <row r="636" spans="1:24">
      <c r="A636" s="3" t="s">
        <v>76</v>
      </c>
      <c r="B636" s="3" t="s">
        <v>77</v>
      </c>
      <c r="C636" s="3" t="s">
        <v>107</v>
      </c>
      <c r="D636" s="3" t="s">
        <v>75</v>
      </c>
      <c r="E636" s="3">
        <v>22</v>
      </c>
      <c r="F636" s="3">
        <v>0.92851708051675297</v>
      </c>
      <c r="G636" s="3">
        <v>1.9553260597659921</v>
      </c>
      <c r="H636" s="3">
        <f t="shared" si="48"/>
        <v>-7.4166502540857604E-2</v>
      </c>
      <c r="I636" s="3">
        <f t="shared" si="49"/>
        <v>0.67055696201967452</v>
      </c>
      <c r="J636">
        <v>1.9553260597659921</v>
      </c>
      <c r="K636">
        <f t="shared" si="52"/>
        <v>0.67055696201967452</v>
      </c>
      <c r="X636" s="7">
        <f t="shared" si="53"/>
        <v>1.9553260597659921</v>
      </c>
    </row>
    <row r="637" spans="1:24">
      <c r="A637" s="3" t="s">
        <v>76</v>
      </c>
      <c r="B637" s="3" t="s">
        <v>77</v>
      </c>
      <c r="C637" s="3" t="s">
        <v>107</v>
      </c>
      <c r="D637" s="3" t="s">
        <v>75</v>
      </c>
      <c r="E637" s="3">
        <v>23</v>
      </c>
      <c r="F637" s="3">
        <v>0.97958970254154598</v>
      </c>
      <c r="G637" s="3">
        <v>1.9791412279066898</v>
      </c>
      <c r="H637" s="3">
        <f t="shared" si="48"/>
        <v>-2.0621465860614099E-2</v>
      </c>
      <c r="I637" s="3">
        <f t="shared" si="49"/>
        <v>0.68266302734184714</v>
      </c>
      <c r="J637">
        <v>1.9791412279066898</v>
      </c>
      <c r="K637">
        <f t="shared" si="52"/>
        <v>0.68266302734184714</v>
      </c>
      <c r="X637" s="7">
        <f t="shared" si="53"/>
        <v>1.9791412279066898</v>
      </c>
    </row>
    <row r="638" spans="1:24">
      <c r="A638" s="3" t="s">
        <v>76</v>
      </c>
      <c r="B638" s="3" t="s">
        <v>77</v>
      </c>
      <c r="C638" s="3" t="s">
        <v>107</v>
      </c>
      <c r="D638" s="3" t="s">
        <v>75</v>
      </c>
      <c r="E638" s="3">
        <v>24</v>
      </c>
      <c r="F638" s="3">
        <v>0.934751269045075</v>
      </c>
      <c r="G638" s="3">
        <v>1.9723082923316018</v>
      </c>
      <c r="H638" s="3">
        <f t="shared" si="48"/>
        <v>-6.7474807495372852E-2</v>
      </c>
      <c r="I638" s="3">
        <f t="shared" si="49"/>
        <v>0.67920457881517737</v>
      </c>
      <c r="J638">
        <v>1.9723082923316018</v>
      </c>
      <c r="K638">
        <f t="shared" si="52"/>
        <v>0.67920457881517737</v>
      </c>
      <c r="X638" s="7">
        <f t="shared" si="53"/>
        <v>1.9723082923316018</v>
      </c>
    </row>
    <row r="639" spans="1:24">
      <c r="A639" s="3" t="s">
        <v>76</v>
      </c>
      <c r="B639" s="3" t="s">
        <v>77</v>
      </c>
      <c r="C639" s="3" t="s">
        <v>107</v>
      </c>
      <c r="D639" s="3" t="s">
        <v>75</v>
      </c>
      <c r="E639" s="3">
        <v>25</v>
      </c>
      <c r="F639" s="3">
        <v>0.93856446349192701</v>
      </c>
      <c r="G639" s="3">
        <v>1.9795959183631389</v>
      </c>
      <c r="H639" s="3">
        <f t="shared" si="48"/>
        <v>-6.3403737523393511E-2</v>
      </c>
      <c r="I639" s="3">
        <f t="shared" si="49"/>
        <v>0.68289274224417496</v>
      </c>
      <c r="J639">
        <v>1.9795959183631389</v>
      </c>
      <c r="K639">
        <f t="shared" si="52"/>
        <v>0.68289274224417496</v>
      </c>
      <c r="X639" s="7">
        <f t="shared" si="53"/>
        <v>1.9795959183631389</v>
      </c>
    </row>
    <row r="640" spans="1:24">
      <c r="A640" s="3" t="s">
        <v>76</v>
      </c>
      <c r="B640" s="3" t="s">
        <v>103</v>
      </c>
      <c r="C640" s="3" t="s">
        <v>107</v>
      </c>
      <c r="D640" s="3" t="s">
        <v>79</v>
      </c>
      <c r="E640" s="3">
        <v>1</v>
      </c>
      <c r="F640" s="3">
        <v>0.92724610029927701</v>
      </c>
      <c r="G640" s="3">
        <v>2.0374493858744072</v>
      </c>
      <c r="H640" s="3">
        <f t="shared" si="48"/>
        <v>-7.5536268283963884E-2</v>
      </c>
      <c r="I640" s="3">
        <f t="shared" si="49"/>
        <v>0.71169872453569627</v>
      </c>
      <c r="J640">
        <v>2.0374493858744072</v>
      </c>
      <c r="K640">
        <f t="shared" si="52"/>
        <v>0.71169872453569627</v>
      </c>
      <c r="X640" s="7">
        <f t="shared" si="53"/>
        <v>2.0374493858744072</v>
      </c>
    </row>
    <row r="641" spans="1:24">
      <c r="A641" s="3" t="s">
        <v>76</v>
      </c>
      <c r="B641" s="3" t="s">
        <v>103</v>
      </c>
      <c r="C641" s="3" t="s">
        <v>107</v>
      </c>
      <c r="D641" s="3" t="s">
        <v>79</v>
      </c>
      <c r="E641" s="3">
        <v>2</v>
      </c>
      <c r="F641" s="3">
        <v>0.95932090945674897</v>
      </c>
      <c r="G641" s="3">
        <v>2.005243127403757</v>
      </c>
      <c r="H641" s="3">
        <f t="shared" si="48"/>
        <v>-4.1529630818325863E-2</v>
      </c>
      <c r="I641" s="3">
        <f t="shared" si="49"/>
        <v>0.69576531395756847</v>
      </c>
      <c r="J641">
        <v>2.005243127403757</v>
      </c>
      <c r="K641">
        <f t="shared" si="52"/>
        <v>0.69576531395756847</v>
      </c>
      <c r="X641" s="7">
        <f t="shared" si="53"/>
        <v>2.005243127403757</v>
      </c>
    </row>
    <row r="642" spans="1:24">
      <c r="A642" s="3" t="s">
        <v>76</v>
      </c>
      <c r="B642" s="3" t="s">
        <v>103</v>
      </c>
      <c r="C642" s="3" t="s">
        <v>107</v>
      </c>
      <c r="D642" s="3" t="s">
        <v>79</v>
      </c>
      <c r="E642" s="3">
        <v>3</v>
      </c>
      <c r="F642" s="3">
        <v>0.91174211105833403</v>
      </c>
      <c r="G642" s="3">
        <v>2.0289159667172023</v>
      </c>
      <c r="H642" s="3">
        <f t="shared" ref="H642:H705" si="54">LN(F642)</f>
        <v>-9.2398101857971315E-2</v>
      </c>
      <c r="I642" s="3">
        <f t="shared" ref="I642:I705" si="55">LN(G642)</f>
        <v>0.70750164387817183</v>
      </c>
      <c r="J642">
        <v>2.0289159667172023</v>
      </c>
      <c r="K642">
        <f t="shared" si="52"/>
        <v>0.70750164387817183</v>
      </c>
      <c r="X642" s="7">
        <f t="shared" si="53"/>
        <v>2.0289159667172023</v>
      </c>
    </row>
    <row r="643" spans="1:24">
      <c r="A643" s="3" t="s">
        <v>76</v>
      </c>
      <c r="B643" s="3" t="s">
        <v>103</v>
      </c>
      <c r="C643" s="3" t="s">
        <v>107</v>
      </c>
      <c r="D643" s="3" t="s">
        <v>79</v>
      </c>
      <c r="E643" s="3">
        <v>4</v>
      </c>
      <c r="F643" s="3">
        <v>0.95147880177368105</v>
      </c>
      <c r="G643" s="3">
        <v>2.0088305055429641</v>
      </c>
      <c r="H643" s="3">
        <f t="shared" si="54"/>
        <v>-4.9737871239582267E-2</v>
      </c>
      <c r="I643" s="3">
        <f t="shared" si="55"/>
        <v>0.69755271469922031</v>
      </c>
      <c r="J643">
        <v>2.0088305055429641</v>
      </c>
      <c r="K643">
        <f t="shared" ref="K643:K681" si="56">LN(J643)</f>
        <v>0.69755271469922031</v>
      </c>
      <c r="X643" s="7">
        <f t="shared" si="53"/>
        <v>2.0088305055429641</v>
      </c>
    </row>
    <row r="644" spans="1:24">
      <c r="A644" s="3" t="s">
        <v>76</v>
      </c>
      <c r="B644" s="3" t="s">
        <v>103</v>
      </c>
      <c r="C644" s="3" t="s">
        <v>107</v>
      </c>
      <c r="D644" s="3" t="s">
        <v>79</v>
      </c>
      <c r="E644" s="3">
        <v>5</v>
      </c>
      <c r="F644" s="3">
        <v>0.94128212686179102</v>
      </c>
      <c r="G644" s="3">
        <v>2.0207176942858696</v>
      </c>
      <c r="H644" s="3">
        <f t="shared" si="54"/>
        <v>-6.0512368326440642E-2</v>
      </c>
      <c r="I644" s="3">
        <f t="shared" si="55"/>
        <v>0.70345274251200041</v>
      </c>
      <c r="J644">
        <v>2.0207176942858696</v>
      </c>
      <c r="K644">
        <f t="shared" si="56"/>
        <v>0.70345274251200041</v>
      </c>
      <c r="X644" s="7">
        <f t="shared" si="53"/>
        <v>2.0207176942858696</v>
      </c>
    </row>
    <row r="645" spans="1:24">
      <c r="A645" s="3" t="s">
        <v>76</v>
      </c>
      <c r="B645" s="3" t="s">
        <v>103</v>
      </c>
      <c r="C645" s="3" t="s">
        <v>107</v>
      </c>
      <c r="D645" s="3" t="s">
        <v>79</v>
      </c>
      <c r="E645" s="3">
        <v>6</v>
      </c>
      <c r="F645" s="3">
        <v>0.94408385363635305</v>
      </c>
      <c r="G645" s="3">
        <v>2.0400980368599937</v>
      </c>
      <c r="H645" s="3">
        <f t="shared" si="54"/>
        <v>-5.7540288776998662E-2</v>
      </c>
      <c r="I645" s="3">
        <f t="shared" si="55"/>
        <v>0.7129978639857214</v>
      </c>
      <c r="J645">
        <v>2.0400980368599937</v>
      </c>
      <c r="K645">
        <f t="shared" si="56"/>
        <v>0.7129978639857214</v>
      </c>
      <c r="X645" s="7">
        <f t="shared" si="53"/>
        <v>2.0400980368599937</v>
      </c>
    </row>
    <row r="646" spans="1:24">
      <c r="A646" s="3" t="s">
        <v>76</v>
      </c>
      <c r="B646" s="3" t="s">
        <v>103</v>
      </c>
      <c r="C646" s="3" t="s">
        <v>107</v>
      </c>
      <c r="D646" s="3" t="s">
        <v>79</v>
      </c>
      <c r="E646" s="3">
        <v>7</v>
      </c>
      <c r="F646" s="3">
        <v>0.90747578315136102</v>
      </c>
      <c r="G646" s="3">
        <v>1.9949185447030162</v>
      </c>
      <c r="H646" s="3">
        <f t="shared" si="54"/>
        <v>-9.7088398431848397E-2</v>
      </c>
      <c r="I646" s="3">
        <f t="shared" si="55"/>
        <v>0.69060321978547212</v>
      </c>
      <c r="J646">
        <v>1.9949185447030162</v>
      </c>
      <c r="K646">
        <f t="shared" si="56"/>
        <v>0.69060321978547212</v>
      </c>
      <c r="X646" s="7">
        <f t="shared" si="53"/>
        <v>1.9949185447030162</v>
      </c>
    </row>
    <row r="647" spans="1:24">
      <c r="A647" s="3" t="s">
        <v>76</v>
      </c>
      <c r="B647" s="3" t="s">
        <v>103</v>
      </c>
      <c r="C647" s="3" t="s">
        <v>107</v>
      </c>
      <c r="D647" s="3" t="s">
        <v>79</v>
      </c>
      <c r="E647" s="3">
        <v>8</v>
      </c>
      <c r="F647" s="3">
        <v>0.89767520995199002</v>
      </c>
      <c r="G647" s="3">
        <v>1.9553260597659921</v>
      </c>
      <c r="H647" s="3">
        <f t="shared" si="54"/>
        <v>-0.10794695767043082</v>
      </c>
      <c r="I647" s="3">
        <f t="shared" si="55"/>
        <v>0.67055696201967452</v>
      </c>
      <c r="J647">
        <v>1.9553260597659921</v>
      </c>
      <c r="K647">
        <f t="shared" si="56"/>
        <v>0.67055696201967452</v>
      </c>
      <c r="X647" s="7">
        <f t="shared" si="53"/>
        <v>1.9553260597659921</v>
      </c>
    </row>
    <row r="648" spans="1:24">
      <c r="A648" s="3" t="s">
        <v>76</v>
      </c>
      <c r="B648" s="3" t="s">
        <v>103</v>
      </c>
      <c r="C648" s="3" t="s">
        <v>107</v>
      </c>
      <c r="D648" s="3" t="s">
        <v>79</v>
      </c>
      <c r="E648" s="3">
        <v>9</v>
      </c>
      <c r="F648" s="3">
        <v>0.93063655711906401</v>
      </c>
      <c r="G648" s="3">
        <v>1.9999999999999998</v>
      </c>
      <c r="H648" s="3">
        <f t="shared" si="54"/>
        <v>-7.1886456957104591E-2</v>
      </c>
      <c r="I648" s="3">
        <f t="shared" si="55"/>
        <v>0.69314718055994518</v>
      </c>
      <c r="J648">
        <v>1.9999999999999998</v>
      </c>
      <c r="K648">
        <f t="shared" si="56"/>
        <v>0.69314718055994518</v>
      </c>
      <c r="X648" s="7">
        <f t="shared" si="53"/>
        <v>1.9999999999999998</v>
      </c>
    </row>
    <row r="649" spans="1:24">
      <c r="A649" s="3" t="s">
        <v>76</v>
      </c>
      <c r="B649" s="3" t="s">
        <v>103</v>
      </c>
      <c r="C649" s="3" t="s">
        <v>107</v>
      </c>
      <c r="D649" s="3" t="s">
        <v>79</v>
      </c>
      <c r="E649" s="3">
        <v>10</v>
      </c>
      <c r="F649" s="3">
        <v>0.92530836215138101</v>
      </c>
      <c r="G649" s="3">
        <v>1.9420092687729378</v>
      </c>
      <c r="H649" s="3">
        <f t="shared" si="54"/>
        <v>-7.7628232535327246E-2</v>
      </c>
      <c r="I649" s="3">
        <f t="shared" si="55"/>
        <v>0.66372314265534271</v>
      </c>
      <c r="J649">
        <v>1.9420092687729378</v>
      </c>
      <c r="K649">
        <f t="shared" si="56"/>
        <v>0.66372314265534271</v>
      </c>
      <c r="X649" s="7">
        <f t="shared" si="53"/>
        <v>1.9420092687729378</v>
      </c>
    </row>
    <row r="650" spans="1:24">
      <c r="A650" s="3" t="s">
        <v>76</v>
      </c>
      <c r="B650" s="3" t="s">
        <v>103</v>
      </c>
      <c r="C650" s="3" t="s">
        <v>107</v>
      </c>
      <c r="D650" s="3" t="s">
        <v>79</v>
      </c>
      <c r="E650" s="3">
        <v>11</v>
      </c>
      <c r="F650" s="3">
        <v>0.90463284272955402</v>
      </c>
      <c r="G650" s="3">
        <v>1.9677398201998149</v>
      </c>
      <c r="H650" s="3">
        <f t="shared" si="54"/>
        <v>-0.10022611624154645</v>
      </c>
      <c r="I650" s="3">
        <f t="shared" si="55"/>
        <v>0.6768855847071652</v>
      </c>
      <c r="J650">
        <v>1.9677398201998149</v>
      </c>
      <c r="K650">
        <f t="shared" si="56"/>
        <v>0.6768855847071652</v>
      </c>
      <c r="X650" s="7">
        <f t="shared" si="53"/>
        <v>1.9677398201998149</v>
      </c>
    </row>
    <row r="651" spans="1:24">
      <c r="A651" s="3" t="s">
        <v>76</v>
      </c>
      <c r="B651" s="3" t="s">
        <v>103</v>
      </c>
      <c r="C651" s="3" t="s">
        <v>107</v>
      </c>
      <c r="D651" s="3" t="s">
        <v>79</v>
      </c>
      <c r="E651" s="3">
        <v>12</v>
      </c>
      <c r="F651" s="3">
        <v>0.94063973553520996</v>
      </c>
      <c r="G651" s="3">
        <v>1.9751708786836644</v>
      </c>
      <c r="H651" s="3">
        <f t="shared" si="54"/>
        <v>-6.1195065482329017E-2</v>
      </c>
      <c r="I651" s="3">
        <f t="shared" si="55"/>
        <v>0.68065491546286039</v>
      </c>
      <c r="J651">
        <v>1.9751708786836644</v>
      </c>
      <c r="K651">
        <f t="shared" si="56"/>
        <v>0.68065491546286039</v>
      </c>
      <c r="X651" s="7">
        <f t="shared" si="53"/>
        <v>1.9751708786836644</v>
      </c>
    </row>
    <row r="652" spans="1:24">
      <c r="A652" s="3" t="s">
        <v>76</v>
      </c>
      <c r="B652" s="3" t="s">
        <v>103</v>
      </c>
      <c r="C652" s="3" t="s">
        <v>107</v>
      </c>
      <c r="D652" s="3" t="s">
        <v>79</v>
      </c>
      <c r="E652" s="3">
        <v>13</v>
      </c>
      <c r="F652" s="3">
        <v>0.93433549143404604</v>
      </c>
      <c r="G652" s="3">
        <v>2.0026232796010337</v>
      </c>
      <c r="H652" s="3">
        <f t="shared" si="54"/>
        <v>-6.7919706712122385E-2</v>
      </c>
      <c r="I652" s="3">
        <f t="shared" si="55"/>
        <v>0.69445796091242107</v>
      </c>
      <c r="J652">
        <v>2.0026232796010337</v>
      </c>
      <c r="K652">
        <f t="shared" si="56"/>
        <v>0.69445796091242107</v>
      </c>
      <c r="X652" s="7">
        <f t="shared" si="53"/>
        <v>2.0026232796010337</v>
      </c>
    </row>
    <row r="653" spans="1:24">
      <c r="A653" s="3" t="s">
        <v>76</v>
      </c>
      <c r="B653" s="3" t="s">
        <v>103</v>
      </c>
      <c r="C653" s="3" t="s">
        <v>107</v>
      </c>
      <c r="D653" s="3" t="s">
        <v>79</v>
      </c>
      <c r="E653" s="3">
        <v>14</v>
      </c>
      <c r="F653" s="3">
        <v>0.91538463436020001</v>
      </c>
      <c r="G653" s="3">
        <v>1.9694669329541941</v>
      </c>
      <c r="H653" s="3">
        <f t="shared" si="54"/>
        <v>-8.841093661442298E-2</v>
      </c>
      <c r="I653" s="3">
        <f t="shared" si="55"/>
        <v>0.677762913724127</v>
      </c>
      <c r="J653">
        <v>1.9694669329541941</v>
      </c>
      <c r="K653">
        <f t="shared" si="56"/>
        <v>0.677762913724127</v>
      </c>
      <c r="X653" s="7">
        <f t="shared" si="53"/>
        <v>1.9694669329541941</v>
      </c>
    </row>
    <row r="654" spans="1:24">
      <c r="A654" s="3" t="s">
        <v>76</v>
      </c>
      <c r="B654" s="3" t="s">
        <v>103</v>
      </c>
      <c r="C654" s="3" t="s">
        <v>107</v>
      </c>
      <c r="D654" s="3" t="s">
        <v>79</v>
      </c>
      <c r="E654" s="3">
        <v>15</v>
      </c>
      <c r="F654" s="3">
        <v>0.91924095108416304</v>
      </c>
      <c r="G654" s="3">
        <v>1.9665706191235541</v>
      </c>
      <c r="H654" s="3">
        <f t="shared" si="54"/>
        <v>-8.4207002652129201E-2</v>
      </c>
      <c r="I654" s="3">
        <f t="shared" si="55"/>
        <v>0.67629122331717706</v>
      </c>
      <c r="J654">
        <v>1.9665706191235541</v>
      </c>
      <c r="K654">
        <f t="shared" si="56"/>
        <v>0.67629122331717706</v>
      </c>
      <c r="X654" s="7">
        <f t="shared" si="53"/>
        <v>1.9665706191235541</v>
      </c>
    </row>
    <row r="655" spans="1:24">
      <c r="A655" s="3" t="s">
        <v>76</v>
      </c>
      <c r="B655" s="3" t="s">
        <v>103</v>
      </c>
      <c r="C655" s="3" t="s">
        <v>107</v>
      </c>
      <c r="D655" s="3" t="s">
        <v>79</v>
      </c>
      <c r="E655" s="3">
        <v>16</v>
      </c>
      <c r="F655" s="3">
        <v>0.94825840151381002</v>
      </c>
      <c r="G655" s="3">
        <v>2.0171762441591463</v>
      </c>
      <c r="H655" s="3">
        <f t="shared" si="54"/>
        <v>-5.3128238432541913E-2</v>
      </c>
      <c r="I655" s="3">
        <f t="shared" si="55"/>
        <v>0.70169863450977643</v>
      </c>
      <c r="J655">
        <v>2.0171762441591463</v>
      </c>
      <c r="K655">
        <f t="shared" si="56"/>
        <v>0.70169863450977643</v>
      </c>
      <c r="X655" s="7">
        <f t="shared" si="53"/>
        <v>2.0171762441591463</v>
      </c>
    </row>
    <row r="656" spans="1:24">
      <c r="A656" s="3" t="s">
        <v>76</v>
      </c>
      <c r="B656" s="3" t="s">
        <v>103</v>
      </c>
      <c r="C656" s="3" t="s">
        <v>107</v>
      </c>
      <c r="D656" s="3" t="s">
        <v>79</v>
      </c>
      <c r="E656" s="3">
        <v>17</v>
      </c>
      <c r="F656" s="3">
        <v>0.92415621521178004</v>
      </c>
      <c r="G656" s="3">
        <v>2.0026232796010337</v>
      </c>
      <c r="H656" s="3">
        <f t="shared" si="54"/>
        <v>-7.8874157548161211E-2</v>
      </c>
      <c r="I656" s="3">
        <f t="shared" si="55"/>
        <v>0.69445796091242107</v>
      </c>
      <c r="J656">
        <v>2.0026232796010337</v>
      </c>
      <c r="K656">
        <f t="shared" si="56"/>
        <v>0.69445796091242107</v>
      </c>
      <c r="X656" s="7">
        <f t="shared" si="53"/>
        <v>2.0026232796010337</v>
      </c>
    </row>
    <row r="657" spans="1:24">
      <c r="A657" s="3" t="s">
        <v>76</v>
      </c>
      <c r="B657" s="3" t="s">
        <v>103</v>
      </c>
      <c r="C657" s="3" t="s">
        <v>107</v>
      </c>
      <c r="D657" s="3" t="s">
        <v>79</v>
      </c>
      <c r="E657" s="3">
        <v>18</v>
      </c>
      <c r="F657" s="3">
        <v>0.93831229781335601</v>
      </c>
      <c r="G657" s="3">
        <v>1.9764867821465439</v>
      </c>
      <c r="H657" s="3">
        <f t="shared" si="54"/>
        <v>-6.3672445288641688E-2</v>
      </c>
      <c r="I657" s="3">
        <f t="shared" si="55"/>
        <v>0.68132091622733093</v>
      </c>
      <c r="J657">
        <v>1.9764867821465439</v>
      </c>
      <c r="K657">
        <f t="shared" si="56"/>
        <v>0.68132091622733093</v>
      </c>
      <c r="X657" s="7">
        <f t="shared" si="53"/>
        <v>1.9764867821465439</v>
      </c>
    </row>
    <row r="658" spans="1:24">
      <c r="A658" s="3" t="s">
        <v>76</v>
      </c>
      <c r="B658" s="3" t="s">
        <v>103</v>
      </c>
      <c r="C658" s="3" t="s">
        <v>107</v>
      </c>
      <c r="D658" s="3" t="s">
        <v>79</v>
      </c>
      <c r="E658" s="3">
        <v>19</v>
      </c>
      <c r="F658" s="3">
        <v>0.91867160890674904</v>
      </c>
      <c r="G658" s="3">
        <v>1.9946177578674065</v>
      </c>
      <c r="H658" s="3">
        <f t="shared" si="54"/>
        <v>-8.4826555734271974E-2</v>
      </c>
      <c r="I658" s="3">
        <f t="shared" si="55"/>
        <v>0.69045243191772621</v>
      </c>
      <c r="J658">
        <v>1.9946177578674065</v>
      </c>
      <c r="K658">
        <f t="shared" si="56"/>
        <v>0.69045243191772621</v>
      </c>
      <c r="X658" s="7">
        <f t="shared" si="53"/>
        <v>1.9946177578674065</v>
      </c>
    </row>
    <row r="659" spans="1:24">
      <c r="A659" s="3" t="s">
        <v>76</v>
      </c>
      <c r="B659" s="3" t="s">
        <v>103</v>
      </c>
      <c r="C659" s="3" t="s">
        <v>107</v>
      </c>
      <c r="D659" s="3" t="s">
        <v>79</v>
      </c>
      <c r="E659" s="3">
        <v>20</v>
      </c>
      <c r="F659" s="3">
        <v>0.92368075407749495</v>
      </c>
      <c r="G659" s="3">
        <v>2.0092784774639876</v>
      </c>
      <c r="H659" s="3">
        <f t="shared" si="54"/>
        <v>-7.9388771285931484E-2</v>
      </c>
      <c r="I659" s="3">
        <f t="shared" si="55"/>
        <v>0.69777569119128369</v>
      </c>
      <c r="J659">
        <v>2.0092784774639876</v>
      </c>
      <c r="K659">
        <f t="shared" si="56"/>
        <v>0.69777569119128369</v>
      </c>
      <c r="X659" s="7">
        <f t="shared" si="53"/>
        <v>2.0092784774639876</v>
      </c>
    </row>
    <row r="660" spans="1:24">
      <c r="A660" s="3" t="s">
        <v>76</v>
      </c>
      <c r="B660" s="3" t="s">
        <v>103</v>
      </c>
      <c r="C660" s="3" t="s">
        <v>107</v>
      </c>
      <c r="D660" s="3" t="s">
        <v>75</v>
      </c>
      <c r="E660" s="3">
        <v>1</v>
      </c>
      <c r="F660" s="3">
        <v>0.95921497121905497</v>
      </c>
      <c r="G660" s="3">
        <v>2.0129580224137809</v>
      </c>
      <c r="H660" s="3">
        <f t="shared" si="54"/>
        <v>-4.1640067364098837E-2</v>
      </c>
      <c r="I660" s="3">
        <f t="shared" si="55"/>
        <v>0.6996052931932184</v>
      </c>
      <c r="J660">
        <v>2.0129580224137809</v>
      </c>
      <c r="K660">
        <f t="shared" si="56"/>
        <v>0.6996052931932184</v>
      </c>
      <c r="X660" s="7">
        <f t="shared" si="53"/>
        <v>2.0129580224137809</v>
      </c>
    </row>
    <row r="661" spans="1:24">
      <c r="A661" s="3" t="s">
        <v>76</v>
      </c>
      <c r="B661" s="3" t="s">
        <v>103</v>
      </c>
      <c r="C661" s="3" t="s">
        <v>107</v>
      </c>
      <c r="D661" s="3" t="s">
        <v>75</v>
      </c>
      <c r="E661" s="3">
        <v>2</v>
      </c>
      <c r="F661" s="3">
        <v>0.93535741832442199</v>
      </c>
      <c r="G661" s="3">
        <v>1.9610456394485061</v>
      </c>
      <c r="H661" s="3">
        <f t="shared" si="54"/>
        <v>-6.682655715070826E-2</v>
      </c>
      <c r="I661" s="3">
        <f t="shared" si="55"/>
        <v>0.67347782050203076</v>
      </c>
      <c r="J661">
        <v>1.9610456394485061</v>
      </c>
      <c r="K661">
        <f t="shared" si="56"/>
        <v>0.67347782050203076</v>
      </c>
      <c r="X661" s="7">
        <f t="shared" si="53"/>
        <v>1.9610456394485061</v>
      </c>
    </row>
    <row r="662" spans="1:24">
      <c r="A662" s="3" t="s">
        <v>76</v>
      </c>
      <c r="B662" s="3" t="s">
        <v>103</v>
      </c>
      <c r="C662" s="3" t="s">
        <v>107</v>
      </c>
      <c r="D662" s="3" t="s">
        <v>75</v>
      </c>
      <c r="E662" s="3">
        <v>3</v>
      </c>
      <c r="F662" s="3">
        <v>0.92304780749795101</v>
      </c>
      <c r="G662" s="3">
        <v>1.9729419656948859</v>
      </c>
      <c r="H662" s="3">
        <f t="shared" si="54"/>
        <v>-8.0074250048211629E-2</v>
      </c>
      <c r="I662" s="3">
        <f t="shared" si="55"/>
        <v>0.67952581236300824</v>
      </c>
      <c r="J662">
        <v>1.9729419656948859</v>
      </c>
      <c r="K662">
        <f t="shared" si="56"/>
        <v>0.67952581236300824</v>
      </c>
      <c r="X662" s="7">
        <f t="shared" ref="X662:X681" si="57">G662</f>
        <v>1.9729419656948859</v>
      </c>
    </row>
    <row r="663" spans="1:24">
      <c r="A663" s="3" t="s">
        <v>76</v>
      </c>
      <c r="B663" s="3" t="s">
        <v>103</v>
      </c>
      <c r="C663" s="3" t="s">
        <v>107</v>
      </c>
      <c r="D663" s="3" t="s">
        <v>75</v>
      </c>
      <c r="E663" s="3">
        <v>4</v>
      </c>
      <c r="F663" s="3">
        <v>0.89001197242490604</v>
      </c>
      <c r="G663" s="3">
        <v>1.8930662957223656</v>
      </c>
      <c r="H663" s="3">
        <f t="shared" si="54"/>
        <v>-0.11652036418361529</v>
      </c>
      <c r="I663" s="3">
        <f t="shared" si="55"/>
        <v>0.63819789312602604</v>
      </c>
      <c r="J663">
        <v>1.8930662957223656</v>
      </c>
      <c r="K663">
        <f t="shared" si="56"/>
        <v>0.63819789312602604</v>
      </c>
      <c r="X663" s="7">
        <f t="shared" si="57"/>
        <v>1.8930662957223656</v>
      </c>
    </row>
    <row r="664" spans="1:24">
      <c r="A664" s="3" t="s">
        <v>76</v>
      </c>
      <c r="B664" s="3" t="s">
        <v>103</v>
      </c>
      <c r="C664" s="3" t="s">
        <v>107</v>
      </c>
      <c r="D664" s="3" t="s">
        <v>75</v>
      </c>
      <c r="E664" s="3">
        <v>5</v>
      </c>
      <c r="F664" s="3">
        <v>0.963234800794043</v>
      </c>
      <c r="G664" s="3">
        <v>2.0255616505058542</v>
      </c>
      <c r="H664" s="3">
        <f t="shared" si="54"/>
        <v>-3.7458074687780868E-2</v>
      </c>
      <c r="I664" s="3">
        <f t="shared" si="55"/>
        <v>0.70584702037630287</v>
      </c>
      <c r="J664">
        <v>2.0255616505058542</v>
      </c>
      <c r="K664">
        <f t="shared" si="56"/>
        <v>0.70584702037630287</v>
      </c>
      <c r="X664" s="7">
        <f t="shared" si="57"/>
        <v>2.0255616505058542</v>
      </c>
    </row>
    <row r="665" spans="1:24">
      <c r="A665" s="3" t="s">
        <v>76</v>
      </c>
      <c r="B665" s="3" t="s">
        <v>103</v>
      </c>
      <c r="C665" s="3" t="s">
        <v>107</v>
      </c>
      <c r="D665" s="3" t="s">
        <v>75</v>
      </c>
      <c r="E665" s="3">
        <v>6</v>
      </c>
      <c r="F665" s="3">
        <v>0.92186743978000196</v>
      </c>
      <c r="G665" s="3">
        <v>2.0205444810743467</v>
      </c>
      <c r="H665" s="3">
        <f t="shared" si="54"/>
        <v>-8.1353840404188152E-2</v>
      </c>
      <c r="I665" s="3">
        <f t="shared" si="55"/>
        <v>0.70336702017867347</v>
      </c>
      <c r="J665">
        <v>2.0205444810743467</v>
      </c>
      <c r="K665">
        <f t="shared" si="56"/>
        <v>0.70336702017867347</v>
      </c>
      <c r="X665" s="7">
        <f t="shared" si="57"/>
        <v>2.0205444810743467</v>
      </c>
    </row>
    <row r="666" spans="1:24">
      <c r="A666" s="3" t="s">
        <v>76</v>
      </c>
      <c r="B666" s="3" t="s">
        <v>103</v>
      </c>
      <c r="C666" s="3" t="s">
        <v>107</v>
      </c>
      <c r="D666" s="3" t="s">
        <v>75</v>
      </c>
      <c r="E666" s="3">
        <v>7</v>
      </c>
      <c r="F666" s="3">
        <v>0.91169651889101799</v>
      </c>
      <c r="G666" s="3">
        <v>1.9458931111445974</v>
      </c>
      <c r="H666" s="3">
        <f t="shared" si="54"/>
        <v>-9.2448108660039344E-2</v>
      </c>
      <c r="I666" s="3">
        <f t="shared" si="55"/>
        <v>0.66572105478587018</v>
      </c>
      <c r="J666">
        <v>1.9458931111445974</v>
      </c>
      <c r="K666">
        <f t="shared" si="56"/>
        <v>0.66572105478587018</v>
      </c>
      <c r="X666" s="7">
        <f t="shared" si="57"/>
        <v>1.9458931111445974</v>
      </c>
    </row>
    <row r="667" spans="1:24">
      <c r="A667" s="3" t="s">
        <v>76</v>
      </c>
      <c r="B667" s="3" t="s">
        <v>103</v>
      </c>
      <c r="C667" s="3" t="s">
        <v>107</v>
      </c>
      <c r="D667" s="3" t="s">
        <v>75</v>
      </c>
      <c r="E667" s="3">
        <v>8</v>
      </c>
      <c r="F667" s="3">
        <v>0.93979927899329496</v>
      </c>
      <c r="G667" s="3">
        <v>1.9523319389898841</v>
      </c>
      <c r="H667" s="3">
        <f t="shared" si="54"/>
        <v>-6.208895950535788E-2</v>
      </c>
      <c r="I667" s="3">
        <f t="shared" si="55"/>
        <v>0.66902452424594816</v>
      </c>
      <c r="J667">
        <v>1.9523319389898841</v>
      </c>
      <c r="K667">
        <f t="shared" si="56"/>
        <v>0.66902452424594816</v>
      </c>
      <c r="X667" s="7">
        <f t="shared" si="57"/>
        <v>1.9523319389898841</v>
      </c>
    </row>
    <row r="668" spans="1:24">
      <c r="A668" s="3" t="s">
        <v>76</v>
      </c>
      <c r="B668" s="3" t="s">
        <v>103</v>
      </c>
      <c r="C668" s="3" t="s">
        <v>107</v>
      </c>
      <c r="D668" s="3" t="s">
        <v>75</v>
      </c>
      <c r="E668" s="3">
        <v>9</v>
      </c>
      <c r="F668" s="3">
        <v>0.90925907545540496</v>
      </c>
      <c r="G668" s="3">
        <v>2.0441624201613728</v>
      </c>
      <c r="H668" s="3">
        <f t="shared" si="54"/>
        <v>-9.5125213910625048E-2</v>
      </c>
      <c r="I668" s="3">
        <f t="shared" si="55"/>
        <v>0.71498813110300685</v>
      </c>
      <c r="J668">
        <v>2.0441624201613728</v>
      </c>
      <c r="K668">
        <f t="shared" si="56"/>
        <v>0.71498813110300685</v>
      </c>
      <c r="X668" s="7">
        <f t="shared" si="57"/>
        <v>2.0441624201613728</v>
      </c>
    </row>
    <row r="669" spans="1:24">
      <c r="A669" s="3" t="s">
        <v>76</v>
      </c>
      <c r="B669" s="3" t="s">
        <v>103</v>
      </c>
      <c r="C669" s="3" t="s">
        <v>107</v>
      </c>
      <c r="D669" s="3" t="s">
        <v>75</v>
      </c>
      <c r="E669" s="3">
        <v>10</v>
      </c>
      <c r="F669" s="3">
        <v>0.91251891215778402</v>
      </c>
      <c r="G669" s="3">
        <v>1.9553260597659918</v>
      </c>
      <c r="H669" s="3">
        <f t="shared" si="54"/>
        <v>-9.1546468087897792E-2</v>
      </c>
      <c r="I669" s="3">
        <f t="shared" si="55"/>
        <v>0.67055696201967441</v>
      </c>
      <c r="J669">
        <v>1.9553260597659918</v>
      </c>
      <c r="K669">
        <f t="shared" si="56"/>
        <v>0.67055696201967441</v>
      </c>
      <c r="X669" s="7">
        <f t="shared" si="57"/>
        <v>1.9553260597659918</v>
      </c>
    </row>
    <row r="670" spans="1:24">
      <c r="A670" s="3" t="s">
        <v>76</v>
      </c>
      <c r="B670" s="3" t="s">
        <v>103</v>
      </c>
      <c r="C670" s="3" t="s">
        <v>107</v>
      </c>
      <c r="D670" s="3" t="s">
        <v>75</v>
      </c>
      <c r="E670" s="3">
        <v>11</v>
      </c>
      <c r="F670" s="3">
        <v>0.93115522232496295</v>
      </c>
      <c r="G670" s="3">
        <v>2.0116162655934158</v>
      </c>
      <c r="H670" s="3">
        <f t="shared" si="54"/>
        <v>-7.1329289152365957E-2</v>
      </c>
      <c r="I670" s="3">
        <f t="shared" si="55"/>
        <v>0.69893851118147854</v>
      </c>
      <c r="J670">
        <v>2.0116162655934158</v>
      </c>
      <c r="K670">
        <f t="shared" si="56"/>
        <v>0.69893851118147854</v>
      </c>
      <c r="X670" s="7">
        <f t="shared" si="57"/>
        <v>2.0116162655934158</v>
      </c>
    </row>
    <row r="671" spans="1:24">
      <c r="A671" s="3" t="s">
        <v>76</v>
      </c>
      <c r="B671" s="3" t="s">
        <v>103</v>
      </c>
      <c r="C671" s="3" t="s">
        <v>107</v>
      </c>
      <c r="D671" s="3" t="s">
        <v>75</v>
      </c>
      <c r="E671" s="3">
        <v>12</v>
      </c>
      <c r="F671" s="3">
        <v>0.91667429249056198</v>
      </c>
      <c r="G671" s="3">
        <v>1.9513328778042971</v>
      </c>
      <c r="H671" s="3">
        <f t="shared" si="54"/>
        <v>-8.7003057943620052E-2</v>
      </c>
      <c r="I671" s="3">
        <f t="shared" si="55"/>
        <v>0.6685126661565437</v>
      </c>
      <c r="J671">
        <v>1.9513328778042971</v>
      </c>
      <c r="K671">
        <f t="shared" si="56"/>
        <v>0.6685126661565437</v>
      </c>
      <c r="X671" s="7">
        <f t="shared" si="57"/>
        <v>1.9513328778042971</v>
      </c>
    </row>
    <row r="672" spans="1:24">
      <c r="A672" s="3" t="s">
        <v>76</v>
      </c>
      <c r="B672" s="3" t="s">
        <v>103</v>
      </c>
      <c r="C672" s="3" t="s">
        <v>107</v>
      </c>
      <c r="D672" s="3" t="s">
        <v>75</v>
      </c>
      <c r="E672" s="3">
        <v>13</v>
      </c>
      <c r="F672" s="3">
        <v>0.90389058153991297</v>
      </c>
      <c r="G672" s="3">
        <v>1.9425756098540929</v>
      </c>
      <c r="H672" s="3">
        <f t="shared" si="54"/>
        <v>-0.10104696403523017</v>
      </c>
      <c r="I672" s="3">
        <f t="shared" si="55"/>
        <v>0.66401472649395754</v>
      </c>
      <c r="J672">
        <v>1.9425756098540929</v>
      </c>
      <c r="K672">
        <f t="shared" si="56"/>
        <v>0.66401472649395754</v>
      </c>
      <c r="X672" s="7">
        <f t="shared" si="57"/>
        <v>1.9425756098540929</v>
      </c>
    </row>
    <row r="673" spans="1:24">
      <c r="A673" s="3" t="s">
        <v>76</v>
      </c>
      <c r="B673" s="3" t="s">
        <v>103</v>
      </c>
      <c r="C673" s="3" t="s">
        <v>107</v>
      </c>
      <c r="D673" s="3" t="s">
        <v>75</v>
      </c>
      <c r="E673" s="3">
        <v>14</v>
      </c>
      <c r="F673" s="3">
        <v>0.91949393741225705</v>
      </c>
      <c r="G673" s="3">
        <v>1.8921152184790442</v>
      </c>
      <c r="H673" s="3">
        <f t="shared" si="54"/>
        <v>-8.3931828312127157E-2</v>
      </c>
      <c r="I673" s="3">
        <f t="shared" si="55"/>
        <v>0.63769536649169256</v>
      </c>
      <c r="J673">
        <v>1.8921152184790442</v>
      </c>
      <c r="K673">
        <f t="shared" si="56"/>
        <v>0.63769536649169256</v>
      </c>
      <c r="X673" s="7">
        <f t="shared" si="57"/>
        <v>1.8921152184790442</v>
      </c>
    </row>
    <row r="674" spans="1:24">
      <c r="A674" s="3" t="s">
        <v>76</v>
      </c>
      <c r="B674" s="3" t="s">
        <v>103</v>
      </c>
      <c r="C674" s="3" t="s">
        <v>107</v>
      </c>
      <c r="D674" s="3" t="s">
        <v>75</v>
      </c>
      <c r="E674" s="3">
        <v>15</v>
      </c>
      <c r="F674" s="3">
        <v>0.90844438288175</v>
      </c>
      <c r="G674" s="3">
        <v>1.9142622599842478</v>
      </c>
      <c r="H674" s="3">
        <f t="shared" si="54"/>
        <v>-9.6021611642026924E-2</v>
      </c>
      <c r="I674" s="3">
        <f t="shared" si="55"/>
        <v>0.64933230557945831</v>
      </c>
      <c r="J674">
        <v>1.9142622599842478</v>
      </c>
      <c r="K674">
        <f t="shared" si="56"/>
        <v>0.64933230557945831</v>
      </c>
      <c r="X674" s="7">
        <f t="shared" si="57"/>
        <v>1.9142622599842478</v>
      </c>
    </row>
    <row r="675" spans="1:24">
      <c r="A675" s="3" t="s">
        <v>76</v>
      </c>
      <c r="B675" s="3" t="s">
        <v>103</v>
      </c>
      <c r="C675" s="3" t="s">
        <v>107</v>
      </c>
      <c r="D675" s="3" t="s">
        <v>75</v>
      </c>
      <c r="E675" s="3">
        <v>16</v>
      </c>
      <c r="F675" s="3">
        <v>0.93049201644705704</v>
      </c>
      <c r="G675" s="3">
        <v>1.9485892332659542</v>
      </c>
      <c r="H675" s="3">
        <f t="shared" si="54"/>
        <v>-7.2041782789344783E-2</v>
      </c>
      <c r="I675" s="3">
        <f t="shared" si="55"/>
        <v>0.66710564062483257</v>
      </c>
      <c r="J675">
        <v>1.9485892332659542</v>
      </c>
      <c r="K675">
        <f t="shared" si="56"/>
        <v>0.66710564062483257</v>
      </c>
      <c r="X675" s="7">
        <f t="shared" si="57"/>
        <v>1.9485892332659542</v>
      </c>
    </row>
    <row r="676" spans="1:24">
      <c r="A676" s="3" t="s">
        <v>76</v>
      </c>
      <c r="B676" s="3" t="s">
        <v>103</v>
      </c>
      <c r="C676" s="3" t="s">
        <v>107</v>
      </c>
      <c r="D676" s="3" t="s">
        <v>75</v>
      </c>
      <c r="E676" s="3">
        <v>17</v>
      </c>
      <c r="F676" s="3">
        <v>0.92040692650879297</v>
      </c>
      <c r="G676" s="3">
        <v>1.9504102132628407</v>
      </c>
      <c r="H676" s="3">
        <f t="shared" si="54"/>
        <v>-8.2939395307312341E-2</v>
      </c>
      <c r="I676" s="3">
        <f t="shared" si="55"/>
        <v>0.66803971622769398</v>
      </c>
      <c r="J676">
        <v>1.9504102132628407</v>
      </c>
      <c r="K676">
        <f t="shared" si="56"/>
        <v>0.66803971622769398</v>
      </c>
      <c r="X676" s="7">
        <f t="shared" si="57"/>
        <v>1.9504102132628407</v>
      </c>
    </row>
    <row r="677" spans="1:24">
      <c r="A677" s="3" t="s">
        <v>76</v>
      </c>
      <c r="B677" s="3" t="s">
        <v>103</v>
      </c>
      <c r="C677" s="3" t="s">
        <v>107</v>
      </c>
      <c r="D677" s="3" t="s">
        <v>75</v>
      </c>
      <c r="E677" s="3">
        <v>18</v>
      </c>
      <c r="F677" s="3">
        <v>0.91819053174745602</v>
      </c>
      <c r="G677" s="3">
        <v>1.9949185447030164</v>
      </c>
      <c r="H677" s="3">
        <f t="shared" si="54"/>
        <v>-8.5350358974204954E-2</v>
      </c>
      <c r="I677" s="3">
        <f t="shared" si="55"/>
        <v>0.69060321978547223</v>
      </c>
      <c r="J677">
        <v>1.9949185447030164</v>
      </c>
      <c r="K677">
        <f t="shared" si="56"/>
        <v>0.69060321978547223</v>
      </c>
      <c r="X677" s="7">
        <f t="shared" si="57"/>
        <v>1.9949185447030164</v>
      </c>
    </row>
    <row r="678" spans="1:24">
      <c r="A678" s="3" t="s">
        <v>76</v>
      </c>
      <c r="B678" s="3" t="s">
        <v>103</v>
      </c>
      <c r="C678" s="3" t="s">
        <v>107</v>
      </c>
      <c r="D678" s="3" t="s">
        <v>75</v>
      </c>
      <c r="E678" s="3">
        <v>19</v>
      </c>
      <c r="F678" s="3">
        <v>0.90237175810908798</v>
      </c>
      <c r="G678" s="3">
        <v>1.9557607215607946</v>
      </c>
      <c r="H678" s="3">
        <f t="shared" si="54"/>
        <v>-0.10272869514975251</v>
      </c>
      <c r="I678" s="3">
        <f t="shared" si="55"/>
        <v>0.67077923363924963</v>
      </c>
      <c r="J678">
        <v>1.9557607215607946</v>
      </c>
      <c r="K678">
        <f t="shared" si="56"/>
        <v>0.67077923363924963</v>
      </c>
      <c r="X678" s="7">
        <f t="shared" si="57"/>
        <v>1.9557607215607946</v>
      </c>
    </row>
    <row r="679" spans="1:24">
      <c r="A679" s="3" t="s">
        <v>76</v>
      </c>
      <c r="B679" s="3" t="s">
        <v>103</v>
      </c>
      <c r="C679" s="3" t="s">
        <v>107</v>
      </c>
      <c r="D679" s="3" t="s">
        <v>75</v>
      </c>
      <c r="E679" s="3">
        <v>20</v>
      </c>
      <c r="F679" s="3">
        <v>0.91001954959760301</v>
      </c>
      <c r="G679" s="3">
        <v>1.9398195792392652</v>
      </c>
      <c r="H679" s="3">
        <f t="shared" si="54"/>
        <v>-9.4289196627710251E-2</v>
      </c>
      <c r="I679" s="3">
        <f t="shared" si="55"/>
        <v>0.66259496835830078</v>
      </c>
      <c r="J679">
        <v>1.9398195792392652</v>
      </c>
      <c r="K679">
        <f t="shared" si="56"/>
        <v>0.66259496835830078</v>
      </c>
      <c r="X679" s="7">
        <f t="shared" si="57"/>
        <v>1.9398195792392652</v>
      </c>
    </row>
    <row r="680" spans="1:24">
      <c r="A680" s="3" t="s">
        <v>76</v>
      </c>
      <c r="B680" s="3" t="s">
        <v>103</v>
      </c>
      <c r="C680" s="3" t="s">
        <v>107</v>
      </c>
      <c r="D680" s="3" t="s">
        <v>75</v>
      </c>
      <c r="E680" s="3">
        <v>21</v>
      </c>
      <c r="F680" s="3">
        <v>0.94811577535038605</v>
      </c>
      <c r="G680" s="3">
        <v>1.9918082237002634</v>
      </c>
      <c r="H680" s="3">
        <f t="shared" si="54"/>
        <v>-5.3278658286843812E-2</v>
      </c>
      <c r="I680" s="3">
        <f t="shared" si="55"/>
        <v>0.6890428812850008</v>
      </c>
      <c r="J680">
        <v>1.9918082237002634</v>
      </c>
      <c r="K680">
        <f t="shared" si="56"/>
        <v>0.6890428812850008</v>
      </c>
      <c r="X680" s="7">
        <f t="shared" si="57"/>
        <v>1.9918082237002634</v>
      </c>
    </row>
    <row r="681" spans="1:24">
      <c r="A681" s="3" t="s">
        <v>76</v>
      </c>
      <c r="B681" s="3" t="s">
        <v>103</v>
      </c>
      <c r="C681" s="3" t="s">
        <v>107</v>
      </c>
      <c r="D681" s="3" t="s">
        <v>75</v>
      </c>
      <c r="E681" s="3">
        <v>22</v>
      </c>
      <c r="F681" s="3">
        <v>0.95350193261055005</v>
      </c>
      <c r="G681" s="3">
        <v>1.9695684806576286</v>
      </c>
      <c r="H681" s="3">
        <f t="shared" si="54"/>
        <v>-4.7613827084199749E-2</v>
      </c>
      <c r="I681" s="3">
        <f t="shared" si="55"/>
        <v>0.67781447340450263</v>
      </c>
      <c r="J681">
        <v>1.9695684806576286</v>
      </c>
      <c r="K681">
        <f t="shared" si="56"/>
        <v>0.67781447340450263</v>
      </c>
      <c r="X681" s="7">
        <f t="shared" si="57"/>
        <v>1.9695684806576286</v>
      </c>
    </row>
    <row r="682" spans="1:24">
      <c r="A682" s="3" t="s">
        <v>76</v>
      </c>
      <c r="B682" s="3" t="s">
        <v>104</v>
      </c>
      <c r="C682" s="3" t="s">
        <v>107</v>
      </c>
      <c r="D682" s="3" t="s">
        <v>79</v>
      </c>
      <c r="E682" s="3">
        <v>1</v>
      </c>
      <c r="F682" s="3">
        <v>0.78843936087065902</v>
      </c>
      <c r="G682" s="3">
        <v>1.9636954957426571</v>
      </c>
      <c r="H682" s="3">
        <f t="shared" si="54"/>
        <v>-0.23769977994894739</v>
      </c>
      <c r="I682" s="3">
        <f t="shared" si="55"/>
        <v>0.67482815501099369</v>
      </c>
      <c r="N682">
        <f>LN(F682)</f>
        <v>-0.23769977994894739</v>
      </c>
      <c r="O682">
        <f>LN(P682)</f>
        <v>0.67482815501099369</v>
      </c>
      <c r="P682">
        <v>1.9636954957426571</v>
      </c>
      <c r="T682">
        <f>F682</f>
        <v>0.78843936087065902</v>
      </c>
      <c r="V682" s="7">
        <v>1.9636954957426571</v>
      </c>
    </row>
    <row r="683" spans="1:24">
      <c r="A683" s="3" t="s">
        <v>76</v>
      </c>
      <c r="B683" s="3" t="s">
        <v>104</v>
      </c>
      <c r="C683" s="3" t="s">
        <v>107</v>
      </c>
      <c r="D683" s="3" t="s">
        <v>79</v>
      </c>
      <c r="E683" s="3">
        <v>2</v>
      </c>
      <c r="F683" s="3">
        <v>0.77423548041285595</v>
      </c>
      <c r="G683" s="3">
        <v>1.94982050455933</v>
      </c>
      <c r="H683" s="3">
        <f t="shared" si="54"/>
        <v>-0.25587921340398068</v>
      </c>
      <c r="I683" s="3">
        <f t="shared" si="55"/>
        <v>0.66773731939495806</v>
      </c>
      <c r="N683">
        <f t="shared" ref="N683:N746" si="58">LN(F683)</f>
        <v>-0.25587921340398068</v>
      </c>
      <c r="O683">
        <f t="shared" ref="O683:O746" si="59">LN(P683)</f>
        <v>0.66773731939495806</v>
      </c>
      <c r="P683">
        <v>1.94982050455933</v>
      </c>
      <c r="T683">
        <f t="shared" ref="T683:T746" si="60">F683</f>
        <v>0.77423548041285595</v>
      </c>
      <c r="V683" s="7">
        <v>1.94982050455933</v>
      </c>
    </row>
    <row r="684" spans="1:24">
      <c r="A684" s="3" t="s">
        <v>76</v>
      </c>
      <c r="B684" s="3" t="s">
        <v>104</v>
      </c>
      <c r="C684" s="3" t="s">
        <v>107</v>
      </c>
      <c r="D684" s="3" t="s">
        <v>79</v>
      </c>
      <c r="E684" s="3">
        <v>3</v>
      </c>
      <c r="F684" s="3">
        <v>0.805427427678024</v>
      </c>
      <c r="G684" s="3">
        <v>2.0385534086699812</v>
      </c>
      <c r="H684" s="3">
        <f t="shared" si="54"/>
        <v>-0.21638217641651714</v>
      </c>
      <c r="I684" s="3">
        <f t="shared" si="55"/>
        <v>0.7122404429192315</v>
      </c>
      <c r="N684">
        <f t="shared" si="58"/>
        <v>-0.21638217641651714</v>
      </c>
      <c r="O684">
        <f t="shared" si="59"/>
        <v>0.7122404429192315</v>
      </c>
      <c r="P684">
        <v>2.0385534086699812</v>
      </c>
      <c r="T684">
        <f t="shared" si="60"/>
        <v>0.805427427678024</v>
      </c>
      <c r="V684" s="7">
        <v>2.0385534086699812</v>
      </c>
    </row>
    <row r="685" spans="1:24">
      <c r="A685" s="3" t="s">
        <v>76</v>
      </c>
      <c r="B685" s="3" t="s">
        <v>104</v>
      </c>
      <c r="C685" s="3" t="s">
        <v>107</v>
      </c>
      <c r="D685" s="3" t="s">
        <v>79</v>
      </c>
      <c r="E685" s="3">
        <v>4</v>
      </c>
      <c r="F685" s="3">
        <v>0.82313790334435499</v>
      </c>
      <c r="G685" s="3">
        <v>2.0255616505058542</v>
      </c>
      <c r="H685" s="3">
        <f t="shared" si="54"/>
        <v>-0.19463153056268498</v>
      </c>
      <c r="I685" s="3">
        <f t="shared" si="55"/>
        <v>0.70584702037630287</v>
      </c>
      <c r="N685">
        <f t="shared" si="58"/>
        <v>-0.19463153056268498</v>
      </c>
      <c r="O685">
        <f t="shared" si="59"/>
        <v>0.70584702037630287</v>
      </c>
      <c r="P685">
        <v>2.0255616505058542</v>
      </c>
      <c r="T685">
        <f t="shared" si="60"/>
        <v>0.82313790334435499</v>
      </c>
      <c r="V685" s="7">
        <v>2.0255616505058542</v>
      </c>
    </row>
    <row r="686" spans="1:24">
      <c r="A686" s="3" t="s">
        <v>76</v>
      </c>
      <c r="B686" s="3" t="s">
        <v>104</v>
      </c>
      <c r="C686" s="3" t="s">
        <v>107</v>
      </c>
      <c r="D686" s="3" t="s">
        <v>79</v>
      </c>
      <c r="E686" s="3">
        <v>5</v>
      </c>
      <c r="F686" s="3">
        <v>0.79541036255751396</v>
      </c>
      <c r="G686" s="3">
        <v>2.0392400545301181</v>
      </c>
      <c r="H686" s="3">
        <f t="shared" si="54"/>
        <v>-0.22889711818489544</v>
      </c>
      <c r="I686" s="3">
        <f t="shared" si="55"/>
        <v>0.7125772161633025</v>
      </c>
      <c r="N686">
        <f t="shared" si="58"/>
        <v>-0.22889711818489544</v>
      </c>
      <c r="O686">
        <f t="shared" si="59"/>
        <v>0.7125772161633025</v>
      </c>
      <c r="P686">
        <v>2.0392400545301181</v>
      </c>
      <c r="T686">
        <f t="shared" si="60"/>
        <v>0.79541036255751396</v>
      </c>
      <c r="V686" s="7">
        <v>2.0392400545301181</v>
      </c>
    </row>
    <row r="687" spans="1:24">
      <c r="A687" s="3" t="s">
        <v>76</v>
      </c>
      <c r="B687" s="3" t="s">
        <v>104</v>
      </c>
      <c r="C687" s="3" t="s">
        <v>107</v>
      </c>
      <c r="D687" s="3" t="s">
        <v>79</v>
      </c>
      <c r="E687" s="3">
        <v>6</v>
      </c>
      <c r="F687" s="3">
        <v>0.81512938920025402</v>
      </c>
      <c r="G687" s="3">
        <v>2.0620620747203513</v>
      </c>
      <c r="H687" s="3">
        <f t="shared" si="54"/>
        <v>-0.20440841858735767</v>
      </c>
      <c r="I687" s="3">
        <f t="shared" si="55"/>
        <v>0.72370648927372905</v>
      </c>
      <c r="N687">
        <f t="shared" si="58"/>
        <v>-0.20440841858735767</v>
      </c>
      <c r="O687">
        <f t="shared" si="59"/>
        <v>0.72370648927372905</v>
      </c>
      <c r="P687">
        <v>2.0620620747203513</v>
      </c>
      <c r="T687">
        <f t="shared" si="60"/>
        <v>0.81512938920025402</v>
      </c>
      <c r="V687" s="7">
        <v>2.0620620747203513</v>
      </c>
    </row>
    <row r="688" spans="1:24">
      <c r="A688" s="3" t="s">
        <v>76</v>
      </c>
      <c r="B688" s="3" t="s">
        <v>104</v>
      </c>
      <c r="C688" s="3" t="s">
        <v>107</v>
      </c>
      <c r="D688" s="3" t="s">
        <v>79</v>
      </c>
      <c r="E688" s="3">
        <v>8</v>
      </c>
      <c r="F688" s="3">
        <v>0.76495053792982104</v>
      </c>
      <c r="G688" s="3">
        <v>1.9697715603592212</v>
      </c>
      <c r="H688" s="3">
        <f t="shared" si="54"/>
        <v>-0.26794410354679749</v>
      </c>
      <c r="I688" s="3">
        <f t="shared" si="55"/>
        <v>0.67791757681759113</v>
      </c>
      <c r="N688">
        <f t="shared" si="58"/>
        <v>-0.26794410354679749</v>
      </c>
      <c r="O688">
        <f t="shared" si="59"/>
        <v>0.67791757681759113</v>
      </c>
      <c r="P688">
        <v>1.9697715603592212</v>
      </c>
      <c r="T688">
        <f t="shared" si="60"/>
        <v>0.76495053792982104</v>
      </c>
      <c r="V688" s="7">
        <v>1.9697715603592212</v>
      </c>
    </row>
    <row r="689" spans="1:22">
      <c r="A689" s="3" t="s">
        <v>76</v>
      </c>
      <c r="B689" s="3" t="s">
        <v>104</v>
      </c>
      <c r="C689" s="3" t="s">
        <v>107</v>
      </c>
      <c r="D689" s="3" t="s">
        <v>79</v>
      </c>
      <c r="E689" s="3">
        <v>9</v>
      </c>
      <c r="F689" s="3">
        <v>0.80793947417573697</v>
      </c>
      <c r="G689" s="3">
        <v>1.9720294115453754</v>
      </c>
      <c r="H689" s="3">
        <f t="shared" si="54"/>
        <v>-0.2132681314651462</v>
      </c>
      <c r="I689" s="3">
        <f t="shared" si="55"/>
        <v>0.67906317064598487</v>
      </c>
      <c r="N689">
        <f t="shared" si="58"/>
        <v>-0.2132681314651462</v>
      </c>
      <c r="O689">
        <f t="shared" si="59"/>
        <v>0.67906317064598487</v>
      </c>
      <c r="P689">
        <v>1.9720294115453754</v>
      </c>
      <c r="T689">
        <f t="shared" si="60"/>
        <v>0.80793947417573697</v>
      </c>
      <c r="V689" s="7">
        <v>1.9720294115453754</v>
      </c>
    </row>
    <row r="690" spans="1:22">
      <c r="A690" s="3" t="s">
        <v>76</v>
      </c>
      <c r="B690" s="3" t="s">
        <v>104</v>
      </c>
      <c r="C690" s="3" t="s">
        <v>107</v>
      </c>
      <c r="D690" s="3" t="s">
        <v>79</v>
      </c>
      <c r="E690" s="3">
        <v>10</v>
      </c>
      <c r="F690" s="3">
        <v>0.77616894730710795</v>
      </c>
      <c r="G690" s="3">
        <v>1.9469976887505542</v>
      </c>
      <c r="H690" s="3">
        <f t="shared" si="54"/>
        <v>-0.25338506689357737</v>
      </c>
      <c r="I690" s="3">
        <f t="shared" si="55"/>
        <v>0.66628853930695142</v>
      </c>
      <c r="N690">
        <f t="shared" si="58"/>
        <v>-0.25338506689357737</v>
      </c>
      <c r="O690">
        <f t="shared" si="59"/>
        <v>0.66628853930695142</v>
      </c>
      <c r="P690">
        <v>1.9469976887505542</v>
      </c>
      <c r="T690">
        <f t="shared" si="60"/>
        <v>0.77616894730710795</v>
      </c>
      <c r="V690" s="7">
        <v>1.9469976887505542</v>
      </c>
    </row>
    <row r="691" spans="1:22">
      <c r="A691" s="3" t="s">
        <v>76</v>
      </c>
      <c r="B691" s="3" t="s">
        <v>104</v>
      </c>
      <c r="C691" s="3" t="s">
        <v>107</v>
      </c>
      <c r="D691" s="3" t="s">
        <v>79</v>
      </c>
      <c r="E691" s="3">
        <v>11</v>
      </c>
      <c r="F691" s="3">
        <v>0.78378445211594505</v>
      </c>
      <c r="G691" s="3">
        <v>1.9921094347449892</v>
      </c>
      <c r="H691" s="3">
        <f t="shared" si="54"/>
        <v>-0.24362122995845994</v>
      </c>
      <c r="I691" s="3">
        <f t="shared" si="55"/>
        <v>0.68919409477439664</v>
      </c>
      <c r="N691">
        <f t="shared" si="58"/>
        <v>-0.24362122995845994</v>
      </c>
      <c r="O691">
        <f t="shared" si="59"/>
        <v>0.68919409477439664</v>
      </c>
      <c r="P691">
        <v>1.9921094347449892</v>
      </c>
      <c r="T691">
        <f t="shared" si="60"/>
        <v>0.78378445211594505</v>
      </c>
      <c r="V691" s="7">
        <v>1.9921094347449892</v>
      </c>
    </row>
    <row r="692" spans="1:22">
      <c r="A692" s="3" t="s">
        <v>76</v>
      </c>
      <c r="B692" s="3" t="s">
        <v>104</v>
      </c>
      <c r="C692" s="3" t="s">
        <v>107</v>
      </c>
      <c r="D692" s="3" t="s">
        <v>79</v>
      </c>
      <c r="E692" s="3">
        <v>12</v>
      </c>
      <c r="F692" s="3">
        <v>0.74858463455618196</v>
      </c>
      <c r="G692" s="3">
        <v>1.9720294115453754</v>
      </c>
      <c r="H692" s="3">
        <f t="shared" si="54"/>
        <v>-0.28957100929528756</v>
      </c>
      <c r="I692" s="3">
        <f t="shared" si="55"/>
        <v>0.67906317064598487</v>
      </c>
      <c r="N692">
        <f t="shared" si="58"/>
        <v>-0.28957100929528756</v>
      </c>
      <c r="O692">
        <f t="shared" si="59"/>
        <v>0.67906317064598487</v>
      </c>
      <c r="P692">
        <v>1.9720294115453754</v>
      </c>
      <c r="T692">
        <f t="shared" si="60"/>
        <v>0.74858463455618196</v>
      </c>
      <c r="V692" s="7">
        <v>1.9720294115453754</v>
      </c>
    </row>
    <row r="693" spans="1:22">
      <c r="A693" s="3" t="s">
        <v>76</v>
      </c>
      <c r="B693" s="3" t="s">
        <v>104</v>
      </c>
      <c r="C693" s="3" t="s">
        <v>107</v>
      </c>
      <c r="D693" s="3" t="s">
        <v>79</v>
      </c>
      <c r="E693" s="3">
        <v>13</v>
      </c>
      <c r="F693" s="3">
        <v>0.80541775791710002</v>
      </c>
      <c r="G693" s="3">
        <v>2.0615528128088298</v>
      </c>
      <c r="H693" s="3">
        <f t="shared" si="54"/>
        <v>-0.21639418223931198</v>
      </c>
      <c r="I693" s="3">
        <f t="shared" si="55"/>
        <v>0.72345949146816257</v>
      </c>
      <c r="N693">
        <f t="shared" si="58"/>
        <v>-0.21639418223931198</v>
      </c>
      <c r="O693">
        <f t="shared" si="59"/>
        <v>0.72345949146816257</v>
      </c>
      <c r="P693">
        <v>2.0615528128088298</v>
      </c>
      <c r="T693">
        <f t="shared" si="60"/>
        <v>0.80541775791710002</v>
      </c>
      <c r="V693" s="7">
        <v>2.0615528128088298</v>
      </c>
    </row>
    <row r="694" spans="1:22">
      <c r="A694" s="3" t="s">
        <v>76</v>
      </c>
      <c r="B694" s="3" t="s">
        <v>104</v>
      </c>
      <c r="C694" s="3" t="s">
        <v>107</v>
      </c>
      <c r="D694" s="3" t="s">
        <v>79</v>
      </c>
      <c r="E694" s="3">
        <v>14</v>
      </c>
      <c r="F694" s="3">
        <v>0.81305541515214896</v>
      </c>
      <c r="G694" s="3">
        <v>1.9725364381932211</v>
      </c>
      <c r="H694" s="3">
        <f t="shared" si="54"/>
        <v>-0.20695601043844719</v>
      </c>
      <c r="I694" s="3">
        <f t="shared" si="55"/>
        <v>0.67932024666902635</v>
      </c>
      <c r="N694">
        <f t="shared" si="58"/>
        <v>-0.20695601043844719</v>
      </c>
      <c r="O694">
        <f t="shared" si="59"/>
        <v>0.67932024666902635</v>
      </c>
      <c r="P694">
        <v>1.9725364381932211</v>
      </c>
      <c r="T694">
        <f t="shared" si="60"/>
        <v>0.81305541515214896</v>
      </c>
      <c r="V694" s="7">
        <v>1.9725364381932211</v>
      </c>
    </row>
    <row r="695" spans="1:22">
      <c r="A695" s="3" t="s">
        <v>76</v>
      </c>
      <c r="B695" s="3" t="s">
        <v>104</v>
      </c>
      <c r="C695" s="3" t="s">
        <v>107</v>
      </c>
      <c r="D695" s="3" t="s">
        <v>79</v>
      </c>
      <c r="E695" s="3">
        <v>15</v>
      </c>
      <c r="F695" s="3">
        <v>0.79241769662516703</v>
      </c>
      <c r="G695" s="3">
        <v>1.9588772294352701</v>
      </c>
      <c r="H695" s="3">
        <f t="shared" si="54"/>
        <v>-0.23266663146268679</v>
      </c>
      <c r="I695" s="3">
        <f t="shared" si="55"/>
        <v>0.67237146698082773</v>
      </c>
      <c r="N695">
        <f t="shared" si="58"/>
        <v>-0.23266663146268679</v>
      </c>
      <c r="O695">
        <f t="shared" si="59"/>
        <v>0.67237146698082773</v>
      </c>
      <c r="P695">
        <v>1.9588772294352701</v>
      </c>
      <c r="T695">
        <f t="shared" si="60"/>
        <v>0.79241769662516703</v>
      </c>
      <c r="V695" s="7">
        <v>1.9588772294352701</v>
      </c>
    </row>
    <row r="696" spans="1:22">
      <c r="A696" s="3" t="s">
        <v>76</v>
      </c>
      <c r="B696" s="3" t="s">
        <v>104</v>
      </c>
      <c r="C696" s="3" t="s">
        <v>107</v>
      </c>
      <c r="D696" s="3" t="s">
        <v>79</v>
      </c>
      <c r="E696" s="3">
        <v>16</v>
      </c>
      <c r="F696" s="3">
        <v>0.77793069412434102</v>
      </c>
      <c r="G696" s="3">
        <v>2.0498048687619024</v>
      </c>
      <c r="H696" s="3">
        <f t="shared" si="54"/>
        <v>-0.25111784087418104</v>
      </c>
      <c r="I696" s="3">
        <f t="shared" si="55"/>
        <v>0.71774460265004114</v>
      </c>
      <c r="N696">
        <f t="shared" si="58"/>
        <v>-0.25111784087418104</v>
      </c>
      <c r="O696">
        <f t="shared" si="59"/>
        <v>0.71774460265004114</v>
      </c>
      <c r="P696">
        <v>2.0498048687619024</v>
      </c>
      <c r="T696">
        <f t="shared" si="60"/>
        <v>0.77793069412434102</v>
      </c>
      <c r="V696" s="7">
        <v>2.0498048687619024</v>
      </c>
    </row>
    <row r="697" spans="1:22">
      <c r="A697" s="3" t="s">
        <v>76</v>
      </c>
      <c r="B697" s="3" t="s">
        <v>104</v>
      </c>
      <c r="C697" s="3" t="s">
        <v>107</v>
      </c>
      <c r="D697" s="3" t="s">
        <v>79</v>
      </c>
      <c r="E697" s="3">
        <v>17</v>
      </c>
      <c r="F697" s="3">
        <v>0.82553598900884695</v>
      </c>
      <c r="G697" s="3">
        <v>2.0448227307030797</v>
      </c>
      <c r="H697" s="3">
        <f t="shared" si="54"/>
        <v>-0.19172241995342595</v>
      </c>
      <c r="I697" s="3">
        <f t="shared" si="55"/>
        <v>0.71531110148469534</v>
      </c>
      <c r="N697">
        <f t="shared" si="58"/>
        <v>-0.19172241995342595</v>
      </c>
      <c r="O697">
        <f t="shared" si="59"/>
        <v>0.71531110148469534</v>
      </c>
      <c r="P697">
        <v>2.0448227307030797</v>
      </c>
      <c r="T697">
        <f t="shared" si="60"/>
        <v>0.82553598900884695</v>
      </c>
      <c r="V697" s="7">
        <v>2.0448227307030797</v>
      </c>
    </row>
    <row r="698" spans="1:22">
      <c r="A698" s="3" t="s">
        <v>76</v>
      </c>
      <c r="B698" s="3" t="s">
        <v>104</v>
      </c>
      <c r="C698" s="3" t="s">
        <v>107</v>
      </c>
      <c r="D698" s="3" t="s">
        <v>79</v>
      </c>
      <c r="E698" s="3">
        <v>18</v>
      </c>
      <c r="F698" s="3">
        <v>0.75574260982017805</v>
      </c>
      <c r="G698" s="3">
        <v>1.9473315074737534</v>
      </c>
      <c r="H698" s="3">
        <f t="shared" si="54"/>
        <v>-0.28005442397418062</v>
      </c>
      <c r="I698" s="3">
        <f t="shared" si="55"/>
        <v>0.66645997767653786</v>
      </c>
      <c r="N698">
        <f t="shared" si="58"/>
        <v>-0.28005442397418062</v>
      </c>
      <c r="O698">
        <f t="shared" si="59"/>
        <v>0.66645997767653786</v>
      </c>
      <c r="P698">
        <v>1.9473315074737534</v>
      </c>
      <c r="T698">
        <f t="shared" si="60"/>
        <v>0.75574260982017805</v>
      </c>
      <c r="V698" s="7">
        <v>1.9473315074737534</v>
      </c>
    </row>
    <row r="699" spans="1:22">
      <c r="A699" s="3" t="s">
        <v>76</v>
      </c>
      <c r="B699" s="3" t="s">
        <v>104</v>
      </c>
      <c r="C699" s="3" t="s">
        <v>107</v>
      </c>
      <c r="D699" s="3" t="s">
        <v>79</v>
      </c>
      <c r="E699" s="3">
        <v>19</v>
      </c>
      <c r="F699" s="3">
        <v>0.77678236182900795</v>
      </c>
      <c r="G699" s="3">
        <v>2.0357062656483622</v>
      </c>
      <c r="H699" s="3">
        <f t="shared" si="54"/>
        <v>-0.25259506845615853</v>
      </c>
      <c r="I699" s="3">
        <f t="shared" si="55"/>
        <v>0.71084281797007942</v>
      </c>
      <c r="N699">
        <f t="shared" si="58"/>
        <v>-0.25259506845615853</v>
      </c>
      <c r="O699">
        <f t="shared" si="59"/>
        <v>0.71084281797007942</v>
      </c>
      <c r="P699">
        <v>2.0357062656483622</v>
      </c>
      <c r="T699">
        <f t="shared" si="60"/>
        <v>0.77678236182900795</v>
      </c>
      <c r="V699" s="7">
        <v>2.0357062656483622</v>
      </c>
    </row>
    <row r="700" spans="1:22">
      <c r="A700" s="3" t="s">
        <v>76</v>
      </c>
      <c r="B700" s="3" t="s">
        <v>104</v>
      </c>
      <c r="C700" s="3" t="s">
        <v>107</v>
      </c>
      <c r="D700" s="3" t="s">
        <v>79</v>
      </c>
      <c r="E700" s="3">
        <v>20</v>
      </c>
      <c r="F700" s="3">
        <v>0.80588191004780796</v>
      </c>
      <c r="G700" s="3">
        <v>2.0171762441591463</v>
      </c>
      <c r="H700" s="3">
        <f t="shared" si="54"/>
        <v>-0.21581806079800062</v>
      </c>
      <c r="I700" s="3">
        <f t="shared" si="55"/>
        <v>0.70169863450977643</v>
      </c>
      <c r="N700">
        <f t="shared" si="58"/>
        <v>-0.21581806079800062</v>
      </c>
      <c r="O700">
        <f t="shared" si="59"/>
        <v>0.70169863450977643</v>
      </c>
      <c r="P700">
        <v>2.0171762441591463</v>
      </c>
      <c r="T700">
        <f t="shared" si="60"/>
        <v>0.80588191004780796</v>
      </c>
      <c r="V700" s="7">
        <v>2.0171762441591463</v>
      </c>
    </row>
    <row r="701" spans="1:22">
      <c r="A701" s="3" t="s">
        <v>76</v>
      </c>
      <c r="B701" s="3" t="s">
        <v>104</v>
      </c>
      <c r="C701" s="3" t="s">
        <v>107</v>
      </c>
      <c r="D701" s="3" t="s">
        <v>79</v>
      </c>
      <c r="E701" s="3">
        <v>21</v>
      </c>
      <c r="F701" s="3">
        <v>0.79749055742832098</v>
      </c>
      <c r="G701" s="3">
        <v>2.0235859260234048</v>
      </c>
      <c r="H701" s="3">
        <f t="shared" si="54"/>
        <v>-0.22628528460850481</v>
      </c>
      <c r="I701" s="3">
        <f t="shared" si="55"/>
        <v>0.70487114849121968</v>
      </c>
      <c r="N701">
        <f t="shared" si="58"/>
        <v>-0.22628528460850481</v>
      </c>
      <c r="O701">
        <f t="shared" si="59"/>
        <v>0.70487114849121968</v>
      </c>
      <c r="P701">
        <v>2.0235859260234048</v>
      </c>
      <c r="T701">
        <f t="shared" si="60"/>
        <v>0.79749055742832098</v>
      </c>
      <c r="V701" s="7">
        <v>2.0235859260234048</v>
      </c>
    </row>
    <row r="702" spans="1:22">
      <c r="A702" s="3" t="s">
        <v>76</v>
      </c>
      <c r="B702" s="3" t="s">
        <v>104</v>
      </c>
      <c r="C702" s="3" t="s">
        <v>107</v>
      </c>
      <c r="D702" s="3" t="s">
        <v>75</v>
      </c>
      <c r="E702" s="3">
        <v>2</v>
      </c>
      <c r="F702" s="3">
        <v>0.77799153239990304</v>
      </c>
      <c r="G702" s="3">
        <v>1.9961963831246663</v>
      </c>
      <c r="H702" s="3">
        <f t="shared" si="54"/>
        <v>-0.25103963866772638</v>
      </c>
      <c r="I702" s="3">
        <f t="shared" si="55"/>
        <v>0.69124356138846821</v>
      </c>
      <c r="N702">
        <f t="shared" si="58"/>
        <v>-0.25103963866772638</v>
      </c>
      <c r="O702">
        <f t="shared" si="59"/>
        <v>0.69124356138846821</v>
      </c>
      <c r="P702">
        <v>1.9961963831246663</v>
      </c>
      <c r="T702">
        <f t="shared" si="60"/>
        <v>0.77799153239990304</v>
      </c>
      <c r="V702" s="7">
        <v>1.9961963831246663</v>
      </c>
    </row>
    <row r="703" spans="1:22">
      <c r="A703" s="3" t="s">
        <v>76</v>
      </c>
      <c r="B703" s="3" t="s">
        <v>104</v>
      </c>
      <c r="C703" s="3" t="s">
        <v>107</v>
      </c>
      <c r="D703" s="3" t="s">
        <v>75</v>
      </c>
      <c r="E703" s="3">
        <v>3</v>
      </c>
      <c r="F703" s="3">
        <v>0.758643517466843</v>
      </c>
      <c r="G703" s="3">
        <v>1.915097908724251</v>
      </c>
      <c r="H703" s="3">
        <f t="shared" si="54"/>
        <v>-0.27622328587459638</v>
      </c>
      <c r="I703" s="3">
        <f t="shared" si="55"/>
        <v>0.64976874859680434</v>
      </c>
      <c r="N703">
        <f t="shared" si="58"/>
        <v>-0.27622328587459638</v>
      </c>
      <c r="O703">
        <f t="shared" si="59"/>
        <v>0.64976874859680434</v>
      </c>
      <c r="P703">
        <v>1.915097908724251</v>
      </c>
      <c r="T703">
        <f t="shared" si="60"/>
        <v>0.758643517466843</v>
      </c>
      <c r="V703" s="7">
        <v>1.915097908724251</v>
      </c>
    </row>
    <row r="704" spans="1:22">
      <c r="A704" s="3" t="s">
        <v>76</v>
      </c>
      <c r="B704" s="3" t="s">
        <v>104</v>
      </c>
      <c r="C704" s="3" t="s">
        <v>107</v>
      </c>
      <c r="D704" s="3" t="s">
        <v>75</v>
      </c>
      <c r="E704" s="3">
        <v>4</v>
      </c>
      <c r="F704" s="3">
        <v>0.784236953143302</v>
      </c>
      <c r="G704" s="3">
        <v>2.0706762180505187</v>
      </c>
      <c r="H704" s="3">
        <f t="shared" si="54"/>
        <v>-0.24304406814370347</v>
      </c>
      <c r="I704" s="3">
        <f t="shared" si="55"/>
        <v>0.72787522931721527</v>
      </c>
      <c r="N704">
        <f t="shared" si="58"/>
        <v>-0.24304406814370347</v>
      </c>
      <c r="O704">
        <f t="shared" si="59"/>
        <v>0.72787522931721527</v>
      </c>
      <c r="P704">
        <v>2.0706762180505187</v>
      </c>
      <c r="T704">
        <f t="shared" si="60"/>
        <v>0.784236953143302</v>
      </c>
      <c r="V704" s="7">
        <v>2.0706762180505187</v>
      </c>
    </row>
    <row r="705" spans="1:22">
      <c r="A705" s="3" t="s">
        <v>76</v>
      </c>
      <c r="B705" s="3" t="s">
        <v>104</v>
      </c>
      <c r="C705" s="3" t="s">
        <v>107</v>
      </c>
      <c r="D705" s="3" t="s">
        <v>75</v>
      </c>
      <c r="E705" s="3">
        <v>5</v>
      </c>
      <c r="F705" s="3">
        <v>0.77868862864411503</v>
      </c>
      <c r="G705" s="3">
        <v>1.9089525923919639</v>
      </c>
      <c r="H705" s="3">
        <f t="shared" si="54"/>
        <v>-0.25014401950554532</v>
      </c>
      <c r="I705" s="3">
        <f t="shared" si="55"/>
        <v>0.64655471069609882</v>
      </c>
      <c r="N705">
        <f t="shared" si="58"/>
        <v>-0.25014401950554532</v>
      </c>
      <c r="O705">
        <f t="shared" si="59"/>
        <v>0.64655471069609882</v>
      </c>
      <c r="P705">
        <v>1.9089525923919639</v>
      </c>
      <c r="T705">
        <f t="shared" si="60"/>
        <v>0.77868862864411503</v>
      </c>
      <c r="V705" s="7">
        <v>1.9089525923919639</v>
      </c>
    </row>
    <row r="706" spans="1:22">
      <c r="A706" s="3" t="s">
        <v>76</v>
      </c>
      <c r="B706" s="3" t="s">
        <v>104</v>
      </c>
      <c r="C706" s="3" t="s">
        <v>107</v>
      </c>
      <c r="D706" s="3" t="s">
        <v>75</v>
      </c>
      <c r="E706" s="3">
        <v>6</v>
      </c>
      <c r="F706" s="3">
        <v>0.78395540978976896</v>
      </c>
      <c r="G706" s="3">
        <v>1.9664434901618708</v>
      </c>
      <c r="H706" s="3">
        <f t="shared" ref="H706:H769" si="61">LN(F706)</f>
        <v>-0.24340313551734044</v>
      </c>
      <c r="I706" s="3">
        <f t="shared" ref="I706:I769" si="62">LN(G706)</f>
        <v>0.67622657622555982</v>
      </c>
      <c r="N706">
        <f t="shared" si="58"/>
        <v>-0.24340313551734044</v>
      </c>
      <c r="O706">
        <f t="shared" si="59"/>
        <v>0.67622657622555982</v>
      </c>
      <c r="P706">
        <v>1.9664434901618708</v>
      </c>
      <c r="T706">
        <f t="shared" si="60"/>
        <v>0.78395540978976896</v>
      </c>
      <c r="V706" s="7">
        <v>1.9664434901618708</v>
      </c>
    </row>
    <row r="707" spans="1:22">
      <c r="A707" s="3" t="s">
        <v>76</v>
      </c>
      <c r="B707" s="3" t="s">
        <v>104</v>
      </c>
      <c r="C707" s="3" t="s">
        <v>107</v>
      </c>
      <c r="D707" s="3" t="s">
        <v>75</v>
      </c>
      <c r="E707" s="3">
        <v>7</v>
      </c>
      <c r="F707" s="3">
        <v>0.81769178166965895</v>
      </c>
      <c r="G707" s="3">
        <v>2.0412986062798359</v>
      </c>
      <c r="H707" s="3">
        <f t="shared" si="61"/>
        <v>-0.201269808409339</v>
      </c>
      <c r="I707" s="3">
        <f t="shared" si="62"/>
        <v>0.71358617703610228</v>
      </c>
      <c r="N707">
        <f t="shared" si="58"/>
        <v>-0.201269808409339</v>
      </c>
      <c r="O707">
        <f t="shared" si="59"/>
        <v>0.71358617703610228</v>
      </c>
      <c r="P707">
        <v>2.0412986062798359</v>
      </c>
      <c r="T707">
        <f t="shared" si="60"/>
        <v>0.81769178166965895</v>
      </c>
      <c r="V707" s="7">
        <v>2.0412986062798359</v>
      </c>
    </row>
    <row r="708" spans="1:22">
      <c r="A708" s="3" t="s">
        <v>76</v>
      </c>
      <c r="B708" s="3" t="s">
        <v>104</v>
      </c>
      <c r="C708" s="3" t="s">
        <v>107</v>
      </c>
      <c r="D708" s="3" t="s">
        <v>75</v>
      </c>
      <c r="E708" s="3">
        <v>8</v>
      </c>
      <c r="F708" s="3">
        <v>0.78750504664290499</v>
      </c>
      <c r="G708" s="3">
        <v>1.9991248085099642</v>
      </c>
      <c r="H708" s="3">
        <f t="shared" si="61"/>
        <v>-0.23888549986744795</v>
      </c>
      <c r="I708" s="3">
        <f t="shared" si="62"/>
        <v>0.6927094890419685</v>
      </c>
      <c r="N708">
        <f t="shared" si="58"/>
        <v>-0.23888549986744795</v>
      </c>
      <c r="O708">
        <f t="shared" si="59"/>
        <v>0.6927094890419685</v>
      </c>
      <c r="P708">
        <v>1.9991248085099642</v>
      </c>
      <c r="T708">
        <f t="shared" si="60"/>
        <v>0.78750504664290499</v>
      </c>
      <c r="V708" s="7">
        <v>1.9991248085099642</v>
      </c>
    </row>
    <row r="709" spans="1:22">
      <c r="A709" s="3" t="s">
        <v>76</v>
      </c>
      <c r="B709" s="3" t="s">
        <v>104</v>
      </c>
      <c r="C709" s="3" t="s">
        <v>107</v>
      </c>
      <c r="D709" s="3" t="s">
        <v>75</v>
      </c>
      <c r="E709" s="3">
        <v>9</v>
      </c>
      <c r="F709" s="3">
        <v>0.78154344558032796</v>
      </c>
      <c r="G709" s="3">
        <v>1.9620907216538179</v>
      </c>
      <c r="H709" s="3">
        <f t="shared" si="61"/>
        <v>-0.2464845381126117</v>
      </c>
      <c r="I709" s="3">
        <f t="shared" si="62"/>
        <v>0.67401059944919905</v>
      </c>
      <c r="N709">
        <f t="shared" si="58"/>
        <v>-0.2464845381126117</v>
      </c>
      <c r="O709">
        <f t="shared" si="59"/>
        <v>0.67401059944919905</v>
      </c>
      <c r="P709">
        <v>1.9620907216538179</v>
      </c>
      <c r="T709">
        <f t="shared" si="60"/>
        <v>0.78154344558032796</v>
      </c>
      <c r="V709" s="7">
        <v>1.9620907216538179</v>
      </c>
    </row>
    <row r="710" spans="1:22">
      <c r="A710" s="3" t="s">
        <v>76</v>
      </c>
      <c r="B710" s="3" t="s">
        <v>104</v>
      </c>
      <c r="C710" s="3" t="s">
        <v>107</v>
      </c>
      <c r="D710" s="3" t="s">
        <v>75</v>
      </c>
      <c r="E710" s="3">
        <v>10</v>
      </c>
      <c r="F710" s="3">
        <v>0.79438976484496204</v>
      </c>
      <c r="G710" s="3">
        <v>1.9960210419732554</v>
      </c>
      <c r="H710" s="3">
        <f t="shared" si="61"/>
        <v>-0.2301810504669019</v>
      </c>
      <c r="I710" s="3">
        <f t="shared" si="62"/>
        <v>0.69115571990447422</v>
      </c>
      <c r="N710">
        <f t="shared" si="58"/>
        <v>-0.2301810504669019</v>
      </c>
      <c r="O710">
        <f t="shared" si="59"/>
        <v>0.69115571990447422</v>
      </c>
      <c r="P710">
        <v>1.9960210419732554</v>
      </c>
      <c r="T710">
        <f t="shared" si="60"/>
        <v>0.79438976484496204</v>
      </c>
      <c r="V710" s="7">
        <v>1.9960210419732554</v>
      </c>
    </row>
    <row r="711" spans="1:22">
      <c r="A711" s="3" t="s">
        <v>76</v>
      </c>
      <c r="B711" s="3" t="s">
        <v>104</v>
      </c>
      <c r="C711" s="3" t="s">
        <v>107</v>
      </c>
      <c r="D711" s="3" t="s">
        <v>75</v>
      </c>
      <c r="E711" s="3">
        <v>11</v>
      </c>
      <c r="F711" s="3">
        <v>0.80492883601491405</v>
      </c>
      <c r="G711" s="3">
        <v>1.969771560359221</v>
      </c>
      <c r="H711" s="3">
        <f t="shared" si="61"/>
        <v>-0.21700140793724726</v>
      </c>
      <c r="I711" s="3">
        <f t="shared" si="62"/>
        <v>0.67791757681759102</v>
      </c>
      <c r="N711">
        <f t="shared" si="58"/>
        <v>-0.21700140793724726</v>
      </c>
      <c r="O711">
        <f t="shared" si="59"/>
        <v>0.67791757681759102</v>
      </c>
      <c r="P711">
        <v>1.969771560359221</v>
      </c>
      <c r="T711">
        <f t="shared" si="60"/>
        <v>0.80492883601491405</v>
      </c>
      <c r="V711" s="7">
        <v>1.969771560359221</v>
      </c>
    </row>
    <row r="712" spans="1:22">
      <c r="A712" s="3" t="s">
        <v>76</v>
      </c>
      <c r="B712" s="3" t="s">
        <v>104</v>
      </c>
      <c r="C712" s="3" t="s">
        <v>107</v>
      </c>
      <c r="D712" s="3" t="s">
        <v>75</v>
      </c>
      <c r="E712" s="3">
        <v>12</v>
      </c>
      <c r="F712" s="3">
        <v>0.77238726843591599</v>
      </c>
      <c r="G712" s="3">
        <v>1.9789138435010252</v>
      </c>
      <c r="H712" s="3">
        <f t="shared" si="61"/>
        <v>-0.25826921168646894</v>
      </c>
      <c r="I712" s="3">
        <f t="shared" si="62"/>
        <v>0.68254813030185524</v>
      </c>
      <c r="N712">
        <f t="shared" si="58"/>
        <v>-0.25826921168646894</v>
      </c>
      <c r="O712">
        <f t="shared" si="59"/>
        <v>0.68254813030185524</v>
      </c>
      <c r="P712">
        <v>1.9789138435010252</v>
      </c>
      <c r="T712">
        <f t="shared" si="60"/>
        <v>0.77238726843591599</v>
      </c>
      <c r="V712" s="7">
        <v>1.9789138435010252</v>
      </c>
    </row>
    <row r="713" spans="1:22">
      <c r="A713" s="3" t="s">
        <v>76</v>
      </c>
      <c r="B713" s="3" t="s">
        <v>104</v>
      </c>
      <c r="C713" s="3" t="s">
        <v>107</v>
      </c>
      <c r="D713" s="3" t="s">
        <v>75</v>
      </c>
      <c r="E713" s="3">
        <v>13</v>
      </c>
      <c r="F713" s="3">
        <v>0.78731489688706202</v>
      </c>
      <c r="G713" s="3">
        <v>2.0155644370746373</v>
      </c>
      <c r="H713" s="3">
        <f t="shared" si="61"/>
        <v>-0.23912698748328398</v>
      </c>
      <c r="I713" s="3">
        <f t="shared" si="62"/>
        <v>0.70089927382792783</v>
      </c>
      <c r="N713">
        <f t="shared" si="58"/>
        <v>-0.23912698748328398</v>
      </c>
      <c r="O713">
        <f t="shared" si="59"/>
        <v>0.70089927382792783</v>
      </c>
      <c r="P713">
        <v>2.0155644370746373</v>
      </c>
      <c r="T713">
        <f t="shared" si="60"/>
        <v>0.78731489688706202</v>
      </c>
      <c r="V713" s="7">
        <v>2.0155644370746373</v>
      </c>
    </row>
    <row r="714" spans="1:22">
      <c r="A714" s="3" t="s">
        <v>76</v>
      </c>
      <c r="B714" s="3" t="s">
        <v>104</v>
      </c>
      <c r="C714" s="3" t="s">
        <v>107</v>
      </c>
      <c r="D714" s="3" t="s">
        <v>75</v>
      </c>
      <c r="E714" s="3">
        <v>14</v>
      </c>
      <c r="F714" s="3">
        <v>0.82945875478132403</v>
      </c>
      <c r="G714" s="3">
        <v>2.049414550548522</v>
      </c>
      <c r="H714" s="3">
        <f t="shared" si="61"/>
        <v>-0.18698189357602332</v>
      </c>
      <c r="I714" s="3">
        <f t="shared" si="62"/>
        <v>0.717554167264845</v>
      </c>
      <c r="N714">
        <f t="shared" si="58"/>
        <v>-0.18698189357602332</v>
      </c>
      <c r="O714">
        <f t="shared" si="59"/>
        <v>0.717554167264845</v>
      </c>
      <c r="P714">
        <v>2.049414550548522</v>
      </c>
      <c r="T714">
        <f t="shared" si="60"/>
        <v>0.82945875478132403</v>
      </c>
      <c r="V714" s="7">
        <v>2.049414550548522</v>
      </c>
    </row>
    <row r="715" spans="1:22">
      <c r="A715" s="3" t="s">
        <v>76</v>
      </c>
      <c r="B715" s="3" t="s">
        <v>104</v>
      </c>
      <c r="C715" s="3" t="s">
        <v>107</v>
      </c>
      <c r="D715" s="3" t="s">
        <v>75</v>
      </c>
      <c r="E715" s="3">
        <v>15</v>
      </c>
      <c r="F715" s="3">
        <v>0.82039799341195496</v>
      </c>
      <c r="G715" s="3">
        <v>2.0264747716169573</v>
      </c>
      <c r="H715" s="3">
        <f t="shared" si="61"/>
        <v>-0.19796569865238903</v>
      </c>
      <c r="I715" s="3">
        <f t="shared" si="62"/>
        <v>0.70629771776963057</v>
      </c>
      <c r="N715">
        <f t="shared" si="58"/>
        <v>-0.19796569865238903</v>
      </c>
      <c r="O715">
        <f t="shared" si="59"/>
        <v>0.70629771776963057</v>
      </c>
      <c r="P715">
        <v>2.0264747716169573</v>
      </c>
      <c r="T715">
        <f t="shared" si="60"/>
        <v>0.82039799341195496</v>
      </c>
      <c r="V715" s="7">
        <v>2.0264747716169573</v>
      </c>
    </row>
    <row r="716" spans="1:22">
      <c r="A716" s="3" t="s">
        <v>76</v>
      </c>
      <c r="B716" s="3" t="s">
        <v>104</v>
      </c>
      <c r="C716" s="3" t="s">
        <v>107</v>
      </c>
      <c r="D716" s="3" t="s">
        <v>75</v>
      </c>
      <c r="E716" s="3">
        <v>16</v>
      </c>
      <c r="F716" s="3">
        <v>0.79048510625553703</v>
      </c>
      <c r="G716" s="3">
        <v>2.0317726250739767</v>
      </c>
      <c r="H716" s="3">
        <f t="shared" si="61"/>
        <v>-0.23510846342656433</v>
      </c>
      <c r="I716" s="3">
        <f t="shared" si="62"/>
        <v>0.70890862634602347</v>
      </c>
      <c r="N716">
        <f t="shared" si="58"/>
        <v>-0.23510846342656433</v>
      </c>
      <c r="O716">
        <f t="shared" si="59"/>
        <v>0.70890862634602347</v>
      </c>
      <c r="P716">
        <v>2.0317726250739767</v>
      </c>
      <c r="T716">
        <f t="shared" si="60"/>
        <v>0.79048510625553703</v>
      </c>
      <c r="V716" s="7">
        <v>2.0317726250739767</v>
      </c>
    </row>
    <row r="717" spans="1:22">
      <c r="A717" s="3" t="s">
        <v>76</v>
      </c>
      <c r="B717" s="3" t="s">
        <v>104</v>
      </c>
      <c r="C717" s="3" t="s">
        <v>107</v>
      </c>
      <c r="D717" s="3" t="s">
        <v>75</v>
      </c>
      <c r="E717" s="3">
        <v>17</v>
      </c>
      <c r="F717" s="3">
        <v>0.79953140320849503</v>
      </c>
      <c r="G717" s="3">
        <v>2.005243127403757</v>
      </c>
      <c r="H717" s="3">
        <f t="shared" si="61"/>
        <v>-0.22372946891979195</v>
      </c>
      <c r="I717" s="3">
        <f t="shared" si="62"/>
        <v>0.69576531395756847</v>
      </c>
      <c r="N717">
        <f t="shared" si="58"/>
        <v>-0.22372946891979195</v>
      </c>
      <c r="O717">
        <f t="shared" si="59"/>
        <v>0.69576531395756847</v>
      </c>
      <c r="P717">
        <v>2.005243127403757</v>
      </c>
      <c r="T717">
        <f t="shared" si="60"/>
        <v>0.79953140320849503</v>
      </c>
      <c r="V717" s="7">
        <v>2.005243127403757</v>
      </c>
    </row>
    <row r="718" spans="1:22">
      <c r="A718" s="3" t="s">
        <v>76</v>
      </c>
      <c r="B718" s="3" t="s">
        <v>104</v>
      </c>
      <c r="C718" s="3" t="s">
        <v>107</v>
      </c>
      <c r="D718" s="3" t="s">
        <v>75</v>
      </c>
      <c r="E718" s="3">
        <v>18</v>
      </c>
      <c r="F718" s="3">
        <v>0.785290647064537</v>
      </c>
      <c r="G718" s="3">
        <v>1.9448650338776725</v>
      </c>
      <c r="H718" s="3">
        <f t="shared" si="61"/>
        <v>-0.24170137868810329</v>
      </c>
      <c r="I718" s="3">
        <f t="shared" si="62"/>
        <v>0.66519258334018705</v>
      </c>
      <c r="N718">
        <f t="shared" si="58"/>
        <v>-0.24170137868810329</v>
      </c>
      <c r="O718">
        <f t="shared" si="59"/>
        <v>0.66519258334018705</v>
      </c>
      <c r="P718">
        <v>1.9448650338776725</v>
      </c>
      <c r="T718">
        <f t="shared" si="60"/>
        <v>0.785290647064537</v>
      </c>
      <c r="V718" s="7">
        <v>1.9448650338776725</v>
      </c>
    </row>
    <row r="719" spans="1:22">
      <c r="A719" s="3" t="s">
        <v>76</v>
      </c>
      <c r="B719" s="3" t="s">
        <v>104</v>
      </c>
      <c r="C719" s="3" t="s">
        <v>107</v>
      </c>
      <c r="D719" s="3" t="s">
        <v>75</v>
      </c>
      <c r="E719" s="3">
        <v>20</v>
      </c>
      <c r="F719" s="3">
        <v>0.80008735856174895</v>
      </c>
      <c r="G719" s="3">
        <v>2.006389792637512</v>
      </c>
      <c r="H719" s="3">
        <f t="shared" si="61"/>
        <v>-0.22303435907371325</v>
      </c>
      <c r="I719" s="3">
        <f t="shared" si="62"/>
        <v>0.69633698404196465</v>
      </c>
      <c r="N719">
        <f t="shared" si="58"/>
        <v>-0.22303435907371325</v>
      </c>
      <c r="O719">
        <f t="shared" si="59"/>
        <v>0.69633698404196465</v>
      </c>
      <c r="P719">
        <v>2.006389792637512</v>
      </c>
      <c r="T719">
        <f t="shared" si="60"/>
        <v>0.80008735856174895</v>
      </c>
      <c r="V719" s="7">
        <v>2.006389792637512</v>
      </c>
    </row>
    <row r="720" spans="1:22">
      <c r="A720" s="3" t="s">
        <v>76</v>
      </c>
      <c r="B720" s="3" t="s">
        <v>104</v>
      </c>
      <c r="C720" s="3" t="s">
        <v>107</v>
      </c>
      <c r="D720" s="3" t="s">
        <v>75</v>
      </c>
      <c r="E720" s="3">
        <v>21</v>
      </c>
      <c r="F720" s="3">
        <v>0.80040351775806495</v>
      </c>
      <c r="G720" s="3">
        <v>1.9190883252211188</v>
      </c>
      <c r="H720" s="3">
        <f t="shared" si="61"/>
        <v>-0.22263928128213553</v>
      </c>
      <c r="I720" s="3">
        <f t="shared" si="62"/>
        <v>0.65185024265793512</v>
      </c>
      <c r="N720">
        <f t="shared" si="58"/>
        <v>-0.22263928128213553</v>
      </c>
      <c r="O720">
        <f t="shared" si="59"/>
        <v>0.65185024265793512</v>
      </c>
      <c r="P720">
        <v>1.9190883252211188</v>
      </c>
      <c r="T720">
        <f t="shared" si="60"/>
        <v>0.80040351775806495</v>
      </c>
      <c r="V720" s="7">
        <v>1.9190883252211188</v>
      </c>
    </row>
    <row r="721" spans="1:22">
      <c r="A721" s="3" t="s">
        <v>76</v>
      </c>
      <c r="B721" s="3" t="s">
        <v>104</v>
      </c>
      <c r="C721" s="3" t="s">
        <v>107</v>
      </c>
      <c r="D721" s="3" t="s">
        <v>75</v>
      </c>
      <c r="E721" s="3">
        <v>22</v>
      </c>
      <c r="F721" s="3">
        <v>0.77414074567385605</v>
      </c>
      <c r="G721" s="3">
        <v>1.9824479816630751</v>
      </c>
      <c r="H721" s="3">
        <f t="shared" si="61"/>
        <v>-0.25600157996776801</v>
      </c>
      <c r="I721" s="3">
        <f t="shared" si="62"/>
        <v>0.68433243542503241</v>
      </c>
      <c r="N721">
        <f t="shared" si="58"/>
        <v>-0.25600157996776801</v>
      </c>
      <c r="O721">
        <f t="shared" si="59"/>
        <v>0.68433243542503241</v>
      </c>
      <c r="P721">
        <v>1.9824479816630751</v>
      </c>
      <c r="T721">
        <f t="shared" si="60"/>
        <v>0.77414074567385605</v>
      </c>
      <c r="V721" s="7">
        <v>1.9824479816630751</v>
      </c>
    </row>
    <row r="722" spans="1:22">
      <c r="A722" s="3" t="s">
        <v>76</v>
      </c>
      <c r="B722" s="3" t="s">
        <v>105</v>
      </c>
      <c r="C722" s="3" t="s">
        <v>107</v>
      </c>
      <c r="D722" s="3" t="s">
        <v>79</v>
      </c>
      <c r="E722" s="3">
        <v>1</v>
      </c>
      <c r="F722" s="3">
        <v>0.79222740809347203</v>
      </c>
      <c r="G722" s="3">
        <v>1.9490510511528425</v>
      </c>
      <c r="H722" s="3">
        <f t="shared" si="61"/>
        <v>-0.23290679695089991</v>
      </c>
      <c r="I722" s="3">
        <f t="shared" si="62"/>
        <v>0.66734261369333026</v>
      </c>
      <c r="N722">
        <f t="shared" si="58"/>
        <v>-0.23290679695089991</v>
      </c>
      <c r="O722">
        <f t="shared" si="59"/>
        <v>0.66734261369333026</v>
      </c>
      <c r="P722">
        <v>1.9490510511528425</v>
      </c>
      <c r="T722">
        <f t="shared" si="60"/>
        <v>0.79222740809347203</v>
      </c>
      <c r="V722" s="7">
        <v>1.9490510511528425</v>
      </c>
    </row>
    <row r="723" spans="1:22">
      <c r="A723" s="3" t="s">
        <v>76</v>
      </c>
      <c r="B723" s="3" t="s">
        <v>105</v>
      </c>
      <c r="C723" s="3" t="s">
        <v>107</v>
      </c>
      <c r="D723" s="3" t="s">
        <v>79</v>
      </c>
      <c r="E723" s="3">
        <v>2</v>
      </c>
      <c r="F723" s="3">
        <v>0.79837015326885497</v>
      </c>
      <c r="G723" s="3">
        <v>2.078701517774979</v>
      </c>
      <c r="H723" s="3">
        <f t="shared" si="61"/>
        <v>-0.22518293786394322</v>
      </c>
      <c r="I723" s="3">
        <f t="shared" si="62"/>
        <v>0.73174342847489826</v>
      </c>
      <c r="N723">
        <f t="shared" si="58"/>
        <v>-0.22518293786394322</v>
      </c>
      <c r="O723">
        <f t="shared" si="59"/>
        <v>0.73174342847489826</v>
      </c>
      <c r="P723">
        <v>2.078701517774979</v>
      </c>
      <c r="T723">
        <f t="shared" si="60"/>
        <v>0.79837015326885497</v>
      </c>
      <c r="V723" s="7">
        <v>2.078701517774979</v>
      </c>
    </row>
    <row r="724" spans="1:22">
      <c r="A724" s="3" t="s">
        <v>76</v>
      </c>
      <c r="B724" s="3" t="s">
        <v>105</v>
      </c>
      <c r="C724" s="3" t="s">
        <v>107</v>
      </c>
      <c r="D724" s="3" t="s">
        <v>79</v>
      </c>
      <c r="E724" s="3">
        <v>3</v>
      </c>
      <c r="F724" s="3">
        <v>0.79486824322000804</v>
      </c>
      <c r="G724" s="3">
        <v>2.0172506041639942</v>
      </c>
      <c r="H724" s="3">
        <f t="shared" si="61"/>
        <v>-0.22957890986156931</v>
      </c>
      <c r="I724" s="3">
        <f t="shared" si="62"/>
        <v>0.70173549724525375</v>
      </c>
      <c r="N724">
        <f t="shared" si="58"/>
        <v>-0.22957890986156931</v>
      </c>
      <c r="O724">
        <f t="shared" si="59"/>
        <v>0.70173549724525375</v>
      </c>
      <c r="P724">
        <v>2.0172506041639942</v>
      </c>
      <c r="T724">
        <f t="shared" si="60"/>
        <v>0.79486824322000804</v>
      </c>
      <c r="V724" s="7">
        <v>2.0172506041639942</v>
      </c>
    </row>
    <row r="725" spans="1:22">
      <c r="A725" s="3" t="s">
        <v>76</v>
      </c>
      <c r="B725" s="3" t="s">
        <v>105</v>
      </c>
      <c r="C725" s="3" t="s">
        <v>107</v>
      </c>
      <c r="D725" s="3" t="s">
        <v>79</v>
      </c>
      <c r="E725" s="3">
        <v>4</v>
      </c>
      <c r="F725" s="3">
        <v>0.79648881002043503</v>
      </c>
      <c r="G725" s="3">
        <v>2.0185390756683406</v>
      </c>
      <c r="H725" s="3">
        <f t="shared" si="61"/>
        <v>-0.22754219866928352</v>
      </c>
      <c r="I725" s="3">
        <f t="shared" si="62"/>
        <v>0.70237401988906856</v>
      </c>
      <c r="N725">
        <f t="shared" si="58"/>
        <v>-0.22754219866928352</v>
      </c>
      <c r="O725">
        <f t="shared" si="59"/>
        <v>0.70237401988906856</v>
      </c>
      <c r="P725">
        <v>2.0185390756683406</v>
      </c>
      <c r="T725">
        <f t="shared" si="60"/>
        <v>0.79648881002043503</v>
      </c>
      <c r="V725" s="7">
        <v>2.0185390756683406</v>
      </c>
    </row>
    <row r="726" spans="1:22">
      <c r="A726" s="3" t="s">
        <v>76</v>
      </c>
      <c r="B726" s="3" t="s">
        <v>105</v>
      </c>
      <c r="C726" s="3" t="s">
        <v>107</v>
      </c>
      <c r="D726" s="3" t="s">
        <v>79</v>
      </c>
      <c r="E726" s="3">
        <v>5</v>
      </c>
      <c r="F726" s="3">
        <v>0.81302579081045501</v>
      </c>
      <c r="G726" s="3">
        <v>2.0135789033459801</v>
      </c>
      <c r="H726" s="3">
        <f t="shared" si="61"/>
        <v>-0.20699244692340082</v>
      </c>
      <c r="I726" s="3">
        <f t="shared" si="62"/>
        <v>0.69991368770123741</v>
      </c>
      <c r="N726">
        <f t="shared" si="58"/>
        <v>-0.20699244692340082</v>
      </c>
      <c r="O726">
        <f t="shared" si="59"/>
        <v>0.69991368770123741</v>
      </c>
      <c r="P726">
        <v>2.0135789033459801</v>
      </c>
      <c r="T726">
        <f t="shared" si="60"/>
        <v>0.81302579081045501</v>
      </c>
      <c r="V726" s="7">
        <v>2.0135789033459801</v>
      </c>
    </row>
    <row r="727" spans="1:22">
      <c r="A727" s="3" t="s">
        <v>76</v>
      </c>
      <c r="B727" s="3" t="s">
        <v>105</v>
      </c>
      <c r="C727" s="3" t="s">
        <v>107</v>
      </c>
      <c r="D727" s="3" t="s">
        <v>79</v>
      </c>
      <c r="E727" s="3">
        <v>7</v>
      </c>
      <c r="F727" s="3">
        <v>0.80025327509590605</v>
      </c>
      <c r="G727" s="3">
        <v>2.0931316251014889</v>
      </c>
      <c r="H727" s="3">
        <f t="shared" si="61"/>
        <v>-0.22282700754959137</v>
      </c>
      <c r="I727" s="3">
        <f t="shared" si="62"/>
        <v>0.73866132973372722</v>
      </c>
      <c r="N727">
        <f t="shared" si="58"/>
        <v>-0.22282700754959137</v>
      </c>
      <c r="O727">
        <f t="shared" si="59"/>
        <v>0.73866132973372722</v>
      </c>
      <c r="P727">
        <v>2.0931316251014889</v>
      </c>
      <c r="T727">
        <f t="shared" si="60"/>
        <v>0.80025327509590605</v>
      </c>
      <c r="V727" s="7">
        <v>2.0931316251014889</v>
      </c>
    </row>
    <row r="728" spans="1:22">
      <c r="A728" s="3" t="s">
        <v>76</v>
      </c>
      <c r="B728" s="3" t="s">
        <v>105</v>
      </c>
      <c r="C728" s="3" t="s">
        <v>107</v>
      </c>
      <c r="D728" s="3" t="s">
        <v>79</v>
      </c>
      <c r="E728" s="3">
        <v>8</v>
      </c>
      <c r="F728" s="3">
        <v>0.80823711430063405</v>
      </c>
      <c r="G728" s="3">
        <v>2.0140506448448607</v>
      </c>
      <c r="H728" s="3">
        <f t="shared" si="61"/>
        <v>-0.21289980521864044</v>
      </c>
      <c r="I728" s="3">
        <f t="shared" si="62"/>
        <v>0.700147940377852</v>
      </c>
      <c r="N728">
        <f t="shared" si="58"/>
        <v>-0.21289980521864044</v>
      </c>
      <c r="O728">
        <f t="shared" si="59"/>
        <v>0.700147940377852</v>
      </c>
      <c r="P728">
        <v>2.0140506448448607</v>
      </c>
      <c r="T728">
        <f t="shared" si="60"/>
        <v>0.80823711430063405</v>
      </c>
      <c r="V728" s="7">
        <v>2.0140506448448607</v>
      </c>
    </row>
    <row r="729" spans="1:22">
      <c r="A729" s="3" t="s">
        <v>76</v>
      </c>
      <c r="B729" s="3" t="s">
        <v>105</v>
      </c>
      <c r="C729" s="3" t="s">
        <v>107</v>
      </c>
      <c r="D729" s="3" t="s">
        <v>79</v>
      </c>
      <c r="E729" s="3">
        <v>9</v>
      </c>
      <c r="F729" s="3">
        <v>0.77135937859265402</v>
      </c>
      <c r="G729" s="3">
        <v>1.9729419656948861</v>
      </c>
      <c r="H729" s="3">
        <f t="shared" si="61"/>
        <v>-0.25960089392479935</v>
      </c>
      <c r="I729" s="3">
        <f t="shared" si="62"/>
        <v>0.67952581236300835</v>
      </c>
      <c r="N729">
        <f t="shared" si="58"/>
        <v>-0.25960089392479935</v>
      </c>
      <c r="O729">
        <f t="shared" si="59"/>
        <v>0.67952581236300835</v>
      </c>
      <c r="P729">
        <v>1.9729419656948861</v>
      </c>
      <c r="T729">
        <f t="shared" si="60"/>
        <v>0.77135937859265402</v>
      </c>
      <c r="V729" s="7">
        <v>1.9729419656948861</v>
      </c>
    </row>
    <row r="730" spans="1:22">
      <c r="A730" s="3" t="s">
        <v>76</v>
      </c>
      <c r="B730" s="3" t="s">
        <v>105</v>
      </c>
      <c r="C730" s="3" t="s">
        <v>107</v>
      </c>
      <c r="D730" s="3" t="s">
        <v>79</v>
      </c>
      <c r="E730" s="3">
        <v>10</v>
      </c>
      <c r="F730" s="3">
        <v>0.80985447167325497</v>
      </c>
      <c r="G730" s="3">
        <v>2.0110942295178513</v>
      </c>
      <c r="H730" s="3">
        <f t="shared" si="61"/>
        <v>-0.21090071205819022</v>
      </c>
      <c r="I730" s="3">
        <f t="shared" si="62"/>
        <v>0.69867896673793517</v>
      </c>
      <c r="N730">
        <f t="shared" si="58"/>
        <v>-0.21090071205819022</v>
      </c>
      <c r="O730">
        <f t="shared" si="59"/>
        <v>0.69867896673793517</v>
      </c>
      <c r="P730">
        <v>2.0110942295178513</v>
      </c>
      <c r="T730">
        <f t="shared" si="60"/>
        <v>0.80985447167325497</v>
      </c>
      <c r="V730" s="7">
        <v>2.0110942295178513</v>
      </c>
    </row>
    <row r="731" spans="1:22">
      <c r="A731" s="3" t="s">
        <v>76</v>
      </c>
      <c r="B731" s="3" t="s">
        <v>105</v>
      </c>
      <c r="C731" s="3" t="s">
        <v>107</v>
      </c>
      <c r="D731" s="3" t="s">
        <v>79</v>
      </c>
      <c r="E731" s="3">
        <v>12</v>
      </c>
      <c r="F731" s="3">
        <v>0.77764807350716703</v>
      </c>
      <c r="G731" s="3">
        <v>1.9924858845171274</v>
      </c>
      <c r="H731" s="3">
        <f t="shared" si="61"/>
        <v>-0.25148120482098252</v>
      </c>
      <c r="I731" s="3">
        <f t="shared" si="62"/>
        <v>0.68938304734954947</v>
      </c>
      <c r="N731">
        <f t="shared" si="58"/>
        <v>-0.25148120482098252</v>
      </c>
      <c r="O731">
        <f t="shared" si="59"/>
        <v>0.68938304734954947</v>
      </c>
      <c r="P731">
        <v>1.9924858845171274</v>
      </c>
      <c r="T731">
        <f t="shared" si="60"/>
        <v>0.77764807350716703</v>
      </c>
      <c r="V731" s="7">
        <v>1.9924858845171274</v>
      </c>
    </row>
    <row r="732" spans="1:22">
      <c r="A732" s="3" t="s">
        <v>76</v>
      </c>
      <c r="B732" s="3" t="s">
        <v>105</v>
      </c>
      <c r="C732" s="3" t="s">
        <v>107</v>
      </c>
      <c r="D732" s="3" t="s">
        <v>79</v>
      </c>
      <c r="E732" s="3">
        <v>13</v>
      </c>
      <c r="F732" s="3">
        <v>0.78404403647221399</v>
      </c>
      <c r="G732" s="3">
        <v>1.9592090240706836</v>
      </c>
      <c r="H732" s="3">
        <f t="shared" si="61"/>
        <v>-0.243290091239486</v>
      </c>
      <c r="I732" s="3">
        <f t="shared" si="62"/>
        <v>0.6725408326429082</v>
      </c>
      <c r="N732">
        <f t="shared" si="58"/>
        <v>-0.243290091239486</v>
      </c>
      <c r="O732">
        <f t="shared" si="59"/>
        <v>0.6725408326429082</v>
      </c>
      <c r="P732">
        <v>1.9592090240706836</v>
      </c>
      <c r="T732">
        <f t="shared" si="60"/>
        <v>0.78404403647221399</v>
      </c>
      <c r="V732" s="7">
        <v>1.9592090240706836</v>
      </c>
    </row>
    <row r="733" spans="1:22">
      <c r="A733" s="3" t="s">
        <v>76</v>
      </c>
      <c r="B733" s="3" t="s">
        <v>105</v>
      </c>
      <c r="C733" s="3" t="s">
        <v>107</v>
      </c>
      <c r="D733" s="3" t="s">
        <v>79</v>
      </c>
      <c r="E733" s="3">
        <v>14</v>
      </c>
      <c r="F733" s="3">
        <v>0.74632820387891596</v>
      </c>
      <c r="G733" s="3">
        <v>1.9455076458343721</v>
      </c>
      <c r="H733" s="3">
        <f t="shared" si="61"/>
        <v>-0.29258982394838046</v>
      </c>
      <c r="I733" s="3">
        <f t="shared" si="62"/>
        <v>0.66552294344470608</v>
      </c>
      <c r="N733">
        <f t="shared" si="58"/>
        <v>-0.29258982394838046</v>
      </c>
      <c r="O733">
        <f t="shared" si="59"/>
        <v>0.66552294344470608</v>
      </c>
      <c r="P733">
        <v>1.9455076458343721</v>
      </c>
      <c r="T733">
        <f t="shared" si="60"/>
        <v>0.74632820387891596</v>
      </c>
      <c r="V733" s="7">
        <v>1.9455076458343721</v>
      </c>
    </row>
    <row r="734" spans="1:22">
      <c r="A734" s="3" t="s">
        <v>76</v>
      </c>
      <c r="B734" s="3" t="s">
        <v>105</v>
      </c>
      <c r="C734" s="3" t="s">
        <v>107</v>
      </c>
      <c r="D734" s="3" t="s">
        <v>79</v>
      </c>
      <c r="E734" s="3">
        <v>15</v>
      </c>
      <c r="F734" s="3">
        <v>0.76111281222043803</v>
      </c>
      <c r="G734" s="3">
        <v>1.9688829320200831</v>
      </c>
      <c r="H734" s="3">
        <f t="shared" si="61"/>
        <v>-0.27297369003043098</v>
      </c>
      <c r="I734" s="3">
        <f t="shared" si="62"/>
        <v>0.67746634233843828</v>
      </c>
      <c r="N734">
        <f t="shared" si="58"/>
        <v>-0.27297369003043098</v>
      </c>
      <c r="O734">
        <f t="shared" si="59"/>
        <v>0.67746634233843828</v>
      </c>
      <c r="P734">
        <v>1.9688829320200831</v>
      </c>
      <c r="T734">
        <f t="shared" si="60"/>
        <v>0.76111281222043803</v>
      </c>
      <c r="V734" s="7">
        <v>1.9688829320200831</v>
      </c>
    </row>
    <row r="735" spans="1:22">
      <c r="A735" s="3" t="s">
        <v>76</v>
      </c>
      <c r="B735" s="3" t="s">
        <v>105</v>
      </c>
      <c r="C735" s="3" t="s">
        <v>107</v>
      </c>
      <c r="D735" s="3" t="s">
        <v>79</v>
      </c>
      <c r="E735" s="3">
        <v>16</v>
      </c>
      <c r="F735" s="3">
        <v>0.78080624196662896</v>
      </c>
      <c r="G735" s="3">
        <v>2.0353869410998984</v>
      </c>
      <c r="H735" s="3">
        <f t="shared" si="61"/>
        <v>-0.2474282495931942</v>
      </c>
      <c r="I735" s="3">
        <f t="shared" si="62"/>
        <v>0.71068594386629347</v>
      </c>
      <c r="N735">
        <f t="shared" si="58"/>
        <v>-0.2474282495931942</v>
      </c>
      <c r="O735">
        <f t="shared" si="59"/>
        <v>0.71068594386629347</v>
      </c>
      <c r="P735">
        <v>2.0353869410998984</v>
      </c>
      <c r="T735">
        <f t="shared" si="60"/>
        <v>0.78080624196662896</v>
      </c>
      <c r="V735" s="7">
        <v>2.0353869410998984</v>
      </c>
    </row>
    <row r="736" spans="1:22">
      <c r="A736" s="3" t="s">
        <v>76</v>
      </c>
      <c r="B736" s="3" t="s">
        <v>105</v>
      </c>
      <c r="C736" s="3" t="s">
        <v>107</v>
      </c>
      <c r="D736" s="3" t="s">
        <v>79</v>
      </c>
      <c r="E736" s="3">
        <v>17</v>
      </c>
      <c r="F736" s="3">
        <v>0.80332477252829204</v>
      </c>
      <c r="G736" s="3">
        <v>2.0024235316236174</v>
      </c>
      <c r="H736" s="3">
        <f t="shared" si="61"/>
        <v>-0.2189961978261139</v>
      </c>
      <c r="I736" s="3">
        <f t="shared" si="62"/>
        <v>0.69435821277613363</v>
      </c>
      <c r="N736">
        <f t="shared" si="58"/>
        <v>-0.2189961978261139</v>
      </c>
      <c r="O736">
        <f t="shared" si="59"/>
        <v>0.69435821277613363</v>
      </c>
      <c r="P736">
        <v>2.0024235316236174</v>
      </c>
      <c r="T736">
        <f t="shared" si="60"/>
        <v>0.80332477252829204</v>
      </c>
      <c r="V736" s="7">
        <v>2.0024235316236174</v>
      </c>
    </row>
    <row r="737" spans="1:22">
      <c r="A737" s="3" t="s">
        <v>76</v>
      </c>
      <c r="B737" s="3" t="s">
        <v>105</v>
      </c>
      <c r="C737" s="3" t="s">
        <v>107</v>
      </c>
      <c r="D737" s="3" t="s">
        <v>79</v>
      </c>
      <c r="E737" s="3">
        <v>18</v>
      </c>
      <c r="F737" s="3">
        <v>0.81091875848347506</v>
      </c>
      <c r="G737" s="3">
        <v>2.0573040611440985</v>
      </c>
      <c r="H737" s="3">
        <f t="shared" si="61"/>
        <v>-0.20958740438085571</v>
      </c>
      <c r="I737" s="3">
        <f t="shared" si="62"/>
        <v>0.72139641751257677</v>
      </c>
      <c r="N737">
        <f t="shared" si="58"/>
        <v>-0.20958740438085571</v>
      </c>
      <c r="O737">
        <f t="shared" si="59"/>
        <v>0.72139641751257677</v>
      </c>
      <c r="P737">
        <v>2.0573040611440985</v>
      </c>
      <c r="T737">
        <f t="shared" si="60"/>
        <v>0.81091875848347506</v>
      </c>
      <c r="V737" s="7">
        <v>2.0573040611440985</v>
      </c>
    </row>
    <row r="738" spans="1:22">
      <c r="A738" s="3" t="s">
        <v>76</v>
      </c>
      <c r="B738" s="3" t="s">
        <v>105</v>
      </c>
      <c r="C738" s="3" t="s">
        <v>107</v>
      </c>
      <c r="D738" s="3" t="s">
        <v>79</v>
      </c>
      <c r="E738" s="3">
        <v>19</v>
      </c>
      <c r="F738" s="3">
        <v>0.74792593895119497</v>
      </c>
      <c r="G738" s="3">
        <v>1.9184629264074926</v>
      </c>
      <c r="H738" s="3">
        <f t="shared" si="61"/>
        <v>-0.29045131800701401</v>
      </c>
      <c r="I738" s="3">
        <f t="shared" si="62"/>
        <v>0.65152430625831181</v>
      </c>
      <c r="N738">
        <f t="shared" si="58"/>
        <v>-0.29045131800701401</v>
      </c>
      <c r="O738">
        <f t="shared" si="59"/>
        <v>0.65152430625831181</v>
      </c>
      <c r="P738">
        <v>1.9184629264074926</v>
      </c>
      <c r="T738">
        <f t="shared" si="60"/>
        <v>0.74792593895119497</v>
      </c>
      <c r="V738" s="7">
        <v>1.9184629264074926</v>
      </c>
    </row>
    <row r="739" spans="1:22">
      <c r="A739" s="3" t="s">
        <v>76</v>
      </c>
      <c r="B739" s="3" t="s">
        <v>105</v>
      </c>
      <c r="C739" s="3" t="s">
        <v>107</v>
      </c>
      <c r="D739" s="3" t="s">
        <v>79</v>
      </c>
      <c r="E739" s="3">
        <v>20</v>
      </c>
      <c r="F739" s="3">
        <v>0.82456884125984298</v>
      </c>
      <c r="G739" s="3">
        <v>2.0483407919582133</v>
      </c>
      <c r="H739" s="3">
        <f t="shared" si="61"/>
        <v>-0.19289464591387487</v>
      </c>
      <c r="I739" s="3">
        <f t="shared" si="62"/>
        <v>0.71703009565727671</v>
      </c>
      <c r="N739">
        <f t="shared" si="58"/>
        <v>-0.19289464591387487</v>
      </c>
      <c r="O739">
        <f t="shared" si="59"/>
        <v>0.71703009565727671</v>
      </c>
      <c r="P739">
        <v>2.0483407919582133</v>
      </c>
      <c r="T739">
        <f t="shared" si="60"/>
        <v>0.82456884125984298</v>
      </c>
      <c r="V739" s="7">
        <v>2.0483407919582133</v>
      </c>
    </row>
    <row r="740" spans="1:22">
      <c r="A740" s="3" t="s">
        <v>76</v>
      </c>
      <c r="B740" s="3" t="s">
        <v>105</v>
      </c>
      <c r="C740" s="3" t="s">
        <v>107</v>
      </c>
      <c r="D740" s="3" t="s">
        <v>79</v>
      </c>
      <c r="E740" s="3">
        <v>21</v>
      </c>
      <c r="F740" s="3">
        <v>0.78902656656825498</v>
      </c>
      <c r="G740" s="3">
        <v>1.9784084512557059</v>
      </c>
      <c r="H740" s="3">
        <f t="shared" si="61"/>
        <v>-0.23695528751395475</v>
      </c>
      <c r="I740" s="3">
        <f t="shared" si="62"/>
        <v>0.68229270897883765</v>
      </c>
      <c r="N740">
        <f t="shared" si="58"/>
        <v>-0.23695528751395475</v>
      </c>
      <c r="O740">
        <f t="shared" si="59"/>
        <v>0.68229270897883765</v>
      </c>
      <c r="P740">
        <v>1.9784084512557059</v>
      </c>
      <c r="T740">
        <f t="shared" si="60"/>
        <v>0.78902656656825498</v>
      </c>
      <c r="V740" s="7">
        <v>1.9784084512557059</v>
      </c>
    </row>
    <row r="741" spans="1:22">
      <c r="A741" s="3" t="s">
        <v>76</v>
      </c>
      <c r="B741" s="3" t="s">
        <v>105</v>
      </c>
      <c r="C741" s="3" t="s">
        <v>107</v>
      </c>
      <c r="D741" s="3" t="s">
        <v>75</v>
      </c>
      <c r="E741" s="3">
        <v>1</v>
      </c>
      <c r="F741" s="3">
        <v>0.80333068554623299</v>
      </c>
      <c r="G741" s="3">
        <v>1.9921094347449895</v>
      </c>
      <c r="H741" s="3">
        <f t="shared" si="61"/>
        <v>-0.21898883717151774</v>
      </c>
      <c r="I741" s="3">
        <f t="shared" si="62"/>
        <v>0.68919409477439675</v>
      </c>
      <c r="N741">
        <f t="shared" si="58"/>
        <v>-0.21898883717151774</v>
      </c>
      <c r="O741">
        <f t="shared" si="59"/>
        <v>0.68919409477439675</v>
      </c>
      <c r="P741">
        <v>1.9921094347449895</v>
      </c>
      <c r="T741">
        <f t="shared" si="60"/>
        <v>0.80333068554623299</v>
      </c>
      <c r="V741" s="7">
        <v>1.9921094347449895</v>
      </c>
    </row>
    <row r="742" spans="1:22">
      <c r="A742" s="3" t="s">
        <v>76</v>
      </c>
      <c r="B742" s="3" t="s">
        <v>105</v>
      </c>
      <c r="C742" s="3" t="s">
        <v>107</v>
      </c>
      <c r="D742" s="3" t="s">
        <v>75</v>
      </c>
      <c r="E742" s="3">
        <v>2</v>
      </c>
      <c r="F742" s="3">
        <v>0.79742703428723405</v>
      </c>
      <c r="G742" s="3">
        <v>1.9577793542685038</v>
      </c>
      <c r="H742" s="3">
        <f t="shared" si="61"/>
        <v>-0.22636494156564227</v>
      </c>
      <c r="I742" s="3">
        <f t="shared" si="62"/>
        <v>0.6718108484164691</v>
      </c>
      <c r="N742">
        <f t="shared" si="58"/>
        <v>-0.22636494156564227</v>
      </c>
      <c r="O742">
        <f t="shared" si="59"/>
        <v>0.6718108484164691</v>
      </c>
      <c r="P742">
        <v>1.9577793542685038</v>
      </c>
      <c r="T742">
        <f t="shared" si="60"/>
        <v>0.79742703428723405</v>
      </c>
      <c r="V742" s="7">
        <v>1.9577793542685038</v>
      </c>
    </row>
    <row r="743" spans="1:22">
      <c r="A743" s="3" t="s">
        <v>76</v>
      </c>
      <c r="B743" s="3" t="s">
        <v>105</v>
      </c>
      <c r="C743" s="3" t="s">
        <v>107</v>
      </c>
      <c r="D743" s="3" t="s">
        <v>75</v>
      </c>
      <c r="E743" s="3">
        <v>3</v>
      </c>
      <c r="F743" s="3">
        <v>0.77265336759008296</v>
      </c>
      <c r="G743" s="3">
        <v>1.9642046736529264</v>
      </c>
      <c r="H743" s="3">
        <f t="shared" si="61"/>
        <v>-0.25792475581832758</v>
      </c>
      <c r="I743" s="3">
        <f t="shared" si="62"/>
        <v>0.67508741715675225</v>
      </c>
      <c r="N743">
        <f t="shared" si="58"/>
        <v>-0.25792475581832758</v>
      </c>
      <c r="O743">
        <f t="shared" si="59"/>
        <v>0.67508741715675225</v>
      </c>
      <c r="P743">
        <v>1.9642046736529264</v>
      </c>
      <c r="T743">
        <f t="shared" si="60"/>
        <v>0.77265336759008296</v>
      </c>
      <c r="V743" s="7">
        <v>1.9642046736529264</v>
      </c>
    </row>
    <row r="744" spans="1:22">
      <c r="A744" s="3" t="s">
        <v>76</v>
      </c>
      <c r="B744" s="3" t="s">
        <v>105</v>
      </c>
      <c r="C744" s="3" t="s">
        <v>107</v>
      </c>
      <c r="D744" s="3" t="s">
        <v>75</v>
      </c>
      <c r="E744" s="3">
        <v>4</v>
      </c>
      <c r="F744" s="3">
        <v>0.79237144022933004</v>
      </c>
      <c r="G744" s="3">
        <v>1.9808079159777203</v>
      </c>
      <c r="H744" s="3">
        <f t="shared" si="61"/>
        <v>-0.23272500692068865</v>
      </c>
      <c r="I744" s="3">
        <f t="shared" si="62"/>
        <v>0.68350479985401169</v>
      </c>
      <c r="N744">
        <f t="shared" si="58"/>
        <v>-0.23272500692068865</v>
      </c>
      <c r="O744">
        <f t="shared" si="59"/>
        <v>0.68350479985401169</v>
      </c>
      <c r="P744">
        <v>1.9808079159777203</v>
      </c>
      <c r="T744">
        <f t="shared" si="60"/>
        <v>0.79237144022933004</v>
      </c>
      <c r="V744" s="7">
        <v>1.9808079159777203</v>
      </c>
    </row>
    <row r="745" spans="1:22">
      <c r="A745" s="3" t="s">
        <v>76</v>
      </c>
      <c r="B745" s="3" t="s">
        <v>105</v>
      </c>
      <c r="C745" s="3" t="s">
        <v>107</v>
      </c>
      <c r="D745" s="3" t="s">
        <v>75</v>
      </c>
      <c r="E745" s="3">
        <v>5</v>
      </c>
      <c r="F745" s="3">
        <v>0.777583565656638</v>
      </c>
      <c r="G745" s="3">
        <v>1.9444536507718562</v>
      </c>
      <c r="H745" s="3">
        <f t="shared" si="61"/>
        <v>-0.25156416076007426</v>
      </c>
      <c r="I745" s="3">
        <f t="shared" si="62"/>
        <v>0.66498103826470933</v>
      </c>
      <c r="N745">
        <f t="shared" si="58"/>
        <v>-0.25156416076007426</v>
      </c>
      <c r="O745">
        <f t="shared" si="59"/>
        <v>0.66498103826470933</v>
      </c>
      <c r="P745">
        <v>1.9444536507718562</v>
      </c>
      <c r="T745">
        <f t="shared" si="60"/>
        <v>0.777583565656638</v>
      </c>
      <c r="V745" s="7">
        <v>1.9444536507718562</v>
      </c>
    </row>
    <row r="746" spans="1:22">
      <c r="A746" s="3" t="s">
        <v>76</v>
      </c>
      <c r="B746" s="3" t="s">
        <v>105</v>
      </c>
      <c r="C746" s="3" t="s">
        <v>107</v>
      </c>
      <c r="D746" s="3" t="s">
        <v>75</v>
      </c>
      <c r="E746" s="3">
        <v>6</v>
      </c>
      <c r="F746" s="3">
        <v>0.81055254083855899</v>
      </c>
      <c r="G746" s="3">
        <v>1.9990497742677644</v>
      </c>
      <c r="H746" s="3">
        <f t="shared" si="61"/>
        <v>-0.21003911469024716</v>
      </c>
      <c r="I746" s="3">
        <f t="shared" si="62"/>
        <v>0.69267195479194754</v>
      </c>
      <c r="N746">
        <f t="shared" si="58"/>
        <v>-0.21003911469024716</v>
      </c>
      <c r="O746">
        <f t="shared" si="59"/>
        <v>0.69267195479194754</v>
      </c>
      <c r="P746">
        <v>1.9990497742677644</v>
      </c>
      <c r="T746">
        <f t="shared" si="60"/>
        <v>0.81055254083855899</v>
      </c>
      <c r="V746" s="7">
        <v>1.9990497742677644</v>
      </c>
    </row>
    <row r="747" spans="1:22">
      <c r="A747" s="3" t="s">
        <v>76</v>
      </c>
      <c r="B747" s="3" t="s">
        <v>105</v>
      </c>
      <c r="C747" s="3" t="s">
        <v>107</v>
      </c>
      <c r="D747" s="3" t="s">
        <v>75</v>
      </c>
      <c r="E747" s="3">
        <v>7</v>
      </c>
      <c r="F747" s="3">
        <v>0.78700172670060897</v>
      </c>
      <c r="G747" s="3">
        <v>1.927200041511</v>
      </c>
      <c r="H747" s="3">
        <f t="shared" si="61"/>
        <v>-0.23952483653841267</v>
      </c>
      <c r="I747" s="3">
        <f t="shared" si="62"/>
        <v>0.65606819385806359</v>
      </c>
      <c r="N747">
        <f t="shared" ref="N747:N799" si="63">LN(F747)</f>
        <v>-0.23952483653841267</v>
      </c>
      <c r="O747">
        <f t="shared" ref="O747:O799" si="64">LN(P747)</f>
        <v>0.65606819385806359</v>
      </c>
      <c r="P747">
        <v>1.927200041511</v>
      </c>
      <c r="T747">
        <f t="shared" ref="T747:T799" si="65">F747</f>
        <v>0.78700172670060897</v>
      </c>
      <c r="V747" s="7">
        <v>1.927200041511</v>
      </c>
    </row>
    <row r="748" spans="1:22">
      <c r="A748" s="3" t="s">
        <v>76</v>
      </c>
      <c r="B748" s="3" t="s">
        <v>105</v>
      </c>
      <c r="C748" s="3" t="s">
        <v>107</v>
      </c>
      <c r="D748" s="3" t="s">
        <v>75</v>
      </c>
      <c r="E748" s="3">
        <v>8</v>
      </c>
      <c r="F748" s="3">
        <v>0.80311472410014995</v>
      </c>
      <c r="G748" s="3">
        <v>1.9581624038878902</v>
      </c>
      <c r="H748" s="3">
        <f t="shared" si="61"/>
        <v>-0.21925770587516272</v>
      </c>
      <c r="I748" s="3">
        <f t="shared" si="62"/>
        <v>0.67200648443164235</v>
      </c>
      <c r="N748">
        <f t="shared" si="63"/>
        <v>-0.21925770587516272</v>
      </c>
      <c r="O748">
        <f t="shared" si="64"/>
        <v>0.67200648443164235</v>
      </c>
      <c r="P748">
        <v>1.9581624038878902</v>
      </c>
      <c r="T748">
        <f t="shared" si="65"/>
        <v>0.80311472410014995</v>
      </c>
      <c r="V748" s="7">
        <v>1.9581624038878902</v>
      </c>
    </row>
    <row r="749" spans="1:22">
      <c r="A749" s="3" t="s">
        <v>76</v>
      </c>
      <c r="B749" s="3" t="s">
        <v>105</v>
      </c>
      <c r="C749" s="3" t="s">
        <v>107</v>
      </c>
      <c r="D749" s="3" t="s">
        <v>75</v>
      </c>
      <c r="E749" s="3">
        <v>9</v>
      </c>
      <c r="F749" s="3">
        <v>0.81509190484368399</v>
      </c>
      <c r="G749" s="3">
        <v>1.9928873525616042</v>
      </c>
      <c r="H749" s="3">
        <f t="shared" si="61"/>
        <v>-0.20445440541959153</v>
      </c>
      <c r="I749" s="3">
        <f t="shared" si="62"/>
        <v>0.68958451808865096</v>
      </c>
      <c r="N749">
        <f t="shared" si="63"/>
        <v>-0.20445440541959153</v>
      </c>
      <c r="O749">
        <f t="shared" si="64"/>
        <v>0.68958451808865096</v>
      </c>
      <c r="P749">
        <v>1.9928873525616042</v>
      </c>
      <c r="T749">
        <f t="shared" si="65"/>
        <v>0.81509190484368399</v>
      </c>
      <c r="V749" s="7">
        <v>1.9928873525616042</v>
      </c>
    </row>
    <row r="750" spans="1:22">
      <c r="A750" s="3" t="s">
        <v>76</v>
      </c>
      <c r="B750" s="3" t="s">
        <v>105</v>
      </c>
      <c r="C750" s="3" t="s">
        <v>107</v>
      </c>
      <c r="D750" s="3" t="s">
        <v>75</v>
      </c>
      <c r="E750" s="3">
        <v>10</v>
      </c>
      <c r="F750" s="3">
        <v>0.78102292570700105</v>
      </c>
      <c r="G750" s="3">
        <v>1.9991248085099638</v>
      </c>
      <c r="H750" s="3">
        <f t="shared" si="61"/>
        <v>-0.24715077527494325</v>
      </c>
      <c r="I750" s="3">
        <f t="shared" si="62"/>
        <v>0.69270948904196827</v>
      </c>
      <c r="N750">
        <f t="shared" si="63"/>
        <v>-0.24715077527494325</v>
      </c>
      <c r="O750">
        <f t="shared" si="64"/>
        <v>0.69270948904196827</v>
      </c>
      <c r="P750">
        <v>1.9991248085099638</v>
      </c>
      <c r="T750">
        <f t="shared" si="65"/>
        <v>0.78102292570700105</v>
      </c>
      <c r="V750" s="7">
        <v>1.9991248085099638</v>
      </c>
    </row>
    <row r="751" spans="1:22">
      <c r="A751" s="3" t="s">
        <v>76</v>
      </c>
      <c r="B751" s="3" t="s">
        <v>105</v>
      </c>
      <c r="C751" s="3" t="s">
        <v>107</v>
      </c>
      <c r="D751" s="3" t="s">
        <v>75</v>
      </c>
      <c r="E751" s="3">
        <v>11</v>
      </c>
      <c r="F751" s="3">
        <v>0.78860978258441605</v>
      </c>
      <c r="G751" s="3">
        <v>1.9642046736529262</v>
      </c>
      <c r="H751" s="3">
        <f t="shared" si="61"/>
        <v>-0.23748365261375598</v>
      </c>
      <c r="I751" s="3">
        <f t="shared" si="62"/>
        <v>0.67508741715675213</v>
      </c>
      <c r="N751">
        <f t="shared" si="63"/>
        <v>-0.23748365261375598</v>
      </c>
      <c r="O751">
        <f t="shared" si="64"/>
        <v>0.67508741715675213</v>
      </c>
      <c r="P751">
        <v>1.9642046736529262</v>
      </c>
      <c r="T751">
        <f t="shared" si="65"/>
        <v>0.78860978258441605</v>
      </c>
      <c r="V751" s="7">
        <v>1.9642046736529262</v>
      </c>
    </row>
    <row r="752" spans="1:22">
      <c r="A752" s="3" t="s">
        <v>76</v>
      </c>
      <c r="B752" s="3" t="s">
        <v>105</v>
      </c>
      <c r="C752" s="3" t="s">
        <v>107</v>
      </c>
      <c r="D752" s="3" t="s">
        <v>75</v>
      </c>
      <c r="E752" s="3">
        <v>12</v>
      </c>
      <c r="F752" s="3">
        <v>0.79598192327985595</v>
      </c>
      <c r="G752" s="3">
        <v>2.0125854019146616</v>
      </c>
      <c r="H752" s="3">
        <f t="shared" si="61"/>
        <v>-0.2281788028430346</v>
      </c>
      <c r="I752" s="3">
        <f t="shared" si="62"/>
        <v>0.69942016514420446</v>
      </c>
      <c r="N752">
        <f t="shared" si="63"/>
        <v>-0.2281788028430346</v>
      </c>
      <c r="O752">
        <f t="shared" si="64"/>
        <v>0.69942016514420446</v>
      </c>
      <c r="P752">
        <v>2.0125854019146616</v>
      </c>
      <c r="T752">
        <f t="shared" si="65"/>
        <v>0.79598192327985595</v>
      </c>
      <c r="V752" s="7">
        <v>2.0125854019146616</v>
      </c>
    </row>
    <row r="753" spans="1:22">
      <c r="A753" s="3" t="s">
        <v>76</v>
      </c>
      <c r="B753" s="3" t="s">
        <v>105</v>
      </c>
      <c r="C753" s="3" t="s">
        <v>107</v>
      </c>
      <c r="D753" s="3" t="s">
        <v>75</v>
      </c>
      <c r="E753" s="3">
        <v>13</v>
      </c>
      <c r="F753" s="3">
        <v>0.79617130666632097</v>
      </c>
      <c r="G753" s="3">
        <v>2.0169531476958014</v>
      </c>
      <c r="H753" s="3">
        <f t="shared" si="61"/>
        <v>-0.22794090691217048</v>
      </c>
      <c r="I753" s="3">
        <f t="shared" si="62"/>
        <v>0.70158802999420344</v>
      </c>
      <c r="N753">
        <f t="shared" si="63"/>
        <v>-0.22794090691217048</v>
      </c>
      <c r="O753">
        <f t="shared" si="64"/>
        <v>0.70158802999420344</v>
      </c>
      <c r="P753">
        <v>2.0169531476958014</v>
      </c>
      <c r="T753">
        <f t="shared" si="65"/>
        <v>0.79617130666632097</v>
      </c>
      <c r="V753" s="7">
        <v>2.0169531476958014</v>
      </c>
    </row>
    <row r="754" spans="1:22">
      <c r="A754" s="3" t="s">
        <v>76</v>
      </c>
      <c r="B754" s="3" t="s">
        <v>105</v>
      </c>
      <c r="C754" s="3" t="s">
        <v>107</v>
      </c>
      <c r="D754" s="3" t="s">
        <v>75</v>
      </c>
      <c r="E754" s="3">
        <v>14</v>
      </c>
      <c r="F754" s="3">
        <v>0.80035168045320204</v>
      </c>
      <c r="G754" s="3">
        <v>1.9859506539690257</v>
      </c>
      <c r="H754" s="3">
        <f t="shared" si="61"/>
        <v>-0.22270404734372817</v>
      </c>
      <c r="I754" s="3">
        <f t="shared" si="62"/>
        <v>0.68609771837019462</v>
      </c>
      <c r="N754">
        <f t="shared" si="63"/>
        <v>-0.22270404734372817</v>
      </c>
      <c r="O754">
        <f t="shared" si="64"/>
        <v>0.68609771837019462</v>
      </c>
      <c r="P754">
        <v>1.9859506539690257</v>
      </c>
      <c r="T754">
        <f t="shared" si="65"/>
        <v>0.80035168045320204</v>
      </c>
      <c r="V754" s="7">
        <v>1.9859506539690257</v>
      </c>
    </row>
    <row r="755" spans="1:22">
      <c r="A755" s="3" t="s">
        <v>76</v>
      </c>
      <c r="B755" s="3" t="s">
        <v>105</v>
      </c>
      <c r="C755" s="3" t="s">
        <v>107</v>
      </c>
      <c r="D755" s="3" t="s">
        <v>75</v>
      </c>
      <c r="E755" s="3">
        <v>15</v>
      </c>
      <c r="F755" s="3">
        <v>0.80490376608591296</v>
      </c>
      <c r="G755" s="3">
        <v>1.9747404892795408</v>
      </c>
      <c r="H755" s="3">
        <f t="shared" si="61"/>
        <v>-0.21703255394456553</v>
      </c>
      <c r="I755" s="3">
        <f t="shared" si="62"/>
        <v>0.68043699188648976</v>
      </c>
      <c r="N755">
        <f t="shared" si="63"/>
        <v>-0.21703255394456553</v>
      </c>
      <c r="O755">
        <f t="shared" si="64"/>
        <v>0.68043699188648976</v>
      </c>
      <c r="P755">
        <v>1.9747404892795408</v>
      </c>
      <c r="T755">
        <f t="shared" si="65"/>
        <v>0.80490376608591296</v>
      </c>
      <c r="V755" s="7">
        <v>1.9747404892795408</v>
      </c>
    </row>
    <row r="756" spans="1:22">
      <c r="A756" s="3" t="s">
        <v>76</v>
      </c>
      <c r="B756" s="3" t="s">
        <v>105</v>
      </c>
      <c r="C756" s="3" t="s">
        <v>107</v>
      </c>
      <c r="D756" s="3" t="s">
        <v>75</v>
      </c>
      <c r="E756" s="3">
        <v>16</v>
      </c>
      <c r="F756" s="3">
        <v>0.79261108004399505</v>
      </c>
      <c r="G756" s="3">
        <v>1.9588006534611941</v>
      </c>
      <c r="H756" s="3">
        <f t="shared" si="61"/>
        <v>-0.23242261895940097</v>
      </c>
      <c r="I756" s="3">
        <f t="shared" si="62"/>
        <v>0.67233237444878469</v>
      </c>
      <c r="N756">
        <f t="shared" si="63"/>
        <v>-0.23242261895940097</v>
      </c>
      <c r="O756">
        <f t="shared" si="64"/>
        <v>0.67233237444878469</v>
      </c>
      <c r="P756">
        <v>1.9588006534611941</v>
      </c>
      <c r="T756">
        <f t="shared" si="65"/>
        <v>0.79261108004399505</v>
      </c>
      <c r="V756" s="7">
        <v>1.9588006534611941</v>
      </c>
    </row>
    <row r="757" spans="1:22">
      <c r="A757" s="3" t="s">
        <v>76</v>
      </c>
      <c r="B757" s="3" t="s">
        <v>105</v>
      </c>
      <c r="C757" s="3" t="s">
        <v>107</v>
      </c>
      <c r="D757" s="3" t="s">
        <v>75</v>
      </c>
      <c r="E757" s="3">
        <v>18</v>
      </c>
      <c r="F757" s="3">
        <v>0.81197024544901397</v>
      </c>
      <c r="G757" s="3">
        <v>2.0035218990567585</v>
      </c>
      <c r="H757" s="3">
        <f t="shared" si="61"/>
        <v>-0.20829158302754694</v>
      </c>
      <c r="I757" s="3">
        <f t="shared" si="62"/>
        <v>0.69490658143450468</v>
      </c>
      <c r="N757">
        <f t="shared" si="63"/>
        <v>-0.20829158302754694</v>
      </c>
      <c r="O757">
        <f t="shared" si="64"/>
        <v>0.69490658143450468</v>
      </c>
      <c r="P757">
        <v>2.0035218990567585</v>
      </c>
      <c r="T757">
        <f t="shared" si="65"/>
        <v>0.81197024544901397</v>
      </c>
      <c r="V757" s="7">
        <v>2.0035218990567585</v>
      </c>
    </row>
    <row r="758" spans="1:22">
      <c r="A758" s="3" t="s">
        <v>76</v>
      </c>
      <c r="B758" s="3" t="s">
        <v>105</v>
      </c>
      <c r="C758" s="3" t="s">
        <v>107</v>
      </c>
      <c r="D758" s="3" t="s">
        <v>75</v>
      </c>
      <c r="E758" s="3">
        <v>20</v>
      </c>
      <c r="F758" s="3">
        <v>0.79959825692532904</v>
      </c>
      <c r="G758" s="3">
        <v>1.9617339269126179</v>
      </c>
      <c r="H758" s="3">
        <f t="shared" si="61"/>
        <v>-0.22364585629157346</v>
      </c>
      <c r="I758" s="3">
        <f t="shared" si="62"/>
        <v>0.67382873875248628</v>
      </c>
      <c r="N758">
        <f t="shared" si="63"/>
        <v>-0.22364585629157346</v>
      </c>
      <c r="O758">
        <f t="shared" si="64"/>
        <v>0.67382873875248628</v>
      </c>
      <c r="P758">
        <v>1.9617339269126179</v>
      </c>
      <c r="T758">
        <f t="shared" si="65"/>
        <v>0.79959825692532904</v>
      </c>
      <c r="V758" s="7">
        <v>1.9617339269126179</v>
      </c>
    </row>
    <row r="759" spans="1:22">
      <c r="A759" s="3" t="s">
        <v>76</v>
      </c>
      <c r="B759" s="3" t="s">
        <v>105</v>
      </c>
      <c r="C759" s="3" t="s">
        <v>107</v>
      </c>
      <c r="D759" s="3" t="s">
        <v>75</v>
      </c>
      <c r="E759" s="3">
        <v>21</v>
      </c>
      <c r="F759" s="3">
        <v>0.76783403594624999</v>
      </c>
      <c r="G759" s="3">
        <v>1.9777259668619414</v>
      </c>
      <c r="H759" s="3">
        <f t="shared" si="61"/>
        <v>-0.26418166821554462</v>
      </c>
      <c r="I759" s="3">
        <f t="shared" si="62"/>
        <v>0.68194768308820586</v>
      </c>
      <c r="N759">
        <f t="shared" si="63"/>
        <v>-0.26418166821554462</v>
      </c>
      <c r="O759">
        <f t="shared" si="64"/>
        <v>0.68194768308820586</v>
      </c>
      <c r="P759">
        <v>1.9777259668619414</v>
      </c>
      <c r="T759">
        <f t="shared" si="65"/>
        <v>0.76783403594624999</v>
      </c>
      <c r="V759" s="7">
        <v>1.9777259668619414</v>
      </c>
    </row>
    <row r="760" spans="1:22">
      <c r="A760" s="3" t="s">
        <v>76</v>
      </c>
      <c r="B760" s="3" t="s">
        <v>105</v>
      </c>
      <c r="C760" s="3" t="s">
        <v>107</v>
      </c>
      <c r="D760" s="3" t="s">
        <v>75</v>
      </c>
      <c r="E760" s="3">
        <v>22</v>
      </c>
      <c r="F760" s="3">
        <v>0.797270293615022</v>
      </c>
      <c r="G760" s="3">
        <v>1.9394071259021404</v>
      </c>
      <c r="H760" s="3">
        <f t="shared" si="61"/>
        <v>-0.22656151889724535</v>
      </c>
      <c r="I760" s="3">
        <f t="shared" si="62"/>
        <v>0.6623823211633677</v>
      </c>
      <c r="N760">
        <f t="shared" si="63"/>
        <v>-0.22656151889724535</v>
      </c>
      <c r="O760">
        <f t="shared" si="64"/>
        <v>0.6623823211633677</v>
      </c>
      <c r="P760">
        <v>1.9394071259021404</v>
      </c>
      <c r="T760">
        <f t="shared" si="65"/>
        <v>0.797270293615022</v>
      </c>
      <c r="V760" s="7">
        <v>1.9394071259021404</v>
      </c>
    </row>
    <row r="761" spans="1:22">
      <c r="A761" s="3" t="s">
        <v>76</v>
      </c>
      <c r="B761" s="3" t="s">
        <v>106</v>
      </c>
      <c r="C761" s="3" t="s">
        <v>107</v>
      </c>
      <c r="D761" s="3" t="s">
        <v>79</v>
      </c>
      <c r="E761" s="3">
        <v>1</v>
      </c>
      <c r="F761" s="3">
        <v>0.77769621882071305</v>
      </c>
      <c r="G761" s="3">
        <v>1.9384787850270633</v>
      </c>
      <c r="H761" s="3">
        <f t="shared" si="61"/>
        <v>-0.25141929529548535</v>
      </c>
      <c r="I761" s="3">
        <f t="shared" si="62"/>
        <v>0.66190353405403324</v>
      </c>
      <c r="N761">
        <f t="shared" si="63"/>
        <v>-0.25141929529548535</v>
      </c>
      <c r="O761">
        <f t="shared" si="64"/>
        <v>0.66190353405403324</v>
      </c>
      <c r="P761">
        <v>1.9384787850270633</v>
      </c>
      <c r="T761">
        <f t="shared" si="65"/>
        <v>0.77769621882071305</v>
      </c>
      <c r="V761" s="7">
        <v>1.9384787850270633</v>
      </c>
    </row>
    <row r="762" spans="1:22">
      <c r="A762" s="3" t="s">
        <v>76</v>
      </c>
      <c r="B762" s="3" t="s">
        <v>106</v>
      </c>
      <c r="C762" s="3" t="s">
        <v>107</v>
      </c>
      <c r="D762" s="3" t="s">
        <v>79</v>
      </c>
      <c r="E762" s="3">
        <v>2</v>
      </c>
      <c r="F762" s="3">
        <v>0.77267897038464695</v>
      </c>
      <c r="G762" s="3">
        <v>1.9359752064528102</v>
      </c>
      <c r="H762" s="3">
        <f t="shared" si="61"/>
        <v>-0.25789162016984968</v>
      </c>
      <c r="I762" s="3">
        <f t="shared" si="62"/>
        <v>0.66061118218808801</v>
      </c>
      <c r="N762">
        <f t="shared" si="63"/>
        <v>-0.25789162016984968</v>
      </c>
      <c r="O762">
        <f t="shared" si="64"/>
        <v>0.66061118218808801</v>
      </c>
      <c r="P762">
        <v>1.9359752064528102</v>
      </c>
      <c r="T762">
        <f t="shared" si="65"/>
        <v>0.77267897038464695</v>
      </c>
      <c r="V762" s="7">
        <v>1.9359752064528102</v>
      </c>
    </row>
    <row r="763" spans="1:22">
      <c r="A763" s="3" t="s">
        <v>76</v>
      </c>
      <c r="B763" s="3" t="s">
        <v>106</v>
      </c>
      <c r="C763" s="3" t="s">
        <v>107</v>
      </c>
      <c r="D763" s="3" t="s">
        <v>79</v>
      </c>
      <c r="E763" s="3">
        <v>3</v>
      </c>
      <c r="F763" s="3">
        <v>0.75041254145930103</v>
      </c>
      <c r="G763" s="3">
        <v>1.8983413813115912</v>
      </c>
      <c r="H763" s="3">
        <f t="shared" si="61"/>
        <v>-0.2871321683976657</v>
      </c>
      <c r="I763" s="3">
        <f t="shared" si="62"/>
        <v>0.64098054771893653</v>
      </c>
      <c r="N763">
        <f t="shared" si="63"/>
        <v>-0.2871321683976657</v>
      </c>
      <c r="O763">
        <f t="shared" si="64"/>
        <v>0.64098054771893653</v>
      </c>
      <c r="P763">
        <v>1.8983413813115912</v>
      </c>
      <c r="T763">
        <f t="shared" si="65"/>
        <v>0.75041254145930103</v>
      </c>
      <c r="V763" s="7">
        <v>1.8983413813115912</v>
      </c>
    </row>
    <row r="764" spans="1:22">
      <c r="A764" s="3" t="s">
        <v>76</v>
      </c>
      <c r="B764" s="3" t="s">
        <v>106</v>
      </c>
      <c r="C764" s="3" t="s">
        <v>107</v>
      </c>
      <c r="D764" s="3" t="s">
        <v>79</v>
      </c>
      <c r="E764" s="3">
        <v>4</v>
      </c>
      <c r="F764" s="3">
        <v>0.74048406725065596</v>
      </c>
      <c r="G764" s="3">
        <v>1.8601075237738274</v>
      </c>
      <c r="H764" s="3">
        <f t="shared" si="61"/>
        <v>-0.3004511617101413</v>
      </c>
      <c r="I764" s="3">
        <f t="shared" si="62"/>
        <v>0.62063429453481644</v>
      </c>
      <c r="N764">
        <f t="shared" si="63"/>
        <v>-0.3004511617101413</v>
      </c>
      <c r="O764">
        <f t="shared" si="64"/>
        <v>0.62063429453481644</v>
      </c>
      <c r="P764">
        <v>1.8601075237738274</v>
      </c>
      <c r="T764">
        <f t="shared" si="65"/>
        <v>0.74048406725065596</v>
      </c>
      <c r="V764" s="7">
        <v>1.8601075237738274</v>
      </c>
    </row>
    <row r="765" spans="1:22">
      <c r="A765" s="3" t="s">
        <v>76</v>
      </c>
      <c r="B765" s="3" t="s">
        <v>106</v>
      </c>
      <c r="C765" s="3" t="s">
        <v>107</v>
      </c>
      <c r="D765" s="3" t="s">
        <v>79</v>
      </c>
      <c r="E765" s="3">
        <v>5</v>
      </c>
      <c r="F765" s="3">
        <v>0.78994446873893398</v>
      </c>
      <c r="G765" s="3">
        <v>1.9578048932414078</v>
      </c>
      <c r="H765" s="3">
        <f t="shared" si="61"/>
        <v>-0.2357926287272466</v>
      </c>
      <c r="I765" s="3">
        <f t="shared" si="62"/>
        <v>0.6718238931992091</v>
      </c>
      <c r="N765">
        <f t="shared" si="63"/>
        <v>-0.2357926287272466</v>
      </c>
      <c r="O765">
        <f t="shared" si="64"/>
        <v>0.6718238931992091</v>
      </c>
      <c r="P765">
        <v>1.9578048932414078</v>
      </c>
      <c r="T765">
        <f t="shared" si="65"/>
        <v>0.78994446873893398</v>
      </c>
      <c r="V765" s="7">
        <v>1.9578048932414078</v>
      </c>
    </row>
    <row r="766" spans="1:22">
      <c r="A766" s="3" t="s">
        <v>76</v>
      </c>
      <c r="B766" s="3" t="s">
        <v>106</v>
      </c>
      <c r="C766" s="3" t="s">
        <v>107</v>
      </c>
      <c r="D766" s="3" t="s">
        <v>79</v>
      </c>
      <c r="E766" s="3">
        <v>6</v>
      </c>
      <c r="F766" s="3">
        <v>0.76986154818205998</v>
      </c>
      <c r="G766" s="3">
        <v>1.8993156662334989</v>
      </c>
      <c r="H766" s="3">
        <f t="shared" si="61"/>
        <v>-0.26154458785749035</v>
      </c>
      <c r="I766" s="3">
        <f t="shared" si="62"/>
        <v>0.64149364562698086</v>
      </c>
      <c r="N766">
        <f t="shared" si="63"/>
        <v>-0.26154458785749035</v>
      </c>
      <c r="O766">
        <f t="shared" si="64"/>
        <v>0.64149364562698086</v>
      </c>
      <c r="P766">
        <v>1.8993156662334989</v>
      </c>
      <c r="T766">
        <f t="shared" si="65"/>
        <v>0.76986154818205998</v>
      </c>
      <c r="V766" s="7">
        <v>1.8993156662334989</v>
      </c>
    </row>
    <row r="767" spans="1:22">
      <c r="A767" s="3" t="s">
        <v>76</v>
      </c>
      <c r="B767" s="3" t="s">
        <v>106</v>
      </c>
      <c r="C767" s="3" t="s">
        <v>107</v>
      </c>
      <c r="D767" s="3" t="s">
        <v>79</v>
      </c>
      <c r="E767" s="3">
        <v>7</v>
      </c>
      <c r="F767" s="3">
        <v>0.75546758080788201</v>
      </c>
      <c r="G767" s="3">
        <v>1.954328529188478</v>
      </c>
      <c r="H767" s="3">
        <f t="shared" si="61"/>
        <v>-0.28041840909952997</v>
      </c>
      <c r="I767" s="3">
        <f t="shared" si="62"/>
        <v>0.67004667110958827</v>
      </c>
      <c r="N767">
        <f t="shared" si="63"/>
        <v>-0.28041840909952997</v>
      </c>
      <c r="O767">
        <f t="shared" si="64"/>
        <v>0.67004667110958827</v>
      </c>
      <c r="P767">
        <v>1.954328529188478</v>
      </c>
      <c r="T767">
        <f t="shared" si="65"/>
        <v>0.75546758080788201</v>
      </c>
      <c r="V767" s="7">
        <v>1.954328529188478</v>
      </c>
    </row>
    <row r="768" spans="1:22">
      <c r="A768" s="3" t="s">
        <v>76</v>
      </c>
      <c r="B768" s="3" t="s">
        <v>106</v>
      </c>
      <c r="C768" s="3" t="s">
        <v>107</v>
      </c>
      <c r="D768" s="3" t="s">
        <v>79</v>
      </c>
      <c r="E768" s="3">
        <v>8</v>
      </c>
      <c r="F768" s="3">
        <v>0.76514973432508604</v>
      </c>
      <c r="G768" s="3">
        <v>1.9453791404248171</v>
      </c>
      <c r="H768" s="3">
        <f t="shared" si="61"/>
        <v>-0.26768373316453908</v>
      </c>
      <c r="I768" s="3">
        <f t="shared" si="62"/>
        <v>0.6654568888835426</v>
      </c>
      <c r="N768">
        <f t="shared" si="63"/>
        <v>-0.26768373316453908</v>
      </c>
      <c r="O768">
        <f t="shared" si="64"/>
        <v>0.6654568888835426</v>
      </c>
      <c r="P768">
        <v>1.9453791404248171</v>
      </c>
      <c r="T768">
        <f t="shared" si="65"/>
        <v>0.76514973432508604</v>
      </c>
      <c r="V768" s="7">
        <v>1.9453791404248171</v>
      </c>
    </row>
    <row r="769" spans="1:22">
      <c r="A769" s="3" t="s">
        <v>76</v>
      </c>
      <c r="B769" s="3" t="s">
        <v>106</v>
      </c>
      <c r="C769" s="3" t="s">
        <v>107</v>
      </c>
      <c r="D769" s="3" t="s">
        <v>79</v>
      </c>
      <c r="E769" s="3">
        <v>9</v>
      </c>
      <c r="F769" s="3">
        <v>0.72771731370471904</v>
      </c>
      <c r="G769" s="3">
        <v>1.9003157632351526</v>
      </c>
      <c r="H769" s="3">
        <f t="shared" si="61"/>
        <v>-0.31784261154615645</v>
      </c>
      <c r="I769" s="3">
        <f t="shared" si="62"/>
        <v>0.64202006354056718</v>
      </c>
      <c r="N769">
        <f t="shared" si="63"/>
        <v>-0.31784261154615645</v>
      </c>
      <c r="O769">
        <f t="shared" si="64"/>
        <v>0.64202006354056718</v>
      </c>
      <c r="P769">
        <v>1.9003157632351526</v>
      </c>
      <c r="T769">
        <f t="shared" si="65"/>
        <v>0.72771731370471904</v>
      </c>
      <c r="V769" s="7">
        <v>1.9003157632351526</v>
      </c>
    </row>
    <row r="770" spans="1:22">
      <c r="A770" s="3" t="s">
        <v>76</v>
      </c>
      <c r="B770" s="3" t="s">
        <v>106</v>
      </c>
      <c r="C770" s="3" t="s">
        <v>107</v>
      </c>
      <c r="D770" s="3" t="s">
        <v>79</v>
      </c>
      <c r="E770" s="3">
        <v>10</v>
      </c>
      <c r="F770" s="3">
        <v>0.764239401394611</v>
      </c>
      <c r="G770" s="3">
        <v>1.9577793542685038</v>
      </c>
      <c r="H770" s="3">
        <f t="shared" ref="H770:H833" si="66">LN(F770)</f>
        <v>-0.2688741862895449</v>
      </c>
      <c r="I770" s="3">
        <f t="shared" ref="I770:I833" si="67">LN(G770)</f>
        <v>0.6718108484164691</v>
      </c>
      <c r="N770">
        <f t="shared" si="63"/>
        <v>-0.2688741862895449</v>
      </c>
      <c r="O770">
        <f t="shared" si="64"/>
        <v>0.6718108484164691</v>
      </c>
      <c r="P770">
        <v>1.9577793542685038</v>
      </c>
      <c r="T770">
        <f t="shared" si="65"/>
        <v>0.764239401394611</v>
      </c>
      <c r="V770" s="7">
        <v>1.9577793542685038</v>
      </c>
    </row>
    <row r="771" spans="1:22">
      <c r="A771" s="3" t="s">
        <v>76</v>
      </c>
      <c r="B771" s="3" t="s">
        <v>106</v>
      </c>
      <c r="C771" s="3" t="s">
        <v>107</v>
      </c>
      <c r="D771" s="3" t="s">
        <v>79</v>
      </c>
      <c r="E771" s="3">
        <v>11</v>
      </c>
      <c r="F771" s="3">
        <v>0.74447654228466398</v>
      </c>
      <c r="G771" s="3">
        <v>1.9192967462067974</v>
      </c>
      <c r="H771" s="3">
        <f t="shared" si="66"/>
        <v>-0.29507393536700122</v>
      </c>
      <c r="I771" s="3">
        <f t="shared" si="67"/>
        <v>0.65195884092621981</v>
      </c>
      <c r="N771">
        <f t="shared" si="63"/>
        <v>-0.29507393536700122</v>
      </c>
      <c r="O771">
        <f t="shared" si="64"/>
        <v>0.65195884092621981</v>
      </c>
      <c r="P771">
        <v>1.9192967462067974</v>
      </c>
      <c r="T771">
        <f t="shared" si="65"/>
        <v>0.74447654228466398</v>
      </c>
      <c r="V771" s="7">
        <v>1.9192967462067974</v>
      </c>
    </row>
    <row r="772" spans="1:22">
      <c r="A772" s="3" t="s">
        <v>76</v>
      </c>
      <c r="B772" s="3" t="s">
        <v>106</v>
      </c>
      <c r="C772" s="3" t="s">
        <v>107</v>
      </c>
      <c r="D772" s="3" t="s">
        <v>79</v>
      </c>
      <c r="E772" s="3">
        <v>12</v>
      </c>
      <c r="F772" s="3">
        <v>0.78165467206223604</v>
      </c>
      <c r="G772" s="3">
        <v>2.0024235316236174</v>
      </c>
      <c r="H772" s="3">
        <f t="shared" si="66"/>
        <v>-0.24634223179732068</v>
      </c>
      <c r="I772" s="3">
        <f t="shared" si="67"/>
        <v>0.69435821277613363</v>
      </c>
      <c r="N772">
        <f t="shared" si="63"/>
        <v>-0.24634223179732068</v>
      </c>
      <c r="O772">
        <f t="shared" si="64"/>
        <v>0.69435821277613363</v>
      </c>
      <c r="P772">
        <v>2.0024235316236174</v>
      </c>
      <c r="T772">
        <f t="shared" si="65"/>
        <v>0.78165467206223604</v>
      </c>
      <c r="V772" s="7">
        <v>2.0024235316236174</v>
      </c>
    </row>
    <row r="773" spans="1:22">
      <c r="A773" s="3" t="s">
        <v>76</v>
      </c>
      <c r="B773" s="3" t="s">
        <v>106</v>
      </c>
      <c r="C773" s="3" t="s">
        <v>107</v>
      </c>
      <c r="D773" s="3" t="s">
        <v>79</v>
      </c>
      <c r="E773" s="3">
        <v>13</v>
      </c>
      <c r="F773" s="3">
        <v>0.74460949714178903</v>
      </c>
      <c r="G773" s="3">
        <v>1.9043371550227128</v>
      </c>
      <c r="H773" s="3">
        <f t="shared" si="66"/>
        <v>-0.29489536293537788</v>
      </c>
      <c r="I773" s="3">
        <f t="shared" si="67"/>
        <v>0.64413399791066495</v>
      </c>
      <c r="N773">
        <f t="shared" si="63"/>
        <v>-0.29489536293537788</v>
      </c>
      <c r="O773">
        <f t="shared" si="64"/>
        <v>0.64413399791066495</v>
      </c>
      <c r="P773">
        <v>1.9043371550227128</v>
      </c>
      <c r="T773">
        <f t="shared" si="65"/>
        <v>0.74460949714178903</v>
      </c>
      <c r="V773" s="7">
        <v>1.9043371550227128</v>
      </c>
    </row>
    <row r="774" spans="1:22">
      <c r="A774" s="3" t="s">
        <v>76</v>
      </c>
      <c r="B774" s="3" t="s">
        <v>106</v>
      </c>
      <c r="C774" s="3" t="s">
        <v>107</v>
      </c>
      <c r="D774" s="3" t="s">
        <v>79</v>
      </c>
      <c r="E774" s="3">
        <v>14</v>
      </c>
      <c r="F774" s="3">
        <v>0.76039807253231395</v>
      </c>
      <c r="G774" s="3">
        <v>1.8693581786270921</v>
      </c>
      <c r="H774" s="3">
        <f t="shared" si="66"/>
        <v>-0.27391320317865853</v>
      </c>
      <c r="I774" s="3">
        <f t="shared" si="67"/>
        <v>0.62559515196752324</v>
      </c>
      <c r="N774">
        <f t="shared" si="63"/>
        <v>-0.27391320317865853</v>
      </c>
      <c r="O774">
        <f t="shared" si="64"/>
        <v>0.62559515196752324</v>
      </c>
      <c r="P774">
        <v>1.8693581786270921</v>
      </c>
      <c r="T774">
        <f t="shared" si="65"/>
        <v>0.76039807253231395</v>
      </c>
      <c r="V774" s="7">
        <v>1.8693581786270921</v>
      </c>
    </row>
    <row r="775" spans="1:22">
      <c r="A775" s="3" t="s">
        <v>76</v>
      </c>
      <c r="B775" s="3" t="s">
        <v>106</v>
      </c>
      <c r="C775" s="3" t="s">
        <v>107</v>
      </c>
      <c r="D775" s="3" t="s">
        <v>79</v>
      </c>
      <c r="E775" s="3">
        <v>15</v>
      </c>
      <c r="F775" s="3">
        <v>0.74403721496007702</v>
      </c>
      <c r="G775" s="3">
        <v>1.9374467734624348</v>
      </c>
      <c r="H775" s="3">
        <f t="shared" si="66"/>
        <v>-0.29566422529237862</v>
      </c>
      <c r="I775" s="3">
        <f t="shared" si="67"/>
        <v>0.66137101010668531</v>
      </c>
      <c r="N775">
        <f t="shared" si="63"/>
        <v>-0.29566422529237862</v>
      </c>
      <c r="O775">
        <f t="shared" si="64"/>
        <v>0.66137101010668531</v>
      </c>
      <c r="P775">
        <v>1.9374467734624348</v>
      </c>
      <c r="T775">
        <f t="shared" si="65"/>
        <v>0.74403721496007702</v>
      </c>
      <c r="V775" s="7">
        <v>1.9374467734624348</v>
      </c>
    </row>
    <row r="776" spans="1:22">
      <c r="A776" s="3" t="s">
        <v>76</v>
      </c>
      <c r="B776" s="3" t="s">
        <v>106</v>
      </c>
      <c r="C776" s="3" t="s">
        <v>107</v>
      </c>
      <c r="D776" s="3" t="s">
        <v>79</v>
      </c>
      <c r="E776" s="3">
        <v>16</v>
      </c>
      <c r="F776" s="3">
        <v>0.78125023467773602</v>
      </c>
      <c r="G776" s="3">
        <v>1.946535383701</v>
      </c>
      <c r="H776" s="3">
        <f t="shared" si="66"/>
        <v>-0.24685977754406879</v>
      </c>
      <c r="I776" s="3">
        <f t="shared" si="67"/>
        <v>0.66605106601823183</v>
      </c>
      <c r="N776">
        <f t="shared" si="63"/>
        <v>-0.24685977754406879</v>
      </c>
      <c r="O776">
        <f t="shared" si="64"/>
        <v>0.66605106601823183</v>
      </c>
      <c r="P776">
        <v>1.946535383701</v>
      </c>
      <c r="T776">
        <f t="shared" si="65"/>
        <v>0.78125023467773602</v>
      </c>
      <c r="V776" s="7">
        <v>1.946535383701</v>
      </c>
    </row>
    <row r="777" spans="1:22">
      <c r="A777" s="3" t="s">
        <v>76</v>
      </c>
      <c r="B777" s="3" t="s">
        <v>106</v>
      </c>
      <c r="C777" s="3" t="s">
        <v>107</v>
      </c>
      <c r="D777" s="3" t="s">
        <v>79</v>
      </c>
      <c r="E777" s="3">
        <v>17</v>
      </c>
      <c r="F777" s="3">
        <v>0.77680284684410195</v>
      </c>
      <c r="G777" s="3">
        <v>1.8656098198712399</v>
      </c>
      <c r="H777" s="3">
        <f t="shared" si="66"/>
        <v>-0.25256869717638475</v>
      </c>
      <c r="I777" s="3">
        <f t="shared" si="67"/>
        <v>0.62358798081329203</v>
      </c>
      <c r="N777">
        <f t="shared" si="63"/>
        <v>-0.25256869717638475</v>
      </c>
      <c r="O777">
        <f t="shared" si="64"/>
        <v>0.62358798081329203</v>
      </c>
      <c r="P777">
        <v>1.8656098198712399</v>
      </c>
      <c r="T777">
        <f t="shared" si="65"/>
        <v>0.77680284684410195</v>
      </c>
      <c r="V777" s="7">
        <v>1.8656098198712399</v>
      </c>
    </row>
    <row r="778" spans="1:22">
      <c r="A778" s="3" t="s">
        <v>76</v>
      </c>
      <c r="B778" s="3" t="s">
        <v>106</v>
      </c>
      <c r="C778" s="3" t="s">
        <v>107</v>
      </c>
      <c r="D778" s="3" t="s">
        <v>79</v>
      </c>
      <c r="E778" s="3">
        <v>19</v>
      </c>
      <c r="F778" s="3">
        <v>0.80514725779872798</v>
      </c>
      <c r="G778" s="3">
        <v>1.9544052803858265</v>
      </c>
      <c r="H778" s="3">
        <f t="shared" si="66"/>
        <v>-0.2167300893505133</v>
      </c>
      <c r="I778" s="3">
        <f t="shared" si="67"/>
        <v>0.67008594275155597</v>
      </c>
      <c r="N778">
        <f t="shared" si="63"/>
        <v>-0.2167300893505133</v>
      </c>
      <c r="O778">
        <f t="shared" si="64"/>
        <v>0.67008594275155597</v>
      </c>
      <c r="P778">
        <v>1.9544052803858265</v>
      </c>
      <c r="T778">
        <f t="shared" si="65"/>
        <v>0.80514725779872798</v>
      </c>
      <c r="V778" s="7">
        <v>1.9544052803858265</v>
      </c>
    </row>
    <row r="779" spans="1:22">
      <c r="A779" s="3" t="s">
        <v>76</v>
      </c>
      <c r="B779" s="3" t="s">
        <v>106</v>
      </c>
      <c r="C779" s="3" t="s">
        <v>107</v>
      </c>
      <c r="D779" s="3" t="s">
        <v>79</v>
      </c>
      <c r="E779" s="3">
        <v>20</v>
      </c>
      <c r="F779" s="3">
        <v>0.79404618399595195</v>
      </c>
      <c r="G779" s="3">
        <v>1.9553260597659921</v>
      </c>
      <c r="H779" s="3">
        <f t="shared" si="66"/>
        <v>-0.23061365318483848</v>
      </c>
      <c r="I779" s="3">
        <f t="shared" si="67"/>
        <v>0.67055696201967452</v>
      </c>
      <c r="N779">
        <f t="shared" si="63"/>
        <v>-0.23061365318483848</v>
      </c>
      <c r="O779">
        <f t="shared" si="64"/>
        <v>0.67055696201967452</v>
      </c>
      <c r="P779">
        <v>1.9553260597659921</v>
      </c>
      <c r="T779">
        <f t="shared" si="65"/>
        <v>0.79404618399595195</v>
      </c>
      <c r="V779" s="7">
        <v>1.9553260597659921</v>
      </c>
    </row>
    <row r="780" spans="1:22">
      <c r="A780" s="3" t="s">
        <v>76</v>
      </c>
      <c r="B780" s="3" t="s">
        <v>106</v>
      </c>
      <c r="C780" s="3" t="s">
        <v>107</v>
      </c>
      <c r="D780" s="3" t="s">
        <v>75</v>
      </c>
      <c r="E780" s="3">
        <v>1</v>
      </c>
      <c r="F780" s="3">
        <v>0.75777991481249696</v>
      </c>
      <c r="G780" s="3">
        <v>1.9018412131405713</v>
      </c>
      <c r="H780" s="3">
        <f t="shared" si="66"/>
        <v>-0.27736228535103158</v>
      </c>
      <c r="I780" s="3">
        <f t="shared" si="67"/>
        <v>0.64282247648498048</v>
      </c>
      <c r="N780">
        <f t="shared" si="63"/>
        <v>-0.27736228535103158</v>
      </c>
      <c r="O780">
        <f t="shared" si="64"/>
        <v>0.64282247648498048</v>
      </c>
      <c r="P780">
        <v>1.9018412131405713</v>
      </c>
      <c r="T780">
        <f t="shared" si="65"/>
        <v>0.75777991481249696</v>
      </c>
      <c r="V780" s="7">
        <v>1.9018412131405713</v>
      </c>
    </row>
    <row r="781" spans="1:22">
      <c r="A781" s="3" t="s">
        <v>76</v>
      </c>
      <c r="B781" s="3" t="s">
        <v>106</v>
      </c>
      <c r="C781" s="3" t="s">
        <v>107</v>
      </c>
      <c r="D781" s="3" t="s">
        <v>75</v>
      </c>
      <c r="E781" s="3">
        <v>2</v>
      </c>
      <c r="F781" s="3">
        <v>0.77119464057880904</v>
      </c>
      <c r="G781" s="3">
        <v>1.9365174928205531</v>
      </c>
      <c r="H781" s="3">
        <f t="shared" si="66"/>
        <v>-0.25981448516688727</v>
      </c>
      <c r="I781" s="3">
        <f t="shared" si="67"/>
        <v>0.66089125314671859</v>
      </c>
      <c r="N781">
        <f t="shared" si="63"/>
        <v>-0.25981448516688727</v>
      </c>
      <c r="O781">
        <f t="shared" si="64"/>
        <v>0.66089125314671859</v>
      </c>
      <c r="P781">
        <v>1.9365174928205531</v>
      </c>
      <c r="T781">
        <f t="shared" si="65"/>
        <v>0.77119464057880904</v>
      </c>
      <c r="V781" s="7">
        <v>1.9365174928205531</v>
      </c>
    </row>
    <row r="782" spans="1:22">
      <c r="A782" s="3" t="s">
        <v>76</v>
      </c>
      <c r="B782" s="3" t="s">
        <v>106</v>
      </c>
      <c r="C782" s="3" t="s">
        <v>107</v>
      </c>
      <c r="D782" s="3" t="s">
        <v>75</v>
      </c>
      <c r="E782" s="3">
        <v>3</v>
      </c>
      <c r="F782" s="3">
        <v>0.80104224928353696</v>
      </c>
      <c r="G782" s="3">
        <v>1.9876870981117727</v>
      </c>
      <c r="H782" s="3">
        <f t="shared" si="66"/>
        <v>-0.2218415876324511</v>
      </c>
      <c r="I782" s="3">
        <f t="shared" si="67"/>
        <v>0.68697170053043</v>
      </c>
      <c r="N782">
        <f t="shared" si="63"/>
        <v>-0.2218415876324511</v>
      </c>
      <c r="O782">
        <f t="shared" si="64"/>
        <v>0.68697170053043</v>
      </c>
      <c r="P782">
        <v>1.9876870981117727</v>
      </c>
      <c r="T782">
        <f t="shared" si="65"/>
        <v>0.80104224928353696</v>
      </c>
      <c r="V782" s="7">
        <v>1.9876870981117727</v>
      </c>
    </row>
    <row r="783" spans="1:22">
      <c r="A783" s="3" t="s">
        <v>76</v>
      </c>
      <c r="B783" s="3" t="s">
        <v>106</v>
      </c>
      <c r="C783" s="3" t="s">
        <v>107</v>
      </c>
      <c r="D783" s="3" t="s">
        <v>75</v>
      </c>
      <c r="E783" s="3">
        <v>4</v>
      </c>
      <c r="F783" s="3">
        <v>0.76676282044233102</v>
      </c>
      <c r="G783" s="3">
        <v>1.8493782739072071</v>
      </c>
      <c r="H783" s="3">
        <f t="shared" si="66"/>
        <v>-0.26557775562892366</v>
      </c>
      <c r="I783" s="3">
        <f t="shared" si="67"/>
        <v>0.6148495144484083</v>
      </c>
      <c r="N783">
        <f t="shared" si="63"/>
        <v>-0.26557775562892366</v>
      </c>
      <c r="O783">
        <f t="shared" si="64"/>
        <v>0.6148495144484083</v>
      </c>
      <c r="P783">
        <v>1.8493782739072071</v>
      </c>
      <c r="T783">
        <f t="shared" si="65"/>
        <v>0.76676282044233102</v>
      </c>
      <c r="V783" s="7">
        <v>1.8493782739072071</v>
      </c>
    </row>
    <row r="784" spans="1:22">
      <c r="A784" s="3" t="s">
        <v>76</v>
      </c>
      <c r="B784" s="3" t="s">
        <v>106</v>
      </c>
      <c r="C784" s="3" t="s">
        <v>107</v>
      </c>
      <c r="D784" s="3" t="s">
        <v>75</v>
      </c>
      <c r="E784" s="3">
        <v>5</v>
      </c>
      <c r="F784" s="3">
        <v>0.79104186215393701</v>
      </c>
      <c r="G784" s="3">
        <v>1.9293781381574737</v>
      </c>
      <c r="H784" s="3">
        <f t="shared" si="66"/>
        <v>-0.23440438953782186</v>
      </c>
      <c r="I784" s="3">
        <f t="shared" si="67"/>
        <v>0.65719774278801346</v>
      </c>
      <c r="N784">
        <f t="shared" si="63"/>
        <v>-0.23440438953782186</v>
      </c>
      <c r="O784">
        <f t="shared" si="64"/>
        <v>0.65719774278801346</v>
      </c>
      <c r="P784">
        <v>1.9293781381574737</v>
      </c>
      <c r="T784">
        <f t="shared" si="65"/>
        <v>0.79104186215393701</v>
      </c>
      <c r="V784" s="7">
        <v>1.9293781381574737</v>
      </c>
    </row>
    <row r="785" spans="1:28">
      <c r="A785" s="3" t="s">
        <v>76</v>
      </c>
      <c r="B785" s="3" t="s">
        <v>106</v>
      </c>
      <c r="C785" s="3" t="s">
        <v>107</v>
      </c>
      <c r="D785" s="3" t="s">
        <v>75</v>
      </c>
      <c r="E785" s="3">
        <v>6</v>
      </c>
      <c r="F785" s="3">
        <v>0.75910608989050898</v>
      </c>
      <c r="G785" s="3">
        <v>1.8783237207680681</v>
      </c>
      <c r="H785" s="3">
        <f t="shared" si="66"/>
        <v>-0.27561373547742141</v>
      </c>
      <c r="I785" s="3">
        <f t="shared" si="67"/>
        <v>0.630379741207022</v>
      </c>
      <c r="N785">
        <f t="shared" si="63"/>
        <v>-0.27561373547742141</v>
      </c>
      <c r="O785">
        <f t="shared" si="64"/>
        <v>0.630379741207022</v>
      </c>
      <c r="P785">
        <v>1.8783237207680681</v>
      </c>
      <c r="T785">
        <f t="shared" si="65"/>
        <v>0.75910608989050898</v>
      </c>
      <c r="V785" s="7">
        <v>1.8783237207680681</v>
      </c>
    </row>
    <row r="786" spans="1:28">
      <c r="A786" s="3" t="s">
        <v>76</v>
      </c>
      <c r="B786" s="3" t="s">
        <v>106</v>
      </c>
      <c r="C786" s="3" t="s">
        <v>107</v>
      </c>
      <c r="D786" s="3" t="s">
        <v>75</v>
      </c>
      <c r="E786" s="3">
        <v>8</v>
      </c>
      <c r="F786" s="3">
        <v>0.78851439788247701</v>
      </c>
      <c r="G786" s="3">
        <v>1.9312690128513945</v>
      </c>
      <c r="H786" s="3">
        <f t="shared" si="66"/>
        <v>-0.23760461290748139</v>
      </c>
      <c r="I786" s="3">
        <f t="shared" si="67"/>
        <v>0.65817730645760442</v>
      </c>
      <c r="N786">
        <f t="shared" si="63"/>
        <v>-0.23760461290748139</v>
      </c>
      <c r="O786">
        <f t="shared" si="64"/>
        <v>0.65817730645760442</v>
      </c>
      <c r="P786">
        <v>1.9312690128513945</v>
      </c>
      <c r="T786">
        <f t="shared" si="65"/>
        <v>0.78851439788247701</v>
      </c>
      <c r="V786" s="7">
        <v>1.9312690128513945</v>
      </c>
    </row>
    <row r="787" spans="1:28">
      <c r="A787" s="3" t="s">
        <v>76</v>
      </c>
      <c r="B787" s="3" t="s">
        <v>106</v>
      </c>
      <c r="C787" s="3" t="s">
        <v>107</v>
      </c>
      <c r="D787" s="3" t="s">
        <v>75</v>
      </c>
      <c r="E787" s="3">
        <v>9</v>
      </c>
      <c r="F787" s="3">
        <v>0.75771386083412995</v>
      </c>
      <c r="G787" s="3">
        <v>1.9112822920751398</v>
      </c>
      <c r="H787" s="3">
        <f t="shared" si="66"/>
        <v>-0.27744945691117956</v>
      </c>
      <c r="I787" s="3">
        <f t="shared" si="67"/>
        <v>0.64777437390657266</v>
      </c>
      <c r="N787">
        <f t="shared" si="63"/>
        <v>-0.27744945691117956</v>
      </c>
      <c r="O787">
        <f t="shared" si="64"/>
        <v>0.64777437390657266</v>
      </c>
      <c r="P787">
        <v>1.9112822920751398</v>
      </c>
      <c r="T787">
        <f t="shared" si="65"/>
        <v>0.75771386083412995</v>
      </c>
      <c r="V787" s="7">
        <v>1.9112822920751398</v>
      </c>
    </row>
    <row r="788" spans="1:28">
      <c r="A788" s="3" t="s">
        <v>76</v>
      </c>
      <c r="B788" s="3" t="s">
        <v>106</v>
      </c>
      <c r="C788" s="3" t="s">
        <v>107</v>
      </c>
      <c r="D788" s="3" t="s">
        <v>75</v>
      </c>
      <c r="E788" s="3">
        <v>10</v>
      </c>
      <c r="F788" s="3">
        <v>0.74987874490220696</v>
      </c>
      <c r="G788" s="3">
        <v>1.8917980864775183</v>
      </c>
      <c r="H788" s="3">
        <f t="shared" si="66"/>
        <v>-0.28784375898606823</v>
      </c>
      <c r="I788" s="3">
        <f t="shared" si="67"/>
        <v>0.63752774531398071</v>
      </c>
      <c r="N788">
        <f t="shared" si="63"/>
        <v>-0.28784375898606823</v>
      </c>
      <c r="O788">
        <f t="shared" si="64"/>
        <v>0.63752774531398071</v>
      </c>
      <c r="P788">
        <v>1.8917980864775183</v>
      </c>
      <c r="T788">
        <f t="shared" si="65"/>
        <v>0.74987874490220696</v>
      </c>
      <c r="V788" s="7">
        <v>1.8917980864775183</v>
      </c>
    </row>
    <row r="789" spans="1:28">
      <c r="A789" s="3" t="s">
        <v>76</v>
      </c>
      <c r="B789" s="3" t="s">
        <v>106</v>
      </c>
      <c r="C789" s="3" t="s">
        <v>107</v>
      </c>
      <c r="D789" s="3" t="s">
        <v>75</v>
      </c>
      <c r="E789" s="3">
        <v>11</v>
      </c>
      <c r="F789" s="3">
        <v>0.76411269804122495</v>
      </c>
      <c r="G789" s="3">
        <v>1.8874321179846445</v>
      </c>
      <c r="H789" s="3">
        <f t="shared" si="66"/>
        <v>-0.26903999016906072</v>
      </c>
      <c r="I789" s="3">
        <f t="shared" si="67"/>
        <v>0.63521723751267789</v>
      </c>
      <c r="N789">
        <f t="shared" si="63"/>
        <v>-0.26903999016906072</v>
      </c>
      <c r="O789">
        <f t="shared" si="64"/>
        <v>0.63521723751267789</v>
      </c>
      <c r="P789">
        <v>1.8874321179846445</v>
      </c>
      <c r="T789">
        <f t="shared" si="65"/>
        <v>0.76411269804122495</v>
      </c>
      <c r="V789" s="7">
        <v>1.8874321179846445</v>
      </c>
    </row>
    <row r="790" spans="1:28">
      <c r="A790" s="3" t="s">
        <v>76</v>
      </c>
      <c r="B790" s="3" t="s">
        <v>106</v>
      </c>
      <c r="C790" s="3" t="s">
        <v>107</v>
      </c>
      <c r="D790" s="3" t="s">
        <v>75</v>
      </c>
      <c r="E790" s="3">
        <v>12</v>
      </c>
      <c r="F790" s="3">
        <v>0.79740767161980397</v>
      </c>
      <c r="G790" s="3">
        <v>1.9544052803858265</v>
      </c>
      <c r="H790" s="3">
        <f t="shared" si="66"/>
        <v>-0.2263892232888319</v>
      </c>
      <c r="I790" s="3">
        <f t="shared" si="67"/>
        <v>0.67008594275155597</v>
      </c>
      <c r="N790">
        <f t="shared" si="63"/>
        <v>-0.2263892232888319</v>
      </c>
      <c r="O790">
        <f t="shared" si="64"/>
        <v>0.67008594275155597</v>
      </c>
      <c r="P790">
        <v>1.9544052803858265</v>
      </c>
      <c r="T790">
        <f t="shared" si="65"/>
        <v>0.79740767161980397</v>
      </c>
      <c r="V790" s="7">
        <v>1.9544052803858265</v>
      </c>
    </row>
    <row r="791" spans="1:28">
      <c r="A791" s="3" t="s">
        <v>76</v>
      </c>
      <c r="B791" s="3" t="s">
        <v>106</v>
      </c>
      <c r="C791" s="3" t="s">
        <v>107</v>
      </c>
      <c r="D791" s="3" t="s">
        <v>75</v>
      </c>
      <c r="E791" s="3">
        <v>13</v>
      </c>
      <c r="F791" s="3">
        <v>0.73622372493826904</v>
      </c>
      <c r="G791" s="3">
        <v>1.800999722376436</v>
      </c>
      <c r="H791" s="3">
        <f t="shared" si="66"/>
        <v>-0.30622123234311849</v>
      </c>
      <c r="I791" s="3">
        <f t="shared" si="67"/>
        <v>0.58834191204413255</v>
      </c>
      <c r="N791">
        <f t="shared" si="63"/>
        <v>-0.30622123234311849</v>
      </c>
      <c r="O791">
        <f t="shared" si="64"/>
        <v>0.58834191204413255</v>
      </c>
      <c r="P791">
        <v>1.800999722376436</v>
      </c>
      <c r="T791">
        <f t="shared" si="65"/>
        <v>0.73622372493826904</v>
      </c>
      <c r="V791" s="7">
        <v>1.800999722376436</v>
      </c>
    </row>
    <row r="792" spans="1:28">
      <c r="A792" s="3" t="s">
        <v>76</v>
      </c>
      <c r="B792" s="3" t="s">
        <v>106</v>
      </c>
      <c r="C792" s="3" t="s">
        <v>107</v>
      </c>
      <c r="D792" s="3" t="s">
        <v>75</v>
      </c>
      <c r="E792" s="3">
        <v>14</v>
      </c>
      <c r="F792" s="3">
        <v>0.75306897977579701</v>
      </c>
      <c r="G792" s="3">
        <v>1.8383960400305477</v>
      </c>
      <c r="H792" s="3">
        <f t="shared" si="66"/>
        <v>-0.28359844876990842</v>
      </c>
      <c r="I792" s="3">
        <f t="shared" si="67"/>
        <v>0.60889347407965333</v>
      </c>
      <c r="N792">
        <f t="shared" si="63"/>
        <v>-0.28359844876990842</v>
      </c>
      <c r="O792">
        <f t="shared" si="64"/>
        <v>0.60889347407965333</v>
      </c>
      <c r="P792">
        <v>1.8383960400305477</v>
      </c>
      <c r="T792">
        <f t="shared" si="65"/>
        <v>0.75306897977579701</v>
      </c>
      <c r="V792" s="7">
        <v>1.8383960400305477</v>
      </c>
    </row>
    <row r="793" spans="1:28">
      <c r="A793" s="3" t="s">
        <v>76</v>
      </c>
      <c r="B793" s="3" t="s">
        <v>106</v>
      </c>
      <c r="C793" s="3" t="s">
        <v>107</v>
      </c>
      <c r="D793" s="3" t="s">
        <v>75</v>
      </c>
      <c r="E793" s="3">
        <v>15</v>
      </c>
      <c r="F793" s="3">
        <v>0.77248925972256099</v>
      </c>
      <c r="G793" s="3">
        <v>1.9166898549321951</v>
      </c>
      <c r="H793" s="3">
        <f t="shared" si="66"/>
        <v>-0.25813717357865362</v>
      </c>
      <c r="I793" s="3">
        <f t="shared" si="67"/>
        <v>0.6505996642934595</v>
      </c>
      <c r="N793">
        <f t="shared" si="63"/>
        <v>-0.25813717357865362</v>
      </c>
      <c r="O793">
        <f t="shared" si="64"/>
        <v>0.6505996642934595</v>
      </c>
      <c r="P793">
        <v>1.9166898549321951</v>
      </c>
      <c r="T793">
        <f t="shared" si="65"/>
        <v>0.77248925972256099</v>
      </c>
      <c r="V793" s="7">
        <v>1.9166898549321951</v>
      </c>
    </row>
    <row r="794" spans="1:28">
      <c r="A794" s="3" t="s">
        <v>76</v>
      </c>
      <c r="B794" s="3" t="s">
        <v>106</v>
      </c>
      <c r="C794" s="3" t="s">
        <v>107</v>
      </c>
      <c r="D794" s="3" t="s">
        <v>75</v>
      </c>
      <c r="E794" s="3">
        <v>16</v>
      </c>
      <c r="F794" s="3">
        <v>0.77911040069206805</v>
      </c>
      <c r="G794" s="3">
        <v>1.9159592897553954</v>
      </c>
      <c r="H794" s="3">
        <f t="shared" si="66"/>
        <v>-0.24960252211041764</v>
      </c>
      <c r="I794" s="3">
        <f t="shared" si="67"/>
        <v>0.65021843180487626</v>
      </c>
      <c r="N794">
        <f t="shared" si="63"/>
        <v>-0.24960252211041764</v>
      </c>
      <c r="O794">
        <f t="shared" si="64"/>
        <v>0.65021843180487626</v>
      </c>
      <c r="P794">
        <v>1.9159592897553954</v>
      </c>
      <c r="T794">
        <f t="shared" si="65"/>
        <v>0.77911040069206805</v>
      </c>
      <c r="V794" s="7">
        <v>1.9159592897553954</v>
      </c>
    </row>
    <row r="795" spans="1:28">
      <c r="A795" s="3" t="s">
        <v>76</v>
      </c>
      <c r="B795" s="3" t="s">
        <v>106</v>
      </c>
      <c r="C795" s="3" t="s">
        <v>107</v>
      </c>
      <c r="D795" s="3" t="s">
        <v>75</v>
      </c>
      <c r="E795" s="3">
        <v>17</v>
      </c>
      <c r="F795" s="3">
        <v>0.78101688831371097</v>
      </c>
      <c r="G795" s="3">
        <v>1.9119100397246727</v>
      </c>
      <c r="H795" s="3">
        <f t="shared" si="66"/>
        <v>-0.24715850541502793</v>
      </c>
      <c r="I795" s="3">
        <f t="shared" si="67"/>
        <v>0.64810276316910231</v>
      </c>
      <c r="N795">
        <f t="shared" si="63"/>
        <v>-0.24715850541502793</v>
      </c>
      <c r="O795">
        <f t="shared" si="64"/>
        <v>0.64810276316910231</v>
      </c>
      <c r="P795">
        <v>1.9119100397246727</v>
      </c>
      <c r="T795">
        <f t="shared" si="65"/>
        <v>0.78101688831371097</v>
      </c>
      <c r="V795" s="7">
        <v>1.9119100397246727</v>
      </c>
    </row>
    <row r="796" spans="1:28">
      <c r="A796" s="3" t="s">
        <v>76</v>
      </c>
      <c r="B796" s="3" t="s">
        <v>106</v>
      </c>
      <c r="C796" s="3" t="s">
        <v>107</v>
      </c>
      <c r="D796" s="3" t="s">
        <v>75</v>
      </c>
      <c r="E796" s="3">
        <v>18</v>
      </c>
      <c r="F796" s="3">
        <v>0.77621530133656502</v>
      </c>
      <c r="G796" s="3">
        <v>1.8788294228055935</v>
      </c>
      <c r="H796" s="3">
        <f t="shared" si="66"/>
        <v>-0.25332534710511478</v>
      </c>
      <c r="I796" s="3">
        <f t="shared" si="67"/>
        <v>0.6306489354726027</v>
      </c>
      <c r="N796">
        <f t="shared" si="63"/>
        <v>-0.25332534710511478</v>
      </c>
      <c r="O796">
        <f t="shared" si="64"/>
        <v>0.6306489354726027</v>
      </c>
      <c r="P796">
        <v>1.8788294228055935</v>
      </c>
      <c r="T796">
        <f t="shared" si="65"/>
        <v>0.77621530133656502</v>
      </c>
      <c r="V796" s="7">
        <v>1.8788294228055935</v>
      </c>
    </row>
    <row r="797" spans="1:28">
      <c r="A797" s="3" t="s">
        <v>76</v>
      </c>
      <c r="B797" s="3" t="s">
        <v>106</v>
      </c>
      <c r="C797" s="3" t="s">
        <v>107</v>
      </c>
      <c r="D797" s="3" t="s">
        <v>75</v>
      </c>
      <c r="E797" s="3">
        <v>20</v>
      </c>
      <c r="F797" s="3">
        <v>0.77381828977932099</v>
      </c>
      <c r="G797" s="3">
        <v>1.9436306233438494</v>
      </c>
      <c r="H797" s="3">
        <f t="shared" si="66"/>
        <v>-0.25641820068164212</v>
      </c>
      <c r="I797" s="3">
        <f t="shared" si="67"/>
        <v>0.66455767941635369</v>
      </c>
      <c r="N797">
        <f t="shared" si="63"/>
        <v>-0.25641820068164212</v>
      </c>
      <c r="O797">
        <f t="shared" si="64"/>
        <v>0.66455767941635369</v>
      </c>
      <c r="P797">
        <v>1.9436306233438494</v>
      </c>
      <c r="T797">
        <f t="shared" si="65"/>
        <v>0.77381828977932099</v>
      </c>
      <c r="V797" s="7">
        <v>1.9436306233438494</v>
      </c>
    </row>
    <row r="798" spans="1:28">
      <c r="A798" s="3" t="s">
        <v>76</v>
      </c>
      <c r="B798" s="3" t="s">
        <v>106</v>
      </c>
      <c r="C798" s="3" t="s">
        <v>107</v>
      </c>
      <c r="D798" s="3" t="s">
        <v>75</v>
      </c>
      <c r="E798" s="3">
        <v>21</v>
      </c>
      <c r="F798" s="3">
        <v>0.76561404690470802</v>
      </c>
      <c r="G798" s="3">
        <v>1.8213182039391143</v>
      </c>
      <c r="H798" s="3">
        <f t="shared" si="66"/>
        <v>-0.26707709143502489</v>
      </c>
      <c r="I798" s="3">
        <f t="shared" si="67"/>
        <v>0.59956052679745597</v>
      </c>
      <c r="N798">
        <f t="shared" si="63"/>
        <v>-0.26707709143502489</v>
      </c>
      <c r="O798">
        <f t="shared" si="64"/>
        <v>0.59956052679745597</v>
      </c>
      <c r="P798">
        <v>1.8213182039391143</v>
      </c>
      <c r="T798">
        <f t="shared" si="65"/>
        <v>0.76561404690470802</v>
      </c>
      <c r="V798" s="7">
        <v>1.8213182039391143</v>
      </c>
    </row>
    <row r="799" spans="1:28">
      <c r="A799" s="3" t="s">
        <v>76</v>
      </c>
      <c r="B799" s="3" t="s">
        <v>106</v>
      </c>
      <c r="C799" s="3" t="s">
        <v>107</v>
      </c>
      <c r="D799" s="3" t="s">
        <v>75</v>
      </c>
      <c r="E799" s="3">
        <v>22</v>
      </c>
      <c r="F799" s="3">
        <v>0.76375453758204004</v>
      </c>
      <c r="G799" s="3">
        <v>1.8828170383762728</v>
      </c>
      <c r="H799" s="3">
        <f t="shared" si="66"/>
        <v>-0.26950882732636694</v>
      </c>
      <c r="I799" s="3">
        <f t="shared" si="67"/>
        <v>0.63276907999204524</v>
      </c>
      <c r="N799">
        <f t="shared" si="63"/>
        <v>-0.26950882732636694</v>
      </c>
      <c r="O799">
        <f t="shared" si="64"/>
        <v>0.63276907999204524</v>
      </c>
      <c r="P799">
        <v>1.8828170383762728</v>
      </c>
      <c r="T799">
        <f t="shared" si="65"/>
        <v>0.76375453758204004</v>
      </c>
      <c r="V799" s="7">
        <v>1.8828170383762728</v>
      </c>
    </row>
    <row r="800" spans="1:28">
      <c r="A800" s="3" t="s">
        <v>90</v>
      </c>
      <c r="B800" s="3" t="s">
        <v>77</v>
      </c>
      <c r="C800" s="3" t="s">
        <v>107</v>
      </c>
      <c r="D800" s="3" t="s">
        <v>79</v>
      </c>
      <c r="E800" s="3">
        <v>1</v>
      </c>
      <c r="F800" s="3">
        <v>0.93849828357809695</v>
      </c>
      <c r="G800" s="3">
        <v>2.1253235047869774</v>
      </c>
      <c r="H800" s="3">
        <f t="shared" si="66"/>
        <v>-6.3474251856450087E-2</v>
      </c>
      <c r="I800" s="3">
        <f t="shared" si="67"/>
        <v>0.75392402833623373</v>
      </c>
      <c r="J800">
        <v>2.1253235047869774</v>
      </c>
      <c r="K800">
        <f t="shared" ref="K800:K834" si="68">LN(J800)</f>
        <v>0.75392402833623373</v>
      </c>
      <c r="AB800" s="7">
        <f>G800</f>
        <v>2.1253235047869774</v>
      </c>
    </row>
    <row r="801" spans="1:28">
      <c r="A801" s="3" t="s">
        <v>90</v>
      </c>
      <c r="B801" s="3" t="s">
        <v>77</v>
      </c>
      <c r="C801" s="3" t="s">
        <v>107</v>
      </c>
      <c r="D801" s="3" t="s">
        <v>79</v>
      </c>
      <c r="E801" s="3">
        <v>2</v>
      </c>
      <c r="F801" s="3">
        <v>0.93725051976235196</v>
      </c>
      <c r="G801" s="3">
        <v>2.0582759776084449</v>
      </c>
      <c r="H801" s="3">
        <f t="shared" si="66"/>
        <v>-6.4804668805211033E-2</v>
      </c>
      <c r="I801" s="3">
        <f t="shared" si="67"/>
        <v>0.72186872832819082</v>
      </c>
      <c r="J801">
        <v>2.0582759776084449</v>
      </c>
      <c r="K801">
        <f t="shared" si="68"/>
        <v>0.72186872832819082</v>
      </c>
      <c r="AB801" s="7">
        <f t="shared" ref="AB801:AB864" si="69">G801</f>
        <v>2.0582759776084449</v>
      </c>
    </row>
    <row r="802" spans="1:28">
      <c r="A802" s="3" t="s">
        <v>90</v>
      </c>
      <c r="B802" s="3" t="s">
        <v>77</v>
      </c>
      <c r="C802" s="3" t="s">
        <v>107</v>
      </c>
      <c r="D802" s="3" t="s">
        <v>79</v>
      </c>
      <c r="E802" s="3">
        <v>3</v>
      </c>
      <c r="F802" s="3">
        <v>0.92871474222494499</v>
      </c>
      <c r="G802" s="3">
        <v>2.1211553455605276</v>
      </c>
      <c r="H802" s="3">
        <f t="shared" si="66"/>
        <v>-7.3953646281861865E-2</v>
      </c>
      <c r="I802" s="3">
        <f t="shared" si="67"/>
        <v>0.7519609145603493</v>
      </c>
      <c r="J802">
        <v>2.1211553455605276</v>
      </c>
      <c r="K802">
        <f t="shared" si="68"/>
        <v>0.7519609145603493</v>
      </c>
      <c r="AB802" s="7">
        <f t="shared" si="69"/>
        <v>2.1211553455605276</v>
      </c>
    </row>
    <row r="803" spans="1:28">
      <c r="A803" s="3" t="s">
        <v>90</v>
      </c>
      <c r="B803" s="3" t="s">
        <v>77</v>
      </c>
      <c r="C803" s="3" t="s">
        <v>107</v>
      </c>
      <c r="D803" s="3" t="s">
        <v>79</v>
      </c>
      <c r="E803" s="3">
        <v>4</v>
      </c>
      <c r="F803" s="3">
        <v>0.98390869214913501</v>
      </c>
      <c r="G803" s="3">
        <v>2.155736533067063</v>
      </c>
      <c r="H803" s="3">
        <f t="shared" si="66"/>
        <v>-1.6222178766743773E-2</v>
      </c>
      <c r="I803" s="3">
        <f t="shared" si="67"/>
        <v>0.76813244384809287</v>
      </c>
      <c r="J803">
        <v>2.155736533067063</v>
      </c>
      <c r="K803">
        <f t="shared" si="68"/>
        <v>0.76813244384809287</v>
      </c>
      <c r="AB803" s="7">
        <f t="shared" si="69"/>
        <v>2.155736533067063</v>
      </c>
    </row>
    <row r="804" spans="1:28">
      <c r="A804" s="3" t="s">
        <v>90</v>
      </c>
      <c r="B804" s="3" t="s">
        <v>77</v>
      </c>
      <c r="C804" s="3" t="s">
        <v>107</v>
      </c>
      <c r="D804" s="3" t="s">
        <v>79</v>
      </c>
      <c r="E804" s="3">
        <v>5</v>
      </c>
      <c r="F804" s="3">
        <v>0.96813990809814399</v>
      </c>
      <c r="G804" s="3">
        <v>2.0927493877672023</v>
      </c>
      <c r="H804" s="3">
        <f t="shared" si="66"/>
        <v>-3.2378668990231126E-2</v>
      </c>
      <c r="I804" s="3">
        <f t="shared" si="67"/>
        <v>0.73847869800856636</v>
      </c>
      <c r="J804">
        <v>2.0927493877672023</v>
      </c>
      <c r="K804">
        <f t="shared" si="68"/>
        <v>0.73847869800856636</v>
      </c>
      <c r="AB804" s="7">
        <f t="shared" si="69"/>
        <v>2.0927493877672023</v>
      </c>
    </row>
    <row r="805" spans="1:28">
      <c r="A805" s="3" t="s">
        <v>90</v>
      </c>
      <c r="B805" s="3" t="s">
        <v>77</v>
      </c>
      <c r="C805" s="3" t="s">
        <v>107</v>
      </c>
      <c r="D805" s="3" t="s">
        <v>79</v>
      </c>
      <c r="E805" s="3">
        <v>6</v>
      </c>
      <c r="F805" s="3">
        <v>0.94156393610435296</v>
      </c>
      <c r="G805" s="3">
        <v>2.1137644144984558</v>
      </c>
      <c r="H805" s="3">
        <f t="shared" si="66"/>
        <v>-6.0213024423389619E-2</v>
      </c>
      <c r="I805" s="3">
        <f t="shared" si="67"/>
        <v>0.74847044060347712</v>
      </c>
      <c r="J805">
        <v>2.1137644144984558</v>
      </c>
      <c r="K805">
        <f t="shared" si="68"/>
        <v>0.74847044060347712</v>
      </c>
      <c r="AB805" s="7">
        <f t="shared" si="69"/>
        <v>2.1137644144984558</v>
      </c>
    </row>
    <row r="806" spans="1:28">
      <c r="A806" s="3" t="s">
        <v>90</v>
      </c>
      <c r="B806" s="3" t="s">
        <v>77</v>
      </c>
      <c r="C806" s="3" t="s">
        <v>107</v>
      </c>
      <c r="D806" s="3" t="s">
        <v>79</v>
      </c>
      <c r="E806" s="3">
        <v>7</v>
      </c>
      <c r="F806" s="3">
        <v>0.96673655489483601</v>
      </c>
      <c r="G806" s="3">
        <v>2.1332135383031861</v>
      </c>
      <c r="H806" s="3">
        <f t="shared" si="66"/>
        <v>-3.3829256121996137E-2</v>
      </c>
      <c r="I806" s="3">
        <f t="shared" si="67"/>
        <v>0.75762954620044454</v>
      </c>
      <c r="J806">
        <v>2.1332135383031861</v>
      </c>
      <c r="K806">
        <f t="shared" si="68"/>
        <v>0.75762954620044454</v>
      </c>
      <c r="AB806" s="7">
        <f t="shared" si="69"/>
        <v>2.1332135383031861</v>
      </c>
    </row>
    <row r="807" spans="1:28">
      <c r="A807" s="3" t="s">
        <v>90</v>
      </c>
      <c r="B807" s="3" t="s">
        <v>77</v>
      </c>
      <c r="C807" s="3" t="s">
        <v>107</v>
      </c>
      <c r="D807" s="3" t="s">
        <v>79</v>
      </c>
      <c r="E807" s="3">
        <v>8</v>
      </c>
      <c r="F807" s="3">
        <v>0.92835173515358804</v>
      </c>
      <c r="G807" s="3">
        <v>2.0932271735289505</v>
      </c>
      <c r="H807" s="3">
        <f t="shared" si="66"/>
        <v>-7.4344593057760644E-2</v>
      </c>
      <c r="I807" s="3">
        <f t="shared" si="67"/>
        <v>0.73870697724368717</v>
      </c>
      <c r="J807">
        <v>2.0932271735289505</v>
      </c>
      <c r="K807">
        <f t="shared" si="68"/>
        <v>0.73870697724368717</v>
      </c>
      <c r="AB807" s="7">
        <f t="shared" si="69"/>
        <v>2.0932271735289505</v>
      </c>
    </row>
    <row r="808" spans="1:28">
      <c r="A808" s="3" t="s">
        <v>90</v>
      </c>
      <c r="B808" s="3" t="s">
        <v>77</v>
      </c>
      <c r="C808" s="3" t="s">
        <v>107</v>
      </c>
      <c r="D808" s="3" t="s">
        <v>79</v>
      </c>
      <c r="E808" s="3">
        <v>9</v>
      </c>
      <c r="F808" s="3">
        <v>0.92826538905941303</v>
      </c>
      <c r="G808" s="3">
        <v>2.1428252378577213</v>
      </c>
      <c r="H808" s="3">
        <f t="shared" si="66"/>
        <v>-7.4437607490420124E-2</v>
      </c>
      <c r="I808" s="3">
        <f t="shared" si="67"/>
        <v>0.76212516293632449</v>
      </c>
      <c r="J808">
        <v>2.1428252378577213</v>
      </c>
      <c r="K808">
        <f t="shared" si="68"/>
        <v>0.76212516293632449</v>
      </c>
      <c r="AB808" s="7">
        <f t="shared" si="69"/>
        <v>2.1428252378577213</v>
      </c>
    </row>
    <row r="809" spans="1:28">
      <c r="A809" s="3" t="s">
        <v>90</v>
      </c>
      <c r="B809" s="3" t="s">
        <v>77</v>
      </c>
      <c r="C809" s="3" t="s">
        <v>107</v>
      </c>
      <c r="D809" s="3" t="s">
        <v>79</v>
      </c>
      <c r="E809" s="3">
        <v>10</v>
      </c>
      <c r="F809" s="3">
        <v>0.96563200987493403</v>
      </c>
      <c r="G809" s="3">
        <v>2.0787015177749786</v>
      </c>
      <c r="H809" s="3">
        <f t="shared" si="66"/>
        <v>-3.4972459504968807E-2</v>
      </c>
      <c r="I809" s="3">
        <f t="shared" si="67"/>
        <v>0.73174342847489804</v>
      </c>
      <c r="J809">
        <v>2.0787015177749786</v>
      </c>
      <c r="K809">
        <f t="shared" si="68"/>
        <v>0.73174342847489804</v>
      </c>
      <c r="AB809" s="7">
        <f t="shared" si="69"/>
        <v>2.0787015177749786</v>
      </c>
    </row>
    <row r="810" spans="1:28">
      <c r="A810" s="3" t="s">
        <v>90</v>
      </c>
      <c r="B810" s="3" t="s">
        <v>77</v>
      </c>
      <c r="C810" s="3" t="s">
        <v>107</v>
      </c>
      <c r="D810" s="3" t="s">
        <v>79</v>
      </c>
      <c r="E810" s="3">
        <v>11</v>
      </c>
      <c r="F810" s="3">
        <v>0.95877446682101397</v>
      </c>
      <c r="G810" s="3">
        <v>2.1876242821837577</v>
      </c>
      <c r="H810" s="3">
        <f t="shared" si="66"/>
        <v>-4.2099407125882317E-2</v>
      </c>
      <c r="I810" s="3">
        <f t="shared" si="67"/>
        <v>0.7828161523483127</v>
      </c>
      <c r="J810">
        <v>2.1876242821837577</v>
      </c>
      <c r="K810">
        <f t="shared" si="68"/>
        <v>0.7828161523483127</v>
      </c>
      <c r="AB810" s="7">
        <f t="shared" si="69"/>
        <v>2.1876242821837577</v>
      </c>
    </row>
    <row r="811" spans="1:28">
      <c r="A811" s="3" t="s">
        <v>90</v>
      </c>
      <c r="B811" s="3" t="s">
        <v>77</v>
      </c>
      <c r="C811" s="3" t="s">
        <v>107</v>
      </c>
      <c r="D811" s="3" t="s">
        <v>79</v>
      </c>
      <c r="E811" s="3">
        <v>12</v>
      </c>
      <c r="F811" s="3">
        <v>0.92276571782190397</v>
      </c>
      <c r="G811" s="3">
        <v>2.1020228352708257</v>
      </c>
      <c r="H811" s="3">
        <f t="shared" si="66"/>
        <v>-8.0379903543945252E-2</v>
      </c>
      <c r="I811" s="3">
        <f t="shared" si="67"/>
        <v>0.74290013598796112</v>
      </c>
      <c r="J811">
        <v>2.1020228352708257</v>
      </c>
      <c r="K811">
        <f t="shared" si="68"/>
        <v>0.74290013598796112</v>
      </c>
      <c r="AB811" s="7">
        <f t="shared" si="69"/>
        <v>2.1020228352708257</v>
      </c>
    </row>
    <row r="812" spans="1:28">
      <c r="A812" s="3" t="s">
        <v>90</v>
      </c>
      <c r="B812" s="3" t="s">
        <v>77</v>
      </c>
      <c r="C812" s="3" t="s">
        <v>107</v>
      </c>
      <c r="D812" s="3" t="s">
        <v>79</v>
      </c>
      <c r="E812" s="3">
        <v>13</v>
      </c>
      <c r="F812" s="3">
        <v>0.93596706683296604</v>
      </c>
      <c r="G812" s="3">
        <v>2.1660332407421636</v>
      </c>
      <c r="H812" s="3">
        <f t="shared" si="66"/>
        <v>-6.6174988131066814E-2</v>
      </c>
      <c r="I812" s="3">
        <f t="shared" si="67"/>
        <v>0.77289749506407124</v>
      </c>
      <c r="J812">
        <v>2.1660332407421636</v>
      </c>
      <c r="K812">
        <f t="shared" si="68"/>
        <v>0.77289749506407124</v>
      </c>
      <c r="AB812" s="7">
        <f t="shared" si="69"/>
        <v>2.1660332407421636</v>
      </c>
    </row>
    <row r="813" spans="1:28">
      <c r="A813" s="3" t="s">
        <v>90</v>
      </c>
      <c r="B813" s="3" t="s">
        <v>77</v>
      </c>
      <c r="C813" s="3" t="s">
        <v>107</v>
      </c>
      <c r="D813" s="3" t="s">
        <v>79</v>
      </c>
      <c r="E813" s="3">
        <v>14</v>
      </c>
      <c r="F813" s="3">
        <v>0.92025343371479895</v>
      </c>
      <c r="G813" s="3">
        <v>2.0929644048573781</v>
      </c>
      <c r="H813" s="3">
        <f t="shared" si="66"/>
        <v>-8.3106175445209332E-2</v>
      </c>
      <c r="I813" s="3">
        <f t="shared" si="67"/>
        <v>0.73858143656214059</v>
      </c>
      <c r="J813">
        <v>2.0929644048573781</v>
      </c>
      <c r="K813">
        <f t="shared" si="68"/>
        <v>0.73858143656214059</v>
      </c>
      <c r="AB813" s="7">
        <f t="shared" si="69"/>
        <v>2.0929644048573781</v>
      </c>
    </row>
    <row r="814" spans="1:28">
      <c r="A814" s="3" t="s">
        <v>90</v>
      </c>
      <c r="B814" s="3" t="s">
        <v>77</v>
      </c>
      <c r="C814" s="3" t="s">
        <v>107</v>
      </c>
      <c r="D814" s="3" t="s">
        <v>79</v>
      </c>
      <c r="E814" s="3">
        <v>15</v>
      </c>
      <c r="F814" s="3">
        <v>0.93608919404344504</v>
      </c>
      <c r="G814" s="3">
        <v>2.168893727225933</v>
      </c>
      <c r="H814" s="3">
        <f t="shared" si="66"/>
        <v>-6.6044514263155302E-2</v>
      </c>
      <c r="I814" s="3">
        <f t="shared" si="67"/>
        <v>0.77421723443688417</v>
      </c>
      <c r="J814">
        <v>2.168893727225933</v>
      </c>
      <c r="K814">
        <f t="shared" si="68"/>
        <v>0.77421723443688417</v>
      </c>
      <c r="AB814" s="7">
        <f t="shared" si="69"/>
        <v>2.168893727225933</v>
      </c>
    </row>
    <row r="815" spans="1:28">
      <c r="A815" s="3" t="s">
        <v>90</v>
      </c>
      <c r="B815" s="3" t="s">
        <v>77</v>
      </c>
      <c r="C815" s="3" t="s">
        <v>107</v>
      </c>
      <c r="D815" s="3" t="s">
        <v>79</v>
      </c>
      <c r="E815" s="3">
        <v>16</v>
      </c>
      <c r="F815" s="3">
        <v>0.92681864182447604</v>
      </c>
      <c r="G815" s="3">
        <v>2.1079373804740973</v>
      </c>
      <c r="H815" s="3">
        <f t="shared" si="66"/>
        <v>-7.5997372443557656E-2</v>
      </c>
      <c r="I815" s="3">
        <f t="shared" si="67"/>
        <v>0.74570992458044505</v>
      </c>
      <c r="J815">
        <v>2.1079373804740973</v>
      </c>
      <c r="K815">
        <f t="shared" si="68"/>
        <v>0.74570992458044505</v>
      </c>
      <c r="AB815" s="7">
        <f t="shared" si="69"/>
        <v>2.1079373804740973</v>
      </c>
    </row>
    <row r="816" spans="1:28">
      <c r="A816" s="3" t="s">
        <v>90</v>
      </c>
      <c r="B816" s="3" t="s">
        <v>77</v>
      </c>
      <c r="C816" s="3" t="s">
        <v>107</v>
      </c>
      <c r="D816" s="3" t="s">
        <v>79</v>
      </c>
      <c r="E816" s="3">
        <v>17</v>
      </c>
      <c r="F816" s="3">
        <v>0.94894457742831295</v>
      </c>
      <c r="G816" s="3">
        <v>2.1109239683134016</v>
      </c>
      <c r="H816" s="3">
        <f t="shared" si="66"/>
        <v>-5.2404883101521652E-2</v>
      </c>
      <c r="I816" s="3">
        <f t="shared" si="67"/>
        <v>0.74712575131249126</v>
      </c>
      <c r="J816">
        <v>2.1109239683134016</v>
      </c>
      <c r="K816">
        <f t="shared" si="68"/>
        <v>0.74712575131249126</v>
      </c>
      <c r="AB816" s="7">
        <f t="shared" si="69"/>
        <v>2.1109239683134016</v>
      </c>
    </row>
    <row r="817" spans="1:28">
      <c r="A817" s="3" t="s">
        <v>90</v>
      </c>
      <c r="B817" s="3" t="s">
        <v>77</v>
      </c>
      <c r="C817" s="3" t="s">
        <v>107</v>
      </c>
      <c r="D817" s="3" t="s">
        <v>79</v>
      </c>
      <c r="E817" s="3">
        <v>18</v>
      </c>
      <c r="F817" s="3">
        <v>0.92450846852579904</v>
      </c>
      <c r="G817" s="3">
        <v>2.0894257584322062</v>
      </c>
      <c r="H817" s="3">
        <f t="shared" si="66"/>
        <v>-7.8493068082471903E-2</v>
      </c>
      <c r="I817" s="3">
        <f t="shared" si="67"/>
        <v>0.73688927149317185</v>
      </c>
      <c r="J817">
        <v>2.0894257584322062</v>
      </c>
      <c r="K817">
        <f t="shared" si="68"/>
        <v>0.73688927149317185</v>
      </c>
      <c r="AB817" s="7">
        <f t="shared" si="69"/>
        <v>2.0894257584322062</v>
      </c>
    </row>
    <row r="818" spans="1:28">
      <c r="A818" s="3" t="s">
        <v>90</v>
      </c>
      <c r="B818" s="3" t="s">
        <v>77</v>
      </c>
      <c r="C818" s="3" t="s">
        <v>107</v>
      </c>
      <c r="D818" s="3" t="s">
        <v>79</v>
      </c>
      <c r="E818" s="3">
        <v>19</v>
      </c>
      <c r="F818" s="3">
        <v>0.92883666262680697</v>
      </c>
      <c r="G818" s="3">
        <v>2.0915305400591215</v>
      </c>
      <c r="H818" s="3">
        <f t="shared" si="66"/>
        <v>-7.3822376265087503E-2</v>
      </c>
      <c r="I818" s="3">
        <f t="shared" si="67"/>
        <v>0.73789611378209119</v>
      </c>
      <c r="J818">
        <v>2.0915305400591215</v>
      </c>
      <c r="K818">
        <f t="shared" si="68"/>
        <v>0.73789611378209119</v>
      </c>
      <c r="AB818" s="7">
        <f t="shared" si="69"/>
        <v>2.0915305400591215</v>
      </c>
    </row>
    <row r="819" spans="1:28">
      <c r="A819" s="3" t="s">
        <v>90</v>
      </c>
      <c r="B819" s="3" t="s">
        <v>77</v>
      </c>
      <c r="C819" s="3" t="s">
        <v>107</v>
      </c>
      <c r="D819" s="3" t="s">
        <v>79</v>
      </c>
      <c r="E819" s="3">
        <v>20</v>
      </c>
      <c r="F819" s="3">
        <v>0.95956683023384304</v>
      </c>
      <c r="G819" s="3">
        <v>2.1577998053572998</v>
      </c>
      <c r="H819" s="3">
        <f t="shared" si="66"/>
        <v>-4.127331485637168E-2</v>
      </c>
      <c r="I819" s="3">
        <f t="shared" si="67"/>
        <v>0.76908909393086267</v>
      </c>
      <c r="J819">
        <v>2.1577998053572998</v>
      </c>
      <c r="K819">
        <f t="shared" si="68"/>
        <v>0.76908909393086267</v>
      </c>
      <c r="AB819" s="7">
        <f t="shared" si="69"/>
        <v>2.1577998053572998</v>
      </c>
    </row>
    <row r="820" spans="1:28">
      <c r="A820" s="3" t="s">
        <v>90</v>
      </c>
      <c r="B820" s="3" t="s">
        <v>77</v>
      </c>
      <c r="C820" s="3" t="s">
        <v>107</v>
      </c>
      <c r="D820" s="3" t="s">
        <v>75</v>
      </c>
      <c r="E820" s="3">
        <v>1</v>
      </c>
      <c r="F820" s="3">
        <v>0.97777800103865598</v>
      </c>
      <c r="G820" s="3">
        <v>2.1377558326431951</v>
      </c>
      <c r="H820" s="3">
        <f t="shared" si="66"/>
        <v>-2.2472627517095597E-2</v>
      </c>
      <c r="I820" s="3">
        <f t="shared" si="67"/>
        <v>0.75975660245305676</v>
      </c>
      <c r="J820">
        <v>2.1377558326431951</v>
      </c>
      <c r="K820">
        <f t="shared" si="68"/>
        <v>0.75975660245305676</v>
      </c>
      <c r="AB820" s="7">
        <f t="shared" si="69"/>
        <v>2.1377558326431951</v>
      </c>
    </row>
    <row r="821" spans="1:28">
      <c r="A821" s="3" t="s">
        <v>90</v>
      </c>
      <c r="B821" s="3" t="s">
        <v>77</v>
      </c>
      <c r="C821" s="3" t="s">
        <v>107</v>
      </c>
      <c r="D821" s="3" t="s">
        <v>75</v>
      </c>
      <c r="E821" s="3">
        <v>2</v>
      </c>
      <c r="F821" s="3">
        <v>0.95982446282070999</v>
      </c>
      <c r="G821" s="3">
        <v>2.1080085388821366</v>
      </c>
      <c r="H821" s="3">
        <f t="shared" si="66"/>
        <v>-4.100486246800622E-2</v>
      </c>
      <c r="I821" s="3">
        <f t="shared" si="67"/>
        <v>0.7457436813740127</v>
      </c>
      <c r="J821">
        <v>2.1080085388821366</v>
      </c>
      <c r="K821">
        <f t="shared" si="68"/>
        <v>0.7457436813740127</v>
      </c>
      <c r="AB821" s="7">
        <f t="shared" si="69"/>
        <v>2.1080085388821366</v>
      </c>
    </row>
    <row r="822" spans="1:28">
      <c r="A822" s="3" t="s">
        <v>90</v>
      </c>
      <c r="B822" s="3" t="s">
        <v>77</v>
      </c>
      <c r="C822" s="3" t="s">
        <v>107</v>
      </c>
      <c r="D822" s="3" t="s">
        <v>75</v>
      </c>
      <c r="E822" s="3">
        <v>3</v>
      </c>
      <c r="F822" s="3">
        <v>0.94812380410187702</v>
      </c>
      <c r="G822" s="3">
        <v>2.110094784600919</v>
      </c>
      <c r="H822" s="3">
        <f t="shared" si="66"/>
        <v>-5.3270190209731595E-2</v>
      </c>
      <c r="I822" s="3">
        <f t="shared" si="67"/>
        <v>0.74673286809083972</v>
      </c>
      <c r="J822">
        <v>2.110094784600919</v>
      </c>
      <c r="K822">
        <f t="shared" si="68"/>
        <v>0.74673286809083972</v>
      </c>
      <c r="AB822" s="7">
        <f t="shared" si="69"/>
        <v>2.110094784600919</v>
      </c>
    </row>
    <row r="823" spans="1:28">
      <c r="A823" s="3" t="s">
        <v>90</v>
      </c>
      <c r="B823" s="3" t="s">
        <v>77</v>
      </c>
      <c r="C823" s="3" t="s">
        <v>107</v>
      </c>
      <c r="D823" s="3" t="s">
        <v>75</v>
      </c>
      <c r="E823" s="3">
        <v>5</v>
      </c>
      <c r="F823" s="3">
        <v>0.960667253259749</v>
      </c>
      <c r="G823" s="3">
        <v>2.1414014102918677</v>
      </c>
      <c r="H823" s="3">
        <f t="shared" si="66"/>
        <v>-4.0127180480540023E-2</v>
      </c>
      <c r="I823" s="3">
        <f t="shared" si="67"/>
        <v>0.76146047932585781</v>
      </c>
      <c r="J823">
        <v>2.1414014102918677</v>
      </c>
      <c r="K823">
        <f t="shared" si="68"/>
        <v>0.76146047932585781</v>
      </c>
      <c r="AB823" s="7">
        <f t="shared" si="69"/>
        <v>2.1414014102918677</v>
      </c>
    </row>
    <row r="824" spans="1:28">
      <c r="A824" s="3" t="s">
        <v>90</v>
      </c>
      <c r="B824" s="3" t="s">
        <v>77</v>
      </c>
      <c r="C824" s="3" t="s">
        <v>107</v>
      </c>
      <c r="D824" s="3" t="s">
        <v>75</v>
      </c>
      <c r="E824" s="3">
        <v>6</v>
      </c>
      <c r="F824" s="3">
        <v>0.94409838485844799</v>
      </c>
      <c r="G824" s="3">
        <v>2.0981182044870588</v>
      </c>
      <c r="H824" s="3">
        <f t="shared" si="66"/>
        <v>-5.752489701893742E-2</v>
      </c>
      <c r="I824" s="3">
        <f t="shared" si="67"/>
        <v>0.74104084989654306</v>
      </c>
      <c r="J824">
        <v>2.0981182044870588</v>
      </c>
      <c r="K824">
        <f t="shared" si="68"/>
        <v>0.74104084989654306</v>
      </c>
      <c r="AB824" s="7">
        <f t="shared" si="69"/>
        <v>2.0981182044870588</v>
      </c>
    </row>
    <row r="825" spans="1:28">
      <c r="A825" s="3" t="s">
        <v>90</v>
      </c>
      <c r="B825" s="3" t="s">
        <v>77</v>
      </c>
      <c r="C825" s="3" t="s">
        <v>107</v>
      </c>
      <c r="D825" s="3" t="s">
        <v>75</v>
      </c>
      <c r="E825" s="3">
        <v>7</v>
      </c>
      <c r="F825" s="3">
        <v>0.93627381331000303</v>
      </c>
      <c r="G825" s="3">
        <v>2.0447249203743767</v>
      </c>
      <c r="H825" s="3">
        <f t="shared" si="66"/>
        <v>-6.5847309697126988E-2</v>
      </c>
      <c r="I825" s="3">
        <f t="shared" si="67"/>
        <v>0.71526326718268107</v>
      </c>
      <c r="J825">
        <v>2.0447249203743767</v>
      </c>
      <c r="K825">
        <f t="shared" si="68"/>
        <v>0.71526326718268107</v>
      </c>
      <c r="AB825" s="7">
        <f t="shared" si="69"/>
        <v>2.0447249203743767</v>
      </c>
    </row>
    <row r="826" spans="1:28">
      <c r="A826" s="3" t="s">
        <v>90</v>
      </c>
      <c r="B826" s="3" t="s">
        <v>77</v>
      </c>
      <c r="C826" s="3" t="s">
        <v>107</v>
      </c>
      <c r="D826" s="3" t="s">
        <v>75</v>
      </c>
      <c r="E826" s="3">
        <v>8</v>
      </c>
      <c r="F826" s="3">
        <v>0.96360686387072603</v>
      </c>
      <c r="G826" s="3">
        <v>2.1247352776287216</v>
      </c>
      <c r="H826" s="3">
        <f t="shared" si="66"/>
        <v>-3.7071885113276359E-2</v>
      </c>
      <c r="I826" s="3">
        <f t="shared" si="67"/>
        <v>0.75364721938269852</v>
      </c>
      <c r="J826">
        <v>2.1247352776287216</v>
      </c>
      <c r="K826">
        <f t="shared" si="68"/>
        <v>0.75364721938269852</v>
      </c>
      <c r="AB826" s="7">
        <f t="shared" si="69"/>
        <v>2.1247352776287216</v>
      </c>
    </row>
    <row r="827" spans="1:28">
      <c r="A827" s="3" t="s">
        <v>90</v>
      </c>
      <c r="B827" s="3" t="s">
        <v>77</v>
      </c>
      <c r="C827" s="3" t="s">
        <v>107</v>
      </c>
      <c r="D827" s="3" t="s">
        <v>75</v>
      </c>
      <c r="E827" s="3">
        <v>9</v>
      </c>
      <c r="F827" s="3">
        <v>0.94508166156336704</v>
      </c>
      <c r="G827" s="3">
        <v>2.0840585404445817</v>
      </c>
      <c r="H827" s="3">
        <f t="shared" si="66"/>
        <v>-5.6483940869130042E-2</v>
      </c>
      <c r="I827" s="3">
        <f t="shared" si="67"/>
        <v>0.73431721392105531</v>
      </c>
      <c r="J827">
        <v>2.0840585404445817</v>
      </c>
      <c r="K827">
        <f t="shared" si="68"/>
        <v>0.73431721392105531</v>
      </c>
      <c r="AB827" s="7">
        <f t="shared" si="69"/>
        <v>2.0840585404445817</v>
      </c>
    </row>
    <row r="828" spans="1:28">
      <c r="A828" s="3" t="s">
        <v>90</v>
      </c>
      <c r="B828" s="3" t="s">
        <v>77</v>
      </c>
      <c r="C828" s="3" t="s">
        <v>107</v>
      </c>
      <c r="D828" s="3" t="s">
        <v>75</v>
      </c>
      <c r="E828" s="3">
        <v>10</v>
      </c>
      <c r="F828" s="3">
        <v>0.94040405985136399</v>
      </c>
      <c r="G828" s="3">
        <v>2.1023796041628637</v>
      </c>
      <c r="H828" s="3">
        <f t="shared" si="66"/>
        <v>-6.1445645171815423E-2</v>
      </c>
      <c r="I828" s="3">
        <f t="shared" si="67"/>
        <v>0.74306984804480336</v>
      </c>
      <c r="J828">
        <v>2.1023796041628637</v>
      </c>
      <c r="K828">
        <f t="shared" si="68"/>
        <v>0.74306984804480336</v>
      </c>
      <c r="AB828" s="7">
        <f t="shared" si="69"/>
        <v>2.1023796041628637</v>
      </c>
    </row>
    <row r="829" spans="1:28">
      <c r="A829" s="3" t="s">
        <v>90</v>
      </c>
      <c r="B829" s="3" t="s">
        <v>77</v>
      </c>
      <c r="C829" s="3" t="s">
        <v>107</v>
      </c>
      <c r="D829" s="3" t="s">
        <v>75</v>
      </c>
      <c r="E829" s="3">
        <v>11</v>
      </c>
      <c r="F829" s="3">
        <v>0.92709388428394401</v>
      </c>
      <c r="G829" s="3">
        <v>2.1086725682286476</v>
      </c>
      <c r="H829" s="3">
        <f t="shared" si="66"/>
        <v>-7.5700440999798516E-2</v>
      </c>
      <c r="I829" s="3">
        <f t="shared" si="67"/>
        <v>0.74605863492877889</v>
      </c>
      <c r="J829">
        <v>2.1086725682286476</v>
      </c>
      <c r="K829">
        <f t="shared" si="68"/>
        <v>0.74605863492877889</v>
      </c>
      <c r="AB829" s="7">
        <f t="shared" si="69"/>
        <v>2.1086725682286476</v>
      </c>
    </row>
    <row r="830" spans="1:28">
      <c r="A830" s="3" t="s">
        <v>90</v>
      </c>
      <c r="B830" s="3" t="s">
        <v>77</v>
      </c>
      <c r="C830" s="3" t="s">
        <v>107</v>
      </c>
      <c r="D830" s="3" t="s">
        <v>75</v>
      </c>
      <c r="E830" s="3">
        <v>12</v>
      </c>
      <c r="F830" s="3">
        <v>0.96624123645017101</v>
      </c>
      <c r="G830" s="3">
        <v>2.1050890717496968</v>
      </c>
      <c r="H830" s="3">
        <f t="shared" si="66"/>
        <v>-3.4341748772169389E-2</v>
      </c>
      <c r="I830" s="3">
        <f t="shared" si="67"/>
        <v>0.74435778060951929</v>
      </c>
      <c r="J830">
        <v>2.1050890717496968</v>
      </c>
      <c r="K830">
        <f t="shared" si="68"/>
        <v>0.74435778060951929</v>
      </c>
      <c r="AB830" s="7">
        <f t="shared" si="69"/>
        <v>2.1050890717496968</v>
      </c>
    </row>
    <row r="831" spans="1:28">
      <c r="A831" s="3" t="s">
        <v>90</v>
      </c>
      <c r="B831" s="3" t="s">
        <v>77</v>
      </c>
      <c r="C831" s="3" t="s">
        <v>107</v>
      </c>
      <c r="D831" s="3" t="s">
        <v>75</v>
      </c>
      <c r="E831" s="3">
        <v>13</v>
      </c>
      <c r="F831" s="3">
        <v>0.93707612093588699</v>
      </c>
      <c r="G831" s="3">
        <v>2.1332838535928595</v>
      </c>
      <c r="H831" s="3">
        <f t="shared" si="66"/>
        <v>-6.4990761051014354E-2</v>
      </c>
      <c r="I831" s="3">
        <f t="shared" si="67"/>
        <v>0.75766250780019306</v>
      </c>
      <c r="J831">
        <v>2.1332838535928595</v>
      </c>
      <c r="K831">
        <f t="shared" si="68"/>
        <v>0.75766250780019306</v>
      </c>
      <c r="AB831" s="7">
        <f t="shared" si="69"/>
        <v>2.1332838535928595</v>
      </c>
    </row>
    <row r="832" spans="1:28">
      <c r="A832" s="3" t="s">
        <v>90</v>
      </c>
      <c r="B832" s="3" t="s">
        <v>77</v>
      </c>
      <c r="C832" s="3" t="s">
        <v>107</v>
      </c>
      <c r="D832" s="3" t="s">
        <v>75</v>
      </c>
      <c r="E832" s="3">
        <v>14</v>
      </c>
      <c r="F832" s="3">
        <v>0.96001963623217101</v>
      </c>
      <c r="G832" s="3">
        <v>2.1435018077902339</v>
      </c>
      <c r="H832" s="3">
        <f t="shared" si="66"/>
        <v>-4.0801540320932216E-2</v>
      </c>
      <c r="I832" s="3">
        <f t="shared" si="67"/>
        <v>0.76244085043796683</v>
      </c>
      <c r="J832">
        <v>2.1435018077902339</v>
      </c>
      <c r="K832">
        <f t="shared" si="68"/>
        <v>0.76244085043796683</v>
      </c>
      <c r="AB832" s="7">
        <f t="shared" si="69"/>
        <v>2.1435018077902339</v>
      </c>
    </row>
    <row r="833" spans="1:28">
      <c r="A833" s="3" t="s">
        <v>90</v>
      </c>
      <c r="B833" s="3" t="s">
        <v>77</v>
      </c>
      <c r="C833" s="3" t="s">
        <v>107</v>
      </c>
      <c r="D833" s="3" t="s">
        <v>75</v>
      </c>
      <c r="E833" s="3">
        <v>15</v>
      </c>
      <c r="F833" s="3">
        <v>0.91957190033379699</v>
      </c>
      <c r="G833" s="3">
        <v>2.0930838492521029</v>
      </c>
      <c r="H833" s="3">
        <f t="shared" si="66"/>
        <v>-8.3847042960796619E-2</v>
      </c>
      <c r="I833" s="3">
        <f t="shared" si="67"/>
        <v>0.73863850441588064</v>
      </c>
      <c r="J833">
        <v>2.0930838492521029</v>
      </c>
      <c r="K833">
        <f t="shared" si="68"/>
        <v>0.73863850441588064</v>
      </c>
      <c r="AB833" s="7">
        <f t="shared" si="69"/>
        <v>2.0930838492521029</v>
      </c>
    </row>
    <row r="834" spans="1:28">
      <c r="A834" s="3" t="s">
        <v>90</v>
      </c>
      <c r="B834" s="3" t="s">
        <v>77</v>
      </c>
      <c r="C834" s="3" t="s">
        <v>107</v>
      </c>
      <c r="D834" s="3" t="s">
        <v>75</v>
      </c>
      <c r="E834" s="3">
        <v>16</v>
      </c>
      <c r="F834" s="3">
        <v>0.96691083375521603</v>
      </c>
      <c r="G834" s="3">
        <v>2.1574522010927613</v>
      </c>
      <c r="H834" s="3">
        <f t="shared" ref="H834:H897" si="70">LN(F834)</f>
        <v>-3.3648996926989957E-2</v>
      </c>
      <c r="I834" s="3">
        <f t="shared" ref="I834:I897" si="71">LN(G834)</f>
        <v>0.76892798896421377</v>
      </c>
      <c r="J834">
        <v>2.1574522010927613</v>
      </c>
      <c r="K834">
        <f t="shared" si="68"/>
        <v>0.76892798896421377</v>
      </c>
      <c r="AB834" s="7">
        <f t="shared" si="69"/>
        <v>2.1574522010927613</v>
      </c>
    </row>
    <row r="835" spans="1:28">
      <c r="A835" s="3" t="s">
        <v>90</v>
      </c>
      <c r="B835" s="3" t="s">
        <v>77</v>
      </c>
      <c r="C835" s="3" t="s">
        <v>107</v>
      </c>
      <c r="D835" s="3" t="s">
        <v>75</v>
      </c>
      <c r="E835" s="3">
        <v>17</v>
      </c>
      <c r="F835" s="3">
        <v>0.93765588661299504</v>
      </c>
      <c r="G835" s="3">
        <v>2.1376856644511606</v>
      </c>
      <c r="H835" s="3">
        <f t="shared" si="70"/>
        <v>-6.4372255906539402E-2</v>
      </c>
      <c r="I835" s="3">
        <f t="shared" si="71"/>
        <v>0.75972377861856455</v>
      </c>
      <c r="J835">
        <v>2.1376856644511606</v>
      </c>
      <c r="K835">
        <f t="shared" ref="K835:K880" si="72">LN(J835)</f>
        <v>0.75972377861856455</v>
      </c>
      <c r="AB835" s="7">
        <f t="shared" si="69"/>
        <v>2.1376856644511606</v>
      </c>
    </row>
    <row r="836" spans="1:28">
      <c r="A836" s="3" t="s">
        <v>90</v>
      </c>
      <c r="B836" s="3" t="s">
        <v>77</v>
      </c>
      <c r="C836" s="3" t="s">
        <v>107</v>
      </c>
      <c r="D836" s="3" t="s">
        <v>75</v>
      </c>
      <c r="E836" s="3">
        <v>18</v>
      </c>
      <c r="F836" s="3">
        <v>0.95279933042033504</v>
      </c>
      <c r="G836" s="3">
        <v>2.0709901013766339</v>
      </c>
      <c r="H836" s="3">
        <f t="shared" si="70"/>
        <v>-4.8350963690732079E-2</v>
      </c>
      <c r="I836" s="3">
        <f t="shared" si="71"/>
        <v>0.72802680276737175</v>
      </c>
      <c r="J836">
        <v>2.0709901013766339</v>
      </c>
      <c r="K836">
        <f t="shared" si="72"/>
        <v>0.72802680276737175</v>
      </c>
      <c r="AB836" s="7">
        <f t="shared" si="69"/>
        <v>2.0709901013766339</v>
      </c>
    </row>
    <row r="837" spans="1:28">
      <c r="A837" s="3" t="s">
        <v>90</v>
      </c>
      <c r="B837" s="3" t="s">
        <v>77</v>
      </c>
      <c r="C837" s="3" t="s">
        <v>107</v>
      </c>
      <c r="D837" s="3" t="s">
        <v>75</v>
      </c>
      <c r="E837" s="3">
        <v>19</v>
      </c>
      <c r="F837" s="3">
        <v>0.95323546447476104</v>
      </c>
      <c r="G837" s="3">
        <v>2.0443580899636933</v>
      </c>
      <c r="H837" s="3">
        <f t="shared" si="70"/>
        <v>-4.7893328748069224E-2</v>
      </c>
      <c r="I837" s="3">
        <f t="shared" si="71"/>
        <v>0.71508384778193035</v>
      </c>
      <c r="J837">
        <v>2.0443580899636933</v>
      </c>
      <c r="K837">
        <f t="shared" si="72"/>
        <v>0.71508384778193035</v>
      </c>
      <c r="AB837" s="7">
        <f t="shared" si="69"/>
        <v>2.0443580899636933</v>
      </c>
    </row>
    <row r="838" spans="1:28">
      <c r="A838" s="3" t="s">
        <v>90</v>
      </c>
      <c r="B838" s="3" t="s">
        <v>77</v>
      </c>
      <c r="C838" s="3" t="s">
        <v>107</v>
      </c>
      <c r="D838" s="3" t="s">
        <v>75</v>
      </c>
      <c r="E838" s="3">
        <v>20</v>
      </c>
      <c r="F838" s="3">
        <v>0.98078044076020399</v>
      </c>
      <c r="G838" s="3">
        <v>2.1287555049840741</v>
      </c>
      <c r="H838" s="3">
        <f t="shared" si="70"/>
        <v>-1.9406656127703398E-2</v>
      </c>
      <c r="I838" s="3">
        <f t="shared" si="71"/>
        <v>0.75553753900859821</v>
      </c>
      <c r="J838">
        <v>2.1287555049840741</v>
      </c>
      <c r="K838">
        <f t="shared" si="72"/>
        <v>0.75553753900859821</v>
      </c>
      <c r="AB838" s="7">
        <f t="shared" si="69"/>
        <v>2.1287555049840741</v>
      </c>
    </row>
    <row r="839" spans="1:28">
      <c r="A839" s="3" t="s">
        <v>90</v>
      </c>
      <c r="B839" s="3" t="s">
        <v>77</v>
      </c>
      <c r="C839" s="3" t="s">
        <v>107</v>
      </c>
      <c r="D839" s="3" t="s">
        <v>75</v>
      </c>
      <c r="E839" s="3">
        <v>21</v>
      </c>
      <c r="F839" s="3">
        <v>0.92882684112843605</v>
      </c>
      <c r="G839" s="3">
        <v>2.0706037766796426</v>
      </c>
      <c r="H839" s="3">
        <f t="shared" si="70"/>
        <v>-7.3832950298922104E-2</v>
      </c>
      <c r="I839" s="3">
        <f t="shared" si="71"/>
        <v>0.72784024430244898</v>
      </c>
      <c r="J839">
        <v>2.0706037766796426</v>
      </c>
      <c r="K839">
        <f t="shared" si="72"/>
        <v>0.72784024430244898</v>
      </c>
      <c r="AB839" s="7">
        <f t="shared" si="69"/>
        <v>2.0706037766796426</v>
      </c>
    </row>
    <row r="840" spans="1:28">
      <c r="A840" s="3" t="s">
        <v>90</v>
      </c>
      <c r="B840" s="3" t="s">
        <v>77</v>
      </c>
      <c r="C840" s="3" t="s">
        <v>107</v>
      </c>
      <c r="D840" s="3" t="s">
        <v>75</v>
      </c>
      <c r="E840" s="3">
        <v>22</v>
      </c>
      <c r="F840" s="3">
        <v>0.96125376235973004</v>
      </c>
      <c r="G840" s="3">
        <v>2.1466252583997982</v>
      </c>
      <c r="H840" s="3">
        <f t="shared" si="70"/>
        <v>-3.9516844141615375E-2</v>
      </c>
      <c r="I840" s="3">
        <f t="shared" si="71"/>
        <v>0.76389696169679511</v>
      </c>
      <c r="J840">
        <v>2.1466252583997982</v>
      </c>
      <c r="K840">
        <f t="shared" si="72"/>
        <v>0.76389696169679511</v>
      </c>
      <c r="AB840" s="7">
        <f t="shared" si="69"/>
        <v>2.1466252583997982</v>
      </c>
    </row>
    <row r="841" spans="1:28">
      <c r="A841" s="3" t="s">
        <v>90</v>
      </c>
      <c r="B841" s="3" t="s">
        <v>77</v>
      </c>
      <c r="C841" s="3" t="s">
        <v>107</v>
      </c>
      <c r="D841" s="3" t="s">
        <v>75</v>
      </c>
      <c r="E841" s="3">
        <v>23</v>
      </c>
      <c r="F841" s="3">
        <v>0.94140243056138095</v>
      </c>
      <c r="G841" s="3">
        <v>2.087773934122179</v>
      </c>
      <c r="H841" s="3">
        <f t="shared" si="70"/>
        <v>-6.0384568160152211E-2</v>
      </c>
      <c r="I841" s="3">
        <f t="shared" si="71"/>
        <v>0.73609839506029706</v>
      </c>
      <c r="J841">
        <v>2.087773934122179</v>
      </c>
      <c r="K841">
        <f t="shared" si="72"/>
        <v>0.73609839506029706</v>
      </c>
      <c r="AB841" s="7">
        <f t="shared" si="69"/>
        <v>2.087773934122179</v>
      </c>
    </row>
    <row r="842" spans="1:28">
      <c r="A842" s="3" t="s">
        <v>90</v>
      </c>
      <c r="B842" s="3" t="s">
        <v>103</v>
      </c>
      <c r="C842" s="3" t="s">
        <v>107</v>
      </c>
      <c r="D842" s="3" t="s">
        <v>79</v>
      </c>
      <c r="E842" s="3">
        <v>1</v>
      </c>
      <c r="F842" s="3">
        <v>0.95356860340999405</v>
      </c>
      <c r="G842" s="3">
        <v>2.1856349191939626</v>
      </c>
      <c r="H842" s="3">
        <f t="shared" si="70"/>
        <v>-4.7543907489500034E-2</v>
      </c>
      <c r="I842" s="3">
        <f t="shared" si="71"/>
        <v>0.78190636720391238</v>
      </c>
      <c r="J842">
        <v>2.1856349191939626</v>
      </c>
      <c r="K842">
        <f t="shared" si="72"/>
        <v>0.78190636720391238</v>
      </c>
      <c r="AB842" s="7">
        <f t="shared" si="69"/>
        <v>2.1856349191939626</v>
      </c>
    </row>
    <row r="843" spans="1:28">
      <c r="A843" s="3" t="s">
        <v>90</v>
      </c>
      <c r="B843" s="3" t="s">
        <v>103</v>
      </c>
      <c r="C843" s="3" t="s">
        <v>107</v>
      </c>
      <c r="D843" s="3" t="s">
        <v>79</v>
      </c>
      <c r="E843" s="3">
        <v>2</v>
      </c>
      <c r="F843" s="3">
        <v>0.94667349350181396</v>
      </c>
      <c r="G843" s="3">
        <v>2.1128653530218151</v>
      </c>
      <c r="H843" s="3">
        <f t="shared" si="70"/>
        <v>-5.4801025075419244E-2</v>
      </c>
      <c r="I843" s="3">
        <f t="shared" si="71"/>
        <v>0.7480450134713873</v>
      </c>
      <c r="J843">
        <v>2.1128653530218151</v>
      </c>
      <c r="K843">
        <f t="shared" si="72"/>
        <v>0.7480450134713873</v>
      </c>
      <c r="AB843" s="7">
        <f t="shared" si="69"/>
        <v>2.1128653530218151</v>
      </c>
    </row>
    <row r="844" spans="1:28">
      <c r="A844" s="3" t="s">
        <v>90</v>
      </c>
      <c r="B844" s="3" t="s">
        <v>103</v>
      </c>
      <c r="C844" s="3" t="s">
        <v>107</v>
      </c>
      <c r="D844" s="3" t="s">
        <v>79</v>
      </c>
      <c r="E844" s="3">
        <v>3</v>
      </c>
      <c r="F844" s="3">
        <v>0.93418637980692099</v>
      </c>
      <c r="G844" s="3">
        <v>2.154483696851754</v>
      </c>
      <c r="H844" s="3">
        <f t="shared" si="70"/>
        <v>-6.8079310546293778E-2</v>
      </c>
      <c r="I844" s="3">
        <f t="shared" si="71"/>
        <v>0.76755111102342866</v>
      </c>
      <c r="J844">
        <v>2.154483696851754</v>
      </c>
      <c r="K844">
        <f t="shared" si="72"/>
        <v>0.76755111102342866</v>
      </c>
      <c r="AB844" s="7">
        <f t="shared" si="69"/>
        <v>2.154483696851754</v>
      </c>
    </row>
    <row r="845" spans="1:28">
      <c r="A845" s="3" t="s">
        <v>90</v>
      </c>
      <c r="B845" s="3" t="s">
        <v>103</v>
      </c>
      <c r="C845" s="3" t="s">
        <v>107</v>
      </c>
      <c r="D845" s="3" t="s">
        <v>79</v>
      </c>
      <c r="E845" s="3">
        <v>4</v>
      </c>
      <c r="F845" s="3">
        <v>0.92862176338661195</v>
      </c>
      <c r="G845" s="3">
        <v>2.1692625475031835</v>
      </c>
      <c r="H845" s="3">
        <f t="shared" si="70"/>
        <v>-7.4053766898809617E-2</v>
      </c>
      <c r="I845" s="3">
        <f t="shared" si="71"/>
        <v>0.77438726993343254</v>
      </c>
      <c r="J845">
        <v>2.1692625475031835</v>
      </c>
      <c r="K845">
        <f t="shared" si="72"/>
        <v>0.77438726993343254</v>
      </c>
      <c r="AB845" s="7">
        <f t="shared" si="69"/>
        <v>2.1692625475031835</v>
      </c>
    </row>
    <row r="846" spans="1:28">
      <c r="A846" s="3" t="s">
        <v>90</v>
      </c>
      <c r="B846" s="3" t="s">
        <v>103</v>
      </c>
      <c r="C846" s="3" t="s">
        <v>107</v>
      </c>
      <c r="D846" s="3" t="s">
        <v>79</v>
      </c>
      <c r="E846" s="3">
        <v>5</v>
      </c>
      <c r="F846" s="3">
        <v>0.92673483126199796</v>
      </c>
      <c r="G846" s="3">
        <v>2.1495348334000077</v>
      </c>
      <c r="H846" s="3">
        <f t="shared" si="70"/>
        <v>-7.6087804755063243E-2</v>
      </c>
      <c r="I846" s="3">
        <f t="shared" si="71"/>
        <v>0.7652514621729789</v>
      </c>
      <c r="J846">
        <v>2.1495348334000077</v>
      </c>
      <c r="K846">
        <f t="shared" si="72"/>
        <v>0.7652514621729789</v>
      </c>
      <c r="AB846" s="7">
        <f t="shared" si="69"/>
        <v>2.1495348334000077</v>
      </c>
    </row>
    <row r="847" spans="1:28">
      <c r="A847" s="3" t="s">
        <v>90</v>
      </c>
      <c r="B847" s="3" t="s">
        <v>103</v>
      </c>
      <c r="C847" s="3" t="s">
        <v>107</v>
      </c>
      <c r="D847" s="3" t="s">
        <v>79</v>
      </c>
      <c r="E847" s="3">
        <v>6</v>
      </c>
      <c r="F847" s="3">
        <v>0.958208017574527</v>
      </c>
      <c r="G847" s="3">
        <v>2.1338462924962518</v>
      </c>
      <c r="H847" s="3">
        <f t="shared" si="70"/>
        <v>-4.2690387239247264E-2</v>
      </c>
      <c r="I847" s="3">
        <f t="shared" si="71"/>
        <v>0.75792612240176072</v>
      </c>
      <c r="J847">
        <v>2.1338462924962518</v>
      </c>
      <c r="K847">
        <f t="shared" si="72"/>
        <v>0.75792612240176072</v>
      </c>
      <c r="AB847" s="7">
        <f t="shared" si="69"/>
        <v>2.1338462924962518</v>
      </c>
    </row>
    <row r="848" spans="1:28">
      <c r="A848" s="3" t="s">
        <v>90</v>
      </c>
      <c r="B848" s="3" t="s">
        <v>103</v>
      </c>
      <c r="C848" s="3" t="s">
        <v>107</v>
      </c>
      <c r="D848" s="3" t="s">
        <v>79</v>
      </c>
      <c r="E848" s="3">
        <v>7</v>
      </c>
      <c r="F848" s="3">
        <v>0.95940657648510097</v>
      </c>
      <c r="G848" s="3">
        <v>2.1337759957408839</v>
      </c>
      <c r="H848" s="3">
        <f t="shared" si="70"/>
        <v>-4.1440335148110484E-2</v>
      </c>
      <c r="I848" s="3">
        <f t="shared" si="71"/>
        <v>0.75789317817632262</v>
      </c>
      <c r="J848">
        <v>2.1337759957408839</v>
      </c>
      <c r="K848">
        <f t="shared" si="72"/>
        <v>0.75789317817632262</v>
      </c>
      <c r="AB848" s="7">
        <f t="shared" si="69"/>
        <v>2.1337759957408839</v>
      </c>
    </row>
    <row r="849" spans="1:28">
      <c r="A849" s="3" t="s">
        <v>90</v>
      </c>
      <c r="B849" s="3" t="s">
        <v>103</v>
      </c>
      <c r="C849" s="3" t="s">
        <v>107</v>
      </c>
      <c r="D849" s="3" t="s">
        <v>79</v>
      </c>
      <c r="E849" s="3">
        <v>8</v>
      </c>
      <c r="F849" s="3">
        <v>0.91834795471735198</v>
      </c>
      <c r="G849" s="3">
        <v>2.1122736565132842</v>
      </c>
      <c r="H849" s="3">
        <f t="shared" si="70"/>
        <v>-8.5178924537691131E-2</v>
      </c>
      <c r="I849" s="3">
        <f t="shared" si="71"/>
        <v>0.74776492966299024</v>
      </c>
      <c r="J849">
        <v>2.1122736565132842</v>
      </c>
      <c r="K849">
        <f t="shared" si="72"/>
        <v>0.74776492966299024</v>
      </c>
      <c r="AB849" s="7">
        <f t="shared" si="69"/>
        <v>2.1122736565132842</v>
      </c>
    </row>
    <row r="850" spans="1:28">
      <c r="A850" s="3" t="s">
        <v>90</v>
      </c>
      <c r="B850" s="3" t="s">
        <v>103</v>
      </c>
      <c r="C850" s="3" t="s">
        <v>107</v>
      </c>
      <c r="D850" s="3" t="s">
        <v>79</v>
      </c>
      <c r="E850" s="3">
        <v>9</v>
      </c>
      <c r="F850" s="3">
        <v>0.95596629328170202</v>
      </c>
      <c r="G850" s="3">
        <v>2.221823575354263</v>
      </c>
      <c r="H850" s="3">
        <f t="shared" si="70"/>
        <v>-4.5032624625849706E-2</v>
      </c>
      <c r="I850" s="3">
        <f t="shared" si="71"/>
        <v>0.79832828903468367</v>
      </c>
      <c r="J850">
        <v>2.221823575354263</v>
      </c>
      <c r="K850">
        <f t="shared" si="72"/>
        <v>0.79832828903468367</v>
      </c>
      <c r="AB850" s="7">
        <f t="shared" si="69"/>
        <v>2.221823575354263</v>
      </c>
    </row>
    <row r="851" spans="1:28">
      <c r="A851" s="3" t="s">
        <v>90</v>
      </c>
      <c r="B851" s="3" t="s">
        <v>103</v>
      </c>
      <c r="C851" s="3" t="s">
        <v>107</v>
      </c>
      <c r="D851" s="3" t="s">
        <v>79</v>
      </c>
      <c r="E851" s="3">
        <v>11</v>
      </c>
      <c r="F851" s="3">
        <v>0.92719170162434605</v>
      </c>
      <c r="G851" s="3">
        <v>2.16453228204155</v>
      </c>
      <c r="H851" s="3">
        <f t="shared" si="70"/>
        <v>-7.5594936927247725E-2</v>
      </c>
      <c r="I851" s="3">
        <f t="shared" si="71"/>
        <v>0.77220430210679125</v>
      </c>
      <c r="J851">
        <v>2.16453228204155</v>
      </c>
      <c r="K851">
        <f t="shared" si="72"/>
        <v>0.77220430210679125</v>
      </c>
      <c r="AB851" s="7">
        <f t="shared" si="69"/>
        <v>2.16453228204155</v>
      </c>
    </row>
    <row r="852" spans="1:28">
      <c r="A852" s="3" t="s">
        <v>90</v>
      </c>
      <c r="B852" s="3" t="s">
        <v>103</v>
      </c>
      <c r="C852" s="3" t="s">
        <v>107</v>
      </c>
      <c r="D852" s="3" t="s">
        <v>79</v>
      </c>
      <c r="E852" s="3">
        <v>12</v>
      </c>
      <c r="F852" s="3">
        <v>0.92394195918104205</v>
      </c>
      <c r="G852" s="3">
        <v>2.0416659863944444</v>
      </c>
      <c r="H852" s="3">
        <f t="shared" si="70"/>
        <v>-7.9106024052513213E-2</v>
      </c>
      <c r="I852" s="3">
        <f t="shared" si="71"/>
        <v>0.71376613456806759</v>
      </c>
      <c r="J852">
        <v>2.0416659863944444</v>
      </c>
      <c r="K852">
        <f t="shared" si="72"/>
        <v>0.71376613456806759</v>
      </c>
      <c r="AB852" s="7">
        <f t="shared" si="69"/>
        <v>2.0416659863944444</v>
      </c>
    </row>
    <row r="853" spans="1:28">
      <c r="A853" s="3" t="s">
        <v>90</v>
      </c>
      <c r="B853" s="3" t="s">
        <v>103</v>
      </c>
      <c r="C853" s="3" t="s">
        <v>107</v>
      </c>
      <c r="D853" s="3" t="s">
        <v>79</v>
      </c>
      <c r="E853" s="3">
        <v>14</v>
      </c>
      <c r="F853" s="3">
        <v>0.93561646673495902</v>
      </c>
      <c r="G853" s="3">
        <v>2.110852908186641</v>
      </c>
      <c r="H853" s="3">
        <f t="shared" si="70"/>
        <v>-6.6549644239992628E-2</v>
      </c>
      <c r="I853" s="3">
        <f t="shared" si="71"/>
        <v>0.74709208770171975</v>
      </c>
      <c r="J853">
        <v>2.110852908186641</v>
      </c>
      <c r="K853">
        <f t="shared" si="72"/>
        <v>0.74709208770171975</v>
      </c>
      <c r="AB853" s="7">
        <f t="shared" si="69"/>
        <v>2.110852908186641</v>
      </c>
    </row>
    <row r="854" spans="1:28">
      <c r="A854" s="3" t="s">
        <v>90</v>
      </c>
      <c r="B854" s="3" t="s">
        <v>103</v>
      </c>
      <c r="C854" s="3" t="s">
        <v>107</v>
      </c>
      <c r="D854" s="3" t="s">
        <v>79</v>
      </c>
      <c r="E854" s="3">
        <v>15</v>
      </c>
      <c r="F854" s="3">
        <v>0.91633393143713404</v>
      </c>
      <c r="G854" s="3">
        <v>2.110923968313402</v>
      </c>
      <c r="H854" s="3">
        <f t="shared" si="70"/>
        <v>-8.7374426770989916E-2</v>
      </c>
      <c r="I854" s="3">
        <f t="shared" si="71"/>
        <v>0.74712575131249148</v>
      </c>
      <c r="J854">
        <v>2.110923968313402</v>
      </c>
      <c r="K854">
        <f t="shared" si="72"/>
        <v>0.74712575131249148</v>
      </c>
      <c r="AB854" s="7">
        <f t="shared" si="69"/>
        <v>2.110923968313402</v>
      </c>
    </row>
    <row r="855" spans="1:28">
      <c r="A855" s="3" t="s">
        <v>90</v>
      </c>
      <c r="B855" s="3" t="s">
        <v>103</v>
      </c>
      <c r="C855" s="3" t="s">
        <v>107</v>
      </c>
      <c r="D855" s="3" t="s">
        <v>79</v>
      </c>
      <c r="E855" s="3">
        <v>16</v>
      </c>
      <c r="F855" s="3">
        <v>0.93600894055740202</v>
      </c>
      <c r="G855" s="3">
        <v>2.1660332407421636</v>
      </c>
      <c r="H855" s="3">
        <f t="shared" si="70"/>
        <v>-6.6130250672597632E-2</v>
      </c>
      <c r="I855" s="3">
        <f t="shared" si="71"/>
        <v>0.77289749506407124</v>
      </c>
      <c r="J855">
        <v>2.1660332407421636</v>
      </c>
      <c r="K855">
        <f t="shared" si="72"/>
        <v>0.77289749506407124</v>
      </c>
      <c r="AB855" s="7">
        <f t="shared" si="69"/>
        <v>2.1660332407421636</v>
      </c>
    </row>
    <row r="856" spans="1:28">
      <c r="A856" s="3" t="s">
        <v>90</v>
      </c>
      <c r="B856" s="3" t="s">
        <v>103</v>
      </c>
      <c r="C856" s="3" t="s">
        <v>107</v>
      </c>
      <c r="D856" s="3" t="s">
        <v>79</v>
      </c>
      <c r="E856" s="3">
        <v>17</v>
      </c>
      <c r="F856" s="3">
        <v>0.92707782895943602</v>
      </c>
      <c r="G856" s="3">
        <v>2.1560380330597142</v>
      </c>
      <c r="H856" s="3">
        <f t="shared" si="70"/>
        <v>-7.5717759055503611E-2</v>
      </c>
      <c r="I856" s="3">
        <f t="shared" si="71"/>
        <v>0.76827229345688797</v>
      </c>
      <c r="J856">
        <v>2.1560380330597142</v>
      </c>
      <c r="K856">
        <f t="shared" si="72"/>
        <v>0.76827229345688797</v>
      </c>
      <c r="AB856" s="7">
        <f t="shared" si="69"/>
        <v>2.1560380330597142</v>
      </c>
    </row>
    <row r="857" spans="1:28">
      <c r="A857" s="3" t="s">
        <v>90</v>
      </c>
      <c r="B857" s="3" t="s">
        <v>103</v>
      </c>
      <c r="C857" s="3" t="s">
        <v>107</v>
      </c>
      <c r="D857" s="3" t="s">
        <v>79</v>
      </c>
      <c r="E857" s="3">
        <v>18</v>
      </c>
      <c r="F857" s="3">
        <v>0.94378519653950599</v>
      </c>
      <c r="G857" s="3">
        <v>2.1301643129110959</v>
      </c>
      <c r="H857" s="3">
        <f t="shared" si="70"/>
        <v>-5.7856684767823033E-2</v>
      </c>
      <c r="I857" s="3">
        <f t="shared" si="71"/>
        <v>0.75619911895780845</v>
      </c>
      <c r="J857">
        <v>2.1301643129110959</v>
      </c>
      <c r="K857">
        <f t="shared" si="72"/>
        <v>0.75619911895780845</v>
      </c>
      <c r="AB857" s="7">
        <f t="shared" si="69"/>
        <v>2.1301643129110959</v>
      </c>
    </row>
    <row r="858" spans="1:28">
      <c r="A858" s="3" t="s">
        <v>90</v>
      </c>
      <c r="B858" s="3" t="s">
        <v>103</v>
      </c>
      <c r="C858" s="3" t="s">
        <v>107</v>
      </c>
      <c r="D858" s="3" t="s">
        <v>79</v>
      </c>
      <c r="E858" s="3">
        <v>19</v>
      </c>
      <c r="F858" s="3">
        <v>0.92266064222641797</v>
      </c>
      <c r="G858" s="3">
        <v>2.0607280266934791</v>
      </c>
      <c r="H858" s="3">
        <f t="shared" si="70"/>
        <v>-8.0493780312885302E-2</v>
      </c>
      <c r="I858" s="3">
        <f t="shared" si="71"/>
        <v>0.72305933138277823</v>
      </c>
      <c r="J858">
        <v>2.0607280266934791</v>
      </c>
      <c r="K858">
        <f t="shared" si="72"/>
        <v>0.72305933138277823</v>
      </c>
      <c r="AB858" s="7">
        <f t="shared" si="69"/>
        <v>2.0607280266934791</v>
      </c>
    </row>
    <row r="859" spans="1:28">
      <c r="A859" s="3" t="s">
        <v>90</v>
      </c>
      <c r="B859" s="3" t="s">
        <v>103</v>
      </c>
      <c r="C859" s="3" t="s">
        <v>107</v>
      </c>
      <c r="D859" s="3" t="s">
        <v>79</v>
      </c>
      <c r="E859" s="3">
        <v>20</v>
      </c>
      <c r="F859" s="3">
        <v>0.91957732522332603</v>
      </c>
      <c r="G859" s="3">
        <v>2.1120606051910538</v>
      </c>
      <c r="H859" s="3">
        <f t="shared" si="70"/>
        <v>-8.3841143614018593E-2</v>
      </c>
      <c r="I859" s="3">
        <f t="shared" si="71"/>
        <v>0.74766406107200656</v>
      </c>
      <c r="J859">
        <v>2.1120606051910538</v>
      </c>
      <c r="K859">
        <f t="shared" si="72"/>
        <v>0.74766406107200656</v>
      </c>
      <c r="AB859" s="7">
        <f t="shared" si="69"/>
        <v>2.1120606051910538</v>
      </c>
    </row>
    <row r="860" spans="1:28">
      <c r="A860" s="3" t="s">
        <v>90</v>
      </c>
      <c r="B860" s="3" t="s">
        <v>103</v>
      </c>
      <c r="C860" s="3" t="s">
        <v>107</v>
      </c>
      <c r="D860" s="3" t="s">
        <v>79</v>
      </c>
      <c r="E860" s="3">
        <v>21</v>
      </c>
      <c r="F860" s="3">
        <v>0.91601082372104603</v>
      </c>
      <c r="G860" s="3">
        <v>2.1115397225721324</v>
      </c>
      <c r="H860" s="3">
        <f t="shared" si="70"/>
        <v>-8.7727098088467015E-2</v>
      </c>
      <c r="I860" s="3">
        <f t="shared" si="71"/>
        <v>0.74741740770467047</v>
      </c>
      <c r="J860">
        <v>2.1115397225721324</v>
      </c>
      <c r="K860">
        <f t="shared" si="72"/>
        <v>0.74741740770467047</v>
      </c>
      <c r="AB860" s="7">
        <f t="shared" si="69"/>
        <v>2.1115397225721324</v>
      </c>
    </row>
    <row r="861" spans="1:28">
      <c r="A861" s="3" t="s">
        <v>90</v>
      </c>
      <c r="B861" s="3" t="s">
        <v>103</v>
      </c>
      <c r="C861" s="3" t="s">
        <v>107</v>
      </c>
      <c r="D861" s="3" t="s">
        <v>75</v>
      </c>
      <c r="E861" s="3">
        <v>1</v>
      </c>
      <c r="F861" s="3">
        <v>0.96521268552894701</v>
      </c>
      <c r="G861" s="3">
        <v>2.1751321798916039</v>
      </c>
      <c r="H861" s="3">
        <f t="shared" si="70"/>
        <v>-3.5406802415693238E-2</v>
      </c>
      <c r="I861" s="3">
        <f t="shared" si="71"/>
        <v>0.77708943505803796</v>
      </c>
      <c r="J861">
        <v>2.1751321798916039</v>
      </c>
      <c r="K861">
        <f t="shared" si="72"/>
        <v>0.77708943505803796</v>
      </c>
      <c r="AB861" s="7">
        <f t="shared" si="69"/>
        <v>2.1751321798916039</v>
      </c>
    </row>
    <row r="862" spans="1:28">
      <c r="A862" s="3" t="s">
        <v>90</v>
      </c>
      <c r="B862" s="3" t="s">
        <v>103</v>
      </c>
      <c r="C862" s="3" t="s">
        <v>107</v>
      </c>
      <c r="D862" s="3" t="s">
        <v>75</v>
      </c>
      <c r="E862" s="3">
        <v>2</v>
      </c>
      <c r="F862" s="3">
        <v>0.910239617041667</v>
      </c>
      <c r="G862" s="3">
        <v>2.097474672075923</v>
      </c>
      <c r="H862" s="3">
        <f t="shared" si="70"/>
        <v>-9.4047398702261517E-2</v>
      </c>
      <c r="I862" s="3">
        <f t="shared" si="71"/>
        <v>0.74073408399474305</v>
      </c>
      <c r="J862">
        <v>2.097474672075923</v>
      </c>
      <c r="K862">
        <f t="shared" si="72"/>
        <v>0.74073408399474305</v>
      </c>
      <c r="AB862" s="7">
        <f t="shared" si="69"/>
        <v>2.097474672075923</v>
      </c>
    </row>
    <row r="863" spans="1:28">
      <c r="A863" s="3" t="s">
        <v>90</v>
      </c>
      <c r="B863" s="3" t="s">
        <v>103</v>
      </c>
      <c r="C863" s="3" t="s">
        <v>107</v>
      </c>
      <c r="D863" s="3" t="s">
        <v>75</v>
      </c>
      <c r="E863" s="3">
        <v>3</v>
      </c>
      <c r="F863" s="3">
        <v>0.966344858502309</v>
      </c>
      <c r="G863" s="3">
        <v>2.1351580737734621</v>
      </c>
      <c r="H863" s="3">
        <f t="shared" si="70"/>
        <v>-3.4234512098462663E-2</v>
      </c>
      <c r="I863" s="3">
        <f t="shared" si="71"/>
        <v>0.7585406831779743</v>
      </c>
      <c r="J863">
        <v>2.1351580737734621</v>
      </c>
      <c r="K863">
        <f t="shared" si="72"/>
        <v>0.7585406831779743</v>
      </c>
      <c r="AB863" s="7">
        <f t="shared" si="69"/>
        <v>2.1351580737734621</v>
      </c>
    </row>
    <row r="864" spans="1:28">
      <c r="A864" s="3" t="s">
        <v>90</v>
      </c>
      <c r="B864" s="3" t="s">
        <v>103</v>
      </c>
      <c r="C864" s="3" t="s">
        <v>107</v>
      </c>
      <c r="D864" s="3" t="s">
        <v>75</v>
      </c>
      <c r="E864" s="3">
        <v>4</v>
      </c>
      <c r="F864" s="3">
        <v>0.93238718505281304</v>
      </c>
      <c r="G864" s="3">
        <v>2.1421717951648978</v>
      </c>
      <c r="H864" s="3">
        <f t="shared" si="70"/>
        <v>-7.0007115959587293E-2</v>
      </c>
      <c r="I864" s="3">
        <f t="shared" si="71"/>
        <v>0.76182017196767127</v>
      </c>
      <c r="J864">
        <v>2.1421717951648978</v>
      </c>
      <c r="K864">
        <f t="shared" si="72"/>
        <v>0.76182017196767127</v>
      </c>
      <c r="AB864" s="7">
        <f t="shared" si="69"/>
        <v>2.1421717951648978</v>
      </c>
    </row>
    <row r="865" spans="1:28">
      <c r="A865" s="3" t="s">
        <v>90</v>
      </c>
      <c r="B865" s="3" t="s">
        <v>103</v>
      </c>
      <c r="C865" s="3" t="s">
        <v>107</v>
      </c>
      <c r="D865" s="3" t="s">
        <v>75</v>
      </c>
      <c r="E865" s="3">
        <v>5</v>
      </c>
      <c r="F865" s="3">
        <v>0.92928546904298603</v>
      </c>
      <c r="G865" s="3">
        <v>2.1252999788265186</v>
      </c>
      <c r="H865" s="3">
        <f t="shared" si="70"/>
        <v>-7.3339300995429527E-2</v>
      </c>
      <c r="I865" s="3">
        <f t="shared" si="71"/>
        <v>0.75391295891992349</v>
      </c>
      <c r="J865">
        <v>2.1252999788265186</v>
      </c>
      <c r="K865">
        <f t="shared" si="72"/>
        <v>0.75391295891992349</v>
      </c>
      <c r="AB865" s="7">
        <f t="shared" ref="AB865:AB880" si="73">G865</f>
        <v>2.1252999788265186</v>
      </c>
    </row>
    <row r="866" spans="1:28">
      <c r="A866" s="3" t="s">
        <v>90</v>
      </c>
      <c r="B866" s="3" t="s">
        <v>103</v>
      </c>
      <c r="C866" s="3" t="s">
        <v>107</v>
      </c>
      <c r="D866" s="3" t="s">
        <v>75</v>
      </c>
      <c r="E866" s="3">
        <v>6</v>
      </c>
      <c r="F866" s="3">
        <v>0.92486619949693305</v>
      </c>
      <c r="G866" s="3">
        <v>2.1511159894343215</v>
      </c>
      <c r="H866" s="3">
        <f t="shared" si="70"/>
        <v>-7.8106201124920074E-2</v>
      </c>
      <c r="I866" s="3">
        <f t="shared" si="71"/>
        <v>0.76598677232518209</v>
      </c>
      <c r="J866">
        <v>2.1511159894343215</v>
      </c>
      <c r="K866">
        <f t="shared" si="72"/>
        <v>0.76598677232518209</v>
      </c>
      <c r="AB866" s="7">
        <f t="shared" si="73"/>
        <v>2.1511159894343215</v>
      </c>
    </row>
    <row r="867" spans="1:28">
      <c r="A867" s="3" t="s">
        <v>90</v>
      </c>
      <c r="B867" s="3" t="s">
        <v>103</v>
      </c>
      <c r="C867" s="3" t="s">
        <v>107</v>
      </c>
      <c r="D867" s="3" t="s">
        <v>75</v>
      </c>
      <c r="E867" s="3">
        <v>7</v>
      </c>
      <c r="F867" s="3">
        <v>0.927759261071743</v>
      </c>
      <c r="G867" s="3">
        <v>2.1476731594914531</v>
      </c>
      <c r="H867" s="3">
        <f t="shared" si="70"/>
        <v>-7.4982996798886342E-2</v>
      </c>
      <c r="I867" s="3">
        <f t="shared" si="71"/>
        <v>0.76438500468332282</v>
      </c>
      <c r="J867">
        <v>2.1476731594914531</v>
      </c>
      <c r="K867">
        <f t="shared" si="72"/>
        <v>0.76438500468332282</v>
      </c>
      <c r="AB867" s="7">
        <f t="shared" si="73"/>
        <v>2.1476731594914531</v>
      </c>
    </row>
    <row r="868" spans="1:28">
      <c r="A868" s="3" t="s">
        <v>90</v>
      </c>
      <c r="B868" s="3" t="s">
        <v>103</v>
      </c>
      <c r="C868" s="3" t="s">
        <v>107</v>
      </c>
      <c r="D868" s="3" t="s">
        <v>75</v>
      </c>
      <c r="E868" s="3">
        <v>8</v>
      </c>
      <c r="F868" s="3">
        <v>0.93503410434950296</v>
      </c>
      <c r="G868" s="3">
        <v>2.1428252378577217</v>
      </c>
      <c r="H868" s="3">
        <f t="shared" si="70"/>
        <v>-6.717227511854533E-2</v>
      </c>
      <c r="I868" s="3">
        <f t="shared" si="71"/>
        <v>0.7621251629363246</v>
      </c>
      <c r="J868">
        <v>2.1428252378577217</v>
      </c>
      <c r="K868">
        <f t="shared" si="72"/>
        <v>0.7621251629363246</v>
      </c>
      <c r="AB868" s="7">
        <f t="shared" si="73"/>
        <v>2.1428252378577217</v>
      </c>
    </row>
    <row r="869" spans="1:28">
      <c r="A869" s="3" t="s">
        <v>90</v>
      </c>
      <c r="B869" s="3" t="s">
        <v>103</v>
      </c>
      <c r="C869" s="3" t="s">
        <v>107</v>
      </c>
      <c r="D869" s="3" t="s">
        <v>75</v>
      </c>
      <c r="E869" s="3">
        <v>9</v>
      </c>
      <c r="F869" s="3">
        <v>0.92607888172360997</v>
      </c>
      <c r="G869" s="3">
        <v>2.1211553455605272</v>
      </c>
      <c r="H869" s="3">
        <f t="shared" si="70"/>
        <v>-7.6795862517368751E-2</v>
      </c>
      <c r="I869" s="3">
        <f t="shared" si="71"/>
        <v>0.75196091456034908</v>
      </c>
      <c r="J869">
        <v>2.1211553455605272</v>
      </c>
      <c r="K869">
        <f t="shared" si="72"/>
        <v>0.75196091456034908</v>
      </c>
      <c r="AB869" s="7">
        <f t="shared" si="73"/>
        <v>2.1211553455605272</v>
      </c>
    </row>
    <row r="870" spans="1:28">
      <c r="A870" s="3" t="s">
        <v>90</v>
      </c>
      <c r="B870" s="3" t="s">
        <v>103</v>
      </c>
      <c r="C870" s="3" t="s">
        <v>107</v>
      </c>
      <c r="D870" s="3" t="s">
        <v>75</v>
      </c>
      <c r="E870" s="3">
        <v>10</v>
      </c>
      <c r="F870" s="3">
        <v>0.92934205815421</v>
      </c>
      <c r="G870" s="3">
        <v>2.1577998053572998</v>
      </c>
      <c r="H870" s="3">
        <f t="shared" si="70"/>
        <v>-7.3278407556143399E-2</v>
      </c>
      <c r="I870" s="3">
        <f t="shared" si="71"/>
        <v>0.76908909393086267</v>
      </c>
      <c r="J870">
        <v>2.1577998053572998</v>
      </c>
      <c r="K870">
        <f t="shared" si="72"/>
        <v>0.76908909393086267</v>
      </c>
      <c r="AB870" s="7">
        <f t="shared" si="73"/>
        <v>2.1577998053572998</v>
      </c>
    </row>
    <row r="871" spans="1:28">
      <c r="A871" s="3" t="s">
        <v>90</v>
      </c>
      <c r="B871" s="3" t="s">
        <v>103</v>
      </c>
      <c r="C871" s="3" t="s">
        <v>107</v>
      </c>
      <c r="D871" s="3" t="s">
        <v>75</v>
      </c>
      <c r="E871" s="3">
        <v>11</v>
      </c>
      <c r="F871" s="3">
        <v>0.89274441449039099</v>
      </c>
      <c r="G871" s="3">
        <v>2.1066086489901248</v>
      </c>
      <c r="H871" s="3">
        <f t="shared" si="70"/>
        <v>-0.11345494904869602</v>
      </c>
      <c r="I871" s="3">
        <f t="shared" si="71"/>
        <v>0.74507937907508948</v>
      </c>
      <c r="J871">
        <v>2.1066086489901248</v>
      </c>
      <c r="K871">
        <f t="shared" si="72"/>
        <v>0.74507937907508948</v>
      </c>
      <c r="AB871" s="7">
        <f t="shared" si="73"/>
        <v>2.1066086489901248</v>
      </c>
    </row>
    <row r="872" spans="1:28">
      <c r="A872" s="3" t="s">
        <v>90</v>
      </c>
      <c r="B872" s="3" t="s">
        <v>103</v>
      </c>
      <c r="C872" s="3" t="s">
        <v>107</v>
      </c>
      <c r="D872" s="3" t="s">
        <v>75</v>
      </c>
      <c r="E872" s="3">
        <v>12</v>
      </c>
      <c r="F872" s="3">
        <v>0.91187027599320902</v>
      </c>
      <c r="G872" s="3">
        <v>2.0977368757782755</v>
      </c>
      <c r="H872" s="3">
        <f t="shared" si="70"/>
        <v>-9.2257540260566026E-2</v>
      </c>
      <c r="I872" s="3">
        <f t="shared" si="71"/>
        <v>0.74085908541586465</v>
      </c>
      <c r="J872">
        <v>2.0977368757782755</v>
      </c>
      <c r="K872">
        <f t="shared" si="72"/>
        <v>0.74085908541586465</v>
      </c>
      <c r="AB872" s="7">
        <f t="shared" si="73"/>
        <v>2.0977368757782755</v>
      </c>
    </row>
    <row r="873" spans="1:28">
      <c r="A873" s="3" t="s">
        <v>90</v>
      </c>
      <c r="B873" s="3" t="s">
        <v>103</v>
      </c>
      <c r="C873" s="3" t="s">
        <v>107</v>
      </c>
      <c r="D873" s="3" t="s">
        <v>75</v>
      </c>
      <c r="E873" s="3">
        <v>13</v>
      </c>
      <c r="F873" s="3">
        <v>0.90342518143898598</v>
      </c>
      <c r="G873" s="3">
        <v>2.1174040710265958</v>
      </c>
      <c r="H873" s="3">
        <f t="shared" si="70"/>
        <v>-0.10156198207551655</v>
      </c>
      <c r="I873" s="3">
        <f t="shared" si="71"/>
        <v>0.75019084357882937</v>
      </c>
      <c r="J873">
        <v>2.1174040710265958</v>
      </c>
      <c r="K873">
        <f t="shared" si="72"/>
        <v>0.75019084357882937</v>
      </c>
      <c r="AB873" s="7">
        <f t="shared" si="73"/>
        <v>2.1174040710265958</v>
      </c>
    </row>
    <row r="874" spans="1:28">
      <c r="A874" s="3" t="s">
        <v>90</v>
      </c>
      <c r="B874" s="3" t="s">
        <v>103</v>
      </c>
      <c r="C874" s="3" t="s">
        <v>107</v>
      </c>
      <c r="D874" s="3" t="s">
        <v>75</v>
      </c>
      <c r="E874" s="3">
        <v>16</v>
      </c>
      <c r="F874" s="3">
        <v>0.920433643914643</v>
      </c>
      <c r="G874" s="3">
        <v>2.1923731434224423</v>
      </c>
      <c r="H874" s="3">
        <f t="shared" si="70"/>
        <v>-8.2910367909414695E-2</v>
      </c>
      <c r="I874" s="3">
        <f t="shared" si="71"/>
        <v>0.78498458426186701</v>
      </c>
      <c r="J874">
        <v>2.1923731434224423</v>
      </c>
      <c r="K874">
        <f t="shared" si="72"/>
        <v>0.78498458426186701</v>
      </c>
      <c r="AB874" s="7">
        <f t="shared" si="73"/>
        <v>2.1923731434224423</v>
      </c>
    </row>
    <row r="875" spans="1:28">
      <c r="A875" s="3" t="s">
        <v>90</v>
      </c>
      <c r="B875" s="3" t="s">
        <v>103</v>
      </c>
      <c r="C875" s="3" t="s">
        <v>107</v>
      </c>
      <c r="D875" s="3" t="s">
        <v>75</v>
      </c>
      <c r="E875" s="3">
        <v>18</v>
      </c>
      <c r="F875" s="3">
        <v>0.94060334984897298</v>
      </c>
      <c r="G875" s="3">
        <v>2.1497209121185938</v>
      </c>
      <c r="H875" s="3">
        <f t="shared" si="70"/>
        <v>-6.1233748081642426E-2</v>
      </c>
      <c r="I875" s="3">
        <f t="shared" si="71"/>
        <v>0.76533802539680962</v>
      </c>
      <c r="J875">
        <v>2.1497209121185938</v>
      </c>
      <c r="K875">
        <f t="shared" si="72"/>
        <v>0.76533802539680962</v>
      </c>
      <c r="AB875" s="7">
        <f t="shared" si="73"/>
        <v>2.1497209121185938</v>
      </c>
    </row>
    <row r="876" spans="1:28">
      <c r="A876" s="3" t="s">
        <v>90</v>
      </c>
      <c r="B876" s="3" t="s">
        <v>103</v>
      </c>
      <c r="C876" s="3" t="s">
        <v>107</v>
      </c>
      <c r="D876" s="3" t="s">
        <v>75</v>
      </c>
      <c r="E876" s="3">
        <v>20</v>
      </c>
      <c r="F876" s="3">
        <v>0.92141619906223604</v>
      </c>
      <c r="G876" s="3">
        <v>2.087773934122179</v>
      </c>
      <c r="H876" s="3">
        <f t="shared" si="70"/>
        <v>-8.1843445712097659E-2</v>
      </c>
      <c r="I876" s="3">
        <f t="shared" si="71"/>
        <v>0.73609839506029706</v>
      </c>
      <c r="J876">
        <v>2.087773934122179</v>
      </c>
      <c r="K876">
        <f t="shared" si="72"/>
        <v>0.73609839506029706</v>
      </c>
      <c r="AB876" s="7">
        <f t="shared" si="73"/>
        <v>2.087773934122179</v>
      </c>
    </row>
    <row r="877" spans="1:28">
      <c r="A877" s="3" t="s">
        <v>90</v>
      </c>
      <c r="B877" s="3" t="s">
        <v>103</v>
      </c>
      <c r="C877" s="3" t="s">
        <v>107</v>
      </c>
      <c r="D877" s="3" t="s">
        <v>75</v>
      </c>
      <c r="E877" s="3">
        <v>22</v>
      </c>
      <c r="F877" s="3">
        <v>0.91176777934405695</v>
      </c>
      <c r="G877" s="3">
        <v>2.125323504786977</v>
      </c>
      <c r="H877" s="3">
        <f t="shared" si="70"/>
        <v>-9.2369949243214775E-2</v>
      </c>
      <c r="I877" s="3">
        <f t="shared" si="71"/>
        <v>0.75392402833623351</v>
      </c>
      <c r="J877">
        <v>2.125323504786977</v>
      </c>
      <c r="K877">
        <f t="shared" si="72"/>
        <v>0.75392402833623351</v>
      </c>
      <c r="AB877" s="7">
        <f t="shared" si="73"/>
        <v>2.125323504786977</v>
      </c>
    </row>
    <row r="878" spans="1:28">
      <c r="A878" s="3" t="s">
        <v>90</v>
      </c>
      <c r="B878" s="3" t="s">
        <v>103</v>
      </c>
      <c r="C878" s="3" t="s">
        <v>107</v>
      </c>
      <c r="D878" s="3" t="s">
        <v>75</v>
      </c>
      <c r="E878" s="3">
        <v>23</v>
      </c>
      <c r="F878" s="3">
        <v>0.91558660301255801</v>
      </c>
      <c r="G878" s="3">
        <v>2.0701932276963904</v>
      </c>
      <c r="H878" s="3">
        <f t="shared" si="70"/>
        <v>-8.8190322932400367E-2</v>
      </c>
      <c r="I878" s="3">
        <f t="shared" si="71"/>
        <v>0.72764194963397644</v>
      </c>
      <c r="J878">
        <v>2.0701932276963904</v>
      </c>
      <c r="K878">
        <f t="shared" si="72"/>
        <v>0.72764194963397644</v>
      </c>
      <c r="AB878" s="7">
        <f t="shared" si="73"/>
        <v>2.0701932276963904</v>
      </c>
    </row>
    <row r="879" spans="1:28">
      <c r="A879" s="3" t="s">
        <v>90</v>
      </c>
      <c r="B879" s="3" t="s">
        <v>103</v>
      </c>
      <c r="C879" s="3" t="s">
        <v>107</v>
      </c>
      <c r="D879" s="3" t="s">
        <v>75</v>
      </c>
      <c r="E879" s="3">
        <v>24</v>
      </c>
      <c r="F879" s="3">
        <v>0.90523668333339802</v>
      </c>
      <c r="G879" s="3">
        <v>2.1107818456676188</v>
      </c>
      <c r="H879" s="3">
        <f t="shared" si="70"/>
        <v>-9.9558840929648285E-2</v>
      </c>
      <c r="I879" s="3">
        <f t="shared" si="71"/>
        <v>0.74705842182431814</v>
      </c>
      <c r="J879">
        <v>2.1107818456676188</v>
      </c>
      <c r="K879">
        <f t="shared" si="72"/>
        <v>0.74705842182431814</v>
      </c>
      <c r="AB879" s="7">
        <f t="shared" si="73"/>
        <v>2.1107818456676188</v>
      </c>
    </row>
    <row r="880" spans="1:28">
      <c r="A880" s="3" t="s">
        <v>90</v>
      </c>
      <c r="B880" s="3" t="s">
        <v>103</v>
      </c>
      <c r="C880" s="3" t="s">
        <v>107</v>
      </c>
      <c r="D880" s="3" t="s">
        <v>75</v>
      </c>
      <c r="E880" s="3">
        <v>25</v>
      </c>
      <c r="F880" s="3">
        <v>0.94818319191491196</v>
      </c>
      <c r="G880" s="3">
        <v>2.1594675269612185</v>
      </c>
      <c r="H880" s="3">
        <f t="shared" si="70"/>
        <v>-5.3207554979065777E-2</v>
      </c>
      <c r="I880" s="3">
        <f t="shared" si="71"/>
        <v>0.76986167601045141</v>
      </c>
      <c r="J880">
        <v>2.1594675269612185</v>
      </c>
      <c r="K880">
        <f t="shared" si="72"/>
        <v>0.76986167601045141</v>
      </c>
      <c r="AB880" s="7">
        <f t="shared" si="73"/>
        <v>2.1594675269612185</v>
      </c>
    </row>
    <row r="881" spans="1:26">
      <c r="A881" s="3" t="s">
        <v>90</v>
      </c>
      <c r="B881" s="3" t="s">
        <v>104</v>
      </c>
      <c r="C881" s="3" t="s">
        <v>107</v>
      </c>
      <c r="D881" s="3" t="s">
        <v>79</v>
      </c>
      <c r="E881" s="3">
        <v>2</v>
      </c>
      <c r="F881" s="3">
        <v>0.81708471024380502</v>
      </c>
      <c r="G881" s="3">
        <v>2.2135265979879257</v>
      </c>
      <c r="H881" s="3">
        <f t="shared" si="70"/>
        <v>-0.20201250498806006</v>
      </c>
      <c r="I881" s="3">
        <f t="shared" si="71"/>
        <v>0.79458698937624472</v>
      </c>
      <c r="N881">
        <f t="shared" ref="N881:N938" si="74">LN(F881)</f>
        <v>-0.20201250498806006</v>
      </c>
      <c r="O881">
        <f t="shared" ref="O881:O938" si="75">LN(P881)</f>
        <v>0.79458698937624472</v>
      </c>
      <c r="P881">
        <v>2.2135265979879257</v>
      </c>
      <c r="T881">
        <f t="shared" ref="T881:T944" si="76">F881</f>
        <v>0.81708471024380502</v>
      </c>
      <c r="Z881" s="7">
        <v>2.2135265979879257</v>
      </c>
    </row>
    <row r="882" spans="1:26">
      <c r="A882" s="3" t="s">
        <v>90</v>
      </c>
      <c r="B882" s="3" t="s">
        <v>104</v>
      </c>
      <c r="C882" s="3" t="s">
        <v>107</v>
      </c>
      <c r="D882" s="3" t="s">
        <v>79</v>
      </c>
      <c r="E882" s="3">
        <v>3</v>
      </c>
      <c r="F882" s="3">
        <v>0.80166342725766504</v>
      </c>
      <c r="G882" s="3">
        <v>2.0795432190748042</v>
      </c>
      <c r="H882" s="3">
        <f t="shared" si="70"/>
        <v>-0.22106642596137888</v>
      </c>
      <c r="I882" s="3">
        <f t="shared" si="71"/>
        <v>0.73214826338221461</v>
      </c>
      <c r="N882">
        <f t="shared" si="74"/>
        <v>-0.22106642596137888</v>
      </c>
      <c r="O882">
        <f t="shared" si="75"/>
        <v>0.73214826338221461</v>
      </c>
      <c r="P882">
        <v>2.0795432190748042</v>
      </c>
      <c r="T882">
        <f t="shared" si="76"/>
        <v>0.80166342725766504</v>
      </c>
      <c r="Z882" s="7">
        <v>2.0795432190748042</v>
      </c>
    </row>
    <row r="883" spans="1:26">
      <c r="A883" s="3" t="s">
        <v>90</v>
      </c>
      <c r="B883" s="3" t="s">
        <v>104</v>
      </c>
      <c r="C883" s="3" t="s">
        <v>107</v>
      </c>
      <c r="D883" s="3" t="s">
        <v>79</v>
      </c>
      <c r="E883" s="3">
        <v>4</v>
      </c>
      <c r="F883" s="3">
        <v>0.81374621357140697</v>
      </c>
      <c r="G883" s="3">
        <v>2.1023082552280483</v>
      </c>
      <c r="H883" s="3">
        <f t="shared" si="70"/>
        <v>-0.2061067385314346</v>
      </c>
      <c r="I883" s="3">
        <f t="shared" si="71"/>
        <v>0.74303591024147131</v>
      </c>
      <c r="N883">
        <f t="shared" si="74"/>
        <v>-0.2061067385314346</v>
      </c>
      <c r="O883">
        <f t="shared" si="75"/>
        <v>0.74303591024147131</v>
      </c>
      <c r="P883">
        <v>2.1023082552280483</v>
      </c>
      <c r="T883">
        <f t="shared" si="76"/>
        <v>0.81374621357140697</v>
      </c>
      <c r="Z883" s="7">
        <v>2.1023082552280483</v>
      </c>
    </row>
    <row r="884" spans="1:26">
      <c r="A884" s="3" t="s">
        <v>90</v>
      </c>
      <c r="B884" s="3" t="s">
        <v>104</v>
      </c>
      <c r="C884" s="3" t="s">
        <v>107</v>
      </c>
      <c r="D884" s="3" t="s">
        <v>79</v>
      </c>
      <c r="E884" s="3">
        <v>5</v>
      </c>
      <c r="F884" s="3">
        <v>0.81425226677796603</v>
      </c>
      <c r="G884" s="3">
        <v>2.15188289644209</v>
      </c>
      <c r="H884" s="3">
        <f t="shared" si="70"/>
        <v>-0.20548505094515457</v>
      </c>
      <c r="I884" s="3">
        <f t="shared" si="71"/>
        <v>0.76634322466748028</v>
      </c>
      <c r="N884">
        <f t="shared" si="74"/>
        <v>-0.20548505094515457</v>
      </c>
      <c r="O884">
        <f t="shared" si="75"/>
        <v>0.76634322466748028</v>
      </c>
      <c r="P884">
        <v>2.15188289644209</v>
      </c>
      <c r="T884">
        <f t="shared" si="76"/>
        <v>0.81425226677796603</v>
      </c>
      <c r="Z884" s="7">
        <v>2.15188289644209</v>
      </c>
    </row>
    <row r="885" spans="1:26">
      <c r="A885" s="3" t="s">
        <v>90</v>
      </c>
      <c r="B885" s="3" t="s">
        <v>104</v>
      </c>
      <c r="C885" s="3" t="s">
        <v>107</v>
      </c>
      <c r="D885" s="3" t="s">
        <v>79</v>
      </c>
      <c r="E885" s="3">
        <v>7</v>
      </c>
      <c r="F885" s="3">
        <v>0.84455893678350202</v>
      </c>
      <c r="G885" s="3">
        <v>2.1645322820415496</v>
      </c>
      <c r="H885" s="3">
        <f t="shared" si="70"/>
        <v>-0.16894075620138821</v>
      </c>
      <c r="I885" s="3">
        <f t="shared" si="71"/>
        <v>0.77220430210679114</v>
      </c>
      <c r="N885">
        <f t="shared" si="74"/>
        <v>-0.16894075620138821</v>
      </c>
      <c r="O885">
        <f t="shared" si="75"/>
        <v>0.77220430210679114</v>
      </c>
      <c r="P885">
        <v>2.1645322820415496</v>
      </c>
      <c r="T885">
        <f t="shared" si="76"/>
        <v>0.84455893678350202</v>
      </c>
      <c r="Z885" s="7">
        <v>2.1645322820415496</v>
      </c>
    </row>
    <row r="886" spans="1:26">
      <c r="A886" s="3" t="s">
        <v>90</v>
      </c>
      <c r="B886" s="3" t="s">
        <v>104</v>
      </c>
      <c r="C886" s="3" t="s">
        <v>107</v>
      </c>
      <c r="D886" s="3" t="s">
        <v>79</v>
      </c>
      <c r="E886" s="3">
        <v>8</v>
      </c>
      <c r="F886" s="3">
        <v>0.82219026820068797</v>
      </c>
      <c r="G886" s="3">
        <v>2.1078899402008635</v>
      </c>
      <c r="H886" s="3">
        <f t="shared" si="70"/>
        <v>-0.19578344088044453</v>
      </c>
      <c r="I886" s="3">
        <f t="shared" si="71"/>
        <v>0.74568741878519906</v>
      </c>
      <c r="N886">
        <f t="shared" si="74"/>
        <v>-0.19578344088044453</v>
      </c>
      <c r="O886">
        <f t="shared" si="75"/>
        <v>0.74568741878519906</v>
      </c>
      <c r="P886">
        <v>2.1078899402008635</v>
      </c>
      <c r="T886">
        <f t="shared" si="76"/>
        <v>0.82219026820068797</v>
      </c>
      <c r="Z886" s="7">
        <v>2.1078899402008635</v>
      </c>
    </row>
    <row r="887" spans="1:26">
      <c r="A887" s="3" t="s">
        <v>90</v>
      </c>
      <c r="B887" s="3" t="s">
        <v>104</v>
      </c>
      <c r="C887" s="3" t="s">
        <v>107</v>
      </c>
      <c r="D887" s="3" t="s">
        <v>79</v>
      </c>
      <c r="E887" s="3">
        <v>9</v>
      </c>
      <c r="F887" s="3">
        <v>0.807478292174866</v>
      </c>
      <c r="G887" s="3">
        <v>2.1137644144984558</v>
      </c>
      <c r="H887" s="3">
        <f t="shared" si="70"/>
        <v>-0.21383910700225711</v>
      </c>
      <c r="I887" s="3">
        <f t="shared" si="71"/>
        <v>0.74847044060347712</v>
      </c>
      <c r="N887">
        <f t="shared" si="74"/>
        <v>-0.21383910700225711</v>
      </c>
      <c r="O887">
        <f t="shared" si="75"/>
        <v>0.74847044060347712</v>
      </c>
      <c r="P887">
        <v>2.1137644144984558</v>
      </c>
      <c r="T887">
        <f t="shared" si="76"/>
        <v>0.807478292174866</v>
      </c>
      <c r="Z887" s="7">
        <v>2.1137644144984558</v>
      </c>
    </row>
    <row r="888" spans="1:26">
      <c r="A888" s="3" t="s">
        <v>90</v>
      </c>
      <c r="B888" s="3" t="s">
        <v>104</v>
      </c>
      <c r="C888" s="3" t="s">
        <v>107</v>
      </c>
      <c r="D888" s="3" t="s">
        <v>79</v>
      </c>
      <c r="E888" s="3">
        <v>10</v>
      </c>
      <c r="F888" s="3">
        <v>0.81420524333567801</v>
      </c>
      <c r="G888" s="3">
        <v>2.106181378704123</v>
      </c>
      <c r="H888" s="3">
        <f t="shared" si="70"/>
        <v>-0.20554280307194822</v>
      </c>
      <c r="I888" s="3">
        <f t="shared" si="71"/>
        <v>0.74487653474406035</v>
      </c>
      <c r="N888">
        <f t="shared" si="74"/>
        <v>-0.20554280307194822</v>
      </c>
      <c r="O888">
        <f t="shared" si="75"/>
        <v>0.74487653474406035</v>
      </c>
      <c r="P888">
        <v>2.106181378704123</v>
      </c>
      <c r="T888">
        <f t="shared" si="76"/>
        <v>0.81420524333567801</v>
      </c>
      <c r="Z888" s="7">
        <v>2.106181378704123</v>
      </c>
    </row>
    <row r="889" spans="1:26">
      <c r="A889" s="3" t="s">
        <v>90</v>
      </c>
      <c r="B889" s="3" t="s">
        <v>104</v>
      </c>
      <c r="C889" s="3" t="s">
        <v>107</v>
      </c>
      <c r="D889" s="3" t="s">
        <v>79</v>
      </c>
      <c r="E889" s="3">
        <v>11</v>
      </c>
      <c r="F889" s="3">
        <v>0.82127005443309797</v>
      </c>
      <c r="G889" s="3">
        <v>2.1849027438309467</v>
      </c>
      <c r="H889" s="3">
        <f t="shared" si="70"/>
        <v>-0.19690329008043297</v>
      </c>
      <c r="I889" s="3">
        <f t="shared" si="71"/>
        <v>0.78157131672439828</v>
      </c>
      <c r="N889">
        <f t="shared" si="74"/>
        <v>-0.19690329008043297</v>
      </c>
      <c r="O889">
        <f t="shared" si="75"/>
        <v>0.78157131672439828</v>
      </c>
      <c r="P889">
        <v>2.1849027438309467</v>
      </c>
      <c r="T889">
        <f t="shared" si="76"/>
        <v>0.82127005443309797</v>
      </c>
      <c r="Z889" s="7">
        <v>2.1849027438309467</v>
      </c>
    </row>
    <row r="890" spans="1:26">
      <c r="A890" s="3" t="s">
        <v>90</v>
      </c>
      <c r="B890" s="3" t="s">
        <v>104</v>
      </c>
      <c r="C890" s="3" t="s">
        <v>107</v>
      </c>
      <c r="D890" s="3" t="s">
        <v>79</v>
      </c>
      <c r="E890" s="3">
        <v>12</v>
      </c>
      <c r="F890" s="3">
        <v>0.79899307538293796</v>
      </c>
      <c r="G890" s="3">
        <v>2.0565261972559452</v>
      </c>
      <c r="H890" s="3">
        <f t="shared" si="70"/>
        <v>-0.22440299985800091</v>
      </c>
      <c r="I890" s="3">
        <f t="shared" si="71"/>
        <v>0.72101824736526188</v>
      </c>
      <c r="N890">
        <f t="shared" si="74"/>
        <v>-0.22440299985800091</v>
      </c>
      <c r="O890">
        <f t="shared" si="75"/>
        <v>0.72101824736526188</v>
      </c>
      <c r="P890">
        <v>2.0565261972559452</v>
      </c>
      <c r="T890">
        <f t="shared" si="76"/>
        <v>0.79899307538293796</v>
      </c>
      <c r="Z890" s="7">
        <v>2.0565261972559452</v>
      </c>
    </row>
    <row r="891" spans="1:26">
      <c r="A891" s="3" t="s">
        <v>90</v>
      </c>
      <c r="B891" s="3" t="s">
        <v>104</v>
      </c>
      <c r="C891" s="3" t="s">
        <v>107</v>
      </c>
      <c r="D891" s="3" t="s">
        <v>79</v>
      </c>
      <c r="E891" s="3">
        <v>13</v>
      </c>
      <c r="F891" s="3">
        <v>0.78875340722406595</v>
      </c>
      <c r="G891" s="3">
        <v>2.0863365021012314</v>
      </c>
      <c r="H891" s="3">
        <f t="shared" si="70"/>
        <v>-0.23730154535909861</v>
      </c>
      <c r="I891" s="3">
        <f t="shared" si="71"/>
        <v>0.73540965809478942</v>
      </c>
      <c r="N891">
        <f t="shared" si="74"/>
        <v>-0.23730154535909861</v>
      </c>
      <c r="O891">
        <f t="shared" si="75"/>
        <v>0.73540965809478942</v>
      </c>
      <c r="P891">
        <v>2.0863365021012314</v>
      </c>
      <c r="T891">
        <f t="shared" si="76"/>
        <v>0.78875340722406595</v>
      </c>
      <c r="Z891" s="7">
        <v>2.0863365021012314</v>
      </c>
    </row>
    <row r="892" spans="1:26">
      <c r="A892" s="3" t="s">
        <v>90</v>
      </c>
      <c r="B892" s="3" t="s">
        <v>104</v>
      </c>
      <c r="C892" s="3" t="s">
        <v>107</v>
      </c>
      <c r="D892" s="3" t="s">
        <v>79</v>
      </c>
      <c r="E892" s="3">
        <v>14</v>
      </c>
      <c r="F892" s="3">
        <v>0.83442916932414402</v>
      </c>
      <c r="G892" s="3">
        <v>2.182773465112676</v>
      </c>
      <c r="H892" s="3">
        <f t="shared" si="70"/>
        <v>-0.18100741746443963</v>
      </c>
      <c r="I892" s="3">
        <f t="shared" si="71"/>
        <v>0.78059629990305279</v>
      </c>
      <c r="N892">
        <f t="shared" si="74"/>
        <v>-0.18100741746443963</v>
      </c>
      <c r="O892">
        <f t="shared" si="75"/>
        <v>0.78059629990305279</v>
      </c>
      <c r="P892">
        <v>2.182773465112676</v>
      </c>
      <c r="T892">
        <f t="shared" si="76"/>
        <v>0.83442916932414402</v>
      </c>
      <c r="Z892" s="7">
        <v>2.182773465112676</v>
      </c>
    </row>
    <row r="893" spans="1:26">
      <c r="A893" s="3" t="s">
        <v>90</v>
      </c>
      <c r="B893" s="3" t="s">
        <v>104</v>
      </c>
      <c r="C893" s="3" t="s">
        <v>107</v>
      </c>
      <c r="D893" s="3" t="s">
        <v>79</v>
      </c>
      <c r="E893" s="3">
        <v>15</v>
      </c>
      <c r="F893" s="3">
        <v>0.81092025561688097</v>
      </c>
      <c r="G893" s="3">
        <v>2.1198348992315417</v>
      </c>
      <c r="H893" s="3">
        <f t="shared" si="70"/>
        <v>-0.20958555816382321</v>
      </c>
      <c r="I893" s="3">
        <f t="shared" si="71"/>
        <v>0.75133820793032302</v>
      </c>
      <c r="N893">
        <f t="shared" si="74"/>
        <v>-0.20958555816382321</v>
      </c>
      <c r="O893">
        <f t="shared" si="75"/>
        <v>0.75133820793032302</v>
      </c>
      <c r="P893">
        <v>2.1198348992315417</v>
      </c>
      <c r="T893">
        <f t="shared" si="76"/>
        <v>0.81092025561688097</v>
      </c>
      <c r="Z893" s="7">
        <v>2.1198348992315417</v>
      </c>
    </row>
    <row r="894" spans="1:26">
      <c r="A894" s="3" t="s">
        <v>90</v>
      </c>
      <c r="B894" s="3" t="s">
        <v>104</v>
      </c>
      <c r="C894" s="3" t="s">
        <v>107</v>
      </c>
      <c r="D894" s="3" t="s">
        <v>79</v>
      </c>
      <c r="E894" s="3">
        <v>16</v>
      </c>
      <c r="F894" s="3">
        <v>0.82181742913656497</v>
      </c>
      <c r="G894" s="3">
        <v>2.167879147923149</v>
      </c>
      <c r="H894" s="3">
        <f t="shared" si="70"/>
        <v>-0.19623701426835366</v>
      </c>
      <c r="I894" s="3">
        <f t="shared" si="71"/>
        <v>0.77374933844578553</v>
      </c>
      <c r="N894">
        <f t="shared" si="74"/>
        <v>-0.19623701426835366</v>
      </c>
      <c r="O894">
        <f t="shared" si="75"/>
        <v>0.77374933844578553</v>
      </c>
      <c r="P894">
        <v>2.167879147923149</v>
      </c>
      <c r="T894">
        <f t="shared" si="76"/>
        <v>0.82181742913656497</v>
      </c>
      <c r="Z894" s="7">
        <v>2.167879147923149</v>
      </c>
    </row>
    <row r="895" spans="1:26">
      <c r="A895" s="3" t="s">
        <v>90</v>
      </c>
      <c r="B895" s="3" t="s">
        <v>104</v>
      </c>
      <c r="C895" s="3" t="s">
        <v>107</v>
      </c>
      <c r="D895" s="3" t="s">
        <v>79</v>
      </c>
      <c r="E895" s="3">
        <v>17</v>
      </c>
      <c r="F895" s="3">
        <v>0.82377049212137399</v>
      </c>
      <c r="G895" s="3">
        <v>2.1751321798916035</v>
      </c>
      <c r="H895" s="3">
        <f t="shared" si="70"/>
        <v>-0.19386331684798058</v>
      </c>
      <c r="I895" s="3">
        <f t="shared" si="71"/>
        <v>0.77708943505803774</v>
      </c>
      <c r="N895">
        <f t="shared" si="74"/>
        <v>-0.19386331684798058</v>
      </c>
      <c r="O895">
        <f t="shared" si="75"/>
        <v>0.77708943505803774</v>
      </c>
      <c r="P895">
        <v>2.1751321798916035</v>
      </c>
      <c r="T895">
        <f t="shared" si="76"/>
        <v>0.82377049212137399</v>
      </c>
      <c r="Z895" s="7">
        <v>2.1751321798916035</v>
      </c>
    </row>
    <row r="896" spans="1:26">
      <c r="A896" s="3" t="s">
        <v>90</v>
      </c>
      <c r="B896" s="3" t="s">
        <v>104</v>
      </c>
      <c r="C896" s="3" t="s">
        <v>107</v>
      </c>
      <c r="D896" s="3" t="s">
        <v>79</v>
      </c>
      <c r="E896" s="3">
        <v>18</v>
      </c>
      <c r="F896" s="3">
        <v>0.78438726873798603</v>
      </c>
      <c r="G896" s="3">
        <v>2.0930360723121808</v>
      </c>
      <c r="H896" s="3">
        <f t="shared" si="70"/>
        <v>-0.24285241536536772</v>
      </c>
      <c r="I896" s="3">
        <f t="shared" si="71"/>
        <v>0.73861567805599637</v>
      </c>
      <c r="N896">
        <f t="shared" si="74"/>
        <v>-0.24285241536536772</v>
      </c>
      <c r="O896">
        <f t="shared" si="75"/>
        <v>0.73861567805599637</v>
      </c>
      <c r="P896">
        <v>2.0930360723121808</v>
      </c>
      <c r="T896">
        <f t="shared" si="76"/>
        <v>0.78438726873798603</v>
      </c>
      <c r="Z896" s="7">
        <v>2.0930360723121808</v>
      </c>
    </row>
    <row r="897" spans="1:26">
      <c r="A897" s="3" t="s">
        <v>90</v>
      </c>
      <c r="B897" s="3" t="s">
        <v>104</v>
      </c>
      <c r="C897" s="3" t="s">
        <v>107</v>
      </c>
      <c r="D897" s="3" t="s">
        <v>79</v>
      </c>
      <c r="E897" s="3">
        <v>19</v>
      </c>
      <c r="F897" s="3">
        <v>0.83791252021301799</v>
      </c>
      <c r="G897" s="3">
        <v>2.1720497231877545</v>
      </c>
      <c r="H897" s="3">
        <f t="shared" si="70"/>
        <v>-0.17684157510310625</v>
      </c>
      <c r="I897" s="3">
        <f t="shared" si="71"/>
        <v>0.77567129462169426</v>
      </c>
      <c r="N897">
        <f t="shared" si="74"/>
        <v>-0.17684157510310625</v>
      </c>
      <c r="O897">
        <f t="shared" si="75"/>
        <v>0.77567129462169426</v>
      </c>
      <c r="P897">
        <v>2.1720497231877545</v>
      </c>
      <c r="T897">
        <f t="shared" si="76"/>
        <v>0.83791252021301799</v>
      </c>
      <c r="Z897" s="7">
        <v>2.1720497231877545</v>
      </c>
    </row>
    <row r="898" spans="1:26">
      <c r="A898" s="3" t="s">
        <v>90</v>
      </c>
      <c r="B898" s="3" t="s">
        <v>104</v>
      </c>
      <c r="C898" s="3" t="s">
        <v>107</v>
      </c>
      <c r="D898" s="3" t="s">
        <v>79</v>
      </c>
      <c r="E898" s="3">
        <v>20</v>
      </c>
      <c r="F898" s="3">
        <v>0.81051000930272998</v>
      </c>
      <c r="G898" s="3">
        <v>2.1330025785263365</v>
      </c>
      <c r="H898" s="3">
        <f t="shared" ref="H898:H961" si="77">LN(F898)</f>
        <v>-0.21009158834197031</v>
      </c>
      <c r="I898" s="3">
        <f t="shared" ref="I898:I961" si="78">LN(G898)</f>
        <v>0.75753064836158945</v>
      </c>
      <c r="N898">
        <f t="shared" si="74"/>
        <v>-0.21009158834197031</v>
      </c>
      <c r="O898">
        <f t="shared" si="75"/>
        <v>0.75753064836158945</v>
      </c>
      <c r="P898">
        <v>2.1330025785263365</v>
      </c>
      <c r="T898">
        <f t="shared" si="76"/>
        <v>0.81051000930272998</v>
      </c>
      <c r="Z898" s="7">
        <v>2.1330025785263365</v>
      </c>
    </row>
    <row r="899" spans="1:26">
      <c r="A899" s="3" t="s">
        <v>90</v>
      </c>
      <c r="B899" s="3" t="s">
        <v>104</v>
      </c>
      <c r="C899" s="3" t="s">
        <v>107</v>
      </c>
      <c r="D899" s="3" t="s">
        <v>79</v>
      </c>
      <c r="E899" s="3">
        <v>21</v>
      </c>
      <c r="F899" s="3">
        <v>0.80341039582198903</v>
      </c>
      <c r="G899" s="3">
        <v>2.0977368757782755</v>
      </c>
      <c r="H899" s="3">
        <f t="shared" si="77"/>
        <v>-0.2188896173572667</v>
      </c>
      <c r="I899" s="3">
        <f t="shared" si="78"/>
        <v>0.74085908541586465</v>
      </c>
      <c r="N899">
        <f t="shared" si="74"/>
        <v>-0.2188896173572667</v>
      </c>
      <c r="O899">
        <f t="shared" si="75"/>
        <v>0.74085908541586465</v>
      </c>
      <c r="P899">
        <v>2.0977368757782755</v>
      </c>
      <c r="T899">
        <f t="shared" si="76"/>
        <v>0.80341039582198903</v>
      </c>
      <c r="Z899" s="7">
        <v>2.0977368757782755</v>
      </c>
    </row>
    <row r="900" spans="1:26">
      <c r="A900" s="3" t="s">
        <v>90</v>
      </c>
      <c r="B900" s="3" t="s">
        <v>104</v>
      </c>
      <c r="C900" s="3" t="s">
        <v>107</v>
      </c>
      <c r="D900" s="3" t="s">
        <v>79</v>
      </c>
      <c r="E900" s="3">
        <v>22</v>
      </c>
      <c r="F900" s="3">
        <v>0.79677524107446995</v>
      </c>
      <c r="G900" s="3">
        <v>2.1079136604709405</v>
      </c>
      <c r="H900" s="3">
        <f t="shared" si="77"/>
        <v>-0.22718264614323003</v>
      </c>
      <c r="I900" s="3">
        <f t="shared" si="78"/>
        <v>0.74569867180944971</v>
      </c>
      <c r="N900">
        <f t="shared" si="74"/>
        <v>-0.22718264614323003</v>
      </c>
      <c r="O900">
        <f t="shared" si="75"/>
        <v>0.74569867180944971</v>
      </c>
      <c r="P900">
        <v>2.1079136604709405</v>
      </c>
      <c r="T900">
        <f t="shared" si="76"/>
        <v>0.79677524107446995</v>
      </c>
      <c r="Z900" s="7">
        <v>2.1079136604709405</v>
      </c>
    </row>
    <row r="901" spans="1:26">
      <c r="A901" s="3" t="s">
        <v>90</v>
      </c>
      <c r="B901" s="3" t="s">
        <v>104</v>
      </c>
      <c r="C901" s="3" t="s">
        <v>107</v>
      </c>
      <c r="D901" s="3" t="s">
        <v>75</v>
      </c>
      <c r="E901" s="3">
        <v>1</v>
      </c>
      <c r="F901" s="3">
        <v>0.85145351236464095</v>
      </c>
      <c r="G901" s="3">
        <v>2.1969296757065302</v>
      </c>
      <c r="H901" s="3">
        <f t="shared" si="77"/>
        <v>-0.16081037536136855</v>
      </c>
      <c r="I901" s="3">
        <f t="shared" si="78"/>
        <v>0.78706078365326637</v>
      </c>
      <c r="N901">
        <f t="shared" si="74"/>
        <v>-0.16081037536136855</v>
      </c>
      <c r="O901">
        <f t="shared" si="75"/>
        <v>0.78706078365326637</v>
      </c>
      <c r="P901">
        <v>2.1969296757065302</v>
      </c>
      <c r="T901">
        <f t="shared" si="76"/>
        <v>0.85145351236464095</v>
      </c>
      <c r="Z901" s="7">
        <v>2.1969296757065302</v>
      </c>
    </row>
    <row r="902" spans="1:26">
      <c r="A902" s="3" t="s">
        <v>90</v>
      </c>
      <c r="B902" s="3" t="s">
        <v>104</v>
      </c>
      <c r="C902" s="3" t="s">
        <v>107</v>
      </c>
      <c r="D902" s="3" t="s">
        <v>75</v>
      </c>
      <c r="E902" s="3">
        <v>2</v>
      </c>
      <c r="F902" s="3">
        <v>0.76975596779959599</v>
      </c>
      <c r="G902" s="3">
        <v>2.0443580899636933</v>
      </c>
      <c r="H902" s="3">
        <f t="shared" si="77"/>
        <v>-0.26168173930131788</v>
      </c>
      <c r="I902" s="3">
        <f t="shared" si="78"/>
        <v>0.71508384778193035</v>
      </c>
      <c r="N902">
        <f t="shared" si="74"/>
        <v>-0.26168173930131788</v>
      </c>
      <c r="O902">
        <f t="shared" si="75"/>
        <v>0.71508384778193035</v>
      </c>
      <c r="P902">
        <v>2.0443580899636933</v>
      </c>
      <c r="T902">
        <f t="shared" si="76"/>
        <v>0.76975596779959599</v>
      </c>
      <c r="Z902" s="7">
        <v>2.0443580899636933</v>
      </c>
    </row>
    <row r="903" spans="1:26">
      <c r="A903" s="3" t="s">
        <v>90</v>
      </c>
      <c r="B903" s="3" t="s">
        <v>104</v>
      </c>
      <c r="C903" s="3" t="s">
        <v>107</v>
      </c>
      <c r="D903" s="3" t="s">
        <v>75</v>
      </c>
      <c r="E903" s="3">
        <v>3</v>
      </c>
      <c r="F903" s="3">
        <v>0.81932975102015604</v>
      </c>
      <c r="G903" s="3">
        <v>2.097474672075923</v>
      </c>
      <c r="H903" s="3">
        <f t="shared" si="77"/>
        <v>-0.19926864976308922</v>
      </c>
      <c r="I903" s="3">
        <f t="shared" si="78"/>
        <v>0.74073408399474305</v>
      </c>
      <c r="N903">
        <f t="shared" si="74"/>
        <v>-0.19926864976308922</v>
      </c>
      <c r="O903">
        <f t="shared" si="75"/>
        <v>0.74073408399474305</v>
      </c>
      <c r="P903">
        <v>2.097474672075923</v>
      </c>
      <c r="T903">
        <f t="shared" si="76"/>
        <v>0.81932975102015604</v>
      </c>
      <c r="Z903" s="7">
        <v>2.097474672075923</v>
      </c>
    </row>
    <row r="904" spans="1:26">
      <c r="A904" s="3" t="s">
        <v>90</v>
      </c>
      <c r="B904" s="3" t="s">
        <v>104</v>
      </c>
      <c r="C904" s="3" t="s">
        <v>107</v>
      </c>
      <c r="D904" s="3" t="s">
        <v>75</v>
      </c>
      <c r="E904" s="3">
        <v>4</v>
      </c>
      <c r="F904" s="3">
        <v>0.80248115059547998</v>
      </c>
      <c r="G904" s="3">
        <v>2.008706051168264</v>
      </c>
      <c r="H904" s="3">
        <f t="shared" si="77"/>
        <v>-0.22004691260836393</v>
      </c>
      <c r="I904" s="3">
        <f t="shared" si="78"/>
        <v>0.69749075913367264</v>
      </c>
      <c r="N904">
        <f t="shared" si="74"/>
        <v>-0.22004691260836393</v>
      </c>
      <c r="O904">
        <f t="shared" si="75"/>
        <v>0.69749075913367264</v>
      </c>
      <c r="P904">
        <v>2.008706051168264</v>
      </c>
      <c r="T904">
        <f t="shared" si="76"/>
        <v>0.80248115059547998</v>
      </c>
      <c r="Z904" s="7">
        <v>2.008706051168264</v>
      </c>
    </row>
    <row r="905" spans="1:26">
      <c r="A905" s="3" t="s">
        <v>90</v>
      </c>
      <c r="B905" s="3" t="s">
        <v>104</v>
      </c>
      <c r="C905" s="3" t="s">
        <v>107</v>
      </c>
      <c r="D905" s="3" t="s">
        <v>75</v>
      </c>
      <c r="E905" s="3">
        <v>5</v>
      </c>
      <c r="F905" s="3">
        <v>0.82109862566657599</v>
      </c>
      <c r="G905" s="3">
        <v>2.1341274563624357</v>
      </c>
      <c r="H905" s="3">
        <f t="shared" si="77"/>
        <v>-0.19711204803986282</v>
      </c>
      <c r="I905" s="3">
        <f t="shared" si="78"/>
        <v>0.75805787760136378</v>
      </c>
      <c r="N905">
        <f t="shared" si="74"/>
        <v>-0.19711204803986282</v>
      </c>
      <c r="O905">
        <f t="shared" si="75"/>
        <v>0.75805787760136378</v>
      </c>
      <c r="P905">
        <v>2.1341274563624357</v>
      </c>
      <c r="T905">
        <f t="shared" si="76"/>
        <v>0.82109862566657599</v>
      </c>
      <c r="Z905" s="7">
        <v>2.1341274563624357</v>
      </c>
    </row>
    <row r="906" spans="1:26">
      <c r="A906" s="3" t="s">
        <v>90</v>
      </c>
      <c r="B906" s="3" t="s">
        <v>104</v>
      </c>
      <c r="C906" s="3" t="s">
        <v>107</v>
      </c>
      <c r="D906" s="3" t="s">
        <v>75</v>
      </c>
      <c r="E906" s="3">
        <v>6</v>
      </c>
      <c r="F906" s="3">
        <v>0.81244556085097097</v>
      </c>
      <c r="G906" s="3">
        <v>2.1513948963405114</v>
      </c>
      <c r="H906" s="3">
        <f t="shared" si="77"/>
        <v>-0.20770636905255493</v>
      </c>
      <c r="I906" s="3">
        <f t="shared" si="78"/>
        <v>0.76611642076256448</v>
      </c>
      <c r="N906">
        <f t="shared" si="74"/>
        <v>-0.20770636905255493</v>
      </c>
      <c r="O906">
        <f t="shared" si="75"/>
        <v>0.76611642076256448</v>
      </c>
      <c r="P906">
        <v>2.1513948963405114</v>
      </c>
      <c r="T906">
        <f t="shared" si="76"/>
        <v>0.81244556085097097</v>
      </c>
      <c r="Z906" s="7">
        <v>2.1513948963405114</v>
      </c>
    </row>
    <row r="907" spans="1:26">
      <c r="A907" s="3" t="s">
        <v>90</v>
      </c>
      <c r="B907" s="3" t="s">
        <v>104</v>
      </c>
      <c r="C907" s="3" t="s">
        <v>107</v>
      </c>
      <c r="D907" s="3" t="s">
        <v>75</v>
      </c>
      <c r="E907" s="3">
        <v>7</v>
      </c>
      <c r="F907" s="3">
        <v>0.81102589617234899</v>
      </c>
      <c r="G907" s="3">
        <v>2.1783020910791966</v>
      </c>
      <c r="H907" s="3">
        <f t="shared" si="77"/>
        <v>-0.20945529421455353</v>
      </c>
      <c r="I907" s="3">
        <f t="shared" si="78"/>
        <v>0.77854571603094569</v>
      </c>
      <c r="N907">
        <f t="shared" si="74"/>
        <v>-0.20945529421455353</v>
      </c>
      <c r="O907">
        <f t="shared" si="75"/>
        <v>0.77854571603094569</v>
      </c>
      <c r="P907">
        <v>2.1783020910791966</v>
      </c>
      <c r="T907">
        <f t="shared" si="76"/>
        <v>0.81102589617234899</v>
      </c>
      <c r="Z907" s="7">
        <v>2.1783020910791966</v>
      </c>
    </row>
    <row r="908" spans="1:26">
      <c r="A908" s="3" t="s">
        <v>90</v>
      </c>
      <c r="B908" s="3" t="s">
        <v>104</v>
      </c>
      <c r="C908" s="3" t="s">
        <v>107</v>
      </c>
      <c r="D908" s="3" t="s">
        <v>75</v>
      </c>
      <c r="E908" s="3">
        <v>8</v>
      </c>
      <c r="F908" s="3">
        <v>0.81739508167318398</v>
      </c>
      <c r="G908" s="3">
        <v>2.1799541279577421</v>
      </c>
      <c r="H908" s="3">
        <f t="shared" si="77"/>
        <v>-0.20163272490800729</v>
      </c>
      <c r="I908" s="3">
        <f t="shared" si="78"/>
        <v>0.77930383435838779</v>
      </c>
      <c r="N908">
        <f t="shared" si="74"/>
        <v>-0.20163272490800729</v>
      </c>
      <c r="O908">
        <f t="shared" si="75"/>
        <v>0.77930383435838779</v>
      </c>
      <c r="P908">
        <v>2.1799541279577421</v>
      </c>
      <c r="T908">
        <f t="shared" si="76"/>
        <v>0.81739508167318398</v>
      </c>
      <c r="Z908" s="7">
        <v>2.1799541279577421</v>
      </c>
    </row>
    <row r="909" spans="1:26">
      <c r="A909" s="3" t="s">
        <v>90</v>
      </c>
      <c r="B909" s="3" t="s">
        <v>104</v>
      </c>
      <c r="C909" s="3" t="s">
        <v>107</v>
      </c>
      <c r="D909" s="3" t="s">
        <v>75</v>
      </c>
      <c r="E909" s="3">
        <v>9</v>
      </c>
      <c r="F909" s="3">
        <v>0.80290437314419105</v>
      </c>
      <c r="G909" s="3">
        <v>2.1428252378577213</v>
      </c>
      <c r="H909" s="3">
        <f t="shared" si="77"/>
        <v>-0.21951965912032984</v>
      </c>
      <c r="I909" s="3">
        <f t="shared" si="78"/>
        <v>0.76212516293632449</v>
      </c>
      <c r="N909">
        <f t="shared" si="74"/>
        <v>-0.21951965912032984</v>
      </c>
      <c r="O909">
        <f t="shared" si="75"/>
        <v>0.76212516293632449</v>
      </c>
      <c r="P909">
        <v>2.1428252378577213</v>
      </c>
      <c r="T909">
        <f t="shared" si="76"/>
        <v>0.80290437314419105</v>
      </c>
      <c r="Z909" s="7">
        <v>2.1428252378577213</v>
      </c>
    </row>
    <row r="910" spans="1:26">
      <c r="A910" s="3" t="s">
        <v>90</v>
      </c>
      <c r="B910" s="3" t="s">
        <v>104</v>
      </c>
      <c r="C910" s="3" t="s">
        <v>107</v>
      </c>
      <c r="D910" s="3" t="s">
        <v>75</v>
      </c>
      <c r="E910" s="3">
        <v>10</v>
      </c>
      <c r="F910" s="3">
        <v>0.80653087885419095</v>
      </c>
      <c r="G910" s="3">
        <v>2.11322029140362</v>
      </c>
      <c r="H910" s="3">
        <f t="shared" si="77"/>
        <v>-0.21501309466787258</v>
      </c>
      <c r="I910" s="3">
        <f t="shared" si="78"/>
        <v>0.74821298847828654</v>
      </c>
      <c r="N910">
        <f t="shared" si="74"/>
        <v>-0.21501309466787258</v>
      </c>
      <c r="O910">
        <f t="shared" si="75"/>
        <v>0.74821298847828654</v>
      </c>
      <c r="P910">
        <v>2.11322029140362</v>
      </c>
      <c r="T910">
        <f t="shared" si="76"/>
        <v>0.80653087885419095</v>
      </c>
      <c r="Z910" s="7">
        <v>2.11322029140362</v>
      </c>
    </row>
    <row r="911" spans="1:26">
      <c r="A911" s="3" t="s">
        <v>90</v>
      </c>
      <c r="B911" s="3" t="s">
        <v>104</v>
      </c>
      <c r="C911" s="3" t="s">
        <v>107</v>
      </c>
      <c r="D911" s="3" t="s">
        <v>75</v>
      </c>
      <c r="E911" s="3">
        <v>11</v>
      </c>
      <c r="F911" s="3">
        <v>0.82518796144314699</v>
      </c>
      <c r="G911" s="3">
        <v>2.0670752284326763</v>
      </c>
      <c r="H911" s="3">
        <f t="shared" si="77"/>
        <v>-0.19214408654493734</v>
      </c>
      <c r="I911" s="3">
        <f t="shared" si="78"/>
        <v>0.72613467502171192</v>
      </c>
      <c r="N911">
        <f t="shared" si="74"/>
        <v>-0.19214408654493734</v>
      </c>
      <c r="O911">
        <f t="shared" si="75"/>
        <v>0.72613467502171192</v>
      </c>
      <c r="P911">
        <v>2.0670752284326763</v>
      </c>
      <c r="T911">
        <f t="shared" si="76"/>
        <v>0.82518796144314699</v>
      </c>
      <c r="Z911" s="7">
        <v>2.0670752284326763</v>
      </c>
    </row>
    <row r="912" spans="1:26">
      <c r="A912" s="3" t="s">
        <v>90</v>
      </c>
      <c r="B912" s="3" t="s">
        <v>104</v>
      </c>
      <c r="C912" s="3" t="s">
        <v>107</v>
      </c>
      <c r="D912" s="3" t="s">
        <v>75</v>
      </c>
      <c r="E912" s="3">
        <v>12</v>
      </c>
      <c r="F912" s="3">
        <v>0.79559291578458702</v>
      </c>
      <c r="G912" s="3">
        <v>2.1289668856043766</v>
      </c>
      <c r="H912" s="3">
        <f t="shared" si="77"/>
        <v>-0.22866763628456346</v>
      </c>
      <c r="I912" s="3">
        <f t="shared" si="78"/>
        <v>0.75563683182343444</v>
      </c>
      <c r="N912">
        <f t="shared" si="74"/>
        <v>-0.22866763628456346</v>
      </c>
      <c r="O912">
        <f t="shared" si="75"/>
        <v>0.75563683182343444</v>
      </c>
      <c r="P912">
        <v>2.1289668856043766</v>
      </c>
      <c r="T912">
        <f t="shared" si="76"/>
        <v>0.79559291578458702</v>
      </c>
      <c r="Z912" s="7">
        <v>2.1289668856043766</v>
      </c>
    </row>
    <row r="913" spans="1:26">
      <c r="A913" s="3" t="s">
        <v>90</v>
      </c>
      <c r="B913" s="3" t="s">
        <v>104</v>
      </c>
      <c r="C913" s="3" t="s">
        <v>107</v>
      </c>
      <c r="D913" s="3" t="s">
        <v>75</v>
      </c>
      <c r="E913" s="3">
        <v>13</v>
      </c>
      <c r="F913" s="3">
        <v>0.77668703399179195</v>
      </c>
      <c r="G913" s="3">
        <v>2.0554804791094465</v>
      </c>
      <c r="H913" s="3">
        <f t="shared" si="77"/>
        <v>-0.2527177974105777</v>
      </c>
      <c r="I913" s="3">
        <f t="shared" si="78"/>
        <v>0.72050963040456861</v>
      </c>
      <c r="N913">
        <f t="shared" si="74"/>
        <v>-0.2527177974105777</v>
      </c>
      <c r="O913">
        <f t="shared" si="75"/>
        <v>0.72050963040456861</v>
      </c>
      <c r="P913">
        <v>2.0554804791094465</v>
      </c>
      <c r="T913">
        <f t="shared" si="76"/>
        <v>0.77668703399179195</v>
      </c>
      <c r="Z913" s="7">
        <v>2.0554804791094465</v>
      </c>
    </row>
    <row r="914" spans="1:26">
      <c r="A914" s="3" t="s">
        <v>90</v>
      </c>
      <c r="B914" s="3" t="s">
        <v>104</v>
      </c>
      <c r="C914" s="3" t="s">
        <v>107</v>
      </c>
      <c r="D914" s="3" t="s">
        <v>75</v>
      </c>
      <c r="E914" s="3">
        <v>14</v>
      </c>
      <c r="F914" s="3">
        <v>0.73966688743336895</v>
      </c>
      <c r="G914" s="3">
        <v>1.9954197553397128</v>
      </c>
      <c r="H914" s="3">
        <f t="shared" si="77"/>
        <v>-0.30155534624987096</v>
      </c>
      <c r="I914" s="3">
        <f t="shared" si="78"/>
        <v>0.69085443188913109</v>
      </c>
      <c r="N914">
        <f t="shared" si="74"/>
        <v>-0.30155534624987096</v>
      </c>
      <c r="O914">
        <f t="shared" si="75"/>
        <v>0.69085443188913109</v>
      </c>
      <c r="P914">
        <v>1.9954197553397128</v>
      </c>
      <c r="T914">
        <f t="shared" si="76"/>
        <v>0.73966688743336895</v>
      </c>
      <c r="Z914" s="7">
        <v>1.9954197553397128</v>
      </c>
    </row>
    <row r="915" spans="1:26">
      <c r="A915" s="3" t="s">
        <v>90</v>
      </c>
      <c r="B915" s="3" t="s">
        <v>104</v>
      </c>
      <c r="C915" s="3" t="s">
        <v>107</v>
      </c>
      <c r="D915" s="3" t="s">
        <v>75</v>
      </c>
      <c r="E915" s="3">
        <v>15</v>
      </c>
      <c r="F915" s="3">
        <v>0.81815048224686104</v>
      </c>
      <c r="G915" s="3">
        <v>2.1385976713725285</v>
      </c>
      <c r="H915" s="3">
        <f t="shared" si="77"/>
        <v>-0.20070899567165354</v>
      </c>
      <c r="I915" s="3">
        <f t="shared" si="78"/>
        <v>0.76015032048381237</v>
      </c>
      <c r="N915">
        <f t="shared" si="74"/>
        <v>-0.20070899567165354</v>
      </c>
      <c r="O915">
        <f t="shared" si="75"/>
        <v>0.76015032048381237</v>
      </c>
      <c r="P915">
        <v>2.1385976713725285</v>
      </c>
      <c r="T915">
        <f t="shared" si="76"/>
        <v>0.81815048224686104</v>
      </c>
      <c r="Z915" s="7">
        <v>2.1385976713725285</v>
      </c>
    </row>
    <row r="916" spans="1:26">
      <c r="A916" s="3" t="s">
        <v>90</v>
      </c>
      <c r="B916" s="3" t="s">
        <v>104</v>
      </c>
      <c r="C916" s="3" t="s">
        <v>107</v>
      </c>
      <c r="D916" s="3" t="s">
        <v>75</v>
      </c>
      <c r="E916" s="3">
        <v>17</v>
      </c>
      <c r="F916" s="3">
        <v>0.83078433755370695</v>
      </c>
      <c r="G916" s="3">
        <v>2.1587033144922905</v>
      </c>
      <c r="H916" s="3">
        <f t="shared" si="77"/>
        <v>-0.18538503940426629</v>
      </c>
      <c r="I916" s="3">
        <f t="shared" si="78"/>
        <v>0.76950772406877732</v>
      </c>
      <c r="N916">
        <f t="shared" si="74"/>
        <v>-0.18538503940426629</v>
      </c>
      <c r="O916">
        <f t="shared" si="75"/>
        <v>0.76950772406877732</v>
      </c>
      <c r="P916">
        <v>2.1587033144922905</v>
      </c>
      <c r="T916">
        <f t="shared" si="76"/>
        <v>0.83078433755370695</v>
      </c>
      <c r="Z916" s="7">
        <v>2.1587033144922905</v>
      </c>
    </row>
    <row r="917" spans="1:26">
      <c r="A917" s="3" t="s">
        <v>90</v>
      </c>
      <c r="B917" s="3" t="s">
        <v>104</v>
      </c>
      <c r="C917" s="3" t="s">
        <v>107</v>
      </c>
      <c r="D917" s="3" t="s">
        <v>75</v>
      </c>
      <c r="E917" s="3">
        <v>18</v>
      </c>
      <c r="F917" s="3">
        <v>0.78094687251009598</v>
      </c>
      <c r="G917" s="3">
        <v>2.0750903594783532</v>
      </c>
      <c r="H917" s="3">
        <f t="shared" si="77"/>
        <v>-0.24724815641131603</v>
      </c>
      <c r="I917" s="3">
        <f t="shared" si="78"/>
        <v>0.73000469947108582</v>
      </c>
      <c r="N917">
        <f t="shared" si="74"/>
        <v>-0.24724815641131603</v>
      </c>
      <c r="O917">
        <f t="shared" si="75"/>
        <v>0.73000469947108582</v>
      </c>
      <c r="P917">
        <v>2.0750903594783532</v>
      </c>
      <c r="T917">
        <f t="shared" si="76"/>
        <v>0.78094687251009598</v>
      </c>
      <c r="Z917" s="7">
        <v>2.0750903594783532</v>
      </c>
    </row>
    <row r="918" spans="1:26">
      <c r="A918" s="3" t="s">
        <v>90</v>
      </c>
      <c r="B918" s="3" t="s">
        <v>104</v>
      </c>
      <c r="C918" s="3" t="s">
        <v>107</v>
      </c>
      <c r="D918" s="3" t="s">
        <v>75</v>
      </c>
      <c r="E918" s="3">
        <v>19</v>
      </c>
      <c r="F918" s="3">
        <v>0.85368490974674205</v>
      </c>
      <c r="G918" s="3">
        <v>2.1736835096213984</v>
      </c>
      <c r="H918" s="3">
        <f t="shared" si="77"/>
        <v>-0.15819311141735742</v>
      </c>
      <c r="I918" s="3">
        <f t="shared" si="78"/>
        <v>0.7764231983502905</v>
      </c>
      <c r="N918">
        <f t="shared" si="74"/>
        <v>-0.15819311141735742</v>
      </c>
      <c r="O918">
        <f t="shared" si="75"/>
        <v>0.7764231983502905</v>
      </c>
      <c r="P918">
        <v>2.1736835096213984</v>
      </c>
      <c r="T918">
        <f t="shared" si="76"/>
        <v>0.85368490974674205</v>
      </c>
      <c r="Z918" s="7">
        <v>2.1736835096213984</v>
      </c>
    </row>
    <row r="919" spans="1:26">
      <c r="A919" s="3" t="s">
        <v>90</v>
      </c>
      <c r="B919" s="3" t="s">
        <v>104</v>
      </c>
      <c r="C919" s="3" t="s">
        <v>107</v>
      </c>
      <c r="D919" s="3" t="s">
        <v>75</v>
      </c>
      <c r="E919" s="3">
        <v>21</v>
      </c>
      <c r="F919" s="3">
        <v>0.81231689905502402</v>
      </c>
      <c r="G919" s="3">
        <v>2.1437350582569668</v>
      </c>
      <c r="H919" s="3">
        <f t="shared" si="77"/>
        <v>-0.20786474518370132</v>
      </c>
      <c r="I919" s="3">
        <f t="shared" si="78"/>
        <v>0.76254966199853647</v>
      </c>
      <c r="N919">
        <f t="shared" si="74"/>
        <v>-0.20786474518370132</v>
      </c>
      <c r="O919">
        <f t="shared" si="75"/>
        <v>0.76254966199853647</v>
      </c>
      <c r="P919">
        <v>2.1437350582569668</v>
      </c>
      <c r="T919">
        <f t="shared" si="76"/>
        <v>0.81231689905502402</v>
      </c>
      <c r="Z919" s="7">
        <v>2.1437350582569668</v>
      </c>
    </row>
    <row r="920" spans="1:26">
      <c r="A920" s="3" t="s">
        <v>90</v>
      </c>
      <c r="B920" s="3" t="s">
        <v>104</v>
      </c>
      <c r="C920" s="3" t="s">
        <v>107</v>
      </c>
      <c r="D920" s="3" t="s">
        <v>75</v>
      </c>
      <c r="E920" s="3">
        <v>22</v>
      </c>
      <c r="F920" s="3">
        <v>0.76540450967420604</v>
      </c>
      <c r="G920" s="3">
        <v>2.0930838492521033</v>
      </c>
      <c r="H920" s="3">
        <f t="shared" si="77"/>
        <v>-0.26735081408967187</v>
      </c>
      <c r="I920" s="3">
        <f t="shared" si="78"/>
        <v>0.73863850441588086</v>
      </c>
      <c r="N920">
        <f t="shared" si="74"/>
        <v>-0.26735081408967187</v>
      </c>
      <c r="O920">
        <f t="shared" si="75"/>
        <v>0.73863850441588086</v>
      </c>
      <c r="P920">
        <v>2.0930838492521033</v>
      </c>
      <c r="T920">
        <f t="shared" si="76"/>
        <v>0.76540450967420604</v>
      </c>
      <c r="Z920" s="7">
        <v>2.0930838492521033</v>
      </c>
    </row>
    <row r="921" spans="1:26">
      <c r="A921" s="3" t="s">
        <v>90</v>
      </c>
      <c r="B921" s="3" t="s">
        <v>104</v>
      </c>
      <c r="C921" s="3" t="s">
        <v>107</v>
      </c>
      <c r="D921" s="3" t="s">
        <v>75</v>
      </c>
      <c r="E921" s="3">
        <v>23</v>
      </c>
      <c r="F921" s="3">
        <v>0.78634599470162103</v>
      </c>
      <c r="G921" s="3">
        <v>2.0439422692434341</v>
      </c>
      <c r="H921" s="3">
        <f t="shared" si="77"/>
        <v>-0.24035838658972708</v>
      </c>
      <c r="I921" s="3">
        <f t="shared" si="78"/>
        <v>0.71488042793252682</v>
      </c>
      <c r="N921">
        <f t="shared" si="74"/>
        <v>-0.24035838658972708</v>
      </c>
      <c r="O921">
        <f t="shared" si="75"/>
        <v>0.71488042793252682</v>
      </c>
      <c r="P921">
        <v>2.0439422692434341</v>
      </c>
      <c r="T921">
        <f t="shared" si="76"/>
        <v>0.78634599470162103</v>
      </c>
      <c r="Z921" s="7">
        <v>2.0439422692434341</v>
      </c>
    </row>
    <row r="922" spans="1:26">
      <c r="A922" s="3" t="s">
        <v>90</v>
      </c>
      <c r="B922" s="3" t="s">
        <v>105</v>
      </c>
      <c r="C922" s="3" t="s">
        <v>107</v>
      </c>
      <c r="D922" s="3" t="s">
        <v>79</v>
      </c>
      <c r="E922" s="3">
        <v>1</v>
      </c>
      <c r="F922" s="3">
        <v>0.81096104136772895</v>
      </c>
      <c r="G922" s="3">
        <v>2.0944211610848473</v>
      </c>
      <c r="H922" s="3">
        <f t="shared" si="77"/>
        <v>-0.20953526379156254</v>
      </c>
      <c r="I922" s="3">
        <f t="shared" si="78"/>
        <v>0.73927721977259409</v>
      </c>
      <c r="N922">
        <f t="shared" si="74"/>
        <v>-0.20953526379156254</v>
      </c>
      <c r="O922">
        <f t="shared" si="75"/>
        <v>0.73927721977259409</v>
      </c>
      <c r="P922">
        <v>2.0944211610848473</v>
      </c>
      <c r="T922">
        <f t="shared" si="76"/>
        <v>0.81096104136772895</v>
      </c>
      <c r="Z922" s="7">
        <v>2.0944211610848473</v>
      </c>
    </row>
    <row r="923" spans="1:26">
      <c r="A923" s="3" t="s">
        <v>90</v>
      </c>
      <c r="B923" s="3" t="s">
        <v>105</v>
      </c>
      <c r="C923" s="3" t="s">
        <v>107</v>
      </c>
      <c r="D923" s="3" t="s">
        <v>79</v>
      </c>
      <c r="E923" s="3">
        <v>2</v>
      </c>
      <c r="F923" s="3">
        <v>0.83086712240778005</v>
      </c>
      <c r="G923" s="3">
        <v>2.2132555207205513</v>
      </c>
      <c r="H923" s="3">
        <f t="shared" si="77"/>
        <v>-0.18528539774518635</v>
      </c>
      <c r="I923" s="3">
        <f t="shared" si="78"/>
        <v>0.79446451790127981</v>
      </c>
      <c r="N923">
        <f t="shared" si="74"/>
        <v>-0.18528539774518635</v>
      </c>
      <c r="O923">
        <f t="shared" si="75"/>
        <v>0.79446451790127981</v>
      </c>
      <c r="P923">
        <v>2.2132555207205513</v>
      </c>
      <c r="T923">
        <f t="shared" si="76"/>
        <v>0.83086712240778005</v>
      </c>
      <c r="Z923" s="7">
        <v>2.2132555207205513</v>
      </c>
    </row>
    <row r="924" spans="1:26">
      <c r="A924" s="3" t="s">
        <v>90</v>
      </c>
      <c r="B924" s="3" t="s">
        <v>105</v>
      </c>
      <c r="C924" s="3" t="s">
        <v>107</v>
      </c>
      <c r="D924" s="3" t="s">
        <v>79</v>
      </c>
      <c r="E924" s="3">
        <v>3</v>
      </c>
      <c r="F924" s="3">
        <v>0.818224928232968</v>
      </c>
      <c r="G924" s="3">
        <v>2.1484878403193255</v>
      </c>
      <c r="H924" s="3">
        <f t="shared" si="77"/>
        <v>-0.2006180067877073</v>
      </c>
      <c r="I924" s="3">
        <f t="shared" si="78"/>
        <v>0.76476426460289915</v>
      </c>
      <c r="N924">
        <f t="shared" si="74"/>
        <v>-0.2006180067877073</v>
      </c>
      <c r="O924">
        <f t="shared" si="75"/>
        <v>0.76476426460289915</v>
      </c>
      <c r="P924">
        <v>2.1484878403193255</v>
      </c>
      <c r="T924">
        <f t="shared" si="76"/>
        <v>0.818224928232968</v>
      </c>
      <c r="Z924" s="7">
        <v>2.1484878403193255</v>
      </c>
    </row>
    <row r="925" spans="1:26">
      <c r="A925" s="3" t="s">
        <v>90</v>
      </c>
      <c r="B925" s="3" t="s">
        <v>105</v>
      </c>
      <c r="C925" s="3" t="s">
        <v>107</v>
      </c>
      <c r="D925" s="3" t="s">
        <v>79</v>
      </c>
      <c r="E925" s="3">
        <v>4</v>
      </c>
      <c r="F925" s="3">
        <v>0.81557343979355301</v>
      </c>
      <c r="G925" s="3">
        <v>2.125323504786977</v>
      </c>
      <c r="H925" s="3">
        <f t="shared" si="77"/>
        <v>-0.20386380604805332</v>
      </c>
      <c r="I925" s="3">
        <f t="shared" si="78"/>
        <v>0.75392402833623351</v>
      </c>
      <c r="N925">
        <f t="shared" si="74"/>
        <v>-0.20386380604805332</v>
      </c>
      <c r="O925">
        <f t="shared" si="75"/>
        <v>0.75392402833623351</v>
      </c>
      <c r="P925">
        <v>2.125323504786977</v>
      </c>
      <c r="T925">
        <f t="shared" si="76"/>
        <v>0.81557343979355301</v>
      </c>
      <c r="Z925" s="7">
        <v>2.125323504786977</v>
      </c>
    </row>
    <row r="926" spans="1:26">
      <c r="A926" s="3" t="s">
        <v>90</v>
      </c>
      <c r="B926" s="3" t="s">
        <v>105</v>
      </c>
      <c r="C926" s="3" t="s">
        <v>107</v>
      </c>
      <c r="D926" s="3" t="s">
        <v>79</v>
      </c>
      <c r="E926" s="3">
        <v>6</v>
      </c>
      <c r="F926" s="3">
        <v>0.85633380073415999</v>
      </c>
      <c r="G926" s="3">
        <v>2.1455302374937526</v>
      </c>
      <c r="H926" s="3">
        <f t="shared" si="77"/>
        <v>-0.15509502472405437</v>
      </c>
      <c r="I926" s="3">
        <f t="shared" si="78"/>
        <v>0.76338671879862874</v>
      </c>
      <c r="N926">
        <f t="shared" si="74"/>
        <v>-0.15509502472405437</v>
      </c>
      <c r="O926">
        <f t="shared" si="75"/>
        <v>0.76338671879862874</v>
      </c>
      <c r="P926">
        <v>2.1455302374937526</v>
      </c>
      <c r="T926">
        <f t="shared" si="76"/>
        <v>0.85633380073415999</v>
      </c>
      <c r="Z926" s="7">
        <v>2.1455302374937526</v>
      </c>
    </row>
    <row r="927" spans="1:26">
      <c r="A927" s="3" t="s">
        <v>90</v>
      </c>
      <c r="B927" s="3" t="s">
        <v>105</v>
      </c>
      <c r="C927" s="3" t="s">
        <v>107</v>
      </c>
      <c r="D927" s="3" t="s">
        <v>79</v>
      </c>
      <c r="E927" s="3">
        <v>7</v>
      </c>
      <c r="F927" s="3">
        <v>0.83575499213803695</v>
      </c>
      <c r="G927" s="3">
        <v>2.105445321066306</v>
      </c>
      <c r="H927" s="3">
        <f t="shared" si="77"/>
        <v>-0.17941978045652987</v>
      </c>
      <c r="I927" s="3">
        <f t="shared" si="78"/>
        <v>0.74452699871070238</v>
      </c>
      <c r="N927">
        <f t="shared" si="74"/>
        <v>-0.17941978045652987</v>
      </c>
      <c r="O927">
        <f t="shared" si="75"/>
        <v>0.74452699871070238</v>
      </c>
      <c r="P927">
        <v>2.105445321066306</v>
      </c>
      <c r="T927">
        <f t="shared" si="76"/>
        <v>0.83575499213803695</v>
      </c>
      <c r="Z927" s="7">
        <v>2.105445321066306</v>
      </c>
    </row>
    <row r="928" spans="1:26">
      <c r="A928" s="3" t="s">
        <v>90</v>
      </c>
      <c r="B928" s="3" t="s">
        <v>105</v>
      </c>
      <c r="C928" s="3" t="s">
        <v>107</v>
      </c>
      <c r="D928" s="3" t="s">
        <v>79</v>
      </c>
      <c r="E928" s="3">
        <v>9</v>
      </c>
      <c r="F928" s="3">
        <v>0.80222307945631399</v>
      </c>
      <c r="G928" s="3">
        <v>2.1440615662802225</v>
      </c>
      <c r="H928" s="3">
        <f t="shared" si="77"/>
        <v>-0.22036855585770282</v>
      </c>
      <c r="I928" s="3">
        <f t="shared" si="78"/>
        <v>0.76270195841204558</v>
      </c>
      <c r="N928">
        <f t="shared" si="74"/>
        <v>-0.22036855585770282</v>
      </c>
      <c r="O928">
        <f t="shared" si="75"/>
        <v>0.76270195841204558</v>
      </c>
      <c r="P928">
        <v>2.1440615662802225</v>
      </c>
      <c r="T928">
        <f t="shared" si="76"/>
        <v>0.80222307945631399</v>
      </c>
      <c r="Z928" s="7">
        <v>2.1440615662802225</v>
      </c>
    </row>
    <row r="929" spans="1:26">
      <c r="A929" s="3" t="s">
        <v>90</v>
      </c>
      <c r="B929" s="3" t="s">
        <v>105</v>
      </c>
      <c r="C929" s="3" t="s">
        <v>107</v>
      </c>
      <c r="D929" s="3" t="s">
        <v>79</v>
      </c>
      <c r="E929" s="3">
        <v>10</v>
      </c>
      <c r="F929" s="3">
        <v>0.79780561480508805</v>
      </c>
      <c r="G929" s="3">
        <v>2.1881956036881167</v>
      </c>
      <c r="H929" s="3">
        <f t="shared" si="77"/>
        <v>-0.22589030167512006</v>
      </c>
      <c r="I929" s="3">
        <f t="shared" si="78"/>
        <v>0.78307727895887091</v>
      </c>
      <c r="N929">
        <f t="shared" si="74"/>
        <v>-0.22589030167512006</v>
      </c>
      <c r="O929">
        <f t="shared" si="75"/>
        <v>0.78307727895887091</v>
      </c>
      <c r="P929">
        <v>2.1881956036881167</v>
      </c>
      <c r="T929">
        <f t="shared" si="76"/>
        <v>0.79780561480508805</v>
      </c>
      <c r="Z929" s="7">
        <v>2.1881956036881167</v>
      </c>
    </row>
    <row r="930" spans="1:26">
      <c r="A930" s="3" t="s">
        <v>90</v>
      </c>
      <c r="B930" s="3" t="s">
        <v>105</v>
      </c>
      <c r="C930" s="3" t="s">
        <v>107</v>
      </c>
      <c r="D930" s="3" t="s">
        <v>79</v>
      </c>
      <c r="E930" s="3">
        <v>11</v>
      </c>
      <c r="F930" s="3">
        <v>0.83171764573469498</v>
      </c>
      <c r="G930" s="3">
        <v>2.1294130646729865</v>
      </c>
      <c r="H930" s="3">
        <f t="shared" si="77"/>
        <v>-0.18426226386665412</v>
      </c>
      <c r="I930" s="3">
        <f t="shared" si="78"/>
        <v>0.75584638525711223</v>
      </c>
      <c r="N930">
        <f t="shared" si="74"/>
        <v>-0.18426226386665412</v>
      </c>
      <c r="O930">
        <f t="shared" si="75"/>
        <v>0.75584638525711223</v>
      </c>
      <c r="P930">
        <v>2.1294130646729865</v>
      </c>
      <c r="T930">
        <f t="shared" si="76"/>
        <v>0.83171764573469498</v>
      </c>
      <c r="Z930" s="7">
        <v>2.1294130646729865</v>
      </c>
    </row>
    <row r="931" spans="1:26">
      <c r="A931" s="3" t="s">
        <v>90</v>
      </c>
      <c r="B931" s="3" t="s">
        <v>105</v>
      </c>
      <c r="C931" s="3" t="s">
        <v>107</v>
      </c>
      <c r="D931" s="3" t="s">
        <v>79</v>
      </c>
      <c r="E931" s="3">
        <v>12</v>
      </c>
      <c r="F931" s="3">
        <v>0.77909117548092499</v>
      </c>
      <c r="G931" s="3">
        <v>2.0796634343085421</v>
      </c>
      <c r="H931" s="3">
        <f t="shared" si="77"/>
        <v>-0.24962719826456614</v>
      </c>
      <c r="I931" s="3">
        <f t="shared" si="78"/>
        <v>0.7322060701919213</v>
      </c>
      <c r="N931">
        <f t="shared" si="74"/>
        <v>-0.24962719826456614</v>
      </c>
      <c r="O931">
        <f t="shared" si="75"/>
        <v>0.7322060701919213</v>
      </c>
      <c r="P931">
        <v>2.0796634343085421</v>
      </c>
      <c r="T931">
        <f t="shared" si="76"/>
        <v>0.77909117548092499</v>
      </c>
      <c r="Z931" s="7">
        <v>2.0796634343085421</v>
      </c>
    </row>
    <row r="932" spans="1:26">
      <c r="A932" s="3" t="s">
        <v>90</v>
      </c>
      <c r="B932" s="3" t="s">
        <v>105</v>
      </c>
      <c r="C932" s="3" t="s">
        <v>107</v>
      </c>
      <c r="D932" s="3" t="s">
        <v>79</v>
      </c>
      <c r="E932" s="3">
        <v>13</v>
      </c>
      <c r="F932" s="3">
        <v>0.83378118342002905</v>
      </c>
      <c r="G932" s="3">
        <v>2.1734764779035451</v>
      </c>
      <c r="H932" s="3">
        <f t="shared" si="77"/>
        <v>-0.18178428104838543</v>
      </c>
      <c r="I932" s="3">
        <f t="shared" si="78"/>
        <v>0.77632794916755787</v>
      </c>
      <c r="N932">
        <f t="shared" si="74"/>
        <v>-0.18178428104838543</v>
      </c>
      <c r="O932">
        <f t="shared" si="75"/>
        <v>0.77632794916755787</v>
      </c>
      <c r="P932">
        <v>2.1734764779035451</v>
      </c>
      <c r="T932">
        <f t="shared" si="76"/>
        <v>0.83378118342002905</v>
      </c>
      <c r="Z932" s="7">
        <v>2.1734764779035451</v>
      </c>
    </row>
    <row r="933" spans="1:26">
      <c r="A933" s="3" t="s">
        <v>90</v>
      </c>
      <c r="B933" s="3" t="s">
        <v>105</v>
      </c>
      <c r="C933" s="3" t="s">
        <v>107</v>
      </c>
      <c r="D933" s="3" t="s">
        <v>79</v>
      </c>
      <c r="E933" s="3">
        <v>14</v>
      </c>
      <c r="F933" s="3">
        <v>0.80058498809345902</v>
      </c>
      <c r="G933" s="3">
        <v>2.1262408142070832</v>
      </c>
      <c r="H933" s="3">
        <f t="shared" si="77"/>
        <v>-0.22241258341952383</v>
      </c>
      <c r="I933" s="3">
        <f t="shared" si="78"/>
        <v>0.75435554453380915</v>
      </c>
      <c r="N933">
        <f t="shared" si="74"/>
        <v>-0.22241258341952383</v>
      </c>
      <c r="O933">
        <f t="shared" si="75"/>
        <v>0.75435554453380915</v>
      </c>
      <c r="P933">
        <v>2.1262408142070832</v>
      </c>
      <c r="T933">
        <f t="shared" si="76"/>
        <v>0.80058498809345902</v>
      </c>
      <c r="Z933" s="7">
        <v>2.1262408142070832</v>
      </c>
    </row>
    <row r="934" spans="1:26">
      <c r="A934" s="3" t="s">
        <v>90</v>
      </c>
      <c r="B934" s="3" t="s">
        <v>105</v>
      </c>
      <c r="C934" s="3" t="s">
        <v>107</v>
      </c>
      <c r="D934" s="3" t="s">
        <v>79</v>
      </c>
      <c r="E934" s="3">
        <v>15</v>
      </c>
      <c r="F934" s="3">
        <v>0.82626425630165101</v>
      </c>
      <c r="G934" s="3">
        <v>2.112557691519926</v>
      </c>
      <c r="H934" s="3">
        <f t="shared" si="77"/>
        <v>-0.19084063374221774</v>
      </c>
      <c r="I934" s="3">
        <f t="shared" si="78"/>
        <v>0.7478993894715229</v>
      </c>
      <c r="N934">
        <f t="shared" si="74"/>
        <v>-0.19084063374221774</v>
      </c>
      <c r="O934">
        <f t="shared" si="75"/>
        <v>0.7478993894715229</v>
      </c>
      <c r="P934">
        <v>2.112557691519926</v>
      </c>
      <c r="T934">
        <f t="shared" si="76"/>
        <v>0.82626425630165101</v>
      </c>
      <c r="Z934" s="7">
        <v>2.112557691519926</v>
      </c>
    </row>
    <row r="935" spans="1:26">
      <c r="A935" s="3" t="s">
        <v>90</v>
      </c>
      <c r="B935" s="3" t="s">
        <v>105</v>
      </c>
      <c r="C935" s="3" t="s">
        <v>107</v>
      </c>
      <c r="D935" s="3" t="s">
        <v>79</v>
      </c>
      <c r="E935" s="3">
        <v>17</v>
      </c>
      <c r="F935" s="3">
        <v>0.79579771837148705</v>
      </c>
      <c r="G935" s="3">
        <v>2.0706037766796426</v>
      </c>
      <c r="H935" s="3">
        <f t="shared" si="77"/>
        <v>-0.22841024808127131</v>
      </c>
      <c r="I935" s="3">
        <f t="shared" si="78"/>
        <v>0.72784024430244898</v>
      </c>
      <c r="N935">
        <f t="shared" si="74"/>
        <v>-0.22841024808127131</v>
      </c>
      <c r="O935">
        <f t="shared" si="75"/>
        <v>0.72784024430244898</v>
      </c>
      <c r="P935">
        <v>2.0706037766796426</v>
      </c>
      <c r="T935">
        <f t="shared" si="76"/>
        <v>0.79579771837148705</v>
      </c>
      <c r="Z935" s="7">
        <v>2.0706037766796426</v>
      </c>
    </row>
    <row r="936" spans="1:26">
      <c r="A936" s="3" t="s">
        <v>90</v>
      </c>
      <c r="B936" s="3" t="s">
        <v>105</v>
      </c>
      <c r="C936" s="3" t="s">
        <v>107</v>
      </c>
      <c r="D936" s="3" t="s">
        <v>79</v>
      </c>
      <c r="E936" s="3">
        <v>18</v>
      </c>
      <c r="F936" s="3">
        <v>0.80605709687787397</v>
      </c>
      <c r="G936" s="3">
        <v>2.0925104539762756</v>
      </c>
      <c r="H936" s="3">
        <f t="shared" si="77"/>
        <v>-0.21560069918567773</v>
      </c>
      <c r="I936" s="3">
        <f t="shared" si="78"/>
        <v>0.73836451929554925</v>
      </c>
      <c r="N936">
        <f t="shared" si="74"/>
        <v>-0.21560069918567773</v>
      </c>
      <c r="O936">
        <f t="shared" si="75"/>
        <v>0.73836451929554925</v>
      </c>
      <c r="P936">
        <v>2.0925104539762756</v>
      </c>
      <c r="T936">
        <f t="shared" si="76"/>
        <v>0.80605709687787397</v>
      </c>
      <c r="Z936" s="7">
        <v>2.0925104539762756</v>
      </c>
    </row>
    <row r="937" spans="1:26">
      <c r="A937" s="3" t="s">
        <v>90</v>
      </c>
      <c r="B937" s="3" t="s">
        <v>105</v>
      </c>
      <c r="C937" s="3" t="s">
        <v>107</v>
      </c>
      <c r="D937" s="3" t="s">
        <v>79</v>
      </c>
      <c r="E937" s="3">
        <v>19</v>
      </c>
      <c r="F937" s="3">
        <v>0.81317422030661302</v>
      </c>
      <c r="G937" s="3">
        <v>2.0803124765284662</v>
      </c>
      <c r="H937" s="3">
        <f t="shared" si="77"/>
        <v>-0.2068098992717522</v>
      </c>
      <c r="I937" s="3">
        <f t="shared" si="78"/>
        <v>0.73251811153018953</v>
      </c>
      <c r="N937">
        <f t="shared" si="74"/>
        <v>-0.2068098992717522</v>
      </c>
      <c r="O937">
        <f t="shared" si="75"/>
        <v>0.73251811153018953</v>
      </c>
      <c r="P937">
        <v>2.0803124765284662</v>
      </c>
      <c r="T937">
        <f t="shared" si="76"/>
        <v>0.81317422030661302</v>
      </c>
      <c r="Z937" s="7">
        <v>2.0803124765284662</v>
      </c>
    </row>
    <row r="938" spans="1:26">
      <c r="A938" s="3" t="s">
        <v>90</v>
      </c>
      <c r="B938" s="3" t="s">
        <v>105</v>
      </c>
      <c r="C938" s="3" t="s">
        <v>107</v>
      </c>
      <c r="D938" s="3" t="s">
        <v>79</v>
      </c>
      <c r="E938" s="3">
        <v>20</v>
      </c>
      <c r="F938" s="3">
        <v>0.83079318538915403</v>
      </c>
      <c r="G938" s="3">
        <v>2.0752349264601344</v>
      </c>
      <c r="H938" s="3">
        <f t="shared" si="77"/>
        <v>-0.1853743894823397</v>
      </c>
      <c r="I938" s="3">
        <f t="shared" si="78"/>
        <v>0.73007436484518529</v>
      </c>
      <c r="N938">
        <f t="shared" si="74"/>
        <v>-0.1853743894823397</v>
      </c>
      <c r="O938">
        <f t="shared" si="75"/>
        <v>0.73007436484518529</v>
      </c>
      <c r="P938">
        <v>2.0752349264601344</v>
      </c>
      <c r="T938">
        <f t="shared" si="76"/>
        <v>0.83079318538915403</v>
      </c>
      <c r="Z938" s="7">
        <v>2.0752349264601344</v>
      </c>
    </row>
    <row r="939" spans="1:26">
      <c r="A939" s="3" t="s">
        <v>90</v>
      </c>
      <c r="B939" s="3" t="s">
        <v>105</v>
      </c>
      <c r="C939" s="3" t="s">
        <v>107</v>
      </c>
      <c r="D939" s="3" t="s">
        <v>79</v>
      </c>
      <c r="E939" s="3">
        <v>23</v>
      </c>
      <c r="F939" s="3">
        <v>0.82266420746069202</v>
      </c>
      <c r="G939" s="3">
        <v>2.1446211786700236</v>
      </c>
      <c r="H939" s="3">
        <f t="shared" si="77"/>
        <v>-0.19520717193977827</v>
      </c>
      <c r="I939" s="3">
        <f t="shared" si="78"/>
        <v>0.76296293010254246</v>
      </c>
      <c r="N939">
        <f t="shared" ref="N939:N1000" si="79">LN(F939)</f>
        <v>-0.19520717193977827</v>
      </c>
      <c r="O939">
        <f t="shared" ref="O939:O1000" si="80">LN(P939)</f>
        <v>0.76296293010254246</v>
      </c>
      <c r="P939">
        <v>2.1446211786700236</v>
      </c>
      <c r="T939">
        <f t="shared" si="76"/>
        <v>0.82266420746069202</v>
      </c>
      <c r="Z939" s="7">
        <v>2.1446211786700236</v>
      </c>
    </row>
    <row r="940" spans="1:26">
      <c r="A940" s="3" t="s">
        <v>90</v>
      </c>
      <c r="B940" s="3" t="s">
        <v>105</v>
      </c>
      <c r="C940" s="3" t="s">
        <v>107</v>
      </c>
      <c r="D940" s="3" t="s">
        <v>79</v>
      </c>
      <c r="E940" s="3">
        <v>24</v>
      </c>
      <c r="F940" s="3">
        <v>0.81113252097120003</v>
      </c>
      <c r="G940" s="3">
        <v>2.0940391591371923</v>
      </c>
      <c r="H940" s="3">
        <f t="shared" si="77"/>
        <v>-0.20932383381231692</v>
      </c>
      <c r="I940" s="3">
        <f t="shared" si="78"/>
        <v>0.73909481291207313</v>
      </c>
      <c r="N940">
        <f t="shared" si="79"/>
        <v>-0.20932383381231692</v>
      </c>
      <c r="O940">
        <f t="shared" si="80"/>
        <v>0.73909481291207313</v>
      </c>
      <c r="P940">
        <v>2.0940391591371923</v>
      </c>
      <c r="T940">
        <f t="shared" si="76"/>
        <v>0.81113252097120003</v>
      </c>
      <c r="Z940" s="7">
        <v>2.0940391591371923</v>
      </c>
    </row>
    <row r="941" spans="1:26">
      <c r="A941" s="3" t="s">
        <v>90</v>
      </c>
      <c r="B941" s="3" t="s">
        <v>105</v>
      </c>
      <c r="C941" s="3" t="s">
        <v>107</v>
      </c>
      <c r="D941" s="3" t="s">
        <v>75</v>
      </c>
      <c r="E941" s="3">
        <v>3</v>
      </c>
      <c r="F941" s="3">
        <v>0.82489330565993002</v>
      </c>
      <c r="G941" s="3">
        <v>2.1476731594914531</v>
      </c>
      <c r="H941" s="3">
        <f t="shared" si="77"/>
        <v>-0.19250122748365753</v>
      </c>
      <c r="I941" s="3">
        <f t="shared" si="78"/>
        <v>0.76438500468332282</v>
      </c>
      <c r="N941">
        <f t="shared" si="79"/>
        <v>-0.19250122748365753</v>
      </c>
      <c r="O941">
        <f t="shared" si="80"/>
        <v>0.76438500468332282</v>
      </c>
      <c r="P941">
        <v>2.1476731594914531</v>
      </c>
      <c r="T941">
        <f t="shared" si="76"/>
        <v>0.82489330565993002</v>
      </c>
      <c r="Z941" s="7">
        <v>2.1476731594914531</v>
      </c>
    </row>
    <row r="942" spans="1:26">
      <c r="A942" s="3" t="s">
        <v>90</v>
      </c>
      <c r="B942" s="3" t="s">
        <v>105</v>
      </c>
      <c r="C942" s="3" t="s">
        <v>107</v>
      </c>
      <c r="D942" s="3" t="s">
        <v>75</v>
      </c>
      <c r="E942" s="3">
        <v>5</v>
      </c>
      <c r="F942" s="3">
        <v>0.82487689811003095</v>
      </c>
      <c r="G942" s="3">
        <v>2.1378493866500512</v>
      </c>
      <c r="H942" s="3">
        <f t="shared" si="77"/>
        <v>-0.19252111819311768</v>
      </c>
      <c r="I942" s="3">
        <f t="shared" si="78"/>
        <v>0.75980036421405783</v>
      </c>
      <c r="N942">
        <f t="shared" si="79"/>
        <v>-0.19252111819311768</v>
      </c>
      <c r="O942">
        <f t="shared" si="80"/>
        <v>0.75980036421405783</v>
      </c>
      <c r="P942">
        <v>2.1378493866500512</v>
      </c>
      <c r="T942">
        <f t="shared" si="76"/>
        <v>0.82487689811003095</v>
      </c>
      <c r="Z942" s="7">
        <v>2.1378493866500512</v>
      </c>
    </row>
    <row r="943" spans="1:26">
      <c r="A943" s="3" t="s">
        <v>90</v>
      </c>
      <c r="B943" s="3" t="s">
        <v>105</v>
      </c>
      <c r="C943" s="3" t="s">
        <v>107</v>
      </c>
      <c r="D943" s="3" t="s">
        <v>75</v>
      </c>
      <c r="E943" s="3">
        <v>6</v>
      </c>
      <c r="F943" s="3">
        <v>0.83327958500114996</v>
      </c>
      <c r="G943" s="3">
        <v>2.1576144233852355</v>
      </c>
      <c r="H943" s="3">
        <f t="shared" si="77"/>
        <v>-0.18238605687266002</v>
      </c>
      <c r="I943" s="3">
        <f t="shared" si="78"/>
        <v>0.76900317774189353</v>
      </c>
      <c r="N943">
        <f t="shared" si="79"/>
        <v>-0.18238605687266002</v>
      </c>
      <c r="O943">
        <f t="shared" si="80"/>
        <v>0.76900317774189353</v>
      </c>
      <c r="P943">
        <v>2.1576144233852355</v>
      </c>
      <c r="T943">
        <f t="shared" si="76"/>
        <v>0.83327958500114996</v>
      </c>
      <c r="Z943" s="7">
        <v>2.1576144233852355</v>
      </c>
    </row>
    <row r="944" spans="1:26">
      <c r="A944" s="3" t="s">
        <v>90</v>
      </c>
      <c r="B944" s="3" t="s">
        <v>105</v>
      </c>
      <c r="C944" s="3" t="s">
        <v>107</v>
      </c>
      <c r="D944" s="3" t="s">
        <v>75</v>
      </c>
      <c r="E944" s="3">
        <v>7</v>
      </c>
      <c r="F944" s="3">
        <v>0.789519927054392</v>
      </c>
      <c r="G944" s="3">
        <v>2.1213203435596424</v>
      </c>
      <c r="H944" s="3">
        <f t="shared" si="77"/>
        <v>-0.23633020551073936</v>
      </c>
      <c r="I944" s="3">
        <f t="shared" si="78"/>
        <v>0.75203869838813697</v>
      </c>
      <c r="N944">
        <f t="shared" si="79"/>
        <v>-0.23633020551073936</v>
      </c>
      <c r="O944">
        <f t="shared" si="80"/>
        <v>0.75203869838813697</v>
      </c>
      <c r="P944">
        <v>2.1213203435596424</v>
      </c>
      <c r="T944">
        <f t="shared" si="76"/>
        <v>0.789519927054392</v>
      </c>
      <c r="Z944" s="7">
        <v>2.1213203435596424</v>
      </c>
    </row>
    <row r="945" spans="1:26">
      <c r="A945" s="3" t="s">
        <v>90</v>
      </c>
      <c r="B945" s="3" t="s">
        <v>105</v>
      </c>
      <c r="C945" s="3" t="s">
        <v>107</v>
      </c>
      <c r="D945" s="3" t="s">
        <v>75</v>
      </c>
      <c r="E945" s="3">
        <v>8</v>
      </c>
      <c r="F945" s="3">
        <v>0.80749067267679497</v>
      </c>
      <c r="G945" s="3">
        <v>2.128497122384712</v>
      </c>
      <c r="H945" s="3">
        <f t="shared" si="77"/>
        <v>-0.21382377481668738</v>
      </c>
      <c r="I945" s="3">
        <f t="shared" si="78"/>
        <v>0.7554161543399891</v>
      </c>
      <c r="N945">
        <f t="shared" si="79"/>
        <v>-0.21382377481668738</v>
      </c>
      <c r="O945">
        <f t="shared" si="80"/>
        <v>0.7554161543399891</v>
      </c>
      <c r="P945">
        <v>2.128497122384712</v>
      </c>
      <c r="T945">
        <f t="shared" ref="T945:T1000" si="81">F945</f>
        <v>0.80749067267679497</v>
      </c>
      <c r="Z945" s="7">
        <v>2.128497122384712</v>
      </c>
    </row>
    <row r="946" spans="1:26">
      <c r="A946" s="3" t="s">
        <v>90</v>
      </c>
      <c r="B946" s="3" t="s">
        <v>105</v>
      </c>
      <c r="C946" s="3" t="s">
        <v>107</v>
      </c>
      <c r="D946" s="3" t="s">
        <v>75</v>
      </c>
      <c r="E946" s="3">
        <v>9</v>
      </c>
      <c r="F946" s="3">
        <v>0.82468177461493897</v>
      </c>
      <c r="G946" s="3">
        <v>2.1111608181282637</v>
      </c>
      <c r="H946" s="3">
        <f t="shared" si="77"/>
        <v>-0.19275769479900431</v>
      </c>
      <c r="I946" s="3">
        <f t="shared" si="78"/>
        <v>0.74723794698220936</v>
      </c>
      <c r="N946">
        <f t="shared" si="79"/>
        <v>-0.19275769479900431</v>
      </c>
      <c r="O946">
        <f t="shared" si="80"/>
        <v>0.74723794698220936</v>
      </c>
      <c r="P946">
        <v>2.1111608181282637</v>
      </c>
      <c r="T946">
        <f t="shared" si="81"/>
        <v>0.82468177461493897</v>
      </c>
      <c r="Z946" s="7">
        <v>2.1111608181282637</v>
      </c>
    </row>
    <row r="947" spans="1:26">
      <c r="A947" s="3" t="s">
        <v>90</v>
      </c>
      <c r="B947" s="3" t="s">
        <v>105</v>
      </c>
      <c r="C947" s="3" t="s">
        <v>107</v>
      </c>
      <c r="D947" s="3" t="s">
        <v>75</v>
      </c>
      <c r="E947" s="3">
        <v>10</v>
      </c>
      <c r="F947" s="3">
        <v>0.84458053644023201</v>
      </c>
      <c r="G947" s="3">
        <v>2.173131381210073</v>
      </c>
      <c r="H947" s="3">
        <f t="shared" si="77"/>
        <v>-0.16891518145510637</v>
      </c>
      <c r="I947" s="3">
        <f t="shared" si="78"/>
        <v>0.77616916019676374</v>
      </c>
      <c r="N947">
        <f t="shared" si="79"/>
        <v>-0.16891518145510637</v>
      </c>
      <c r="O947">
        <f t="shared" si="80"/>
        <v>0.77616916019676374</v>
      </c>
      <c r="P947">
        <v>2.173131381210073</v>
      </c>
      <c r="T947">
        <f t="shared" si="81"/>
        <v>0.84458053644023201</v>
      </c>
      <c r="Z947" s="7">
        <v>2.173131381210073</v>
      </c>
    </row>
    <row r="948" spans="1:26">
      <c r="A948" s="3" t="s">
        <v>90</v>
      </c>
      <c r="B948" s="3" t="s">
        <v>105</v>
      </c>
      <c r="C948" s="3" t="s">
        <v>107</v>
      </c>
      <c r="D948" s="3" t="s">
        <v>75</v>
      </c>
      <c r="E948" s="3">
        <v>11</v>
      </c>
      <c r="F948" s="3">
        <v>0.78902124148843999</v>
      </c>
      <c r="G948" s="3">
        <v>2.0715453169071631</v>
      </c>
      <c r="H948" s="3">
        <f t="shared" si="77"/>
        <v>-0.23696203646007391</v>
      </c>
      <c r="I948" s="3">
        <f t="shared" si="78"/>
        <v>0.72829485866927335</v>
      </c>
      <c r="N948">
        <f t="shared" si="79"/>
        <v>-0.23696203646007391</v>
      </c>
      <c r="O948">
        <f t="shared" si="80"/>
        <v>0.72829485866927335</v>
      </c>
      <c r="P948">
        <v>2.0715453169071631</v>
      </c>
      <c r="T948">
        <f t="shared" si="81"/>
        <v>0.78902124148843999</v>
      </c>
      <c r="Z948" s="7">
        <v>2.0715453169071631</v>
      </c>
    </row>
    <row r="949" spans="1:26">
      <c r="A949" s="3" t="s">
        <v>90</v>
      </c>
      <c r="B949" s="3" t="s">
        <v>105</v>
      </c>
      <c r="C949" s="3" t="s">
        <v>107</v>
      </c>
      <c r="D949" s="3" t="s">
        <v>75</v>
      </c>
      <c r="E949" s="3">
        <v>12</v>
      </c>
      <c r="F949" s="3">
        <v>0.82627451262363205</v>
      </c>
      <c r="G949" s="3">
        <v>2.15188289644209</v>
      </c>
      <c r="H949" s="3">
        <f t="shared" si="77"/>
        <v>-0.19082822093572385</v>
      </c>
      <c r="I949" s="3">
        <f t="shared" si="78"/>
        <v>0.76634322466748028</v>
      </c>
      <c r="N949">
        <f t="shared" si="79"/>
        <v>-0.19082822093572385</v>
      </c>
      <c r="O949">
        <f t="shared" si="80"/>
        <v>0.76634322466748028</v>
      </c>
      <c r="P949">
        <v>2.15188289644209</v>
      </c>
      <c r="T949">
        <f t="shared" si="81"/>
        <v>0.82627451262363205</v>
      </c>
      <c r="Z949" s="7">
        <v>2.15188289644209</v>
      </c>
    </row>
    <row r="950" spans="1:26">
      <c r="A950" s="3" t="s">
        <v>90</v>
      </c>
      <c r="B950" s="3" t="s">
        <v>105</v>
      </c>
      <c r="C950" s="3" t="s">
        <v>107</v>
      </c>
      <c r="D950" s="3" t="s">
        <v>75</v>
      </c>
      <c r="E950" s="3">
        <v>13</v>
      </c>
      <c r="F950" s="3">
        <v>0.78932444600506202</v>
      </c>
      <c r="G950" s="3">
        <v>2.139088590965788</v>
      </c>
      <c r="H950" s="3">
        <f t="shared" si="77"/>
        <v>-0.23657783099386417</v>
      </c>
      <c r="I950" s="3">
        <f t="shared" si="78"/>
        <v>0.76037984624391164</v>
      </c>
      <c r="N950">
        <f t="shared" si="79"/>
        <v>-0.23657783099386417</v>
      </c>
      <c r="O950">
        <f t="shared" si="80"/>
        <v>0.76037984624391164</v>
      </c>
      <c r="P950">
        <v>2.139088590965788</v>
      </c>
      <c r="T950">
        <f t="shared" si="81"/>
        <v>0.78932444600506202</v>
      </c>
      <c r="Z950" s="7">
        <v>2.139088590965788</v>
      </c>
    </row>
    <row r="951" spans="1:26">
      <c r="A951" s="3" t="s">
        <v>90</v>
      </c>
      <c r="B951" s="3" t="s">
        <v>105</v>
      </c>
      <c r="C951" s="3" t="s">
        <v>107</v>
      </c>
      <c r="D951" s="3" t="s">
        <v>75</v>
      </c>
      <c r="E951" s="3">
        <v>14</v>
      </c>
      <c r="F951" s="3">
        <v>0.79380599542902897</v>
      </c>
      <c r="G951" s="3">
        <v>2.1117765033260505</v>
      </c>
      <c r="H951" s="3">
        <f t="shared" si="77"/>
        <v>-0.23091618584104825</v>
      </c>
      <c r="I951" s="3">
        <f t="shared" si="78"/>
        <v>0.7475295379556397</v>
      </c>
      <c r="N951">
        <f t="shared" si="79"/>
        <v>-0.23091618584104825</v>
      </c>
      <c r="O951">
        <f t="shared" si="80"/>
        <v>0.7475295379556397</v>
      </c>
      <c r="P951">
        <v>2.1117765033260505</v>
      </c>
      <c r="T951">
        <f t="shared" si="81"/>
        <v>0.79380599542902897</v>
      </c>
      <c r="Z951" s="7">
        <v>2.1117765033260505</v>
      </c>
    </row>
    <row r="952" spans="1:26">
      <c r="A952" s="3" t="s">
        <v>90</v>
      </c>
      <c r="B952" s="3" t="s">
        <v>105</v>
      </c>
      <c r="C952" s="3" t="s">
        <v>107</v>
      </c>
      <c r="D952" s="3" t="s">
        <v>75</v>
      </c>
      <c r="E952" s="3">
        <v>15</v>
      </c>
      <c r="F952" s="3">
        <v>0.80485835604357103</v>
      </c>
      <c r="G952" s="3">
        <v>2.1458098704218882</v>
      </c>
      <c r="H952" s="3">
        <f t="shared" si="77"/>
        <v>-0.21708897227088805</v>
      </c>
      <c r="I952" s="3">
        <f t="shared" si="78"/>
        <v>0.76351704308964241</v>
      </c>
      <c r="N952">
        <f t="shared" si="79"/>
        <v>-0.21708897227088805</v>
      </c>
      <c r="O952">
        <f t="shared" si="80"/>
        <v>0.76351704308964241</v>
      </c>
      <c r="P952">
        <v>2.1458098704218882</v>
      </c>
      <c r="T952">
        <f t="shared" si="81"/>
        <v>0.80485835604357103</v>
      </c>
      <c r="Z952" s="7">
        <v>2.1458098704218882</v>
      </c>
    </row>
    <row r="953" spans="1:26">
      <c r="A953" s="3" t="s">
        <v>90</v>
      </c>
      <c r="B953" s="3" t="s">
        <v>105</v>
      </c>
      <c r="C953" s="3" t="s">
        <v>107</v>
      </c>
      <c r="D953" s="3" t="s">
        <v>75</v>
      </c>
      <c r="E953" s="3">
        <v>16</v>
      </c>
      <c r="F953" s="3">
        <v>0.82238270606916097</v>
      </c>
      <c r="G953" s="3">
        <v>2.0854256160314133</v>
      </c>
      <c r="H953" s="3">
        <f t="shared" si="77"/>
        <v>-0.1955494131147423</v>
      </c>
      <c r="I953" s="3">
        <f t="shared" si="78"/>
        <v>0.73497296680775059</v>
      </c>
      <c r="N953">
        <f t="shared" si="79"/>
        <v>-0.1955494131147423</v>
      </c>
      <c r="O953">
        <f t="shared" si="80"/>
        <v>0.73497296680775059</v>
      </c>
      <c r="P953">
        <v>2.0854256160314133</v>
      </c>
      <c r="T953">
        <f t="shared" si="81"/>
        <v>0.82238270606916097</v>
      </c>
      <c r="Z953" s="7">
        <v>2.0854256160314133</v>
      </c>
    </row>
    <row r="954" spans="1:26">
      <c r="A954" s="3" t="s">
        <v>90</v>
      </c>
      <c r="B954" s="3" t="s">
        <v>105</v>
      </c>
      <c r="C954" s="3" t="s">
        <v>107</v>
      </c>
      <c r="D954" s="3" t="s">
        <v>75</v>
      </c>
      <c r="E954" s="3">
        <v>17</v>
      </c>
      <c r="F954" s="3">
        <v>0.79668590574255604</v>
      </c>
      <c r="G954" s="3">
        <v>2.1335416564951339</v>
      </c>
      <c r="H954" s="3">
        <f t="shared" si="77"/>
        <v>-0.22729477354864053</v>
      </c>
      <c r="I954" s="3">
        <f t="shared" si="78"/>
        <v>0.75778334841201489</v>
      </c>
      <c r="N954">
        <f t="shared" si="79"/>
        <v>-0.22729477354864053</v>
      </c>
      <c r="O954">
        <f t="shared" si="80"/>
        <v>0.75778334841201489</v>
      </c>
      <c r="P954">
        <v>2.1335416564951339</v>
      </c>
      <c r="T954">
        <f t="shared" si="81"/>
        <v>0.79668590574255604</v>
      </c>
      <c r="Z954" s="7">
        <v>2.1335416564951339</v>
      </c>
    </row>
    <row r="955" spans="1:26">
      <c r="A955" s="3" t="s">
        <v>90</v>
      </c>
      <c r="B955" s="3" t="s">
        <v>105</v>
      </c>
      <c r="C955" s="3" t="s">
        <v>107</v>
      </c>
      <c r="D955" s="3" t="s">
        <v>75</v>
      </c>
      <c r="E955" s="3">
        <v>18</v>
      </c>
      <c r="F955" s="3">
        <v>0.80647630950585103</v>
      </c>
      <c r="G955" s="3">
        <v>2.1337759957408839</v>
      </c>
      <c r="H955" s="3">
        <f t="shared" si="77"/>
        <v>-0.21508075629858883</v>
      </c>
      <c r="I955" s="3">
        <f t="shared" si="78"/>
        <v>0.75789317817632262</v>
      </c>
      <c r="N955">
        <f t="shared" si="79"/>
        <v>-0.21508075629858883</v>
      </c>
      <c r="O955">
        <f t="shared" si="80"/>
        <v>0.75789317817632262</v>
      </c>
      <c r="P955">
        <v>2.1337759957408839</v>
      </c>
      <c r="T955">
        <f t="shared" si="81"/>
        <v>0.80647630950585103</v>
      </c>
      <c r="Z955" s="7">
        <v>2.1337759957408839</v>
      </c>
    </row>
    <row r="956" spans="1:26">
      <c r="A956" s="3" t="s">
        <v>90</v>
      </c>
      <c r="B956" s="3" t="s">
        <v>105</v>
      </c>
      <c r="C956" s="3" t="s">
        <v>107</v>
      </c>
      <c r="D956" s="3" t="s">
        <v>75</v>
      </c>
      <c r="E956" s="3">
        <v>19</v>
      </c>
      <c r="F956" s="3">
        <v>0.82793777015851899</v>
      </c>
      <c r="G956" s="3">
        <v>2.1660101569475612</v>
      </c>
      <c r="H956" s="3">
        <f t="shared" si="77"/>
        <v>-0.18881728423467503</v>
      </c>
      <c r="I956" s="3">
        <f t="shared" si="78"/>
        <v>0.77288683783260637</v>
      </c>
      <c r="N956">
        <f t="shared" si="79"/>
        <v>-0.18881728423467503</v>
      </c>
      <c r="O956">
        <f t="shared" si="80"/>
        <v>0.77288683783260637</v>
      </c>
      <c r="P956">
        <v>2.1660101569475612</v>
      </c>
      <c r="T956">
        <f t="shared" si="81"/>
        <v>0.82793777015851899</v>
      </c>
      <c r="Z956" s="7">
        <v>2.1660101569475612</v>
      </c>
    </row>
    <row r="957" spans="1:26">
      <c r="A957" s="3" t="s">
        <v>90</v>
      </c>
      <c r="B957" s="3" t="s">
        <v>105</v>
      </c>
      <c r="C957" s="3" t="s">
        <v>107</v>
      </c>
      <c r="D957" s="3" t="s">
        <v>75</v>
      </c>
      <c r="E957" s="3">
        <v>20</v>
      </c>
      <c r="F957" s="3">
        <v>0.80738628244329702</v>
      </c>
      <c r="G957" s="3">
        <v>2.1800917411888889</v>
      </c>
      <c r="H957" s="3">
        <f t="shared" si="77"/>
        <v>-0.21395306049794302</v>
      </c>
      <c r="I957" s="3">
        <f t="shared" si="78"/>
        <v>0.77936695902969744</v>
      </c>
      <c r="N957">
        <f t="shared" si="79"/>
        <v>-0.21395306049794302</v>
      </c>
      <c r="O957">
        <f t="shared" si="80"/>
        <v>0.77936695902969744</v>
      </c>
      <c r="P957">
        <v>2.1800917411888889</v>
      </c>
      <c r="T957">
        <f t="shared" si="81"/>
        <v>0.80738628244329702</v>
      </c>
      <c r="Z957" s="7">
        <v>2.1800917411888889</v>
      </c>
    </row>
    <row r="958" spans="1:26">
      <c r="A958" s="3" t="s">
        <v>90</v>
      </c>
      <c r="B958" s="3" t="s">
        <v>105</v>
      </c>
      <c r="C958" s="3" t="s">
        <v>107</v>
      </c>
      <c r="D958" s="3" t="s">
        <v>75</v>
      </c>
      <c r="E958" s="3">
        <v>21</v>
      </c>
      <c r="F958" s="3">
        <v>0.77765033524975702</v>
      </c>
      <c r="G958" s="3">
        <v>2.097474672075923</v>
      </c>
      <c r="H958" s="3">
        <f t="shared" si="77"/>
        <v>-0.2514782963854344</v>
      </c>
      <c r="I958" s="3">
        <f t="shared" si="78"/>
        <v>0.74073408399474305</v>
      </c>
      <c r="N958">
        <f t="shared" si="79"/>
        <v>-0.2514782963854344</v>
      </c>
      <c r="O958">
        <f t="shared" si="80"/>
        <v>0.74073408399474305</v>
      </c>
      <c r="P958">
        <v>2.097474672075923</v>
      </c>
      <c r="T958">
        <f t="shared" si="81"/>
        <v>0.77765033524975702</v>
      </c>
      <c r="Z958" s="7">
        <v>2.097474672075923</v>
      </c>
    </row>
    <row r="959" spans="1:26">
      <c r="A959" s="3" t="s">
        <v>90</v>
      </c>
      <c r="B959" s="3" t="s">
        <v>105</v>
      </c>
      <c r="C959" s="3" t="s">
        <v>107</v>
      </c>
      <c r="D959" s="3" t="s">
        <v>75</v>
      </c>
      <c r="E959" s="3">
        <v>22</v>
      </c>
      <c r="F959" s="3">
        <v>0.79387557976641898</v>
      </c>
      <c r="G959" s="3">
        <v>2.110923968313402</v>
      </c>
      <c r="H959" s="3">
        <f t="shared" si="77"/>
        <v>-0.23082853055988645</v>
      </c>
      <c r="I959" s="3">
        <f t="shared" si="78"/>
        <v>0.74712575131249148</v>
      </c>
      <c r="N959">
        <f t="shared" si="79"/>
        <v>-0.23082853055988645</v>
      </c>
      <c r="O959">
        <f t="shared" si="80"/>
        <v>0.74712575131249148</v>
      </c>
      <c r="P959">
        <v>2.110923968313402</v>
      </c>
      <c r="T959">
        <f t="shared" si="81"/>
        <v>0.79387557976641898</v>
      </c>
      <c r="Z959" s="7">
        <v>2.110923968313402</v>
      </c>
    </row>
    <row r="960" spans="1:26">
      <c r="A960" s="3" t="s">
        <v>90</v>
      </c>
      <c r="B960" s="3" t="s">
        <v>106</v>
      </c>
      <c r="C960" s="3" t="s">
        <v>107</v>
      </c>
      <c r="D960" s="3" t="s">
        <v>79</v>
      </c>
      <c r="E960" s="3">
        <v>2</v>
      </c>
      <c r="F960" s="3">
        <v>0.79658516575800598</v>
      </c>
      <c r="G960" s="3">
        <v>2.0086064821163951</v>
      </c>
      <c r="H960" s="3">
        <f t="shared" si="77"/>
        <v>-0.22742123035374581</v>
      </c>
      <c r="I960" s="3">
        <f t="shared" si="78"/>
        <v>0.69744118915321218</v>
      </c>
      <c r="N960">
        <f t="shared" si="79"/>
        <v>-0.22742123035374581</v>
      </c>
      <c r="O960">
        <f t="shared" si="80"/>
        <v>0.69744118915321218</v>
      </c>
      <c r="P960">
        <v>2.0086064821163951</v>
      </c>
      <c r="T960">
        <f t="shared" si="81"/>
        <v>0.79658516575800598</v>
      </c>
      <c r="Z960" s="7">
        <v>2.0086064821163951</v>
      </c>
    </row>
    <row r="961" spans="1:26">
      <c r="A961" s="3" t="s">
        <v>90</v>
      </c>
      <c r="B961" s="3" t="s">
        <v>106</v>
      </c>
      <c r="C961" s="3" t="s">
        <v>107</v>
      </c>
      <c r="D961" s="3" t="s">
        <v>79</v>
      </c>
      <c r="E961" s="3">
        <v>3</v>
      </c>
      <c r="F961" s="3">
        <v>0.80883201291472395</v>
      </c>
      <c r="G961" s="3">
        <v>2.0808652046684815</v>
      </c>
      <c r="H961" s="3">
        <f t="shared" si="77"/>
        <v>-0.21216403130407396</v>
      </c>
      <c r="I961" s="3">
        <f t="shared" si="78"/>
        <v>0.73278377100719938</v>
      </c>
      <c r="N961">
        <f t="shared" si="79"/>
        <v>-0.21216403130407396</v>
      </c>
      <c r="O961">
        <f t="shared" si="80"/>
        <v>0.73278377100719938</v>
      </c>
      <c r="P961">
        <v>2.0808652046684815</v>
      </c>
      <c r="T961">
        <f t="shared" si="81"/>
        <v>0.80883201291472395</v>
      </c>
      <c r="Z961" s="7">
        <v>2.0808652046684815</v>
      </c>
    </row>
    <row r="962" spans="1:26">
      <c r="A962" s="3" t="s">
        <v>90</v>
      </c>
      <c r="B962" s="3" t="s">
        <v>106</v>
      </c>
      <c r="C962" s="3" t="s">
        <v>107</v>
      </c>
      <c r="D962" s="3" t="s">
        <v>79</v>
      </c>
      <c r="E962" s="3">
        <v>4</v>
      </c>
      <c r="F962" s="3">
        <v>0.83168848846687504</v>
      </c>
      <c r="G962" s="3">
        <v>2.1242645786248002</v>
      </c>
      <c r="H962" s="3">
        <f t="shared" ref="H962:H1025" si="82">LN(F962)</f>
        <v>-0.18429732117132963</v>
      </c>
      <c r="I962" s="3">
        <f t="shared" ref="I962:I1025" si="83">LN(G962)</f>
        <v>0.75342566182949966</v>
      </c>
      <c r="N962">
        <f t="shared" si="79"/>
        <v>-0.18429732117132963</v>
      </c>
      <c r="O962">
        <f t="shared" si="80"/>
        <v>0.75342566182949966</v>
      </c>
      <c r="P962">
        <v>2.1242645786248002</v>
      </c>
      <c r="T962">
        <f t="shared" si="81"/>
        <v>0.83168848846687504</v>
      </c>
      <c r="Z962" s="7">
        <v>2.1242645786248002</v>
      </c>
    </row>
    <row r="963" spans="1:26">
      <c r="A963" s="3" t="s">
        <v>90</v>
      </c>
      <c r="B963" s="3" t="s">
        <v>106</v>
      </c>
      <c r="C963" s="3" t="s">
        <v>107</v>
      </c>
      <c r="D963" s="3" t="s">
        <v>79</v>
      </c>
      <c r="E963" s="3">
        <v>5</v>
      </c>
      <c r="F963" s="3">
        <v>0.80586710653371196</v>
      </c>
      <c r="G963" s="3">
        <v>2.0155644370746373</v>
      </c>
      <c r="H963" s="3">
        <f t="shared" si="82"/>
        <v>-0.21583643030087496</v>
      </c>
      <c r="I963" s="3">
        <f t="shared" si="83"/>
        <v>0.70089927382792783</v>
      </c>
      <c r="N963">
        <f t="shared" si="79"/>
        <v>-0.21583643030087496</v>
      </c>
      <c r="O963">
        <f t="shared" si="80"/>
        <v>0.70089927382792783</v>
      </c>
      <c r="P963">
        <v>2.0155644370746373</v>
      </c>
      <c r="T963">
        <f t="shared" si="81"/>
        <v>0.80586710653371196</v>
      </c>
      <c r="Z963" s="7">
        <v>2.0155644370746373</v>
      </c>
    </row>
    <row r="964" spans="1:26">
      <c r="A964" s="3" t="s">
        <v>90</v>
      </c>
      <c r="B964" s="3" t="s">
        <v>106</v>
      </c>
      <c r="C964" s="3" t="s">
        <v>107</v>
      </c>
      <c r="D964" s="3" t="s">
        <v>79</v>
      </c>
      <c r="E964" s="3">
        <v>6</v>
      </c>
      <c r="F964" s="3">
        <v>0.831858585807287</v>
      </c>
      <c r="G964" s="3">
        <v>2.1850400453996262</v>
      </c>
      <c r="H964" s="3">
        <f t="shared" si="82"/>
        <v>-0.18409282158891899</v>
      </c>
      <c r="I964" s="3">
        <f t="shared" si="83"/>
        <v>0.78163415579362505</v>
      </c>
      <c r="N964">
        <f t="shared" si="79"/>
        <v>-0.18409282158891899</v>
      </c>
      <c r="O964">
        <f t="shared" si="80"/>
        <v>0.78163415579362505</v>
      </c>
      <c r="P964">
        <v>2.1850400453996262</v>
      </c>
      <c r="T964">
        <f t="shared" si="81"/>
        <v>0.831858585807287</v>
      </c>
      <c r="Z964" s="7">
        <v>2.1850400453996262</v>
      </c>
    </row>
    <row r="965" spans="1:26">
      <c r="A965" s="3" t="s">
        <v>90</v>
      </c>
      <c r="B965" s="3" t="s">
        <v>106</v>
      </c>
      <c r="C965" s="3" t="s">
        <v>107</v>
      </c>
      <c r="D965" s="3" t="s">
        <v>79</v>
      </c>
      <c r="E965" s="3">
        <v>7</v>
      </c>
      <c r="F965" s="3">
        <v>0.80391805089334401</v>
      </c>
      <c r="G965" s="3">
        <v>2.1128653530218151</v>
      </c>
      <c r="H965" s="3">
        <f t="shared" si="82"/>
        <v>-0.21825794174762694</v>
      </c>
      <c r="I965" s="3">
        <f t="shared" si="83"/>
        <v>0.7480450134713873</v>
      </c>
      <c r="N965">
        <f t="shared" si="79"/>
        <v>-0.21825794174762694</v>
      </c>
      <c r="O965">
        <f t="shared" si="80"/>
        <v>0.7480450134713873</v>
      </c>
      <c r="P965">
        <v>2.1128653530218151</v>
      </c>
      <c r="T965">
        <f t="shared" si="81"/>
        <v>0.80391805089334401</v>
      </c>
      <c r="Z965" s="7">
        <v>2.1128653530218151</v>
      </c>
    </row>
    <row r="966" spans="1:26">
      <c r="A966" s="3" t="s">
        <v>90</v>
      </c>
      <c r="B966" s="3" t="s">
        <v>106</v>
      </c>
      <c r="C966" s="3" t="s">
        <v>107</v>
      </c>
      <c r="D966" s="3" t="s">
        <v>79</v>
      </c>
      <c r="E966" s="3">
        <v>9</v>
      </c>
      <c r="F966" s="3">
        <v>0.81803089504311099</v>
      </c>
      <c r="G966" s="3">
        <v>2.09995238041247</v>
      </c>
      <c r="H966" s="3">
        <f t="shared" si="82"/>
        <v>-0.20085517409126258</v>
      </c>
      <c r="I966" s="3">
        <f t="shared" si="83"/>
        <v>0.74191466847821119</v>
      </c>
      <c r="N966">
        <f t="shared" si="79"/>
        <v>-0.20085517409126258</v>
      </c>
      <c r="O966">
        <f t="shared" si="80"/>
        <v>0.74191466847821119</v>
      </c>
      <c r="P966">
        <v>2.09995238041247</v>
      </c>
      <c r="T966">
        <f t="shared" si="81"/>
        <v>0.81803089504311099</v>
      </c>
      <c r="Z966" s="7">
        <v>2.09995238041247</v>
      </c>
    </row>
    <row r="967" spans="1:26">
      <c r="A967" s="3" t="s">
        <v>90</v>
      </c>
      <c r="B967" s="3" t="s">
        <v>106</v>
      </c>
      <c r="C967" s="3" t="s">
        <v>107</v>
      </c>
      <c r="D967" s="3" t="s">
        <v>79</v>
      </c>
      <c r="E967" s="3">
        <v>10</v>
      </c>
      <c r="F967" s="3">
        <v>0.81760401485365797</v>
      </c>
      <c r="G967" s="3">
        <v>2.1148285982556603</v>
      </c>
      <c r="H967" s="3">
        <f t="shared" si="82"/>
        <v>-0.20137714900945775</v>
      </c>
      <c r="I967" s="3">
        <f t="shared" si="83"/>
        <v>0.74897376820036865</v>
      </c>
      <c r="N967">
        <f t="shared" si="79"/>
        <v>-0.20137714900945775</v>
      </c>
      <c r="O967">
        <f t="shared" si="80"/>
        <v>0.74897376820036865</v>
      </c>
      <c r="P967">
        <v>2.1148285982556603</v>
      </c>
      <c r="T967">
        <f t="shared" si="81"/>
        <v>0.81760401485365797</v>
      </c>
      <c r="Z967" s="7">
        <v>2.1148285982556603</v>
      </c>
    </row>
    <row r="968" spans="1:26">
      <c r="A968" s="3" t="s">
        <v>90</v>
      </c>
      <c r="B968" s="3" t="s">
        <v>106</v>
      </c>
      <c r="C968" s="3" t="s">
        <v>107</v>
      </c>
      <c r="D968" s="3" t="s">
        <v>79</v>
      </c>
      <c r="E968" s="3">
        <v>11</v>
      </c>
      <c r="F968" s="3">
        <v>0.82317921946186801</v>
      </c>
      <c r="G968" s="3">
        <v>2.1272752525237535</v>
      </c>
      <c r="H968" s="3">
        <f t="shared" si="82"/>
        <v>-0.1945813383889545</v>
      </c>
      <c r="I968" s="3">
        <f t="shared" si="83"/>
        <v>0.75484193664839638</v>
      </c>
      <c r="N968">
        <f t="shared" si="79"/>
        <v>-0.1945813383889545</v>
      </c>
      <c r="O968">
        <f t="shared" si="80"/>
        <v>0.75484193664839638</v>
      </c>
      <c r="P968">
        <v>2.1272752525237535</v>
      </c>
      <c r="T968">
        <f t="shared" si="81"/>
        <v>0.82317921946186801</v>
      </c>
      <c r="Z968" s="7">
        <v>2.1272752525237535</v>
      </c>
    </row>
    <row r="969" spans="1:26">
      <c r="A969" s="3" t="s">
        <v>90</v>
      </c>
      <c r="B969" s="3" t="s">
        <v>106</v>
      </c>
      <c r="C969" s="3" t="s">
        <v>107</v>
      </c>
      <c r="D969" s="3" t="s">
        <v>79</v>
      </c>
      <c r="E969" s="3">
        <v>12</v>
      </c>
      <c r="F969" s="3">
        <v>0.81448967615266699</v>
      </c>
      <c r="G969" s="3">
        <v>2.011591409804685</v>
      </c>
      <c r="H969" s="3">
        <f t="shared" si="82"/>
        <v>-0.20519352609382646</v>
      </c>
      <c r="I969" s="3">
        <f t="shared" si="83"/>
        <v>0.69892615497680977</v>
      </c>
      <c r="N969">
        <f t="shared" si="79"/>
        <v>-0.20519352609382646</v>
      </c>
      <c r="O969">
        <f t="shared" si="80"/>
        <v>0.69892615497680977</v>
      </c>
      <c r="P969">
        <v>2.011591409804685</v>
      </c>
      <c r="T969">
        <f t="shared" si="81"/>
        <v>0.81448967615266699</v>
      </c>
      <c r="Z969" s="7">
        <v>2.011591409804685</v>
      </c>
    </row>
    <row r="970" spans="1:26">
      <c r="A970" s="3" t="s">
        <v>90</v>
      </c>
      <c r="B970" s="3" t="s">
        <v>106</v>
      </c>
      <c r="C970" s="3" t="s">
        <v>107</v>
      </c>
      <c r="D970" s="3" t="s">
        <v>79</v>
      </c>
      <c r="E970" s="3">
        <v>13</v>
      </c>
      <c r="F970" s="3">
        <v>0.81494705054082595</v>
      </c>
      <c r="G970" s="3">
        <v>2.0961870145576231</v>
      </c>
      <c r="H970" s="3">
        <f t="shared" si="82"/>
        <v>-0.20463213651339252</v>
      </c>
      <c r="I970" s="3">
        <f t="shared" si="83"/>
        <v>0.74011998698120929</v>
      </c>
      <c r="N970">
        <f t="shared" si="79"/>
        <v>-0.20463213651339252</v>
      </c>
      <c r="O970">
        <f t="shared" si="80"/>
        <v>0.74011998698120929</v>
      </c>
      <c r="P970">
        <v>2.0961870145576231</v>
      </c>
      <c r="T970">
        <f t="shared" si="81"/>
        <v>0.81494705054082595</v>
      </c>
      <c r="Z970" s="7">
        <v>2.0961870145576231</v>
      </c>
    </row>
    <row r="971" spans="1:26">
      <c r="A971" s="3" t="s">
        <v>90</v>
      </c>
      <c r="B971" s="3" t="s">
        <v>106</v>
      </c>
      <c r="C971" s="3" t="s">
        <v>107</v>
      </c>
      <c r="D971" s="3" t="s">
        <v>79</v>
      </c>
      <c r="E971" s="3">
        <v>14</v>
      </c>
      <c r="F971" s="3">
        <v>0.806506133164686</v>
      </c>
      <c r="G971" s="3">
        <v>2.0803124765284662</v>
      </c>
      <c r="H971" s="3">
        <f t="shared" si="82"/>
        <v>-0.21504377677785827</v>
      </c>
      <c r="I971" s="3">
        <f t="shared" si="83"/>
        <v>0.73251811153018953</v>
      </c>
      <c r="N971">
        <f t="shared" si="79"/>
        <v>-0.21504377677785827</v>
      </c>
      <c r="O971">
        <f t="shared" si="80"/>
        <v>0.73251811153018953</v>
      </c>
      <c r="P971">
        <v>2.0803124765284662</v>
      </c>
      <c r="T971">
        <f t="shared" si="81"/>
        <v>0.806506133164686</v>
      </c>
      <c r="Z971" s="7">
        <v>2.0803124765284662</v>
      </c>
    </row>
    <row r="972" spans="1:26">
      <c r="A972" s="3" t="s">
        <v>90</v>
      </c>
      <c r="B972" s="3" t="s">
        <v>106</v>
      </c>
      <c r="C972" s="3" t="s">
        <v>107</v>
      </c>
      <c r="D972" s="3" t="s">
        <v>79</v>
      </c>
      <c r="E972" s="3">
        <v>15</v>
      </c>
      <c r="F972" s="3">
        <v>0.81185292758414696</v>
      </c>
      <c r="G972" s="3">
        <v>2.1600462958001616</v>
      </c>
      <c r="H972" s="3">
        <f t="shared" si="82"/>
        <v>-0.20843607889017463</v>
      </c>
      <c r="I972" s="3">
        <f t="shared" si="83"/>
        <v>0.77012965470720052</v>
      </c>
      <c r="N972">
        <f t="shared" si="79"/>
        <v>-0.20843607889017463</v>
      </c>
      <c r="O972">
        <f t="shared" si="80"/>
        <v>0.77012965470720052</v>
      </c>
      <c r="P972">
        <v>2.1600462958001616</v>
      </c>
      <c r="T972">
        <f t="shared" si="81"/>
        <v>0.81185292758414696</v>
      </c>
      <c r="Z972" s="7">
        <v>2.1600462958001616</v>
      </c>
    </row>
    <row r="973" spans="1:26">
      <c r="A973" s="3" t="s">
        <v>90</v>
      </c>
      <c r="B973" s="3" t="s">
        <v>106</v>
      </c>
      <c r="C973" s="3" t="s">
        <v>107</v>
      </c>
      <c r="D973" s="3" t="s">
        <v>79</v>
      </c>
      <c r="E973" s="3">
        <v>16</v>
      </c>
      <c r="F973" s="3">
        <v>0.82254975024072097</v>
      </c>
      <c r="G973" s="3">
        <v>2.063904067538024</v>
      </c>
      <c r="H973" s="3">
        <f t="shared" si="82"/>
        <v>-0.19534631155699331</v>
      </c>
      <c r="I973" s="3">
        <f t="shared" si="83"/>
        <v>0.72459936763314237</v>
      </c>
      <c r="N973">
        <f t="shared" si="79"/>
        <v>-0.19534631155699331</v>
      </c>
      <c r="O973">
        <f t="shared" si="80"/>
        <v>0.72459936763314237</v>
      </c>
      <c r="P973">
        <v>2.063904067538024</v>
      </c>
      <c r="T973">
        <f t="shared" si="81"/>
        <v>0.82254975024072097</v>
      </c>
      <c r="Z973" s="7">
        <v>2.063904067538024</v>
      </c>
    </row>
    <row r="974" spans="1:26">
      <c r="A974" s="3" t="s">
        <v>90</v>
      </c>
      <c r="B974" s="3" t="s">
        <v>106</v>
      </c>
      <c r="C974" s="3" t="s">
        <v>107</v>
      </c>
      <c r="D974" s="3" t="s">
        <v>79</v>
      </c>
      <c r="E974" s="3">
        <v>17</v>
      </c>
      <c r="F974" s="3">
        <v>0.80420574470436501</v>
      </c>
      <c r="G974" s="3">
        <v>2.063904067538024</v>
      </c>
      <c r="H974" s="3">
        <f t="shared" si="82"/>
        <v>-0.21790014116675399</v>
      </c>
      <c r="I974" s="3">
        <f t="shared" si="83"/>
        <v>0.72459936763314237</v>
      </c>
      <c r="N974">
        <f t="shared" si="79"/>
        <v>-0.21790014116675399</v>
      </c>
      <c r="O974">
        <f t="shared" si="80"/>
        <v>0.72459936763314237</v>
      </c>
      <c r="P974">
        <v>2.063904067538024</v>
      </c>
      <c r="T974">
        <f t="shared" si="81"/>
        <v>0.80420574470436501</v>
      </c>
      <c r="Z974" s="7">
        <v>2.063904067538024</v>
      </c>
    </row>
    <row r="975" spans="1:26">
      <c r="A975" s="3" t="s">
        <v>90</v>
      </c>
      <c r="B975" s="3" t="s">
        <v>106</v>
      </c>
      <c r="C975" s="3" t="s">
        <v>107</v>
      </c>
      <c r="D975" s="3" t="s">
        <v>79</v>
      </c>
      <c r="E975" s="3">
        <v>18</v>
      </c>
      <c r="F975" s="3">
        <v>0.77943804140482098</v>
      </c>
      <c r="G975" s="3">
        <v>2.0006249023742555</v>
      </c>
      <c r="H975" s="3">
        <f t="shared" si="82"/>
        <v>-0.24918207869174713</v>
      </c>
      <c r="I975" s="3">
        <f t="shared" si="83"/>
        <v>0.69345958294436627</v>
      </c>
      <c r="N975">
        <f t="shared" si="79"/>
        <v>-0.24918207869174713</v>
      </c>
      <c r="O975">
        <f t="shared" si="80"/>
        <v>0.69345958294436627</v>
      </c>
      <c r="P975">
        <v>2.0006249023742555</v>
      </c>
      <c r="T975">
        <f t="shared" si="81"/>
        <v>0.77943804140482098</v>
      </c>
      <c r="Z975" s="7">
        <v>2.0006249023742555</v>
      </c>
    </row>
    <row r="976" spans="1:26">
      <c r="A976" s="3" t="s">
        <v>90</v>
      </c>
      <c r="B976" s="3" t="s">
        <v>106</v>
      </c>
      <c r="C976" s="3" t="s">
        <v>107</v>
      </c>
      <c r="D976" s="3" t="s">
        <v>79</v>
      </c>
      <c r="E976" s="3">
        <v>19</v>
      </c>
      <c r="F976" s="3">
        <v>0.83430604494812199</v>
      </c>
      <c r="G976" s="3">
        <v>2.0944211610848473</v>
      </c>
      <c r="H976" s="3">
        <f t="shared" si="82"/>
        <v>-0.18115498356742876</v>
      </c>
      <c r="I976" s="3">
        <f t="shared" si="83"/>
        <v>0.73927721977259409</v>
      </c>
      <c r="N976">
        <f t="shared" si="79"/>
        <v>-0.18115498356742876</v>
      </c>
      <c r="O976">
        <f t="shared" si="80"/>
        <v>0.73927721977259409</v>
      </c>
      <c r="P976">
        <v>2.0944211610848473</v>
      </c>
      <c r="T976">
        <f t="shared" si="81"/>
        <v>0.83430604494812199</v>
      </c>
      <c r="Z976" s="7">
        <v>2.0944211610848473</v>
      </c>
    </row>
    <row r="977" spans="1:26">
      <c r="A977" s="3" t="s">
        <v>90</v>
      </c>
      <c r="B977" s="3" t="s">
        <v>106</v>
      </c>
      <c r="C977" s="3" t="s">
        <v>107</v>
      </c>
      <c r="D977" s="3" t="s">
        <v>79</v>
      </c>
      <c r="E977" s="3">
        <v>20</v>
      </c>
      <c r="F977" s="3">
        <v>0.80396154621875604</v>
      </c>
      <c r="G977" s="3">
        <v>1.9658077220318368</v>
      </c>
      <c r="H977" s="3">
        <f t="shared" si="82"/>
        <v>-0.2182038390330944</v>
      </c>
      <c r="I977" s="3">
        <f t="shared" si="83"/>
        <v>0.67590321533060871</v>
      </c>
      <c r="N977">
        <f t="shared" si="79"/>
        <v>-0.2182038390330944</v>
      </c>
      <c r="O977">
        <f t="shared" si="80"/>
        <v>0.67590321533060871</v>
      </c>
      <c r="P977">
        <v>1.9658077220318368</v>
      </c>
      <c r="T977">
        <f t="shared" si="81"/>
        <v>0.80396154621875604</v>
      </c>
      <c r="Z977" s="7">
        <v>1.9658077220318368</v>
      </c>
    </row>
    <row r="978" spans="1:26">
      <c r="A978" s="3" t="s">
        <v>90</v>
      </c>
      <c r="B978" s="3" t="s">
        <v>106</v>
      </c>
      <c r="C978" s="3" t="s">
        <v>107</v>
      </c>
      <c r="D978" s="3" t="s">
        <v>79</v>
      </c>
      <c r="E978" s="3">
        <v>21</v>
      </c>
      <c r="F978" s="3">
        <v>0.83281492893071596</v>
      </c>
      <c r="G978" s="3">
        <v>2.0622802913280243</v>
      </c>
      <c r="H978" s="3">
        <f t="shared" si="82"/>
        <v>-0.18294383565242964</v>
      </c>
      <c r="I978" s="3">
        <f t="shared" si="83"/>
        <v>0.72381230813574826</v>
      </c>
      <c r="N978">
        <f t="shared" si="79"/>
        <v>-0.18294383565242964</v>
      </c>
      <c r="O978">
        <f t="shared" si="80"/>
        <v>0.72381230813574826</v>
      </c>
      <c r="P978">
        <v>2.0622802913280243</v>
      </c>
      <c r="T978">
        <f t="shared" si="81"/>
        <v>0.83281492893071596</v>
      </c>
      <c r="Z978" s="7">
        <v>2.0622802913280243</v>
      </c>
    </row>
    <row r="979" spans="1:26">
      <c r="A979" s="3" t="s">
        <v>90</v>
      </c>
      <c r="B979" s="3" t="s">
        <v>106</v>
      </c>
      <c r="C979" s="3" t="s">
        <v>107</v>
      </c>
      <c r="D979" s="3" t="s">
        <v>79</v>
      </c>
      <c r="E979" s="3">
        <v>22</v>
      </c>
      <c r="F979" s="3">
        <v>0.81590072426925797</v>
      </c>
      <c r="G979" s="3">
        <v>2.0701932276963904</v>
      </c>
      <c r="H979" s="3">
        <f t="shared" si="82"/>
        <v>-0.20346259285411558</v>
      </c>
      <c r="I979" s="3">
        <f t="shared" si="83"/>
        <v>0.72764194963397644</v>
      </c>
      <c r="N979">
        <f t="shared" si="79"/>
        <v>-0.20346259285411558</v>
      </c>
      <c r="O979">
        <f t="shared" si="80"/>
        <v>0.72764194963397644</v>
      </c>
      <c r="P979">
        <v>2.0701932276963904</v>
      </c>
      <c r="T979">
        <f t="shared" si="81"/>
        <v>0.81590072426925797</v>
      </c>
      <c r="Z979" s="7">
        <v>2.0701932276963904</v>
      </c>
    </row>
    <row r="980" spans="1:26">
      <c r="A980" s="3" t="s">
        <v>90</v>
      </c>
      <c r="B980" s="3" t="s">
        <v>106</v>
      </c>
      <c r="C980" s="3" t="s">
        <v>107</v>
      </c>
      <c r="D980" s="3" t="s">
        <v>75</v>
      </c>
      <c r="E980" s="3">
        <v>1</v>
      </c>
      <c r="F980" s="3">
        <v>0.803941705045502</v>
      </c>
      <c r="G980" s="3">
        <v>2.066615590766701</v>
      </c>
      <c r="H980" s="3">
        <f t="shared" si="82"/>
        <v>-0.21822851859418049</v>
      </c>
      <c r="I980" s="3">
        <f t="shared" si="83"/>
        <v>0.72591228893239201</v>
      </c>
      <c r="N980">
        <f t="shared" si="79"/>
        <v>-0.21822851859418049</v>
      </c>
      <c r="O980">
        <f t="shared" si="80"/>
        <v>0.72591228893239201</v>
      </c>
      <c r="P980">
        <v>2.066615590766701</v>
      </c>
      <c r="T980">
        <f t="shared" si="81"/>
        <v>0.803941705045502</v>
      </c>
      <c r="Z980" s="7">
        <v>2.066615590766701</v>
      </c>
    </row>
    <row r="981" spans="1:26">
      <c r="A981" s="3" t="s">
        <v>90</v>
      </c>
      <c r="B981" s="3" t="s">
        <v>106</v>
      </c>
      <c r="C981" s="3" t="s">
        <v>107</v>
      </c>
      <c r="D981" s="3" t="s">
        <v>75</v>
      </c>
      <c r="E981" s="3">
        <v>2</v>
      </c>
      <c r="F981" s="3">
        <v>0.78613444144647704</v>
      </c>
      <c r="G981" s="3">
        <v>2.04</v>
      </c>
      <c r="H981" s="3">
        <f t="shared" si="82"/>
        <v>-0.24062745608217628</v>
      </c>
      <c r="I981" s="3">
        <f t="shared" si="83"/>
        <v>0.71294980785612505</v>
      </c>
      <c r="N981">
        <f t="shared" si="79"/>
        <v>-0.24062745608217628</v>
      </c>
      <c r="O981">
        <f t="shared" si="80"/>
        <v>0.71294980785612505</v>
      </c>
      <c r="P981">
        <v>2.04</v>
      </c>
      <c r="T981">
        <f t="shared" si="81"/>
        <v>0.78613444144647704</v>
      </c>
      <c r="Z981" s="7">
        <v>2.04</v>
      </c>
    </row>
    <row r="982" spans="1:26">
      <c r="A982" s="3" t="s">
        <v>90</v>
      </c>
      <c r="B982" s="3" t="s">
        <v>106</v>
      </c>
      <c r="C982" s="3" t="s">
        <v>107</v>
      </c>
      <c r="D982" s="3" t="s">
        <v>75</v>
      </c>
      <c r="E982" s="3">
        <v>3</v>
      </c>
      <c r="F982" s="3">
        <v>0.83444650932504205</v>
      </c>
      <c r="G982" s="3">
        <v>2.1019038988498027</v>
      </c>
      <c r="H982" s="3">
        <f t="shared" si="82"/>
        <v>-0.18098663700593035</v>
      </c>
      <c r="I982" s="3">
        <f t="shared" si="83"/>
        <v>0.74284355249896283</v>
      </c>
      <c r="N982">
        <f t="shared" si="79"/>
        <v>-0.18098663700593035</v>
      </c>
      <c r="O982">
        <f t="shared" si="80"/>
        <v>0.74284355249896283</v>
      </c>
      <c r="P982">
        <v>2.1019038988498027</v>
      </c>
      <c r="T982">
        <f t="shared" si="81"/>
        <v>0.83444650932504205</v>
      </c>
      <c r="Z982" s="7">
        <v>2.1019038988498027</v>
      </c>
    </row>
    <row r="983" spans="1:26">
      <c r="A983" s="3" t="s">
        <v>90</v>
      </c>
      <c r="B983" s="3" t="s">
        <v>106</v>
      </c>
      <c r="C983" s="3" t="s">
        <v>107</v>
      </c>
      <c r="D983" s="3" t="s">
        <v>75</v>
      </c>
      <c r="E983" s="3">
        <v>4</v>
      </c>
      <c r="F983" s="3">
        <v>0.791708836624889</v>
      </c>
      <c r="G983" s="3">
        <v>2.0562587385832551</v>
      </c>
      <c r="H983" s="3">
        <f t="shared" si="82"/>
        <v>-0.23356158528450899</v>
      </c>
      <c r="I983" s="3">
        <f t="shared" si="83"/>
        <v>0.72088818528944731</v>
      </c>
      <c r="N983">
        <f t="shared" si="79"/>
        <v>-0.23356158528450899</v>
      </c>
      <c r="O983">
        <f t="shared" si="80"/>
        <v>0.72088818528944731</v>
      </c>
      <c r="P983">
        <v>2.0562587385832551</v>
      </c>
      <c r="T983">
        <f t="shared" si="81"/>
        <v>0.791708836624889</v>
      </c>
      <c r="Z983" s="7">
        <v>2.0562587385832551</v>
      </c>
    </row>
    <row r="984" spans="1:26">
      <c r="A984" s="3" t="s">
        <v>90</v>
      </c>
      <c r="B984" s="3" t="s">
        <v>106</v>
      </c>
      <c r="C984" s="3" t="s">
        <v>107</v>
      </c>
      <c r="D984" s="3" t="s">
        <v>75</v>
      </c>
      <c r="E984" s="3">
        <v>5</v>
      </c>
      <c r="F984" s="3">
        <v>0.79364518973849596</v>
      </c>
      <c r="G984" s="3">
        <v>2.0226715007632849</v>
      </c>
      <c r="H984" s="3">
        <f t="shared" si="82"/>
        <v>-0.23111878191781021</v>
      </c>
      <c r="I984" s="3">
        <f t="shared" si="83"/>
        <v>0.70441916277739247</v>
      </c>
      <c r="N984">
        <f t="shared" si="79"/>
        <v>-0.23111878191781021</v>
      </c>
      <c r="O984">
        <f t="shared" si="80"/>
        <v>0.70441916277739247</v>
      </c>
      <c r="P984">
        <v>2.0226715007632849</v>
      </c>
      <c r="T984">
        <f t="shared" si="81"/>
        <v>0.79364518973849596</v>
      </c>
      <c r="Z984" s="7">
        <v>2.0226715007632849</v>
      </c>
    </row>
    <row r="985" spans="1:26">
      <c r="A985" s="3" t="s">
        <v>90</v>
      </c>
      <c r="B985" s="3" t="s">
        <v>106</v>
      </c>
      <c r="C985" s="3" t="s">
        <v>107</v>
      </c>
      <c r="D985" s="3" t="s">
        <v>75</v>
      </c>
      <c r="E985" s="3">
        <v>6</v>
      </c>
      <c r="F985" s="3">
        <v>0.80777546752734597</v>
      </c>
      <c r="G985" s="3">
        <v>2.0738611332488008</v>
      </c>
      <c r="H985" s="3">
        <f t="shared" si="82"/>
        <v>-0.21347114580229334</v>
      </c>
      <c r="I985" s="3">
        <f t="shared" si="83"/>
        <v>0.72941215156221118</v>
      </c>
      <c r="N985">
        <f t="shared" si="79"/>
        <v>-0.21347114580229334</v>
      </c>
      <c r="O985">
        <f t="shared" si="80"/>
        <v>0.72941215156221118</v>
      </c>
      <c r="P985">
        <v>2.0738611332488008</v>
      </c>
      <c r="T985">
        <f t="shared" si="81"/>
        <v>0.80777546752734597</v>
      </c>
      <c r="Z985" s="7">
        <v>2.0738611332488008</v>
      </c>
    </row>
    <row r="986" spans="1:26">
      <c r="A986" s="3" t="s">
        <v>90</v>
      </c>
      <c r="B986" s="3" t="s">
        <v>106</v>
      </c>
      <c r="C986" s="3" t="s">
        <v>107</v>
      </c>
      <c r="D986" s="3" t="s">
        <v>75</v>
      </c>
      <c r="E986" s="3">
        <v>7</v>
      </c>
      <c r="F986" s="3">
        <v>0.81686364801857003</v>
      </c>
      <c r="G986" s="3">
        <v>2.0768485741623053</v>
      </c>
      <c r="H986" s="3">
        <f t="shared" si="82"/>
        <v>-0.20228309154052476</v>
      </c>
      <c r="I986" s="3">
        <f t="shared" si="83"/>
        <v>0.73085163619975679</v>
      </c>
      <c r="N986">
        <f t="shared" si="79"/>
        <v>-0.20228309154052476</v>
      </c>
      <c r="O986">
        <f t="shared" si="80"/>
        <v>0.73085163619975679</v>
      </c>
      <c r="P986">
        <v>2.0768485741623053</v>
      </c>
      <c r="T986">
        <f t="shared" si="81"/>
        <v>0.81686364801857003</v>
      </c>
      <c r="Z986" s="7">
        <v>2.0768485741623053</v>
      </c>
    </row>
    <row r="987" spans="1:26">
      <c r="A987" s="3" t="s">
        <v>90</v>
      </c>
      <c r="B987" s="3" t="s">
        <v>106</v>
      </c>
      <c r="C987" s="3" t="s">
        <v>107</v>
      </c>
      <c r="D987" s="3" t="s">
        <v>75</v>
      </c>
      <c r="E987" s="3">
        <v>8</v>
      </c>
      <c r="F987" s="3">
        <v>0.80665372233685895</v>
      </c>
      <c r="G987" s="3">
        <v>2.0768485741623048</v>
      </c>
      <c r="H987" s="3">
        <f t="shared" si="82"/>
        <v>-0.21486079531810845</v>
      </c>
      <c r="I987" s="3">
        <f t="shared" si="83"/>
        <v>0.73085163619975657</v>
      </c>
      <c r="N987">
        <f t="shared" si="79"/>
        <v>-0.21486079531810845</v>
      </c>
      <c r="O987">
        <f t="shared" si="80"/>
        <v>0.73085163619975657</v>
      </c>
      <c r="P987">
        <v>2.0768485741623048</v>
      </c>
      <c r="T987">
        <f t="shared" si="81"/>
        <v>0.80665372233685895</v>
      </c>
      <c r="Z987" s="7">
        <v>2.0768485741623048</v>
      </c>
    </row>
    <row r="988" spans="1:26">
      <c r="A988" s="3" t="s">
        <v>90</v>
      </c>
      <c r="B988" s="3" t="s">
        <v>106</v>
      </c>
      <c r="C988" s="3" t="s">
        <v>107</v>
      </c>
      <c r="D988" s="3" t="s">
        <v>75</v>
      </c>
      <c r="E988" s="3">
        <v>9</v>
      </c>
      <c r="F988" s="3">
        <v>0.827796333386004</v>
      </c>
      <c r="G988" s="3">
        <v>2.0957099035887579</v>
      </c>
      <c r="H988" s="3">
        <f t="shared" si="82"/>
        <v>-0.1889881290249783</v>
      </c>
      <c r="I988" s="3">
        <f t="shared" si="83"/>
        <v>0.73989235210361481</v>
      </c>
      <c r="N988">
        <f t="shared" si="79"/>
        <v>-0.1889881290249783</v>
      </c>
      <c r="O988">
        <f t="shared" si="80"/>
        <v>0.73989235210361481</v>
      </c>
      <c r="P988">
        <v>2.0957099035887579</v>
      </c>
      <c r="T988">
        <f t="shared" si="81"/>
        <v>0.827796333386004</v>
      </c>
      <c r="Z988" s="7">
        <v>2.0957099035887579</v>
      </c>
    </row>
    <row r="989" spans="1:26">
      <c r="A989" s="3" t="s">
        <v>90</v>
      </c>
      <c r="B989" s="3" t="s">
        <v>106</v>
      </c>
      <c r="C989" s="3" t="s">
        <v>107</v>
      </c>
      <c r="D989" s="3" t="s">
        <v>75</v>
      </c>
      <c r="E989" s="3">
        <v>10</v>
      </c>
      <c r="F989" s="3">
        <v>0.79916628287270797</v>
      </c>
      <c r="G989" s="3">
        <v>2.048243149628481</v>
      </c>
      <c r="H989" s="3">
        <f t="shared" si="82"/>
        <v>-0.22418624113546995</v>
      </c>
      <c r="I989" s="3">
        <f t="shared" si="83"/>
        <v>0.71698242553448999</v>
      </c>
      <c r="N989">
        <f t="shared" si="79"/>
        <v>-0.22418624113546995</v>
      </c>
      <c r="O989">
        <f t="shared" si="80"/>
        <v>0.71698242553448999</v>
      </c>
      <c r="P989">
        <v>2.048243149628481</v>
      </c>
      <c r="T989">
        <f t="shared" si="81"/>
        <v>0.79916628287270797</v>
      </c>
      <c r="Z989" s="7">
        <v>2.048243149628481</v>
      </c>
    </row>
    <row r="990" spans="1:26">
      <c r="A990" s="3" t="s">
        <v>90</v>
      </c>
      <c r="B990" s="3" t="s">
        <v>106</v>
      </c>
      <c r="C990" s="3" t="s">
        <v>107</v>
      </c>
      <c r="D990" s="3" t="s">
        <v>75</v>
      </c>
      <c r="E990" s="3">
        <v>11</v>
      </c>
      <c r="F990" s="3">
        <v>0.82351706727313301</v>
      </c>
      <c r="G990" s="3">
        <v>2.0107958623390889</v>
      </c>
      <c r="H990" s="3">
        <f t="shared" si="82"/>
        <v>-0.1941710042930718</v>
      </c>
      <c r="I990" s="3">
        <f t="shared" si="83"/>
        <v>0.69853059511539184</v>
      </c>
      <c r="N990">
        <f t="shared" si="79"/>
        <v>-0.1941710042930718</v>
      </c>
      <c r="O990">
        <f t="shared" si="80"/>
        <v>0.69853059511539184</v>
      </c>
      <c r="P990">
        <v>2.0107958623390889</v>
      </c>
      <c r="T990">
        <f t="shared" si="81"/>
        <v>0.82351706727313301</v>
      </c>
      <c r="Z990" s="7">
        <v>2.0107958623390889</v>
      </c>
    </row>
    <row r="991" spans="1:26">
      <c r="A991" s="3" t="s">
        <v>90</v>
      </c>
      <c r="B991" s="3" t="s">
        <v>106</v>
      </c>
      <c r="C991" s="3" t="s">
        <v>107</v>
      </c>
      <c r="D991" s="3" t="s">
        <v>75</v>
      </c>
      <c r="E991" s="3">
        <v>12</v>
      </c>
      <c r="F991" s="3">
        <v>0.78721780200160296</v>
      </c>
      <c r="G991" s="3">
        <v>2.0894257584322062</v>
      </c>
      <c r="H991" s="3">
        <f t="shared" si="82"/>
        <v>-0.23925031916848893</v>
      </c>
      <c r="I991" s="3">
        <f t="shared" si="83"/>
        <v>0.73688927149317185</v>
      </c>
      <c r="N991">
        <f t="shared" si="79"/>
        <v>-0.23925031916848893</v>
      </c>
      <c r="O991">
        <f t="shared" si="80"/>
        <v>0.73688927149317185</v>
      </c>
      <c r="P991">
        <v>2.0894257584322062</v>
      </c>
      <c r="T991">
        <f t="shared" si="81"/>
        <v>0.78721780200160296</v>
      </c>
      <c r="Z991" s="7">
        <v>2.0894257584322062</v>
      </c>
    </row>
    <row r="992" spans="1:26">
      <c r="A992" s="3" t="s">
        <v>90</v>
      </c>
      <c r="B992" s="3" t="s">
        <v>106</v>
      </c>
      <c r="C992" s="3" t="s">
        <v>107</v>
      </c>
      <c r="D992" s="3" t="s">
        <v>75</v>
      </c>
      <c r="E992" s="3">
        <v>13</v>
      </c>
      <c r="F992" s="3">
        <v>0.80043215924516897</v>
      </c>
      <c r="G992" s="3">
        <v>2.0484140206510988</v>
      </c>
      <c r="H992" s="3">
        <f t="shared" si="82"/>
        <v>-0.22260349811273406</v>
      </c>
      <c r="I992" s="3">
        <f t="shared" si="83"/>
        <v>0.71706584526702544</v>
      </c>
      <c r="N992">
        <f t="shared" si="79"/>
        <v>-0.22260349811273406</v>
      </c>
      <c r="O992">
        <f t="shared" si="80"/>
        <v>0.71706584526702544</v>
      </c>
      <c r="P992">
        <v>2.0484140206510988</v>
      </c>
      <c r="T992">
        <f t="shared" si="81"/>
        <v>0.80043215924516897</v>
      </c>
      <c r="Z992" s="7">
        <v>2.0484140206510988</v>
      </c>
    </row>
    <row r="993" spans="1:32">
      <c r="A993" s="3" t="s">
        <v>90</v>
      </c>
      <c r="B993" s="3" t="s">
        <v>106</v>
      </c>
      <c r="C993" s="3" t="s">
        <v>107</v>
      </c>
      <c r="D993" s="3" t="s">
        <v>75</v>
      </c>
      <c r="E993" s="3">
        <v>14</v>
      </c>
      <c r="F993" s="3">
        <v>0.79086452554230702</v>
      </c>
      <c r="G993" s="3">
        <v>2.0099751242241783</v>
      </c>
      <c r="H993" s="3">
        <f t="shared" si="82"/>
        <v>-0.23462859574085912</v>
      </c>
      <c r="I993" s="3">
        <f t="shared" si="83"/>
        <v>0.69812234598652945</v>
      </c>
      <c r="N993">
        <f t="shared" si="79"/>
        <v>-0.23462859574085912</v>
      </c>
      <c r="O993">
        <f t="shared" si="80"/>
        <v>0.69812234598652945</v>
      </c>
      <c r="P993">
        <v>2.0099751242241783</v>
      </c>
      <c r="T993">
        <f t="shared" si="81"/>
        <v>0.79086452554230702</v>
      </c>
      <c r="Z993" s="7">
        <v>2.0099751242241783</v>
      </c>
    </row>
    <row r="994" spans="1:32">
      <c r="A994" s="3" t="s">
        <v>90</v>
      </c>
      <c r="B994" s="3" t="s">
        <v>106</v>
      </c>
      <c r="C994" s="3" t="s">
        <v>107</v>
      </c>
      <c r="D994" s="3" t="s">
        <v>75</v>
      </c>
      <c r="E994" s="3">
        <v>15</v>
      </c>
      <c r="F994" s="3">
        <v>0.777147675570521</v>
      </c>
      <c r="G994" s="3">
        <v>2.0172506041639942</v>
      </c>
      <c r="H994" s="3">
        <f t="shared" si="82"/>
        <v>-0.25212488802402738</v>
      </c>
      <c r="I994" s="3">
        <f t="shared" si="83"/>
        <v>0.70173549724525375</v>
      </c>
      <c r="N994">
        <f t="shared" si="79"/>
        <v>-0.25212488802402738</v>
      </c>
      <c r="O994">
        <f t="shared" si="80"/>
        <v>0.70173549724525375</v>
      </c>
      <c r="P994">
        <v>2.0172506041639942</v>
      </c>
      <c r="T994">
        <f t="shared" si="81"/>
        <v>0.777147675570521</v>
      </c>
      <c r="Z994" s="7">
        <v>2.0172506041639942</v>
      </c>
    </row>
    <row r="995" spans="1:32">
      <c r="A995" s="3" t="s">
        <v>90</v>
      </c>
      <c r="B995" s="3" t="s">
        <v>106</v>
      </c>
      <c r="C995" s="3" t="s">
        <v>107</v>
      </c>
      <c r="D995" s="3" t="s">
        <v>75</v>
      </c>
      <c r="E995" s="3">
        <v>16</v>
      </c>
      <c r="F995" s="3">
        <v>0.82085028273921701</v>
      </c>
      <c r="G995" s="3">
        <v>2.1261467494037185</v>
      </c>
      <c r="H995" s="3">
        <f t="shared" si="82"/>
        <v>-0.19741454579479456</v>
      </c>
      <c r="I995" s="3">
        <f t="shared" si="83"/>
        <v>0.75431130359764187</v>
      </c>
      <c r="N995">
        <f t="shared" si="79"/>
        <v>-0.19741454579479456</v>
      </c>
      <c r="O995">
        <f t="shared" si="80"/>
        <v>0.75431130359764187</v>
      </c>
      <c r="P995">
        <v>2.1261467494037185</v>
      </c>
      <c r="T995">
        <f t="shared" si="81"/>
        <v>0.82085028273921701</v>
      </c>
      <c r="Z995" s="7">
        <v>2.1261467494037185</v>
      </c>
    </row>
    <row r="996" spans="1:32">
      <c r="A996" s="3" t="s">
        <v>90</v>
      </c>
      <c r="B996" s="3" t="s">
        <v>106</v>
      </c>
      <c r="C996" s="3" t="s">
        <v>107</v>
      </c>
      <c r="D996" s="3" t="s">
        <v>75</v>
      </c>
      <c r="E996" s="3">
        <v>17</v>
      </c>
      <c r="F996" s="3">
        <v>0.81551991549450298</v>
      </c>
      <c r="G996" s="3">
        <v>2.056428943581567</v>
      </c>
      <c r="H996" s="3">
        <f t="shared" si="82"/>
        <v>-0.20392943601202285</v>
      </c>
      <c r="I996" s="3">
        <f t="shared" si="83"/>
        <v>0.72097095597935268</v>
      </c>
      <c r="N996">
        <f t="shared" si="79"/>
        <v>-0.20392943601202285</v>
      </c>
      <c r="O996">
        <f t="shared" si="80"/>
        <v>0.72097095597935268</v>
      </c>
      <c r="P996">
        <v>2.056428943581567</v>
      </c>
      <c r="T996">
        <f t="shared" si="81"/>
        <v>0.81551991549450298</v>
      </c>
      <c r="Z996" s="7">
        <v>2.056428943581567</v>
      </c>
    </row>
    <row r="997" spans="1:32">
      <c r="A997" s="3" t="s">
        <v>90</v>
      </c>
      <c r="B997" s="3" t="s">
        <v>106</v>
      </c>
      <c r="C997" s="3" t="s">
        <v>107</v>
      </c>
      <c r="D997" s="3" t="s">
        <v>75</v>
      </c>
      <c r="E997" s="3">
        <v>19</v>
      </c>
      <c r="F997" s="3">
        <v>0.81666145131794399</v>
      </c>
      <c r="G997" s="3">
        <v>2.0488289338058463</v>
      </c>
      <c r="H997" s="3">
        <f t="shared" si="82"/>
        <v>-0.20253065027315864</v>
      </c>
      <c r="I997" s="3">
        <f t="shared" si="83"/>
        <v>0.71726837812181476</v>
      </c>
      <c r="N997">
        <f t="shared" si="79"/>
        <v>-0.20253065027315864</v>
      </c>
      <c r="O997">
        <f t="shared" si="80"/>
        <v>0.71726837812181476</v>
      </c>
      <c r="P997">
        <v>2.0488289338058463</v>
      </c>
      <c r="T997">
        <f t="shared" si="81"/>
        <v>0.81666145131794399</v>
      </c>
      <c r="Z997" s="7">
        <v>2.0488289338058463</v>
      </c>
    </row>
    <row r="998" spans="1:32">
      <c r="A998" s="3" t="s">
        <v>90</v>
      </c>
      <c r="B998" s="3" t="s">
        <v>106</v>
      </c>
      <c r="C998" s="3" t="s">
        <v>107</v>
      </c>
      <c r="D998" s="3" t="s">
        <v>75</v>
      </c>
      <c r="E998" s="3">
        <v>20</v>
      </c>
      <c r="F998" s="3">
        <v>0.79783929774380402</v>
      </c>
      <c r="G998" s="3">
        <v>2.0580087463370997</v>
      </c>
      <c r="H998" s="3">
        <f t="shared" si="82"/>
        <v>-0.22584808308568818</v>
      </c>
      <c r="I998" s="3">
        <f t="shared" si="83"/>
        <v>0.72173888732367231</v>
      </c>
      <c r="N998">
        <f t="shared" si="79"/>
        <v>-0.22584808308568818</v>
      </c>
      <c r="O998">
        <f t="shared" si="80"/>
        <v>0.72173888732367231</v>
      </c>
      <c r="P998">
        <v>2.0580087463370997</v>
      </c>
      <c r="T998">
        <f t="shared" si="81"/>
        <v>0.79783929774380402</v>
      </c>
      <c r="Z998" s="7">
        <v>2.0580087463370997</v>
      </c>
    </row>
    <row r="999" spans="1:32">
      <c r="A999" s="3" t="s">
        <v>90</v>
      </c>
      <c r="B999" s="3" t="s">
        <v>106</v>
      </c>
      <c r="C999" s="3" t="s">
        <v>107</v>
      </c>
      <c r="D999" s="3" t="s">
        <v>75</v>
      </c>
      <c r="E999" s="3">
        <v>21</v>
      </c>
      <c r="F999" s="3">
        <v>0.81746261790122698</v>
      </c>
      <c r="G999" s="3">
        <v>2.1086725682286476</v>
      </c>
      <c r="H999" s="3">
        <f t="shared" si="82"/>
        <v>-0.20155010459420383</v>
      </c>
      <c r="I999" s="3">
        <f t="shared" si="83"/>
        <v>0.74605863492877889</v>
      </c>
      <c r="N999">
        <f t="shared" si="79"/>
        <v>-0.20155010459420383</v>
      </c>
      <c r="O999">
        <f t="shared" si="80"/>
        <v>0.74605863492877889</v>
      </c>
      <c r="P999">
        <v>2.1086725682286476</v>
      </c>
      <c r="T999">
        <f t="shared" si="81"/>
        <v>0.81746261790122698</v>
      </c>
      <c r="Z999" s="7">
        <v>2.1086725682286476</v>
      </c>
    </row>
    <row r="1000" spans="1:32">
      <c r="A1000" s="3" t="s">
        <v>90</v>
      </c>
      <c r="B1000" s="3" t="s">
        <v>106</v>
      </c>
      <c r="C1000" s="3" t="s">
        <v>107</v>
      </c>
      <c r="D1000" s="3" t="s">
        <v>75</v>
      </c>
      <c r="E1000" s="3">
        <v>22</v>
      </c>
      <c r="F1000" s="3">
        <v>0.80647810450185797</v>
      </c>
      <c r="G1000" s="3">
        <v>2.0666155907667005</v>
      </c>
      <c r="H1000" s="3">
        <f t="shared" si="82"/>
        <v>-0.21507853057417733</v>
      </c>
      <c r="I1000" s="3">
        <f t="shared" si="83"/>
        <v>0.72591228893239179</v>
      </c>
      <c r="N1000">
        <f t="shared" si="79"/>
        <v>-0.21507853057417733</v>
      </c>
      <c r="O1000">
        <f t="shared" si="80"/>
        <v>0.72591228893239179</v>
      </c>
      <c r="P1000">
        <v>2.0666155907667005</v>
      </c>
      <c r="T1000">
        <f t="shared" si="81"/>
        <v>0.80647810450185797</v>
      </c>
      <c r="Z1000" s="7">
        <v>2.0666155907667005</v>
      </c>
    </row>
    <row r="1001" spans="1:32">
      <c r="A1001" s="3" t="s">
        <v>91</v>
      </c>
      <c r="B1001" s="3" t="s">
        <v>77</v>
      </c>
      <c r="C1001" s="3" t="s">
        <v>107</v>
      </c>
      <c r="D1001" s="3" t="s">
        <v>79</v>
      </c>
      <c r="E1001" s="3">
        <v>1</v>
      </c>
      <c r="F1001" s="3">
        <v>0.98136114014756504</v>
      </c>
      <c r="G1001" s="3">
        <v>2.2532199182503247</v>
      </c>
      <c r="H1001" s="3">
        <f t="shared" si="82"/>
        <v>-1.8814752454731548E-2</v>
      </c>
      <c r="I1001" s="3">
        <f t="shared" si="83"/>
        <v>0.81236026798262861</v>
      </c>
      <c r="J1001">
        <v>2.2532199182503247</v>
      </c>
      <c r="K1001">
        <f t="shared" ref="K1001:K1026" si="84">LN(J1001)</f>
        <v>0.81236026798262861</v>
      </c>
      <c r="AF1001" s="7">
        <f>G1001</f>
        <v>2.2532199182503247</v>
      </c>
    </row>
    <row r="1002" spans="1:32">
      <c r="A1002" s="3" t="s">
        <v>91</v>
      </c>
      <c r="B1002" s="3" t="s">
        <v>77</v>
      </c>
      <c r="C1002" s="3" t="s">
        <v>107</v>
      </c>
      <c r="D1002" s="3" t="s">
        <v>79</v>
      </c>
      <c r="E1002" s="3">
        <v>2</v>
      </c>
      <c r="F1002" s="3">
        <v>0.96795275610957499</v>
      </c>
      <c r="G1002" s="3">
        <v>2.2585393509965681</v>
      </c>
      <c r="H1002" s="3">
        <f t="shared" si="82"/>
        <v>-3.2571998568522262E-2</v>
      </c>
      <c r="I1002" s="3">
        <f t="shared" si="83"/>
        <v>0.81471829947039465</v>
      </c>
      <c r="J1002">
        <v>2.2585393509965681</v>
      </c>
      <c r="K1002">
        <f t="shared" si="84"/>
        <v>0.81471829947039465</v>
      </c>
      <c r="AF1002" s="7">
        <f t="shared" ref="AF1002:AF1065" si="85">G1002</f>
        <v>2.2585393509965681</v>
      </c>
    </row>
    <row r="1003" spans="1:32">
      <c r="A1003" s="3" t="s">
        <v>91</v>
      </c>
      <c r="B1003" s="3" t="s">
        <v>77</v>
      </c>
      <c r="C1003" s="3" t="s">
        <v>107</v>
      </c>
      <c r="D1003" s="3" t="s">
        <v>79</v>
      </c>
      <c r="E1003" s="3">
        <v>3</v>
      </c>
      <c r="F1003" s="3">
        <v>0.95254029150289099</v>
      </c>
      <c r="G1003" s="3">
        <v>2.3068810112357334</v>
      </c>
      <c r="H1003" s="3">
        <f t="shared" si="82"/>
        <v>-4.8622872085497496E-2</v>
      </c>
      <c r="I1003" s="3">
        <f t="shared" si="83"/>
        <v>0.83589640059043324</v>
      </c>
      <c r="J1003">
        <v>2.3068810112357334</v>
      </c>
      <c r="K1003">
        <f t="shared" si="84"/>
        <v>0.83589640059043324</v>
      </c>
      <c r="AF1003" s="7">
        <f t="shared" si="85"/>
        <v>2.3068810112357334</v>
      </c>
    </row>
    <row r="1004" spans="1:32">
      <c r="A1004" s="3" t="s">
        <v>91</v>
      </c>
      <c r="B1004" s="3" t="s">
        <v>77</v>
      </c>
      <c r="C1004" s="3" t="s">
        <v>107</v>
      </c>
      <c r="D1004" s="3" t="s">
        <v>79</v>
      </c>
      <c r="E1004" s="3">
        <v>4</v>
      </c>
      <c r="F1004" s="3">
        <v>0.97493452109464795</v>
      </c>
      <c r="G1004" s="3">
        <v>2.2631835983852482</v>
      </c>
      <c r="H1004" s="3">
        <f t="shared" si="82"/>
        <v>-2.5384968091122489E-2</v>
      </c>
      <c r="I1004" s="3">
        <f t="shared" si="83"/>
        <v>0.8167724938886668</v>
      </c>
      <c r="J1004">
        <v>2.2631835983852482</v>
      </c>
      <c r="K1004">
        <f t="shared" si="84"/>
        <v>0.8167724938886668</v>
      </c>
      <c r="AF1004" s="7">
        <f t="shared" si="85"/>
        <v>2.2631835983852482</v>
      </c>
    </row>
    <row r="1005" spans="1:32">
      <c r="A1005" s="3" t="s">
        <v>91</v>
      </c>
      <c r="B1005" s="3" t="s">
        <v>77</v>
      </c>
      <c r="C1005" s="3" t="s">
        <v>107</v>
      </c>
      <c r="D1005" s="3" t="s">
        <v>79</v>
      </c>
      <c r="E1005" s="3">
        <v>5</v>
      </c>
      <c r="F1005" s="3">
        <v>0.96506620319563396</v>
      </c>
      <c r="G1005" s="3">
        <v>2.2631173190977085</v>
      </c>
      <c r="H1005" s="3">
        <f t="shared" si="82"/>
        <v>-3.555857564851455E-2</v>
      </c>
      <c r="I1005" s="3">
        <f t="shared" si="83"/>
        <v>0.81674320759561969</v>
      </c>
      <c r="J1005">
        <v>2.2631173190977085</v>
      </c>
      <c r="K1005">
        <f t="shared" si="84"/>
        <v>0.81674320759561969</v>
      </c>
      <c r="AF1005" s="7">
        <f t="shared" si="85"/>
        <v>2.2631173190977085</v>
      </c>
    </row>
    <row r="1006" spans="1:32">
      <c r="A1006" s="3" t="s">
        <v>91</v>
      </c>
      <c r="B1006" s="3" t="s">
        <v>77</v>
      </c>
      <c r="C1006" s="3" t="s">
        <v>107</v>
      </c>
      <c r="D1006" s="3" t="s">
        <v>79</v>
      </c>
      <c r="E1006" s="3">
        <v>6</v>
      </c>
      <c r="F1006" s="3">
        <v>0.966119195520732</v>
      </c>
      <c r="G1006" s="3">
        <v>2.3020860105565126</v>
      </c>
      <c r="H1006" s="3">
        <f t="shared" si="82"/>
        <v>-3.4468061573427487E-2</v>
      </c>
      <c r="I1006" s="3">
        <f t="shared" si="83"/>
        <v>0.83381567300591553</v>
      </c>
      <c r="J1006">
        <v>2.3020860105565126</v>
      </c>
      <c r="K1006">
        <f t="shared" si="84"/>
        <v>0.83381567300591553</v>
      </c>
      <c r="AF1006" s="7">
        <f t="shared" si="85"/>
        <v>2.3020860105565126</v>
      </c>
    </row>
    <row r="1007" spans="1:32">
      <c r="A1007" s="3" t="s">
        <v>91</v>
      </c>
      <c r="B1007" s="3" t="s">
        <v>77</v>
      </c>
      <c r="C1007" s="3" t="s">
        <v>107</v>
      </c>
      <c r="D1007" s="3" t="s">
        <v>79</v>
      </c>
      <c r="E1007" s="3">
        <v>7</v>
      </c>
      <c r="F1007" s="3">
        <v>0.97220428333320297</v>
      </c>
      <c r="G1007" s="3">
        <v>2.2981731875557156</v>
      </c>
      <c r="H1007" s="3">
        <f t="shared" si="82"/>
        <v>-2.8189328565631545E-2</v>
      </c>
      <c r="I1007" s="3">
        <f t="shared" si="83"/>
        <v>0.83211454105839566</v>
      </c>
      <c r="J1007">
        <v>2.2981731875557156</v>
      </c>
      <c r="K1007">
        <f t="shared" si="84"/>
        <v>0.83211454105839566</v>
      </c>
      <c r="AF1007" s="7">
        <f t="shared" si="85"/>
        <v>2.2981731875557156</v>
      </c>
    </row>
    <row r="1008" spans="1:32">
      <c r="A1008" s="3" t="s">
        <v>91</v>
      </c>
      <c r="B1008" s="3" t="s">
        <v>77</v>
      </c>
      <c r="C1008" s="3" t="s">
        <v>107</v>
      </c>
      <c r="D1008" s="3" t="s">
        <v>79</v>
      </c>
      <c r="E1008" s="3">
        <v>8</v>
      </c>
      <c r="F1008" s="3">
        <v>0.96069780430944796</v>
      </c>
      <c r="G1008" s="3">
        <v>2.3576471322061749</v>
      </c>
      <c r="H1008" s="3">
        <f t="shared" si="82"/>
        <v>-4.009537908019585E-2</v>
      </c>
      <c r="I1008" s="3">
        <f t="shared" si="83"/>
        <v>0.85766414384576639</v>
      </c>
      <c r="J1008">
        <v>2.3576471322061749</v>
      </c>
      <c r="K1008">
        <f t="shared" si="84"/>
        <v>0.85766414384576639</v>
      </c>
      <c r="AF1008" s="7">
        <f t="shared" si="85"/>
        <v>2.3576471322061749</v>
      </c>
    </row>
    <row r="1009" spans="1:32">
      <c r="A1009" s="3" t="s">
        <v>91</v>
      </c>
      <c r="B1009" s="3" t="s">
        <v>77</v>
      </c>
      <c r="C1009" s="3" t="s">
        <v>107</v>
      </c>
      <c r="D1009" s="3" t="s">
        <v>79</v>
      </c>
      <c r="E1009" s="3">
        <v>9</v>
      </c>
      <c r="F1009" s="3">
        <v>0.91841145318267803</v>
      </c>
      <c r="G1009" s="3">
        <v>2.2461522655421202</v>
      </c>
      <c r="H1009" s="3">
        <f t="shared" si="82"/>
        <v>-8.5109782694640562E-2</v>
      </c>
      <c r="I1009" s="3">
        <f t="shared" si="83"/>
        <v>0.80921864811545041</v>
      </c>
      <c r="J1009">
        <v>2.2461522655421202</v>
      </c>
      <c r="K1009">
        <f t="shared" si="84"/>
        <v>0.80921864811545041</v>
      </c>
      <c r="AF1009" s="7">
        <f t="shared" si="85"/>
        <v>2.2461522655421202</v>
      </c>
    </row>
    <row r="1010" spans="1:32">
      <c r="A1010" s="3" t="s">
        <v>91</v>
      </c>
      <c r="B1010" s="3" t="s">
        <v>77</v>
      </c>
      <c r="C1010" s="3" t="s">
        <v>107</v>
      </c>
      <c r="D1010" s="3" t="s">
        <v>79</v>
      </c>
      <c r="E1010" s="3">
        <v>10</v>
      </c>
      <c r="F1010" s="3">
        <v>0.914192141263521</v>
      </c>
      <c r="G1010" s="3">
        <v>2.2475764725588316</v>
      </c>
      <c r="H1010" s="3">
        <f t="shared" si="82"/>
        <v>-8.9714509420368391E-2</v>
      </c>
      <c r="I1010" s="3">
        <f t="shared" si="83"/>
        <v>0.80985251239493905</v>
      </c>
      <c r="J1010">
        <v>2.2475764725588316</v>
      </c>
      <c r="K1010">
        <f t="shared" si="84"/>
        <v>0.80985251239493905</v>
      </c>
      <c r="AF1010" s="7">
        <f t="shared" si="85"/>
        <v>2.2475764725588316</v>
      </c>
    </row>
    <row r="1011" spans="1:32">
      <c r="A1011" s="3" t="s">
        <v>91</v>
      </c>
      <c r="B1011" s="3" t="s">
        <v>77</v>
      </c>
      <c r="C1011" s="3" t="s">
        <v>107</v>
      </c>
      <c r="D1011" s="3" t="s">
        <v>79</v>
      </c>
      <c r="E1011" s="3">
        <v>11</v>
      </c>
      <c r="F1011" s="3">
        <v>0.97148964990289099</v>
      </c>
      <c r="G1011" s="3">
        <v>2.2770595073471398</v>
      </c>
      <c r="H1011" s="3">
        <f t="shared" si="82"/>
        <v>-2.892466394976112E-2</v>
      </c>
      <c r="I1011" s="3">
        <f t="shared" si="83"/>
        <v>0.82288492084074527</v>
      </c>
      <c r="J1011">
        <v>2.2770595073471398</v>
      </c>
      <c r="K1011">
        <f t="shared" si="84"/>
        <v>0.82288492084074527</v>
      </c>
      <c r="AF1011" s="7">
        <f t="shared" si="85"/>
        <v>2.2770595073471398</v>
      </c>
    </row>
    <row r="1012" spans="1:32">
      <c r="A1012" s="3" t="s">
        <v>91</v>
      </c>
      <c r="B1012" s="3" t="s">
        <v>77</v>
      </c>
      <c r="C1012" s="3" t="s">
        <v>107</v>
      </c>
      <c r="D1012" s="3" t="s">
        <v>79</v>
      </c>
      <c r="E1012" s="3">
        <v>12</v>
      </c>
      <c r="F1012" s="3">
        <v>0.96192318202169302</v>
      </c>
      <c r="G1012" s="3">
        <v>2.3400213674238106</v>
      </c>
      <c r="H1012" s="3">
        <f t="shared" si="82"/>
        <v>-3.8820683873103126E-2</v>
      </c>
      <c r="I1012" s="3">
        <f t="shared" si="83"/>
        <v>0.85016006070561612</v>
      </c>
      <c r="J1012">
        <v>2.3400213674238106</v>
      </c>
      <c r="K1012">
        <f t="shared" si="84"/>
        <v>0.85016006070561612</v>
      </c>
      <c r="AF1012" s="7">
        <f t="shared" si="85"/>
        <v>2.3400213674238106</v>
      </c>
    </row>
    <row r="1013" spans="1:32">
      <c r="A1013" s="3" t="s">
        <v>91</v>
      </c>
      <c r="B1013" s="3" t="s">
        <v>77</v>
      </c>
      <c r="C1013" s="3" t="s">
        <v>107</v>
      </c>
      <c r="D1013" s="3" t="s">
        <v>79</v>
      </c>
      <c r="E1013" s="3">
        <v>13</v>
      </c>
      <c r="F1013" s="3">
        <v>0.95678699529183797</v>
      </c>
      <c r="G1013" s="3">
        <v>2.3194827009486407</v>
      </c>
      <c r="H1013" s="3">
        <f t="shared" si="82"/>
        <v>-4.4174487755399811E-2</v>
      </c>
      <c r="I1013" s="3">
        <f t="shared" si="83"/>
        <v>0.84134418708684666</v>
      </c>
      <c r="J1013">
        <v>2.3194827009486407</v>
      </c>
      <c r="K1013">
        <f t="shared" si="84"/>
        <v>0.84134418708684666</v>
      </c>
      <c r="AF1013" s="7">
        <f t="shared" si="85"/>
        <v>2.3194827009486407</v>
      </c>
    </row>
    <row r="1014" spans="1:32">
      <c r="A1014" s="3" t="s">
        <v>91</v>
      </c>
      <c r="B1014" s="3" t="s">
        <v>77</v>
      </c>
      <c r="C1014" s="3" t="s">
        <v>107</v>
      </c>
      <c r="D1014" s="3" t="s">
        <v>79</v>
      </c>
      <c r="E1014" s="3">
        <v>14</v>
      </c>
      <c r="F1014" s="3">
        <v>0.93801450444647105</v>
      </c>
      <c r="G1014" s="3">
        <v>2.2405579662218069</v>
      </c>
      <c r="H1014" s="3">
        <f t="shared" si="82"/>
        <v>-6.398986693291675E-2</v>
      </c>
      <c r="I1014" s="3">
        <f t="shared" si="83"/>
        <v>0.80672492691197795</v>
      </c>
      <c r="J1014">
        <v>2.2405579662218069</v>
      </c>
      <c r="K1014">
        <f t="shared" si="84"/>
        <v>0.80672492691197795</v>
      </c>
      <c r="AF1014" s="7">
        <f t="shared" si="85"/>
        <v>2.2405579662218069</v>
      </c>
    </row>
    <row r="1015" spans="1:32">
      <c r="A1015" s="3" t="s">
        <v>91</v>
      </c>
      <c r="B1015" s="3" t="s">
        <v>77</v>
      </c>
      <c r="C1015" s="3" t="s">
        <v>107</v>
      </c>
      <c r="D1015" s="3" t="s">
        <v>79</v>
      </c>
      <c r="E1015" s="3">
        <v>16</v>
      </c>
      <c r="F1015" s="3">
        <v>0.91960699730808904</v>
      </c>
      <c r="G1015" s="3">
        <v>2.2494888308235717</v>
      </c>
      <c r="H1015" s="3">
        <f t="shared" si="82"/>
        <v>-8.3808877044102698E-2</v>
      </c>
      <c r="I1015" s="3">
        <f t="shared" si="83"/>
        <v>0.81070300410497709</v>
      </c>
      <c r="J1015">
        <v>2.2494888308235717</v>
      </c>
      <c r="K1015">
        <f t="shared" si="84"/>
        <v>0.81070300410497709</v>
      </c>
      <c r="AF1015" s="7">
        <f t="shared" si="85"/>
        <v>2.2494888308235717</v>
      </c>
    </row>
    <row r="1016" spans="1:32">
      <c r="A1016" s="3" t="s">
        <v>91</v>
      </c>
      <c r="B1016" s="3" t="s">
        <v>77</v>
      </c>
      <c r="C1016" s="3" t="s">
        <v>107</v>
      </c>
      <c r="D1016" s="3" t="s">
        <v>79</v>
      </c>
      <c r="E1016" s="3">
        <v>18</v>
      </c>
      <c r="F1016" s="3">
        <v>0.951922961248022</v>
      </c>
      <c r="G1016" s="3">
        <v>2.3034105148670307</v>
      </c>
      <c r="H1016" s="3">
        <f t="shared" si="82"/>
        <v>-4.9271170524019532E-2</v>
      </c>
      <c r="I1016" s="3">
        <f t="shared" si="83"/>
        <v>0.8343908571754064</v>
      </c>
      <c r="J1016">
        <v>2.3034105148670307</v>
      </c>
      <c r="K1016">
        <f t="shared" si="84"/>
        <v>0.8343908571754064</v>
      </c>
      <c r="AF1016" s="7">
        <f t="shared" si="85"/>
        <v>2.3034105148670307</v>
      </c>
    </row>
    <row r="1017" spans="1:32">
      <c r="A1017" s="3" t="s">
        <v>91</v>
      </c>
      <c r="B1017" s="3" t="s">
        <v>77</v>
      </c>
      <c r="C1017" s="3" t="s">
        <v>107</v>
      </c>
      <c r="D1017" s="3" t="s">
        <v>79</v>
      </c>
      <c r="E1017" s="3">
        <v>19</v>
      </c>
      <c r="F1017" s="3">
        <v>0.94312985474580802</v>
      </c>
      <c r="G1017" s="3">
        <v>2.2514439810930225</v>
      </c>
      <c r="H1017" s="3">
        <f t="shared" si="82"/>
        <v>-5.8551301962806342E-2</v>
      </c>
      <c r="I1017" s="3">
        <f t="shared" si="83"/>
        <v>0.81157177974510597</v>
      </c>
      <c r="J1017">
        <v>2.2514439810930225</v>
      </c>
      <c r="K1017">
        <f t="shared" si="84"/>
        <v>0.81157177974510597</v>
      </c>
      <c r="AF1017" s="7">
        <f t="shared" si="85"/>
        <v>2.2514439810930225</v>
      </c>
    </row>
    <row r="1018" spans="1:32">
      <c r="A1018" s="3" t="s">
        <v>91</v>
      </c>
      <c r="B1018" s="3" t="s">
        <v>77</v>
      </c>
      <c r="C1018" s="3" t="s">
        <v>107</v>
      </c>
      <c r="D1018" s="3" t="s">
        <v>79</v>
      </c>
      <c r="E1018" s="3">
        <v>20</v>
      </c>
      <c r="F1018" s="3">
        <v>0.96891370681246702</v>
      </c>
      <c r="G1018" s="3">
        <v>2.2624102192131295</v>
      </c>
      <c r="H1018" s="3">
        <f t="shared" si="82"/>
        <v>-3.1579724914004161E-2</v>
      </c>
      <c r="I1018" s="3">
        <f t="shared" si="83"/>
        <v>0.81643071368884423</v>
      </c>
      <c r="J1018">
        <v>2.2624102192131295</v>
      </c>
      <c r="K1018">
        <f t="shared" si="84"/>
        <v>0.81643071368884423</v>
      </c>
      <c r="AF1018" s="7">
        <f t="shared" si="85"/>
        <v>2.2624102192131295</v>
      </c>
    </row>
    <row r="1019" spans="1:32">
      <c r="A1019" s="3" t="s">
        <v>91</v>
      </c>
      <c r="B1019" s="3" t="s">
        <v>77</v>
      </c>
      <c r="C1019" s="3" t="s">
        <v>107</v>
      </c>
      <c r="D1019" s="3" t="s">
        <v>79</v>
      </c>
      <c r="E1019" s="3">
        <v>21</v>
      </c>
      <c r="F1019" s="3">
        <v>0.97825672346968295</v>
      </c>
      <c r="G1019" s="3">
        <v>2.2953213282675695</v>
      </c>
      <c r="H1019" s="3">
        <f t="shared" si="82"/>
        <v>-2.1983144958747328E-2</v>
      </c>
      <c r="I1019" s="3">
        <f t="shared" si="83"/>
        <v>0.83087284602872258</v>
      </c>
      <c r="J1019">
        <v>2.2953213282675695</v>
      </c>
      <c r="K1019">
        <f t="shared" si="84"/>
        <v>0.83087284602872258</v>
      </c>
      <c r="AF1019" s="7">
        <f t="shared" si="85"/>
        <v>2.2953213282675695</v>
      </c>
    </row>
    <row r="1020" spans="1:32">
      <c r="A1020" s="3" t="s">
        <v>91</v>
      </c>
      <c r="B1020" s="3" t="s">
        <v>77</v>
      </c>
      <c r="C1020" s="3" t="s">
        <v>107</v>
      </c>
      <c r="D1020" s="3" t="s">
        <v>79</v>
      </c>
      <c r="E1020" s="3">
        <v>22</v>
      </c>
      <c r="F1020" s="3">
        <v>0.95167434306481102</v>
      </c>
      <c r="G1020" s="3">
        <v>2.3119256043393785</v>
      </c>
      <c r="H1020" s="3">
        <f t="shared" si="82"/>
        <v>-4.9532379324915929E-2</v>
      </c>
      <c r="I1020" s="3">
        <f t="shared" si="83"/>
        <v>0.8380807722385043</v>
      </c>
      <c r="J1020">
        <v>2.3119256043393785</v>
      </c>
      <c r="K1020">
        <f t="shared" si="84"/>
        <v>0.8380807722385043</v>
      </c>
      <c r="AF1020" s="7">
        <f t="shared" si="85"/>
        <v>2.3119256043393785</v>
      </c>
    </row>
    <row r="1021" spans="1:32">
      <c r="A1021" s="3" t="s">
        <v>91</v>
      </c>
      <c r="B1021" s="3" t="s">
        <v>77</v>
      </c>
      <c r="C1021" s="3" t="s">
        <v>107</v>
      </c>
      <c r="D1021" s="3" t="s">
        <v>75</v>
      </c>
      <c r="E1021" s="3">
        <v>1</v>
      </c>
      <c r="F1021" s="3">
        <v>0.95131861939236395</v>
      </c>
      <c r="G1021" s="3">
        <v>2.1840558600914948</v>
      </c>
      <c r="H1021" s="3">
        <f t="shared" si="82"/>
        <v>-4.9906236384409219E-2</v>
      </c>
      <c r="I1021" s="3">
        <f t="shared" si="83"/>
        <v>0.78118363452054373</v>
      </c>
      <c r="J1021">
        <v>2.1840558600914948</v>
      </c>
      <c r="K1021">
        <f t="shared" si="84"/>
        <v>0.78118363452054373</v>
      </c>
      <c r="AF1021" s="7">
        <f t="shared" si="85"/>
        <v>2.1840558600914948</v>
      </c>
    </row>
    <row r="1022" spans="1:32">
      <c r="A1022" s="3" t="s">
        <v>91</v>
      </c>
      <c r="B1022" s="3" t="s">
        <v>77</v>
      </c>
      <c r="C1022" s="3" t="s">
        <v>107</v>
      </c>
      <c r="D1022" s="3" t="s">
        <v>75</v>
      </c>
      <c r="E1022" s="3">
        <v>2</v>
      </c>
      <c r="F1022" s="3">
        <v>0.96802041473757505</v>
      </c>
      <c r="G1022" s="3">
        <v>2.1849027438309467</v>
      </c>
      <c r="H1022" s="3">
        <f t="shared" si="82"/>
        <v>-3.2502102323009721E-2</v>
      </c>
      <c r="I1022" s="3">
        <f t="shared" si="83"/>
        <v>0.78157131672439828</v>
      </c>
      <c r="J1022">
        <v>2.1849027438309467</v>
      </c>
      <c r="K1022">
        <f t="shared" si="84"/>
        <v>0.78157131672439828</v>
      </c>
      <c r="AF1022" s="7">
        <f t="shared" si="85"/>
        <v>2.1849027438309467</v>
      </c>
    </row>
    <row r="1023" spans="1:32">
      <c r="A1023" s="3" t="s">
        <v>91</v>
      </c>
      <c r="B1023" s="3" t="s">
        <v>77</v>
      </c>
      <c r="C1023" s="3" t="s">
        <v>107</v>
      </c>
      <c r="D1023" s="3" t="s">
        <v>75</v>
      </c>
      <c r="E1023" s="3">
        <v>3</v>
      </c>
      <c r="F1023" s="3">
        <v>0.963793178615034</v>
      </c>
      <c r="G1023" s="3">
        <v>2.2411827234743713</v>
      </c>
      <c r="H1023" s="3">
        <f t="shared" si="82"/>
        <v>-3.6878552394814842E-2</v>
      </c>
      <c r="I1023" s="3">
        <f t="shared" si="83"/>
        <v>0.80700372807423515</v>
      </c>
      <c r="J1023">
        <v>2.2411827234743713</v>
      </c>
      <c r="K1023">
        <f t="shared" si="84"/>
        <v>0.80700372807423515</v>
      </c>
      <c r="AF1023" s="7">
        <f t="shared" si="85"/>
        <v>2.2411827234743713</v>
      </c>
    </row>
    <row r="1024" spans="1:32">
      <c r="A1024" s="3" t="s">
        <v>91</v>
      </c>
      <c r="B1024" s="3" t="s">
        <v>77</v>
      </c>
      <c r="C1024" s="3" t="s">
        <v>107</v>
      </c>
      <c r="D1024" s="3" t="s">
        <v>75</v>
      </c>
      <c r="E1024" s="3">
        <v>4</v>
      </c>
      <c r="F1024" s="3">
        <v>0.96422881699537999</v>
      </c>
      <c r="G1024" s="3">
        <v>2.2276669409945464</v>
      </c>
      <c r="H1024" s="3">
        <f t="shared" si="82"/>
        <v>-3.6426650509098296E-2</v>
      </c>
      <c r="I1024" s="3">
        <f t="shared" si="83"/>
        <v>0.80095482300665444</v>
      </c>
      <c r="J1024">
        <v>2.2276669409945464</v>
      </c>
      <c r="K1024">
        <f t="shared" si="84"/>
        <v>0.80095482300665444</v>
      </c>
      <c r="AF1024" s="7">
        <f t="shared" si="85"/>
        <v>2.2276669409945464</v>
      </c>
    </row>
    <row r="1025" spans="1:32">
      <c r="A1025" s="3" t="s">
        <v>91</v>
      </c>
      <c r="B1025" s="3" t="s">
        <v>77</v>
      </c>
      <c r="C1025" s="3" t="s">
        <v>107</v>
      </c>
      <c r="D1025" s="3" t="s">
        <v>75</v>
      </c>
      <c r="E1025" s="3">
        <v>5</v>
      </c>
      <c r="F1025" s="3">
        <v>0.95857772375314099</v>
      </c>
      <c r="G1025" s="3">
        <v>2.1918029108475974</v>
      </c>
      <c r="H1025" s="3">
        <f t="shared" si="82"/>
        <v>-4.2304630839637883E-2</v>
      </c>
      <c r="I1025" s="3">
        <f t="shared" si="83"/>
        <v>0.78472445210886865</v>
      </c>
      <c r="J1025">
        <v>2.1918029108475974</v>
      </c>
      <c r="K1025">
        <f t="shared" si="84"/>
        <v>0.78472445210886865</v>
      </c>
      <c r="AF1025" s="7">
        <f t="shared" si="85"/>
        <v>2.1918029108475974</v>
      </c>
    </row>
    <row r="1026" spans="1:32">
      <c r="A1026" s="3" t="s">
        <v>91</v>
      </c>
      <c r="B1026" s="3" t="s">
        <v>77</v>
      </c>
      <c r="C1026" s="3" t="s">
        <v>107</v>
      </c>
      <c r="D1026" s="3" t="s">
        <v>75</v>
      </c>
      <c r="E1026" s="3">
        <v>6</v>
      </c>
      <c r="F1026" s="3">
        <v>0.95921303290890902</v>
      </c>
      <c r="G1026" s="3">
        <v>2.1741205118392126</v>
      </c>
      <c r="H1026" s="3">
        <f t="shared" ref="H1026:H1089" si="86">LN(F1026)</f>
        <v>-4.1642088091633854E-2</v>
      </c>
      <c r="I1026" s="3">
        <f t="shared" ref="I1026:I1089" si="87">LN(G1026)</f>
        <v>0.7766242203913617</v>
      </c>
      <c r="J1026">
        <v>2.1741205118392126</v>
      </c>
      <c r="K1026">
        <f t="shared" si="84"/>
        <v>0.7766242203913617</v>
      </c>
      <c r="AF1026" s="7">
        <f t="shared" si="85"/>
        <v>2.1741205118392126</v>
      </c>
    </row>
    <row r="1027" spans="1:32">
      <c r="A1027" s="3" t="s">
        <v>91</v>
      </c>
      <c r="B1027" s="3" t="s">
        <v>77</v>
      </c>
      <c r="C1027" s="3" t="s">
        <v>107</v>
      </c>
      <c r="D1027" s="3" t="s">
        <v>75</v>
      </c>
      <c r="E1027" s="3">
        <v>7</v>
      </c>
      <c r="F1027" s="3">
        <v>0.95759664217472895</v>
      </c>
      <c r="G1027" s="3">
        <v>2.1958369702689677</v>
      </c>
      <c r="H1027" s="3">
        <f t="shared" si="86"/>
        <v>-4.3328631245431064E-2</v>
      </c>
      <c r="I1027" s="3">
        <f t="shared" si="87"/>
        <v>0.78656328148747234</v>
      </c>
      <c r="J1027">
        <v>2.1958369702689677</v>
      </c>
      <c r="K1027">
        <f t="shared" ref="K1027:K1084" si="88">LN(J1027)</f>
        <v>0.78656328148747234</v>
      </c>
      <c r="AF1027" s="7">
        <f t="shared" si="85"/>
        <v>2.1958369702689677</v>
      </c>
    </row>
    <row r="1028" spans="1:32">
      <c r="A1028" s="3" t="s">
        <v>91</v>
      </c>
      <c r="B1028" s="3" t="s">
        <v>77</v>
      </c>
      <c r="C1028" s="3" t="s">
        <v>107</v>
      </c>
      <c r="D1028" s="3" t="s">
        <v>75</v>
      </c>
      <c r="E1028" s="3">
        <v>9</v>
      </c>
      <c r="F1028" s="3">
        <v>0.95723444670454605</v>
      </c>
      <c r="G1028" s="3">
        <v>2.2323530186778258</v>
      </c>
      <c r="H1028" s="3">
        <f t="shared" si="86"/>
        <v>-4.3706936649605926E-2</v>
      </c>
      <c r="I1028" s="3">
        <f t="shared" si="87"/>
        <v>0.80305619450276189</v>
      </c>
      <c r="J1028">
        <v>2.2323530186778258</v>
      </c>
      <c r="K1028">
        <f t="shared" si="88"/>
        <v>0.80305619450276189</v>
      </c>
      <c r="AF1028" s="7">
        <f t="shared" si="85"/>
        <v>2.2323530186778258</v>
      </c>
    </row>
    <row r="1029" spans="1:32">
      <c r="A1029" s="3" t="s">
        <v>91</v>
      </c>
      <c r="B1029" s="3" t="s">
        <v>77</v>
      </c>
      <c r="C1029" s="3" t="s">
        <v>107</v>
      </c>
      <c r="D1029" s="3" t="s">
        <v>75</v>
      </c>
      <c r="E1029" s="3">
        <v>10</v>
      </c>
      <c r="F1029" s="3">
        <v>0.98053347752082998</v>
      </c>
      <c r="G1029" s="3">
        <v>2.2633824246026122</v>
      </c>
      <c r="H1029" s="3">
        <f t="shared" si="86"/>
        <v>-1.9658490613123938E-2</v>
      </c>
      <c r="I1029" s="3">
        <f t="shared" si="87"/>
        <v>0.8168603424769707</v>
      </c>
      <c r="J1029">
        <v>2.2633824246026122</v>
      </c>
      <c r="K1029">
        <f t="shared" si="88"/>
        <v>0.8168603424769707</v>
      </c>
      <c r="AF1029" s="7">
        <f t="shared" si="85"/>
        <v>2.2633824246026122</v>
      </c>
    </row>
    <row r="1030" spans="1:32">
      <c r="A1030" s="3" t="s">
        <v>91</v>
      </c>
      <c r="B1030" s="3" t="s">
        <v>77</v>
      </c>
      <c r="C1030" s="3" t="s">
        <v>107</v>
      </c>
      <c r="D1030" s="3" t="s">
        <v>75</v>
      </c>
      <c r="E1030" s="3">
        <v>11</v>
      </c>
      <c r="F1030" s="3">
        <v>0.94420596547962898</v>
      </c>
      <c r="G1030" s="3">
        <v>2.18929212303886</v>
      </c>
      <c r="H1030" s="3">
        <f t="shared" si="86"/>
        <v>-5.7410952864460282E-2</v>
      </c>
      <c r="I1030" s="3">
        <f t="shared" si="87"/>
        <v>0.78357826008874698</v>
      </c>
      <c r="J1030">
        <v>2.18929212303886</v>
      </c>
      <c r="K1030">
        <f t="shared" si="88"/>
        <v>0.78357826008874698</v>
      </c>
      <c r="AF1030" s="7">
        <f t="shared" si="85"/>
        <v>2.18929212303886</v>
      </c>
    </row>
    <row r="1031" spans="1:32">
      <c r="A1031" s="3" t="s">
        <v>91</v>
      </c>
      <c r="B1031" s="3" t="s">
        <v>77</v>
      </c>
      <c r="C1031" s="3" t="s">
        <v>107</v>
      </c>
      <c r="D1031" s="3" t="s">
        <v>75</v>
      </c>
      <c r="E1031" s="3">
        <v>12</v>
      </c>
      <c r="F1031" s="3">
        <v>0.96061293539307802</v>
      </c>
      <c r="G1031" s="3">
        <v>2.1742354978244651</v>
      </c>
      <c r="H1031" s="3">
        <f t="shared" si="86"/>
        <v>-4.018372389050829E-2</v>
      </c>
      <c r="I1031" s="3">
        <f t="shared" si="87"/>
        <v>0.77667710749859198</v>
      </c>
      <c r="J1031">
        <v>2.1742354978244651</v>
      </c>
      <c r="K1031">
        <f t="shared" si="88"/>
        <v>0.77667710749859198</v>
      </c>
      <c r="AF1031" s="7">
        <f t="shared" si="85"/>
        <v>2.1742354978244651</v>
      </c>
    </row>
    <row r="1032" spans="1:32">
      <c r="A1032" s="3" t="s">
        <v>91</v>
      </c>
      <c r="B1032" s="3" t="s">
        <v>77</v>
      </c>
      <c r="C1032" s="3" t="s">
        <v>107</v>
      </c>
      <c r="D1032" s="3" t="s">
        <v>75</v>
      </c>
      <c r="E1032" s="3">
        <v>13</v>
      </c>
      <c r="F1032" s="3">
        <v>0.94002311616278</v>
      </c>
      <c r="G1032" s="3">
        <v>2.1708293346092411</v>
      </c>
      <c r="H1032" s="3">
        <f t="shared" si="86"/>
        <v>-6.1850812357925528E-2</v>
      </c>
      <c r="I1032" s="3">
        <f t="shared" si="87"/>
        <v>0.77510927638706462</v>
      </c>
      <c r="J1032">
        <v>2.1708293346092411</v>
      </c>
      <c r="K1032">
        <f t="shared" si="88"/>
        <v>0.77510927638706462</v>
      </c>
      <c r="AF1032" s="7">
        <f t="shared" si="85"/>
        <v>2.1708293346092411</v>
      </c>
    </row>
    <row r="1033" spans="1:32">
      <c r="A1033" s="3" t="s">
        <v>91</v>
      </c>
      <c r="B1033" s="3" t="s">
        <v>77</v>
      </c>
      <c r="C1033" s="3" t="s">
        <v>107</v>
      </c>
      <c r="D1033" s="3" t="s">
        <v>75</v>
      </c>
      <c r="E1033" s="3">
        <v>14</v>
      </c>
      <c r="F1033" s="3">
        <v>0.97178292180308101</v>
      </c>
      <c r="G1033" s="3">
        <v>2.1964744478368057</v>
      </c>
      <c r="H1033" s="3">
        <f t="shared" si="86"/>
        <v>-2.8622830942197947E-2</v>
      </c>
      <c r="I1033" s="3">
        <f t="shared" si="87"/>
        <v>0.78685355123915079</v>
      </c>
      <c r="J1033">
        <v>2.1964744478368057</v>
      </c>
      <c r="K1033">
        <f t="shared" si="88"/>
        <v>0.78685355123915079</v>
      </c>
      <c r="AF1033" s="7">
        <f t="shared" si="85"/>
        <v>2.1964744478368057</v>
      </c>
    </row>
    <row r="1034" spans="1:32">
      <c r="A1034" s="3" t="s">
        <v>91</v>
      </c>
      <c r="B1034" s="3" t="s">
        <v>77</v>
      </c>
      <c r="C1034" s="3" t="s">
        <v>107</v>
      </c>
      <c r="D1034" s="3" t="s">
        <v>75</v>
      </c>
      <c r="E1034" s="3">
        <v>16</v>
      </c>
      <c r="F1034" s="3">
        <v>0.94373806058799403</v>
      </c>
      <c r="G1034" s="3">
        <v>2.22784649381415</v>
      </c>
      <c r="H1034" s="3">
        <f t="shared" si="86"/>
        <v>-5.7906629531516686E-2</v>
      </c>
      <c r="I1034" s="3">
        <f t="shared" si="87"/>
        <v>0.80103542104426684</v>
      </c>
      <c r="J1034">
        <v>2.22784649381415</v>
      </c>
      <c r="K1034">
        <f t="shared" si="88"/>
        <v>0.80103542104426684</v>
      </c>
      <c r="AF1034" s="7">
        <f t="shared" si="85"/>
        <v>2.22784649381415</v>
      </c>
    </row>
    <row r="1035" spans="1:32">
      <c r="A1035" s="3" t="s">
        <v>91</v>
      </c>
      <c r="B1035" s="3" t="s">
        <v>77</v>
      </c>
      <c r="C1035" s="3" t="s">
        <v>107</v>
      </c>
      <c r="D1035" s="3" t="s">
        <v>75</v>
      </c>
      <c r="E1035" s="3">
        <v>17</v>
      </c>
      <c r="F1035" s="3">
        <v>0.97153848353099204</v>
      </c>
      <c r="G1035" s="3">
        <v>2.2472205054244228</v>
      </c>
      <c r="H1035" s="3">
        <f t="shared" si="86"/>
        <v>-2.8874398462328345E-2</v>
      </c>
      <c r="I1035" s="3">
        <f t="shared" si="87"/>
        <v>0.80969412164363408</v>
      </c>
      <c r="J1035">
        <v>2.2472205054244228</v>
      </c>
      <c r="K1035">
        <f t="shared" si="88"/>
        <v>0.80969412164363408</v>
      </c>
      <c r="AF1035" s="7">
        <f t="shared" si="85"/>
        <v>2.2472205054244228</v>
      </c>
    </row>
    <row r="1036" spans="1:32">
      <c r="A1036" s="3" t="s">
        <v>91</v>
      </c>
      <c r="B1036" s="3" t="s">
        <v>77</v>
      </c>
      <c r="C1036" s="3" t="s">
        <v>107</v>
      </c>
      <c r="D1036" s="3" t="s">
        <v>75</v>
      </c>
      <c r="E1036" s="3">
        <v>19</v>
      </c>
      <c r="F1036" s="3">
        <v>0.96542628308925904</v>
      </c>
      <c r="G1036" s="3">
        <v>2.2900873345791855</v>
      </c>
      <c r="H1036" s="3">
        <f t="shared" si="86"/>
        <v>-3.5185531049419717E-2</v>
      </c>
      <c r="I1036" s="3">
        <f t="shared" si="87"/>
        <v>0.82858995420976056</v>
      </c>
      <c r="J1036">
        <v>2.2900873345791855</v>
      </c>
      <c r="K1036">
        <f t="shared" si="88"/>
        <v>0.82858995420976056</v>
      </c>
      <c r="AF1036" s="7">
        <f t="shared" si="85"/>
        <v>2.2900873345791855</v>
      </c>
    </row>
    <row r="1037" spans="1:32">
      <c r="A1037" s="3" t="s">
        <v>91</v>
      </c>
      <c r="B1037" s="3" t="s">
        <v>77</v>
      </c>
      <c r="C1037" s="3" t="s">
        <v>107</v>
      </c>
      <c r="D1037" s="3" t="s">
        <v>75</v>
      </c>
      <c r="E1037" s="3">
        <v>20</v>
      </c>
      <c r="F1037" s="3">
        <v>0.962173389437464</v>
      </c>
      <c r="G1037" s="3">
        <v>2.1741205118392126</v>
      </c>
      <c r="H1037" s="3">
        <f t="shared" si="86"/>
        <v>-3.8560606056955292E-2</v>
      </c>
      <c r="I1037" s="3">
        <f t="shared" si="87"/>
        <v>0.7766242203913617</v>
      </c>
      <c r="J1037">
        <v>2.1741205118392126</v>
      </c>
      <c r="K1037">
        <f t="shared" si="88"/>
        <v>0.7766242203913617</v>
      </c>
      <c r="AF1037" s="7">
        <f t="shared" si="85"/>
        <v>2.1741205118392126</v>
      </c>
    </row>
    <row r="1038" spans="1:32">
      <c r="A1038" s="3" t="s">
        <v>91</v>
      </c>
      <c r="B1038" s="3" t="s">
        <v>77</v>
      </c>
      <c r="C1038" s="3" t="s">
        <v>107</v>
      </c>
      <c r="D1038" s="3" t="s">
        <v>75</v>
      </c>
      <c r="E1038" s="3">
        <v>21</v>
      </c>
      <c r="F1038" s="3">
        <v>0.96725096347015704</v>
      </c>
      <c r="G1038" s="3">
        <v>2.2587828580897278</v>
      </c>
      <c r="H1038" s="3">
        <f t="shared" si="86"/>
        <v>-3.3297289309835006E-2</v>
      </c>
      <c r="I1038" s="3">
        <f t="shared" si="87"/>
        <v>0.81482610984217008</v>
      </c>
      <c r="J1038">
        <v>2.2587828580897278</v>
      </c>
      <c r="K1038">
        <f t="shared" si="88"/>
        <v>0.81482610984217008</v>
      </c>
      <c r="AF1038" s="7">
        <f t="shared" si="85"/>
        <v>2.2587828580897278</v>
      </c>
    </row>
    <row r="1039" spans="1:32">
      <c r="A1039" s="3" t="s">
        <v>91</v>
      </c>
      <c r="B1039" s="3" t="s">
        <v>77</v>
      </c>
      <c r="C1039" s="3" t="s">
        <v>107</v>
      </c>
      <c r="D1039" s="3" t="s">
        <v>75</v>
      </c>
      <c r="E1039" s="3">
        <v>23</v>
      </c>
      <c r="F1039" s="3">
        <v>0.96208892298815096</v>
      </c>
      <c r="G1039" s="3">
        <v>2.2226560687609771</v>
      </c>
      <c r="H1039" s="3">
        <f t="shared" si="86"/>
        <v>-3.8648397049713248E-2</v>
      </c>
      <c r="I1039" s="3">
        <f t="shared" si="87"/>
        <v>0.79870290810513089</v>
      </c>
      <c r="J1039">
        <v>2.2226560687609771</v>
      </c>
      <c r="K1039">
        <f t="shared" si="88"/>
        <v>0.79870290810513089</v>
      </c>
      <c r="AF1039" s="7">
        <f t="shared" si="85"/>
        <v>2.2226560687609771</v>
      </c>
    </row>
    <row r="1040" spans="1:32">
      <c r="A1040" s="3" t="s">
        <v>91</v>
      </c>
      <c r="B1040" s="3" t="s">
        <v>77</v>
      </c>
      <c r="C1040" s="3" t="s">
        <v>107</v>
      </c>
      <c r="D1040" s="3" t="s">
        <v>75</v>
      </c>
      <c r="E1040" s="3">
        <v>24</v>
      </c>
      <c r="F1040" s="3">
        <v>0.97914006005394705</v>
      </c>
      <c r="G1040" s="3">
        <v>2.211628359376864</v>
      </c>
      <c r="H1040" s="3">
        <f t="shared" si="86"/>
        <v>-2.1080582277879727E-2</v>
      </c>
      <c r="I1040" s="3">
        <f t="shared" si="87"/>
        <v>0.79372905841302044</v>
      </c>
      <c r="J1040">
        <v>2.211628359376864</v>
      </c>
      <c r="K1040">
        <f t="shared" si="88"/>
        <v>0.79372905841302044</v>
      </c>
      <c r="AF1040" s="7">
        <f t="shared" si="85"/>
        <v>2.211628359376864</v>
      </c>
    </row>
    <row r="1041" spans="1:32">
      <c r="A1041" s="3" t="s">
        <v>91</v>
      </c>
      <c r="B1041" s="3" t="s">
        <v>77</v>
      </c>
      <c r="C1041" s="3" t="s">
        <v>107</v>
      </c>
      <c r="D1041" s="3" t="s">
        <v>75</v>
      </c>
      <c r="E1041" s="3">
        <v>25</v>
      </c>
      <c r="F1041" s="3">
        <v>0.97711648099068005</v>
      </c>
      <c r="G1041" s="3">
        <v>2.2643321311150446</v>
      </c>
      <c r="H1041" s="3">
        <f t="shared" si="86"/>
        <v>-2.3149410923368457E-2</v>
      </c>
      <c r="I1041" s="3">
        <f t="shared" si="87"/>
        <v>0.81727985060393993</v>
      </c>
      <c r="J1041">
        <v>2.2643321311150446</v>
      </c>
      <c r="K1041">
        <f t="shared" si="88"/>
        <v>0.81727985060393993</v>
      </c>
      <c r="AF1041" s="7">
        <f t="shared" si="85"/>
        <v>2.2643321311150446</v>
      </c>
    </row>
    <row r="1042" spans="1:32">
      <c r="A1042" s="3" t="s">
        <v>91</v>
      </c>
      <c r="B1042" s="3" t="s">
        <v>103</v>
      </c>
      <c r="C1042" s="3" t="s">
        <v>107</v>
      </c>
      <c r="D1042" s="3" t="s">
        <v>79</v>
      </c>
      <c r="E1042" s="3">
        <v>1</v>
      </c>
      <c r="F1042" s="3">
        <v>0.95472883238384698</v>
      </c>
      <c r="G1042" s="3">
        <v>2.2717834403833477</v>
      </c>
      <c r="H1042" s="3">
        <f t="shared" si="86"/>
        <v>-4.6327923969267132E-2</v>
      </c>
      <c r="I1042" s="3">
        <f t="shared" si="87"/>
        <v>0.820565179583295</v>
      </c>
      <c r="J1042">
        <v>2.2717834403833477</v>
      </c>
      <c r="K1042">
        <f t="shared" si="88"/>
        <v>0.820565179583295</v>
      </c>
      <c r="AF1042" s="7">
        <f t="shared" si="85"/>
        <v>2.2717834403833477</v>
      </c>
    </row>
    <row r="1043" spans="1:32">
      <c r="A1043" s="3" t="s">
        <v>91</v>
      </c>
      <c r="B1043" s="3" t="s">
        <v>103</v>
      </c>
      <c r="C1043" s="3" t="s">
        <v>107</v>
      </c>
      <c r="D1043" s="3" t="s">
        <v>79</v>
      </c>
      <c r="E1043" s="3">
        <v>2</v>
      </c>
      <c r="F1043" s="3">
        <v>0.92042522167820295</v>
      </c>
      <c r="G1043" s="3">
        <v>2.2458851261807671</v>
      </c>
      <c r="H1043" s="3">
        <f t="shared" si="86"/>
        <v>-8.2919518243095916E-2</v>
      </c>
      <c r="I1043" s="3">
        <f t="shared" si="87"/>
        <v>0.80909970905133655</v>
      </c>
      <c r="J1043">
        <v>2.2458851261807671</v>
      </c>
      <c r="K1043">
        <f t="shared" si="88"/>
        <v>0.80909970905133655</v>
      </c>
      <c r="AF1043" s="7">
        <f t="shared" si="85"/>
        <v>2.2458851261807671</v>
      </c>
    </row>
    <row r="1044" spans="1:32">
      <c r="A1044" s="3" t="s">
        <v>91</v>
      </c>
      <c r="B1044" s="3" t="s">
        <v>103</v>
      </c>
      <c r="C1044" s="3" t="s">
        <v>107</v>
      </c>
      <c r="D1044" s="3" t="s">
        <v>79</v>
      </c>
      <c r="E1044" s="3">
        <v>3</v>
      </c>
      <c r="F1044" s="3">
        <v>0.94890813108310601</v>
      </c>
      <c r="G1044" s="3">
        <v>2.2714973035423132</v>
      </c>
      <c r="H1044" s="3">
        <f t="shared" si="86"/>
        <v>-5.2443291082339097E-2</v>
      </c>
      <c r="I1044" s="3">
        <f t="shared" si="87"/>
        <v>0.8204392191342097</v>
      </c>
      <c r="J1044">
        <v>2.2714973035423132</v>
      </c>
      <c r="K1044">
        <f t="shared" si="88"/>
        <v>0.8204392191342097</v>
      </c>
      <c r="AF1044" s="7">
        <f t="shared" si="85"/>
        <v>2.2714973035423132</v>
      </c>
    </row>
    <row r="1045" spans="1:32">
      <c r="A1045" s="3" t="s">
        <v>91</v>
      </c>
      <c r="B1045" s="3" t="s">
        <v>103</v>
      </c>
      <c r="C1045" s="3" t="s">
        <v>107</v>
      </c>
      <c r="D1045" s="3" t="s">
        <v>79</v>
      </c>
      <c r="E1045" s="3">
        <v>4</v>
      </c>
      <c r="F1045" s="3">
        <v>0.95705558162316595</v>
      </c>
      <c r="G1045" s="3">
        <v>2.2775864418282792</v>
      </c>
      <c r="H1045" s="3">
        <f t="shared" si="86"/>
        <v>-4.3893810194631781E-2</v>
      </c>
      <c r="I1045" s="3">
        <f t="shared" si="87"/>
        <v>0.82311630413128867</v>
      </c>
      <c r="J1045">
        <v>2.2775864418282792</v>
      </c>
      <c r="K1045">
        <f t="shared" si="88"/>
        <v>0.82311630413128867</v>
      </c>
      <c r="AF1045" s="7">
        <f t="shared" si="85"/>
        <v>2.2775864418282792</v>
      </c>
    </row>
    <row r="1046" spans="1:32">
      <c r="A1046" s="3" t="s">
        <v>91</v>
      </c>
      <c r="B1046" s="3" t="s">
        <v>103</v>
      </c>
      <c r="C1046" s="3" t="s">
        <v>107</v>
      </c>
      <c r="D1046" s="3" t="s">
        <v>79</v>
      </c>
      <c r="E1046" s="3">
        <v>5</v>
      </c>
      <c r="F1046" s="3">
        <v>0.93770156410611605</v>
      </c>
      <c r="G1046" s="3">
        <v>2.2228135324403619</v>
      </c>
      <c r="H1046" s="3">
        <f t="shared" si="86"/>
        <v>-6.4323542533936726E-2</v>
      </c>
      <c r="I1046" s="3">
        <f t="shared" si="87"/>
        <v>0.79877375042037613</v>
      </c>
      <c r="J1046">
        <v>2.2228135324403619</v>
      </c>
      <c r="K1046">
        <f t="shared" si="88"/>
        <v>0.79877375042037613</v>
      </c>
      <c r="AF1046" s="7">
        <f t="shared" si="85"/>
        <v>2.2228135324403619</v>
      </c>
    </row>
    <row r="1047" spans="1:32">
      <c r="A1047" s="3" t="s">
        <v>91</v>
      </c>
      <c r="B1047" s="3" t="s">
        <v>103</v>
      </c>
      <c r="C1047" s="3" t="s">
        <v>107</v>
      </c>
      <c r="D1047" s="3" t="s">
        <v>79</v>
      </c>
      <c r="E1047" s="3">
        <v>6</v>
      </c>
      <c r="F1047" s="3">
        <v>0.954482941857557</v>
      </c>
      <c r="G1047" s="3">
        <v>2.3078344827998389</v>
      </c>
      <c r="H1047" s="3">
        <f t="shared" si="86"/>
        <v>-4.6585507261981983E-2</v>
      </c>
      <c r="I1047" s="3">
        <f t="shared" si="87"/>
        <v>0.83630963151611259</v>
      </c>
      <c r="J1047">
        <v>2.3078344827998389</v>
      </c>
      <c r="K1047">
        <f t="shared" si="88"/>
        <v>0.83630963151611259</v>
      </c>
      <c r="AF1047" s="7">
        <f t="shared" si="85"/>
        <v>2.3078344827998389</v>
      </c>
    </row>
    <row r="1048" spans="1:32">
      <c r="A1048" s="3" t="s">
        <v>91</v>
      </c>
      <c r="B1048" s="3" t="s">
        <v>103</v>
      </c>
      <c r="C1048" s="3" t="s">
        <v>107</v>
      </c>
      <c r="D1048" s="3" t="s">
        <v>79</v>
      </c>
      <c r="E1048" s="3">
        <v>8</v>
      </c>
      <c r="F1048" s="3">
        <v>0.93214683337218296</v>
      </c>
      <c r="G1048" s="3">
        <v>2.2141589825484527</v>
      </c>
      <c r="H1048" s="3">
        <f t="shared" si="86"/>
        <v>-7.0264930169021148E-2</v>
      </c>
      <c r="I1048" s="3">
        <f t="shared" si="87"/>
        <v>0.79487263954418208</v>
      </c>
      <c r="J1048">
        <v>2.2141589825484527</v>
      </c>
      <c r="K1048">
        <f t="shared" si="88"/>
        <v>0.79487263954418208</v>
      </c>
      <c r="AF1048" s="7">
        <f t="shared" si="85"/>
        <v>2.2141589825484527</v>
      </c>
    </row>
    <row r="1049" spans="1:32">
      <c r="A1049" s="3" t="s">
        <v>91</v>
      </c>
      <c r="B1049" s="3" t="s">
        <v>103</v>
      </c>
      <c r="C1049" s="3" t="s">
        <v>107</v>
      </c>
      <c r="D1049" s="3" t="s">
        <v>79</v>
      </c>
      <c r="E1049" s="3">
        <v>9</v>
      </c>
      <c r="F1049" s="3">
        <v>0.963534200202814</v>
      </c>
      <c r="G1049" s="3">
        <v>2.271079038695043</v>
      </c>
      <c r="H1049" s="3">
        <f t="shared" si="86"/>
        <v>-3.7147295958181371E-2</v>
      </c>
      <c r="I1049" s="3">
        <f t="shared" si="87"/>
        <v>0.82025506599425557</v>
      </c>
      <c r="J1049">
        <v>2.271079038695043</v>
      </c>
      <c r="K1049">
        <f t="shared" si="88"/>
        <v>0.82025506599425557</v>
      </c>
      <c r="AF1049" s="7">
        <f t="shared" si="85"/>
        <v>2.271079038695043</v>
      </c>
    </row>
    <row r="1050" spans="1:32">
      <c r="A1050" s="3" t="s">
        <v>91</v>
      </c>
      <c r="B1050" s="3" t="s">
        <v>103</v>
      </c>
      <c r="C1050" s="3" t="s">
        <v>107</v>
      </c>
      <c r="D1050" s="3" t="s">
        <v>79</v>
      </c>
      <c r="E1050" s="3">
        <v>10</v>
      </c>
      <c r="F1050" s="3">
        <v>0.93059973522518402</v>
      </c>
      <c r="G1050" s="3">
        <v>2.2370739817896053</v>
      </c>
      <c r="H1050" s="3">
        <f t="shared" si="86"/>
        <v>-7.1926024092170956E-2</v>
      </c>
      <c r="I1050" s="3">
        <f t="shared" si="87"/>
        <v>0.8051687538384682</v>
      </c>
      <c r="J1050">
        <v>2.2370739817896053</v>
      </c>
      <c r="K1050">
        <f t="shared" si="88"/>
        <v>0.8051687538384682</v>
      </c>
      <c r="AF1050" s="7">
        <f t="shared" si="85"/>
        <v>2.2370739817896053</v>
      </c>
    </row>
    <row r="1051" spans="1:32">
      <c r="A1051" s="3" t="s">
        <v>91</v>
      </c>
      <c r="B1051" s="3" t="s">
        <v>103</v>
      </c>
      <c r="C1051" s="3" t="s">
        <v>107</v>
      </c>
      <c r="D1051" s="3" t="s">
        <v>79</v>
      </c>
      <c r="E1051" s="3">
        <v>11</v>
      </c>
      <c r="F1051" s="3">
        <v>0.95945334257115999</v>
      </c>
      <c r="G1051" s="3">
        <v>2.315728826957077</v>
      </c>
      <c r="H1051" s="3">
        <f t="shared" si="86"/>
        <v>-4.139159153154541E-2</v>
      </c>
      <c r="I1051" s="3">
        <f t="shared" si="87"/>
        <v>0.83972446604945561</v>
      </c>
      <c r="J1051">
        <v>2.315728826957077</v>
      </c>
      <c r="K1051">
        <f t="shared" si="88"/>
        <v>0.83972446604945561</v>
      </c>
      <c r="AF1051" s="7">
        <f t="shared" si="85"/>
        <v>2.315728826957077</v>
      </c>
    </row>
    <row r="1052" spans="1:32">
      <c r="A1052" s="3" t="s">
        <v>91</v>
      </c>
      <c r="B1052" s="3" t="s">
        <v>103</v>
      </c>
      <c r="C1052" s="3" t="s">
        <v>107</v>
      </c>
      <c r="D1052" s="3" t="s">
        <v>79</v>
      </c>
      <c r="E1052" s="3">
        <v>12</v>
      </c>
      <c r="F1052" s="3">
        <v>0.92238565838898501</v>
      </c>
      <c r="G1052" s="3">
        <v>2.2194819215303379</v>
      </c>
      <c r="H1052" s="3">
        <f t="shared" si="86"/>
        <v>-8.0791858295402363E-2</v>
      </c>
      <c r="I1052" s="3">
        <f t="shared" si="87"/>
        <v>0.79727379996945247</v>
      </c>
      <c r="J1052">
        <v>2.2194819215303379</v>
      </c>
      <c r="K1052">
        <f t="shared" si="88"/>
        <v>0.79727379996945247</v>
      </c>
      <c r="AF1052" s="7">
        <f t="shared" si="85"/>
        <v>2.2194819215303379</v>
      </c>
    </row>
    <row r="1053" spans="1:32">
      <c r="A1053" s="3" t="s">
        <v>91</v>
      </c>
      <c r="B1053" s="3" t="s">
        <v>103</v>
      </c>
      <c r="C1053" s="3" t="s">
        <v>107</v>
      </c>
      <c r="D1053" s="3" t="s">
        <v>79</v>
      </c>
      <c r="E1053" s="3">
        <v>13</v>
      </c>
      <c r="F1053" s="3">
        <v>0.92484247772547801</v>
      </c>
      <c r="G1053" s="3">
        <v>2.205311769342376</v>
      </c>
      <c r="H1053" s="3">
        <f t="shared" si="86"/>
        <v>-7.8131850322275806E-2</v>
      </c>
      <c r="I1053" s="3">
        <f t="shared" si="87"/>
        <v>0.79086889089591106</v>
      </c>
      <c r="J1053">
        <v>2.205311769342376</v>
      </c>
      <c r="K1053">
        <f t="shared" si="88"/>
        <v>0.79086889089591106</v>
      </c>
      <c r="AF1053" s="7">
        <f t="shared" si="85"/>
        <v>2.205311769342376</v>
      </c>
    </row>
    <row r="1054" spans="1:32">
      <c r="A1054" s="3" t="s">
        <v>91</v>
      </c>
      <c r="B1054" s="3" t="s">
        <v>103</v>
      </c>
      <c r="C1054" s="3" t="s">
        <v>107</v>
      </c>
      <c r="D1054" s="3" t="s">
        <v>79</v>
      </c>
      <c r="E1054" s="3">
        <v>14</v>
      </c>
      <c r="F1054" s="3">
        <v>0.95145962256829397</v>
      </c>
      <c r="G1054" s="3">
        <v>2.2579636843846713</v>
      </c>
      <c r="H1054" s="3">
        <f t="shared" si="86"/>
        <v>-4.9758028702527352E-2</v>
      </c>
      <c r="I1054" s="3">
        <f t="shared" si="87"/>
        <v>0.81446338250897365</v>
      </c>
      <c r="J1054">
        <v>2.2579636843846713</v>
      </c>
      <c r="K1054">
        <f t="shared" si="88"/>
        <v>0.81446338250897365</v>
      </c>
      <c r="AF1054" s="7">
        <f t="shared" si="85"/>
        <v>2.2579636843846713</v>
      </c>
    </row>
    <row r="1055" spans="1:32">
      <c r="A1055" s="3" t="s">
        <v>91</v>
      </c>
      <c r="B1055" s="3" t="s">
        <v>103</v>
      </c>
      <c r="C1055" s="3" t="s">
        <v>107</v>
      </c>
      <c r="D1055" s="3" t="s">
        <v>79</v>
      </c>
      <c r="E1055" s="3">
        <v>15</v>
      </c>
      <c r="F1055" s="3">
        <v>0.95470186299239401</v>
      </c>
      <c r="G1055" s="3">
        <v>2.2724656213021133</v>
      </c>
      <c r="H1055" s="3">
        <f t="shared" si="86"/>
        <v>-4.6356172589675372E-2</v>
      </c>
      <c r="I1055" s="3">
        <f t="shared" si="87"/>
        <v>0.82086541881518127</v>
      </c>
      <c r="J1055">
        <v>2.2724656213021133</v>
      </c>
      <c r="K1055">
        <f t="shared" si="88"/>
        <v>0.82086541881518127</v>
      </c>
      <c r="AF1055" s="7">
        <f t="shared" si="85"/>
        <v>2.2724656213021133</v>
      </c>
    </row>
    <row r="1056" spans="1:32">
      <c r="A1056" s="3" t="s">
        <v>91</v>
      </c>
      <c r="B1056" s="3" t="s">
        <v>103</v>
      </c>
      <c r="C1056" s="3" t="s">
        <v>107</v>
      </c>
      <c r="D1056" s="3" t="s">
        <v>79</v>
      </c>
      <c r="E1056" s="3">
        <v>16</v>
      </c>
      <c r="F1056" s="3">
        <v>0.92747377831560995</v>
      </c>
      <c r="G1056" s="3">
        <v>2.2189411889457547</v>
      </c>
      <c r="H1056" s="3">
        <f t="shared" si="86"/>
        <v>-7.5290756258022146E-2</v>
      </c>
      <c r="I1056" s="3">
        <f t="shared" si="87"/>
        <v>0.79703014019488871</v>
      </c>
      <c r="J1056">
        <v>2.2189411889457547</v>
      </c>
      <c r="K1056">
        <f t="shared" si="88"/>
        <v>0.79703014019488871</v>
      </c>
      <c r="AF1056" s="7">
        <f t="shared" si="85"/>
        <v>2.2189411889457547</v>
      </c>
    </row>
    <row r="1057" spans="1:32">
      <c r="A1057" s="3" t="s">
        <v>91</v>
      </c>
      <c r="B1057" s="3" t="s">
        <v>103</v>
      </c>
      <c r="C1057" s="3" t="s">
        <v>107</v>
      </c>
      <c r="D1057" s="3" t="s">
        <v>79</v>
      </c>
      <c r="E1057" s="3">
        <v>17</v>
      </c>
      <c r="F1057" s="3">
        <v>0.93097783580556603</v>
      </c>
      <c r="G1057" s="3">
        <v>2.2329352879114071</v>
      </c>
      <c r="H1057" s="3">
        <f t="shared" si="86"/>
        <v>-7.1519808856808101E-2</v>
      </c>
      <c r="I1057" s="3">
        <f t="shared" si="87"/>
        <v>0.8033169925506829</v>
      </c>
      <c r="J1057">
        <v>2.2329352879114071</v>
      </c>
      <c r="K1057">
        <f t="shared" si="88"/>
        <v>0.8033169925506829</v>
      </c>
      <c r="AF1057" s="7">
        <f t="shared" si="85"/>
        <v>2.2329352879114071</v>
      </c>
    </row>
    <row r="1058" spans="1:32">
      <c r="A1058" s="3" t="s">
        <v>91</v>
      </c>
      <c r="B1058" s="3" t="s">
        <v>103</v>
      </c>
      <c r="C1058" s="3" t="s">
        <v>107</v>
      </c>
      <c r="D1058" s="3" t="s">
        <v>79</v>
      </c>
      <c r="E1058" s="3">
        <v>18</v>
      </c>
      <c r="F1058" s="3">
        <v>0.94675692335453698</v>
      </c>
      <c r="G1058" s="3">
        <v>2.2569448376068033</v>
      </c>
      <c r="H1058" s="3">
        <f t="shared" si="86"/>
        <v>-5.4712899468019806E-2</v>
      </c>
      <c r="I1058" s="3">
        <f t="shared" si="87"/>
        <v>0.81401205695488987</v>
      </c>
      <c r="J1058">
        <v>2.2569448376068033</v>
      </c>
      <c r="K1058">
        <f t="shared" si="88"/>
        <v>0.81401205695488987</v>
      </c>
      <c r="AF1058" s="7">
        <f t="shared" si="85"/>
        <v>2.2569448376068033</v>
      </c>
    </row>
    <row r="1059" spans="1:32">
      <c r="A1059" s="3" t="s">
        <v>91</v>
      </c>
      <c r="B1059" s="3" t="s">
        <v>103</v>
      </c>
      <c r="C1059" s="3" t="s">
        <v>107</v>
      </c>
      <c r="D1059" s="3" t="s">
        <v>79</v>
      </c>
      <c r="E1059" s="3">
        <v>19</v>
      </c>
      <c r="F1059" s="3">
        <v>0.934353689841665</v>
      </c>
      <c r="G1059" s="3">
        <v>2.3216588896735026</v>
      </c>
      <c r="H1059" s="3">
        <f t="shared" si="86"/>
        <v>-6.7900229521584879E-2</v>
      </c>
      <c r="I1059" s="3">
        <f t="shared" si="87"/>
        <v>0.84228196881224959</v>
      </c>
      <c r="J1059">
        <v>2.3216588896735026</v>
      </c>
      <c r="K1059">
        <f t="shared" si="88"/>
        <v>0.84228196881224959</v>
      </c>
      <c r="AF1059" s="7">
        <f t="shared" si="85"/>
        <v>2.3216588896735026</v>
      </c>
    </row>
    <row r="1060" spans="1:32">
      <c r="A1060" s="3" t="s">
        <v>91</v>
      </c>
      <c r="B1060" s="3" t="s">
        <v>103</v>
      </c>
      <c r="C1060" s="3" t="s">
        <v>107</v>
      </c>
      <c r="D1060" s="3" t="s">
        <v>79</v>
      </c>
      <c r="E1060" s="3">
        <v>20</v>
      </c>
      <c r="F1060" s="3">
        <v>0.93114848536813399</v>
      </c>
      <c r="G1060" s="3">
        <v>2.2135040094836058</v>
      </c>
      <c r="H1060" s="3">
        <f t="shared" si="86"/>
        <v>-7.1336524230942194E-2</v>
      </c>
      <c r="I1060" s="3">
        <f t="shared" si="87"/>
        <v>0.79457678456569658</v>
      </c>
      <c r="J1060">
        <v>2.2135040094836058</v>
      </c>
      <c r="K1060">
        <f t="shared" si="88"/>
        <v>0.79457678456569658</v>
      </c>
      <c r="AF1060" s="7">
        <f t="shared" si="85"/>
        <v>2.2135040094836058</v>
      </c>
    </row>
    <row r="1061" spans="1:32">
      <c r="A1061" s="3" t="s">
        <v>91</v>
      </c>
      <c r="B1061" s="3" t="s">
        <v>103</v>
      </c>
      <c r="C1061" s="3" t="s">
        <v>107</v>
      </c>
      <c r="D1061" s="3" t="s">
        <v>79</v>
      </c>
      <c r="E1061" s="3">
        <v>21</v>
      </c>
      <c r="F1061" s="3">
        <v>0.94348531749574605</v>
      </c>
      <c r="G1061" s="3">
        <v>2.2165288177689004</v>
      </c>
      <c r="H1061" s="3">
        <f t="shared" si="86"/>
        <v>-5.8174476037334812E-2</v>
      </c>
      <c r="I1061" s="3">
        <f t="shared" si="87"/>
        <v>0.79594237659325551</v>
      </c>
      <c r="J1061">
        <v>2.2165288177689004</v>
      </c>
      <c r="K1061">
        <f t="shared" si="88"/>
        <v>0.79594237659325551</v>
      </c>
      <c r="AF1061" s="7">
        <f t="shared" si="85"/>
        <v>2.2165288177689004</v>
      </c>
    </row>
    <row r="1062" spans="1:32">
      <c r="A1062" s="3" t="s">
        <v>91</v>
      </c>
      <c r="B1062" s="3" t="s">
        <v>103</v>
      </c>
      <c r="C1062" s="3" t="s">
        <v>107</v>
      </c>
      <c r="D1062" s="3" t="s">
        <v>79</v>
      </c>
      <c r="E1062" s="3">
        <v>22</v>
      </c>
      <c r="F1062" s="3">
        <v>0.94937944386436801</v>
      </c>
      <c r="G1062" s="3">
        <v>2.173683509621398</v>
      </c>
      <c r="H1062" s="3">
        <f t="shared" si="86"/>
        <v>-5.1946724811594097E-2</v>
      </c>
      <c r="I1062" s="3">
        <f t="shared" si="87"/>
        <v>0.77642319835029028</v>
      </c>
      <c r="J1062">
        <v>2.173683509621398</v>
      </c>
      <c r="K1062">
        <f t="shared" si="88"/>
        <v>0.77642319835029028</v>
      </c>
      <c r="AF1062" s="7">
        <f t="shared" si="85"/>
        <v>2.173683509621398</v>
      </c>
    </row>
    <row r="1063" spans="1:32">
      <c r="A1063" s="3" t="s">
        <v>91</v>
      </c>
      <c r="B1063" s="3" t="s">
        <v>103</v>
      </c>
      <c r="C1063" s="3" t="s">
        <v>107</v>
      </c>
      <c r="D1063" s="3" t="s">
        <v>79</v>
      </c>
      <c r="E1063" s="3">
        <v>23</v>
      </c>
      <c r="F1063" s="3">
        <v>0.93826301371105603</v>
      </c>
      <c r="G1063" s="3">
        <v>2.2346588106464931</v>
      </c>
      <c r="H1063" s="3">
        <f t="shared" si="86"/>
        <v>-6.3724970867560529E-2</v>
      </c>
      <c r="I1063" s="3">
        <f t="shared" si="87"/>
        <v>0.80408855898333875</v>
      </c>
      <c r="J1063">
        <v>2.2346588106464931</v>
      </c>
      <c r="K1063">
        <f t="shared" si="88"/>
        <v>0.80408855898333875</v>
      </c>
      <c r="AF1063" s="7">
        <f t="shared" si="85"/>
        <v>2.2346588106464931</v>
      </c>
    </row>
    <row r="1064" spans="1:32">
      <c r="A1064" s="3" t="s">
        <v>91</v>
      </c>
      <c r="B1064" s="3" t="s">
        <v>103</v>
      </c>
      <c r="C1064" s="3" t="s">
        <v>107</v>
      </c>
      <c r="D1064" s="3" t="s">
        <v>79</v>
      </c>
      <c r="E1064" s="3">
        <v>24</v>
      </c>
      <c r="F1064" s="3">
        <v>0.96096689404203195</v>
      </c>
      <c r="G1064" s="3">
        <v>2.2983907413666635</v>
      </c>
      <c r="H1064" s="3">
        <f t="shared" si="86"/>
        <v>-3.9815320093241853E-2</v>
      </c>
      <c r="I1064" s="3">
        <f t="shared" si="87"/>
        <v>0.83220920037978197</v>
      </c>
      <c r="J1064">
        <v>2.2983907413666635</v>
      </c>
      <c r="K1064">
        <f t="shared" si="88"/>
        <v>0.83220920037978197</v>
      </c>
      <c r="AF1064" s="7">
        <f t="shared" si="85"/>
        <v>2.2983907413666635</v>
      </c>
    </row>
    <row r="1065" spans="1:32">
      <c r="A1065" s="3" t="s">
        <v>91</v>
      </c>
      <c r="B1065" s="3" t="s">
        <v>103</v>
      </c>
      <c r="C1065" s="3" t="s">
        <v>107</v>
      </c>
      <c r="D1065" s="3" t="s">
        <v>79</v>
      </c>
      <c r="E1065" s="3">
        <v>25</v>
      </c>
      <c r="F1065" s="3">
        <v>0.94512366648498702</v>
      </c>
      <c r="G1065" s="3">
        <v>2.2005681084665389</v>
      </c>
      <c r="H1065" s="3">
        <f t="shared" si="86"/>
        <v>-5.6439496045064007E-2</v>
      </c>
      <c r="I1065" s="3">
        <f t="shared" si="87"/>
        <v>0.78871555814950711</v>
      </c>
      <c r="J1065">
        <v>2.2005681084665389</v>
      </c>
      <c r="K1065">
        <f t="shared" si="88"/>
        <v>0.78871555814950711</v>
      </c>
      <c r="AF1065" s="7">
        <f t="shared" si="85"/>
        <v>2.2005681084665389</v>
      </c>
    </row>
    <row r="1066" spans="1:32">
      <c r="A1066" s="3" t="s">
        <v>91</v>
      </c>
      <c r="B1066" s="3" t="s">
        <v>103</v>
      </c>
      <c r="C1066" s="3" t="s">
        <v>107</v>
      </c>
      <c r="D1066" s="3" t="s">
        <v>75</v>
      </c>
      <c r="E1066" s="3">
        <v>1</v>
      </c>
      <c r="F1066" s="3">
        <v>0.97083832873256704</v>
      </c>
      <c r="G1066" s="3">
        <v>2.2994347131414714</v>
      </c>
      <c r="H1066" s="3">
        <f t="shared" si="86"/>
        <v>-2.9595324313923123E-2</v>
      </c>
      <c r="I1066" s="3">
        <f t="shared" si="87"/>
        <v>0.83266331583200082</v>
      </c>
      <c r="J1066">
        <v>2.2994347131414714</v>
      </c>
      <c r="K1066">
        <f t="shared" si="88"/>
        <v>0.83266331583200082</v>
      </c>
      <c r="AF1066" s="7">
        <f t="shared" ref="AF1066:AF1084" si="89">G1066</f>
        <v>2.2994347131414714</v>
      </c>
    </row>
    <row r="1067" spans="1:32">
      <c r="A1067" s="3" t="s">
        <v>91</v>
      </c>
      <c r="B1067" s="3" t="s">
        <v>103</v>
      </c>
      <c r="C1067" s="3" t="s">
        <v>107</v>
      </c>
      <c r="D1067" s="3" t="s">
        <v>75</v>
      </c>
      <c r="E1067" s="3">
        <v>2</v>
      </c>
      <c r="F1067" s="3">
        <v>0.93774190269194002</v>
      </c>
      <c r="G1067" s="3">
        <v>2.28177562437677</v>
      </c>
      <c r="H1067" s="3">
        <f t="shared" si="86"/>
        <v>-6.4280524883397708E-2</v>
      </c>
      <c r="I1067" s="3">
        <f t="shared" si="87"/>
        <v>0.82495392249390664</v>
      </c>
      <c r="J1067">
        <v>2.28177562437677</v>
      </c>
      <c r="K1067">
        <f t="shared" si="88"/>
        <v>0.82495392249390664</v>
      </c>
      <c r="AF1067" s="7">
        <f t="shared" si="89"/>
        <v>2.28177562437677</v>
      </c>
    </row>
    <row r="1068" spans="1:32">
      <c r="A1068" s="3" t="s">
        <v>91</v>
      </c>
      <c r="B1068" s="3" t="s">
        <v>103</v>
      </c>
      <c r="C1068" s="3" t="s">
        <v>107</v>
      </c>
      <c r="D1068" s="3" t="s">
        <v>75</v>
      </c>
      <c r="E1068" s="3">
        <v>5</v>
      </c>
      <c r="F1068" s="3">
        <v>0.96290405896850495</v>
      </c>
      <c r="G1068" s="3">
        <v>2.2368057582186256</v>
      </c>
      <c r="H1068" s="3">
        <f t="shared" si="86"/>
        <v>-3.7801499386485589E-2</v>
      </c>
      <c r="I1068" s="3">
        <f t="shared" si="87"/>
        <v>0.80504884736494253</v>
      </c>
      <c r="J1068">
        <v>2.2368057582186256</v>
      </c>
      <c r="K1068">
        <f t="shared" si="88"/>
        <v>0.80504884736494253</v>
      </c>
      <c r="AF1068" s="7">
        <f t="shared" si="89"/>
        <v>2.2368057582186256</v>
      </c>
    </row>
    <row r="1069" spans="1:32">
      <c r="A1069" s="3" t="s">
        <v>91</v>
      </c>
      <c r="B1069" s="3" t="s">
        <v>103</v>
      </c>
      <c r="C1069" s="3" t="s">
        <v>107</v>
      </c>
      <c r="D1069" s="3" t="s">
        <v>75</v>
      </c>
      <c r="E1069" s="3">
        <v>6</v>
      </c>
      <c r="F1069" s="3">
        <v>0.93577955226437104</v>
      </c>
      <c r="G1069" s="3">
        <v>2.2260727750906981</v>
      </c>
      <c r="H1069" s="3">
        <f t="shared" si="86"/>
        <v>-6.637535132906501E-2</v>
      </c>
      <c r="I1069" s="3">
        <f t="shared" si="87"/>
        <v>0.80023894553129482</v>
      </c>
      <c r="J1069">
        <v>2.2260727750906981</v>
      </c>
      <c r="K1069">
        <f t="shared" si="88"/>
        <v>0.80023894553129482</v>
      </c>
      <c r="AF1069" s="7">
        <f t="shared" si="89"/>
        <v>2.2260727750906981</v>
      </c>
    </row>
    <row r="1070" spans="1:32">
      <c r="A1070" s="3" t="s">
        <v>91</v>
      </c>
      <c r="B1070" s="3" t="s">
        <v>103</v>
      </c>
      <c r="C1070" s="3" t="s">
        <v>107</v>
      </c>
      <c r="D1070" s="3" t="s">
        <v>75</v>
      </c>
      <c r="E1070" s="3">
        <v>8</v>
      </c>
      <c r="F1070" s="3">
        <v>0.97695666049557695</v>
      </c>
      <c r="G1070" s="3">
        <v>2.3307724041613334</v>
      </c>
      <c r="H1070" s="3">
        <f t="shared" si="86"/>
        <v>-2.3312987702626482E-2</v>
      </c>
      <c r="I1070" s="3">
        <f t="shared" si="87"/>
        <v>0.84619971657422399</v>
      </c>
      <c r="J1070">
        <v>2.3307724041613334</v>
      </c>
      <c r="K1070">
        <f t="shared" si="88"/>
        <v>0.84619971657422399</v>
      </c>
      <c r="AF1070" s="7">
        <f t="shared" si="89"/>
        <v>2.3307724041613334</v>
      </c>
    </row>
    <row r="1071" spans="1:32">
      <c r="A1071" s="3" t="s">
        <v>91</v>
      </c>
      <c r="B1071" s="3" t="s">
        <v>103</v>
      </c>
      <c r="C1071" s="3" t="s">
        <v>107</v>
      </c>
      <c r="D1071" s="3" t="s">
        <v>75</v>
      </c>
      <c r="E1071" s="3">
        <v>9</v>
      </c>
      <c r="F1071" s="3">
        <v>0.95459072811781098</v>
      </c>
      <c r="G1071" s="3">
        <v>2.2541739063346466</v>
      </c>
      <c r="H1071" s="3">
        <f t="shared" si="86"/>
        <v>-4.6472587302879613E-2</v>
      </c>
      <c r="I1071" s="3">
        <f t="shared" si="87"/>
        <v>0.81278356718198563</v>
      </c>
      <c r="J1071">
        <v>2.2541739063346466</v>
      </c>
      <c r="K1071">
        <f t="shared" si="88"/>
        <v>0.81278356718198563</v>
      </c>
      <c r="AF1071" s="7">
        <f t="shared" si="89"/>
        <v>2.2541739063346466</v>
      </c>
    </row>
    <row r="1072" spans="1:32">
      <c r="A1072" s="3" t="s">
        <v>91</v>
      </c>
      <c r="B1072" s="3" t="s">
        <v>103</v>
      </c>
      <c r="C1072" s="3" t="s">
        <v>107</v>
      </c>
      <c r="D1072" s="3" t="s">
        <v>75</v>
      </c>
      <c r="E1072" s="3">
        <v>10</v>
      </c>
      <c r="F1072" s="3">
        <v>0.95626285741580697</v>
      </c>
      <c r="G1072" s="3">
        <v>2.2662965384079814</v>
      </c>
      <c r="H1072" s="3">
        <f t="shared" si="86"/>
        <v>-4.4722448268194596E-2</v>
      </c>
      <c r="I1072" s="3">
        <f t="shared" si="87"/>
        <v>0.81814701830154923</v>
      </c>
      <c r="J1072">
        <v>2.2662965384079814</v>
      </c>
      <c r="K1072">
        <f t="shared" si="88"/>
        <v>0.81814701830154923</v>
      </c>
      <c r="AF1072" s="7">
        <f t="shared" si="89"/>
        <v>2.2662965384079814</v>
      </c>
    </row>
    <row r="1073" spans="1:32">
      <c r="A1073" s="3" t="s">
        <v>91</v>
      </c>
      <c r="B1073" s="3" t="s">
        <v>103</v>
      </c>
      <c r="C1073" s="3" t="s">
        <v>107</v>
      </c>
      <c r="D1073" s="3" t="s">
        <v>75</v>
      </c>
      <c r="E1073" s="3">
        <v>11</v>
      </c>
      <c r="F1073" s="3">
        <v>0.95231214307891798</v>
      </c>
      <c r="G1073" s="3">
        <v>2.2135265979879257</v>
      </c>
      <c r="H1073" s="3">
        <f t="shared" si="86"/>
        <v>-4.8862416546708268E-2</v>
      </c>
      <c r="I1073" s="3">
        <f t="shared" si="87"/>
        <v>0.79458698937624472</v>
      </c>
      <c r="J1073">
        <v>2.2135265979879257</v>
      </c>
      <c r="K1073">
        <f t="shared" si="88"/>
        <v>0.79458698937624472</v>
      </c>
      <c r="AF1073" s="7">
        <f t="shared" si="89"/>
        <v>2.2135265979879257</v>
      </c>
    </row>
    <row r="1074" spans="1:32">
      <c r="A1074" s="3" t="s">
        <v>91</v>
      </c>
      <c r="B1074" s="3" t="s">
        <v>103</v>
      </c>
      <c r="C1074" s="3" t="s">
        <v>107</v>
      </c>
      <c r="D1074" s="3" t="s">
        <v>75</v>
      </c>
      <c r="E1074" s="3">
        <v>12</v>
      </c>
      <c r="F1074" s="3">
        <v>0.95023694449443896</v>
      </c>
      <c r="G1074" s="3">
        <v>2.2214634815814551</v>
      </c>
      <c r="H1074" s="3">
        <f t="shared" si="86"/>
        <v>-5.1043910229060747E-2</v>
      </c>
      <c r="I1074" s="3">
        <f t="shared" si="87"/>
        <v>0.79816620462781007</v>
      </c>
      <c r="J1074">
        <v>2.2214634815814551</v>
      </c>
      <c r="K1074">
        <f t="shared" si="88"/>
        <v>0.79816620462781007</v>
      </c>
      <c r="AF1074" s="7">
        <f t="shared" si="89"/>
        <v>2.2214634815814551</v>
      </c>
    </row>
    <row r="1075" spans="1:32">
      <c r="A1075" s="3" t="s">
        <v>91</v>
      </c>
      <c r="B1075" s="3" t="s">
        <v>103</v>
      </c>
      <c r="C1075" s="3" t="s">
        <v>107</v>
      </c>
      <c r="D1075" s="3" t="s">
        <v>75</v>
      </c>
      <c r="E1075" s="3">
        <v>13</v>
      </c>
      <c r="F1075" s="3">
        <v>0.96158778156744495</v>
      </c>
      <c r="G1075" s="3">
        <v>2.2629184695874485</v>
      </c>
      <c r="H1075" s="3">
        <f t="shared" si="86"/>
        <v>-3.9169421638570776E-2</v>
      </c>
      <c r="I1075" s="3">
        <f t="shared" si="87"/>
        <v>0.81665533842282834</v>
      </c>
      <c r="J1075">
        <v>2.2629184695874485</v>
      </c>
      <c r="K1075">
        <f t="shared" si="88"/>
        <v>0.81665533842282834</v>
      </c>
      <c r="AF1075" s="7">
        <f t="shared" si="89"/>
        <v>2.2629184695874485</v>
      </c>
    </row>
    <row r="1076" spans="1:32">
      <c r="A1076" s="3" t="s">
        <v>91</v>
      </c>
      <c r="B1076" s="3" t="s">
        <v>103</v>
      </c>
      <c r="C1076" s="3" t="s">
        <v>107</v>
      </c>
      <c r="D1076" s="3" t="s">
        <v>75</v>
      </c>
      <c r="E1076" s="3">
        <v>14</v>
      </c>
      <c r="F1076" s="3">
        <v>0.95728524872293397</v>
      </c>
      <c r="G1076" s="3">
        <v>2.2214634815814551</v>
      </c>
      <c r="H1076" s="3">
        <f t="shared" si="86"/>
        <v>-4.3653866400685352E-2</v>
      </c>
      <c r="I1076" s="3">
        <f t="shared" si="87"/>
        <v>0.79816620462781007</v>
      </c>
      <c r="J1076">
        <v>2.2214634815814551</v>
      </c>
      <c r="K1076">
        <f t="shared" si="88"/>
        <v>0.79816620462781007</v>
      </c>
      <c r="AF1076" s="7">
        <f t="shared" si="89"/>
        <v>2.2214634815814551</v>
      </c>
    </row>
    <row r="1077" spans="1:32">
      <c r="A1077" s="3" t="s">
        <v>91</v>
      </c>
      <c r="B1077" s="3" t="s">
        <v>103</v>
      </c>
      <c r="C1077" s="3" t="s">
        <v>107</v>
      </c>
      <c r="D1077" s="3" t="s">
        <v>75</v>
      </c>
      <c r="E1077" s="3">
        <v>15</v>
      </c>
      <c r="F1077" s="3">
        <v>0.95700510317202203</v>
      </c>
      <c r="G1077" s="3">
        <v>2.2748186740925087</v>
      </c>
      <c r="H1077" s="3">
        <f t="shared" si="86"/>
        <v>-4.3946555075247758E-2</v>
      </c>
      <c r="I1077" s="3">
        <f t="shared" si="87"/>
        <v>0.82190034553080482</v>
      </c>
      <c r="J1077">
        <v>2.2748186740925087</v>
      </c>
      <c r="K1077">
        <f t="shared" si="88"/>
        <v>0.82190034553080482</v>
      </c>
      <c r="AF1077" s="7">
        <f t="shared" si="89"/>
        <v>2.2748186740925087</v>
      </c>
    </row>
    <row r="1078" spans="1:32">
      <c r="A1078" s="3" t="s">
        <v>91</v>
      </c>
      <c r="B1078" s="3" t="s">
        <v>103</v>
      </c>
      <c r="C1078" s="3" t="s">
        <v>107</v>
      </c>
      <c r="D1078" s="3" t="s">
        <v>75</v>
      </c>
      <c r="E1078" s="3">
        <v>16</v>
      </c>
      <c r="F1078" s="3">
        <v>0.95803680567497795</v>
      </c>
      <c r="G1078" s="3">
        <v>2.2280035906613795</v>
      </c>
      <c r="H1078" s="3">
        <f t="shared" si="86"/>
        <v>-4.2869082464332658E-2</v>
      </c>
      <c r="I1078" s="3">
        <f t="shared" si="87"/>
        <v>0.80110593367118044</v>
      </c>
      <c r="J1078">
        <v>2.2280035906613795</v>
      </c>
      <c r="K1078">
        <f t="shared" si="88"/>
        <v>0.80110593367118044</v>
      </c>
      <c r="AF1078" s="7">
        <f t="shared" si="89"/>
        <v>2.2280035906613795</v>
      </c>
    </row>
    <row r="1079" spans="1:32">
      <c r="A1079" s="3" t="s">
        <v>91</v>
      </c>
      <c r="B1079" s="3" t="s">
        <v>103</v>
      </c>
      <c r="C1079" s="3" t="s">
        <v>107</v>
      </c>
      <c r="D1079" s="3" t="s">
        <v>75</v>
      </c>
      <c r="E1079" s="3">
        <v>17</v>
      </c>
      <c r="F1079" s="3">
        <v>0.94811271689288301</v>
      </c>
      <c r="G1079" s="3">
        <v>2.2257582977493309</v>
      </c>
      <c r="H1079" s="3">
        <f t="shared" si="86"/>
        <v>-5.3281884119084549E-2</v>
      </c>
      <c r="I1079" s="3">
        <f t="shared" si="87"/>
        <v>0.80009766553358386</v>
      </c>
      <c r="J1079">
        <v>2.2257582977493309</v>
      </c>
      <c r="K1079">
        <f t="shared" si="88"/>
        <v>0.80009766553358386</v>
      </c>
      <c r="AF1079" s="7">
        <f t="shared" si="89"/>
        <v>2.2257582977493309</v>
      </c>
    </row>
    <row r="1080" spans="1:32">
      <c r="A1080" s="3" t="s">
        <v>91</v>
      </c>
      <c r="B1080" s="3" t="s">
        <v>103</v>
      </c>
      <c r="C1080" s="3" t="s">
        <v>107</v>
      </c>
      <c r="D1080" s="3" t="s">
        <v>75</v>
      </c>
      <c r="E1080" s="3">
        <v>18</v>
      </c>
      <c r="F1080" s="3">
        <v>0.96074250828338303</v>
      </c>
      <c r="G1080" s="3">
        <v>2.2022942582679548</v>
      </c>
      <c r="H1080" s="3">
        <f t="shared" si="86"/>
        <v>-4.0048847347047375E-2</v>
      </c>
      <c r="I1080" s="3">
        <f t="shared" si="87"/>
        <v>0.78949966164676677</v>
      </c>
      <c r="J1080">
        <v>2.2022942582679548</v>
      </c>
      <c r="K1080">
        <f t="shared" si="88"/>
        <v>0.78949966164676677</v>
      </c>
      <c r="AF1080" s="7">
        <f t="shared" si="89"/>
        <v>2.2022942582679548</v>
      </c>
    </row>
    <row r="1081" spans="1:32">
      <c r="A1081" s="3" t="s">
        <v>91</v>
      </c>
      <c r="B1081" s="3" t="s">
        <v>103</v>
      </c>
      <c r="C1081" s="3" t="s">
        <v>107</v>
      </c>
      <c r="D1081" s="3" t="s">
        <v>75</v>
      </c>
      <c r="E1081" s="3">
        <v>19</v>
      </c>
      <c r="F1081" s="3">
        <v>0.96068248375632503</v>
      </c>
      <c r="G1081" s="3">
        <v>2.2418073066166948</v>
      </c>
      <c r="H1081" s="3">
        <f t="shared" si="86"/>
        <v>-4.0111326525080558E-2</v>
      </c>
      <c r="I1081" s="3">
        <f t="shared" si="87"/>
        <v>0.80728237386294865</v>
      </c>
      <c r="J1081">
        <v>2.2418073066166948</v>
      </c>
      <c r="K1081">
        <f t="shared" si="88"/>
        <v>0.80728237386294865</v>
      </c>
      <c r="AF1081" s="7">
        <f t="shared" si="89"/>
        <v>2.2418073066166948</v>
      </c>
    </row>
    <row r="1082" spans="1:32">
      <c r="A1082" s="3" t="s">
        <v>91</v>
      </c>
      <c r="B1082" s="3" t="s">
        <v>103</v>
      </c>
      <c r="C1082" s="3" t="s">
        <v>107</v>
      </c>
      <c r="D1082" s="3" t="s">
        <v>75</v>
      </c>
      <c r="E1082" s="3">
        <v>20</v>
      </c>
      <c r="F1082" s="3">
        <v>0.97022777991436604</v>
      </c>
      <c r="G1082" s="3">
        <v>2.2510886255321005</v>
      </c>
      <c r="H1082" s="3">
        <f t="shared" si="86"/>
        <v>-3.0224410397716475E-2</v>
      </c>
      <c r="I1082" s="3">
        <f t="shared" si="87"/>
        <v>0.81141393277643026</v>
      </c>
      <c r="J1082">
        <v>2.2510886255321005</v>
      </c>
      <c r="K1082">
        <f t="shared" si="88"/>
        <v>0.81141393277643026</v>
      </c>
      <c r="AF1082" s="7">
        <f t="shared" si="89"/>
        <v>2.2510886255321005</v>
      </c>
    </row>
    <row r="1083" spans="1:32">
      <c r="A1083" s="3" t="s">
        <v>91</v>
      </c>
      <c r="B1083" s="3" t="s">
        <v>103</v>
      </c>
      <c r="C1083" s="3" t="s">
        <v>107</v>
      </c>
      <c r="D1083" s="3" t="s">
        <v>75</v>
      </c>
      <c r="E1083" s="3">
        <v>21</v>
      </c>
      <c r="F1083" s="3">
        <v>0.96720456562386503</v>
      </c>
      <c r="G1083" s="3">
        <v>2.3108656386730928</v>
      </c>
      <c r="H1083" s="3">
        <f t="shared" si="86"/>
        <v>-3.3345259237913566E-2</v>
      </c>
      <c r="I1083" s="3">
        <f t="shared" si="87"/>
        <v>0.83762218969426172</v>
      </c>
      <c r="J1083">
        <v>2.3108656386730928</v>
      </c>
      <c r="K1083">
        <f t="shared" si="88"/>
        <v>0.83762218969426172</v>
      </c>
      <c r="AF1083" s="7">
        <f t="shared" si="89"/>
        <v>2.3108656386730928</v>
      </c>
    </row>
    <row r="1084" spans="1:32">
      <c r="A1084" s="3" t="s">
        <v>91</v>
      </c>
      <c r="B1084" s="3" t="s">
        <v>103</v>
      </c>
      <c r="C1084" s="3" t="s">
        <v>107</v>
      </c>
      <c r="D1084" s="3" t="s">
        <v>75</v>
      </c>
      <c r="E1084" s="3">
        <v>22</v>
      </c>
      <c r="F1084" s="3">
        <v>0.93704185346398605</v>
      </c>
      <c r="G1084" s="3">
        <v>2.2610838109190028</v>
      </c>
      <c r="H1084" s="3">
        <f t="shared" si="86"/>
        <v>-6.5027330223684218E-2</v>
      </c>
      <c r="I1084" s="3">
        <f t="shared" si="87"/>
        <v>0.81584426068446014</v>
      </c>
      <c r="J1084">
        <v>2.2610838109190028</v>
      </c>
      <c r="K1084">
        <f t="shared" si="88"/>
        <v>0.81584426068446014</v>
      </c>
      <c r="AF1084" s="7">
        <f t="shared" si="89"/>
        <v>2.2610838109190028</v>
      </c>
    </row>
    <row r="1085" spans="1:32">
      <c r="A1085" s="3" t="s">
        <v>91</v>
      </c>
      <c r="B1085" s="3" t="s">
        <v>104</v>
      </c>
      <c r="C1085" s="3" t="s">
        <v>107</v>
      </c>
      <c r="D1085" s="3" t="s">
        <v>79</v>
      </c>
      <c r="E1085" s="3">
        <v>1</v>
      </c>
      <c r="F1085" s="3">
        <v>0.81207450500300504</v>
      </c>
      <c r="G1085" s="3">
        <v>2.2227910383119687</v>
      </c>
      <c r="H1085" s="3">
        <f t="shared" si="86"/>
        <v>-0.20816318809987602</v>
      </c>
      <c r="I1085" s="3">
        <f t="shared" si="87"/>
        <v>0.79876363070413259</v>
      </c>
      <c r="N1085">
        <f t="shared" ref="N1085:N1130" si="90">LN(F1085)</f>
        <v>-0.20816318809987602</v>
      </c>
      <c r="O1085">
        <f t="shared" ref="O1085:O1130" si="91">LN(P1085)</f>
        <v>0.79876363070413259</v>
      </c>
      <c r="P1085">
        <v>2.2227910383119687</v>
      </c>
      <c r="T1085">
        <f t="shared" ref="T1085:T1148" si="92">F1085</f>
        <v>0.81207450500300504</v>
      </c>
      <c r="AD1085" s="7">
        <v>2.2227910383119687</v>
      </c>
    </row>
    <row r="1086" spans="1:32">
      <c r="A1086" s="3" t="s">
        <v>91</v>
      </c>
      <c r="B1086" s="3" t="s">
        <v>104</v>
      </c>
      <c r="C1086" s="3" t="s">
        <v>107</v>
      </c>
      <c r="D1086" s="3" t="s">
        <v>79</v>
      </c>
      <c r="E1086" s="3">
        <v>2</v>
      </c>
      <c r="F1086" s="3">
        <v>0.79533669483325198</v>
      </c>
      <c r="G1086" s="3">
        <v>2.2624102192131295</v>
      </c>
      <c r="H1086" s="3">
        <f t="shared" si="86"/>
        <v>-0.22898973847166246</v>
      </c>
      <c r="I1086" s="3">
        <f t="shared" si="87"/>
        <v>0.81643071368884423</v>
      </c>
      <c r="N1086">
        <f t="shared" si="90"/>
        <v>-0.22898973847166246</v>
      </c>
      <c r="O1086">
        <f t="shared" si="91"/>
        <v>0.81643071368884423</v>
      </c>
      <c r="P1086">
        <v>2.2624102192131295</v>
      </c>
      <c r="T1086">
        <f t="shared" si="92"/>
        <v>0.79533669483325198</v>
      </c>
      <c r="AD1086" s="7">
        <v>2.2624102192131295</v>
      </c>
    </row>
    <row r="1087" spans="1:32">
      <c r="A1087" s="3" t="s">
        <v>91</v>
      </c>
      <c r="B1087" s="3" t="s">
        <v>104</v>
      </c>
      <c r="C1087" s="3" t="s">
        <v>107</v>
      </c>
      <c r="D1087" s="3" t="s">
        <v>79</v>
      </c>
      <c r="E1087" s="3">
        <v>3</v>
      </c>
      <c r="F1087" s="3">
        <v>0.83750567743092996</v>
      </c>
      <c r="G1087" s="3">
        <v>2.2587828580897278</v>
      </c>
      <c r="H1087" s="3">
        <f t="shared" si="86"/>
        <v>-0.17732723628388708</v>
      </c>
      <c r="I1087" s="3">
        <f t="shared" si="87"/>
        <v>0.81482610984217008</v>
      </c>
      <c r="N1087">
        <f t="shared" si="90"/>
        <v>-0.17732723628388708</v>
      </c>
      <c r="O1087">
        <f t="shared" si="91"/>
        <v>0.81482610984217008</v>
      </c>
      <c r="P1087">
        <v>2.2587828580897278</v>
      </c>
      <c r="T1087">
        <f t="shared" si="92"/>
        <v>0.83750567743092996</v>
      </c>
      <c r="AD1087" s="7">
        <v>2.2587828580897278</v>
      </c>
    </row>
    <row r="1088" spans="1:32">
      <c r="A1088" s="3" t="s">
        <v>91</v>
      </c>
      <c r="B1088" s="3" t="s">
        <v>104</v>
      </c>
      <c r="C1088" s="3" t="s">
        <v>107</v>
      </c>
      <c r="D1088" s="3" t="s">
        <v>79</v>
      </c>
      <c r="E1088" s="3">
        <v>4</v>
      </c>
      <c r="F1088" s="3">
        <v>0.85256752419461901</v>
      </c>
      <c r="G1088" s="3">
        <v>2.2316137658654109</v>
      </c>
      <c r="H1088" s="3">
        <f t="shared" si="86"/>
        <v>-0.15950286569477984</v>
      </c>
      <c r="I1088" s="3">
        <f t="shared" si="87"/>
        <v>0.80272498557812</v>
      </c>
      <c r="N1088">
        <f t="shared" si="90"/>
        <v>-0.15950286569477984</v>
      </c>
      <c r="O1088">
        <f t="shared" si="91"/>
        <v>0.80272498557812</v>
      </c>
      <c r="P1088">
        <v>2.2316137658654109</v>
      </c>
      <c r="T1088">
        <f t="shared" si="92"/>
        <v>0.85256752419461901</v>
      </c>
      <c r="AD1088" s="7">
        <v>2.2316137658654109</v>
      </c>
    </row>
    <row r="1089" spans="1:30">
      <c r="A1089" s="3" t="s">
        <v>91</v>
      </c>
      <c r="B1089" s="3" t="s">
        <v>104</v>
      </c>
      <c r="C1089" s="3" t="s">
        <v>107</v>
      </c>
      <c r="D1089" s="3" t="s">
        <v>79</v>
      </c>
      <c r="E1089" s="3">
        <v>5</v>
      </c>
      <c r="F1089" s="3">
        <v>0.842739935145282</v>
      </c>
      <c r="G1089" s="3">
        <v>2.3157288269570766</v>
      </c>
      <c r="H1089" s="3">
        <f t="shared" si="86"/>
        <v>-0.17109686781050043</v>
      </c>
      <c r="I1089" s="3">
        <f t="shared" si="87"/>
        <v>0.83972446604945539</v>
      </c>
      <c r="N1089">
        <f t="shared" si="90"/>
        <v>-0.17109686781050043</v>
      </c>
      <c r="O1089">
        <f t="shared" si="91"/>
        <v>0.83972446604945539</v>
      </c>
      <c r="P1089">
        <v>2.3157288269570766</v>
      </c>
      <c r="T1089">
        <f t="shared" si="92"/>
        <v>0.842739935145282</v>
      </c>
      <c r="AD1089" s="7">
        <v>2.3157288269570766</v>
      </c>
    </row>
    <row r="1090" spans="1:30">
      <c r="A1090" s="3" t="s">
        <v>91</v>
      </c>
      <c r="B1090" s="3" t="s">
        <v>104</v>
      </c>
      <c r="C1090" s="3" t="s">
        <v>107</v>
      </c>
      <c r="D1090" s="3" t="s">
        <v>79</v>
      </c>
      <c r="E1090" s="3">
        <v>6</v>
      </c>
      <c r="F1090" s="3">
        <v>0.83936712261967095</v>
      </c>
      <c r="G1090" s="3">
        <v>2.240089283934906</v>
      </c>
      <c r="H1090" s="3">
        <f t="shared" ref="H1090:H1153" si="93">LN(F1090)</f>
        <v>-0.17510709656514811</v>
      </c>
      <c r="I1090" s="3">
        <f t="shared" ref="I1090:I1153" si="94">LN(G1090)</f>
        <v>0.80651572397211524</v>
      </c>
      <c r="N1090">
        <f t="shared" si="90"/>
        <v>-0.17510709656514811</v>
      </c>
      <c r="O1090">
        <f t="shared" si="91"/>
        <v>0.80651572397211524</v>
      </c>
      <c r="P1090">
        <v>2.240089283934906</v>
      </c>
      <c r="T1090">
        <f t="shared" si="92"/>
        <v>0.83936712261967095</v>
      </c>
      <c r="AD1090" s="7">
        <v>2.240089283934906</v>
      </c>
    </row>
    <row r="1091" spans="1:30">
      <c r="A1091" s="3" t="s">
        <v>91</v>
      </c>
      <c r="B1091" s="3" t="s">
        <v>104</v>
      </c>
      <c r="C1091" s="3" t="s">
        <v>107</v>
      </c>
      <c r="D1091" s="3" t="s">
        <v>79</v>
      </c>
      <c r="E1091" s="3">
        <v>7</v>
      </c>
      <c r="F1091" s="3">
        <v>0.82817070728737296</v>
      </c>
      <c r="G1091" s="3">
        <v>2.3256181973832248</v>
      </c>
      <c r="H1091" s="3">
        <f t="shared" si="93"/>
        <v>-0.18853597762515956</v>
      </c>
      <c r="I1091" s="3">
        <f t="shared" si="94"/>
        <v>0.8439858950441036</v>
      </c>
      <c r="N1091">
        <f t="shared" si="90"/>
        <v>-0.18853597762515956</v>
      </c>
      <c r="O1091">
        <f t="shared" si="91"/>
        <v>0.8439858950441036</v>
      </c>
      <c r="P1091">
        <v>2.3256181973832248</v>
      </c>
      <c r="T1091">
        <f t="shared" si="92"/>
        <v>0.82817070728737296</v>
      </c>
      <c r="AD1091" s="7">
        <v>2.3256181973832248</v>
      </c>
    </row>
    <row r="1092" spans="1:30">
      <c r="A1092" s="3" t="s">
        <v>91</v>
      </c>
      <c r="B1092" s="3" t="s">
        <v>104</v>
      </c>
      <c r="C1092" s="3" t="s">
        <v>107</v>
      </c>
      <c r="D1092" s="3" t="s">
        <v>79</v>
      </c>
      <c r="E1092" s="3">
        <v>9</v>
      </c>
      <c r="F1092" s="3">
        <v>0.85484438912184402</v>
      </c>
      <c r="G1092" s="3">
        <v>2.2537524265100637</v>
      </c>
      <c r="H1092" s="3">
        <f t="shared" si="93"/>
        <v>-0.15683582763665663</v>
      </c>
      <c r="I1092" s="3">
        <f t="shared" si="94"/>
        <v>0.81259657218930337</v>
      </c>
      <c r="N1092">
        <f t="shared" si="90"/>
        <v>-0.15683582763665663</v>
      </c>
      <c r="O1092">
        <f t="shared" si="91"/>
        <v>0.81259657218930337</v>
      </c>
      <c r="P1092">
        <v>2.2537524265100637</v>
      </c>
      <c r="T1092">
        <f t="shared" si="92"/>
        <v>0.85484438912184402</v>
      </c>
      <c r="AD1092" s="7">
        <v>2.2537524265100637</v>
      </c>
    </row>
    <row r="1093" spans="1:30">
      <c r="A1093" s="3" t="s">
        <v>91</v>
      </c>
      <c r="B1093" s="3" t="s">
        <v>104</v>
      </c>
      <c r="C1093" s="3" t="s">
        <v>107</v>
      </c>
      <c r="D1093" s="3" t="s">
        <v>79</v>
      </c>
      <c r="E1093" s="3">
        <v>10</v>
      </c>
      <c r="F1093" s="3">
        <v>0.84282368235928196</v>
      </c>
      <c r="G1093" s="3">
        <v>2.295778734982969</v>
      </c>
      <c r="H1093" s="3">
        <f t="shared" si="93"/>
        <v>-0.17099749782742873</v>
      </c>
      <c r="I1093" s="3">
        <f t="shared" si="94"/>
        <v>0.83107210403251741</v>
      </c>
      <c r="N1093">
        <f t="shared" si="90"/>
        <v>-0.17099749782742873</v>
      </c>
      <c r="O1093">
        <f t="shared" si="91"/>
        <v>0.83107210403251741</v>
      </c>
      <c r="P1093">
        <v>2.295778734982969</v>
      </c>
      <c r="T1093">
        <f t="shared" si="92"/>
        <v>0.84282368235928196</v>
      </c>
      <c r="AD1093" s="7">
        <v>2.295778734982969</v>
      </c>
    </row>
    <row r="1094" spans="1:30">
      <c r="A1094" s="3" t="s">
        <v>91</v>
      </c>
      <c r="B1094" s="3" t="s">
        <v>104</v>
      </c>
      <c r="C1094" s="3" t="s">
        <v>107</v>
      </c>
      <c r="D1094" s="3" t="s">
        <v>79</v>
      </c>
      <c r="E1094" s="3">
        <v>11</v>
      </c>
      <c r="F1094" s="3">
        <v>0.83690324448807996</v>
      </c>
      <c r="G1094" s="3">
        <v>2.2155134844996995</v>
      </c>
      <c r="H1094" s="3">
        <f t="shared" si="93"/>
        <v>-0.1780468131578016</v>
      </c>
      <c r="I1094" s="3">
        <f t="shared" si="94"/>
        <v>0.79548419807521953</v>
      </c>
      <c r="N1094">
        <f t="shared" si="90"/>
        <v>-0.1780468131578016</v>
      </c>
      <c r="O1094">
        <f t="shared" si="91"/>
        <v>0.79548419807521953</v>
      </c>
      <c r="P1094">
        <v>2.2155134844996995</v>
      </c>
      <c r="T1094">
        <f t="shared" si="92"/>
        <v>0.83690324448807996</v>
      </c>
      <c r="AD1094" s="7">
        <v>2.2155134844996995</v>
      </c>
    </row>
    <row r="1095" spans="1:30">
      <c r="A1095" s="3" t="s">
        <v>91</v>
      </c>
      <c r="B1095" s="3" t="s">
        <v>104</v>
      </c>
      <c r="C1095" s="3" t="s">
        <v>107</v>
      </c>
      <c r="D1095" s="3" t="s">
        <v>79</v>
      </c>
      <c r="E1095" s="3">
        <v>12</v>
      </c>
      <c r="F1095" s="3">
        <v>0.84386099673104598</v>
      </c>
      <c r="G1095" s="3">
        <v>2.3343735776434755</v>
      </c>
      <c r="H1095" s="3">
        <f t="shared" si="93"/>
        <v>-0.16976749376632141</v>
      </c>
      <c r="I1095" s="3">
        <f t="shared" si="94"/>
        <v>0.8477435800295049</v>
      </c>
      <c r="N1095">
        <f t="shared" si="90"/>
        <v>-0.16976749376632141</v>
      </c>
      <c r="O1095">
        <f t="shared" si="91"/>
        <v>0.8477435800295049</v>
      </c>
      <c r="P1095">
        <v>2.3343735776434755</v>
      </c>
      <c r="T1095">
        <f t="shared" si="92"/>
        <v>0.84386099673104598</v>
      </c>
      <c r="AD1095" s="7">
        <v>2.3343735776434755</v>
      </c>
    </row>
    <row r="1096" spans="1:30">
      <c r="A1096" s="3" t="s">
        <v>91</v>
      </c>
      <c r="B1096" s="3" t="s">
        <v>104</v>
      </c>
      <c r="C1096" s="3" t="s">
        <v>107</v>
      </c>
      <c r="D1096" s="3" t="s">
        <v>79</v>
      </c>
      <c r="E1096" s="3">
        <v>13</v>
      </c>
      <c r="F1096" s="3">
        <v>0.83736756133286805</v>
      </c>
      <c r="G1096" s="3">
        <v>2.2897379762758883</v>
      </c>
      <c r="H1096" s="3">
        <f t="shared" si="93"/>
        <v>-0.17749216350963576</v>
      </c>
      <c r="I1096" s="3">
        <f t="shared" si="94"/>
        <v>0.82843739017936113</v>
      </c>
      <c r="N1096">
        <f t="shared" si="90"/>
        <v>-0.17749216350963576</v>
      </c>
      <c r="O1096">
        <f t="shared" si="91"/>
        <v>0.82843739017936113</v>
      </c>
      <c r="P1096">
        <v>2.2897379762758883</v>
      </c>
      <c r="T1096">
        <f t="shared" si="92"/>
        <v>0.83736756133286805</v>
      </c>
      <c r="AD1096" s="7">
        <v>2.2897379762758883</v>
      </c>
    </row>
    <row r="1097" spans="1:30">
      <c r="A1097" s="3" t="s">
        <v>91</v>
      </c>
      <c r="B1097" s="3" t="s">
        <v>104</v>
      </c>
      <c r="C1097" s="3" t="s">
        <v>107</v>
      </c>
      <c r="D1097" s="3" t="s">
        <v>79</v>
      </c>
      <c r="E1097" s="3">
        <v>14</v>
      </c>
      <c r="F1097" s="3">
        <v>0.85511827025195997</v>
      </c>
      <c r="G1097" s="3">
        <v>2.26503863101714</v>
      </c>
      <c r="H1097" s="3">
        <f t="shared" si="93"/>
        <v>-0.15651549183171187</v>
      </c>
      <c r="I1097" s="3">
        <f t="shared" si="94"/>
        <v>0.81759181442625806</v>
      </c>
      <c r="N1097">
        <f t="shared" si="90"/>
        <v>-0.15651549183171187</v>
      </c>
      <c r="O1097">
        <f t="shared" si="91"/>
        <v>0.81759181442625806</v>
      </c>
      <c r="P1097">
        <v>2.26503863101714</v>
      </c>
      <c r="T1097">
        <f t="shared" si="92"/>
        <v>0.85511827025195997</v>
      </c>
      <c r="AD1097" s="7">
        <v>2.26503863101714</v>
      </c>
    </row>
    <row r="1098" spans="1:30">
      <c r="A1098" s="3" t="s">
        <v>91</v>
      </c>
      <c r="B1098" s="3" t="s">
        <v>104</v>
      </c>
      <c r="C1098" s="3" t="s">
        <v>107</v>
      </c>
      <c r="D1098" s="3" t="s">
        <v>79</v>
      </c>
      <c r="E1098" s="3">
        <v>15</v>
      </c>
      <c r="F1098" s="3">
        <v>0.84033992492782394</v>
      </c>
      <c r="G1098" s="3">
        <v>2.2737853900489378</v>
      </c>
      <c r="H1098" s="3">
        <f t="shared" si="93"/>
        <v>-0.17394879646950054</v>
      </c>
      <c r="I1098" s="3">
        <f t="shared" si="94"/>
        <v>0.82144601534652228</v>
      </c>
      <c r="N1098">
        <f t="shared" si="90"/>
        <v>-0.17394879646950054</v>
      </c>
      <c r="O1098">
        <f t="shared" si="91"/>
        <v>0.82144601534652228</v>
      </c>
      <c r="P1098">
        <v>2.2737853900489378</v>
      </c>
      <c r="T1098">
        <f t="shared" si="92"/>
        <v>0.84033992492782394</v>
      </c>
      <c r="AD1098" s="7">
        <v>2.2737853900489378</v>
      </c>
    </row>
    <row r="1099" spans="1:30">
      <c r="A1099" s="3" t="s">
        <v>91</v>
      </c>
      <c r="B1099" s="3" t="s">
        <v>104</v>
      </c>
      <c r="C1099" s="3" t="s">
        <v>107</v>
      </c>
      <c r="D1099" s="3" t="s">
        <v>79</v>
      </c>
      <c r="E1099" s="3">
        <v>16</v>
      </c>
      <c r="F1099" s="3">
        <v>0.84806806228369203</v>
      </c>
      <c r="G1099" s="3">
        <v>2.2724656213021133</v>
      </c>
      <c r="H1099" s="3">
        <f t="shared" si="93"/>
        <v>-0.16479438428407084</v>
      </c>
      <c r="I1099" s="3">
        <f t="shared" si="94"/>
        <v>0.82086541881518127</v>
      </c>
      <c r="N1099">
        <f t="shared" si="90"/>
        <v>-0.16479438428407084</v>
      </c>
      <c r="O1099">
        <f t="shared" si="91"/>
        <v>0.82086541881518127</v>
      </c>
      <c r="P1099">
        <v>2.2724656213021133</v>
      </c>
      <c r="T1099">
        <f t="shared" si="92"/>
        <v>0.84806806228369203</v>
      </c>
      <c r="AD1099" s="7">
        <v>2.2724656213021133</v>
      </c>
    </row>
    <row r="1100" spans="1:30">
      <c r="A1100" s="3" t="s">
        <v>91</v>
      </c>
      <c r="B1100" s="3" t="s">
        <v>104</v>
      </c>
      <c r="C1100" s="3" t="s">
        <v>107</v>
      </c>
      <c r="D1100" s="3" t="s">
        <v>79</v>
      </c>
      <c r="E1100" s="3">
        <v>17</v>
      </c>
      <c r="F1100" s="3">
        <v>0.81259700536457602</v>
      </c>
      <c r="G1100" s="3">
        <v>2.2316137658654109</v>
      </c>
      <c r="H1100" s="3">
        <f t="shared" si="93"/>
        <v>-0.20751998068686903</v>
      </c>
      <c r="I1100" s="3">
        <f t="shared" si="94"/>
        <v>0.80272498557812</v>
      </c>
      <c r="N1100">
        <f t="shared" si="90"/>
        <v>-0.20751998068686903</v>
      </c>
      <c r="O1100">
        <f t="shared" si="91"/>
        <v>0.80272498557812</v>
      </c>
      <c r="P1100">
        <v>2.2316137658654109</v>
      </c>
      <c r="T1100">
        <f t="shared" si="92"/>
        <v>0.81259700536457602</v>
      </c>
      <c r="AD1100" s="7">
        <v>2.2316137658654109</v>
      </c>
    </row>
    <row r="1101" spans="1:30">
      <c r="A1101" s="3" t="s">
        <v>91</v>
      </c>
      <c r="B1101" s="3" t="s">
        <v>104</v>
      </c>
      <c r="C1101" s="3" t="s">
        <v>107</v>
      </c>
      <c r="D1101" s="3" t="s">
        <v>79</v>
      </c>
      <c r="E1101" s="3">
        <v>18</v>
      </c>
      <c r="F1101" s="3">
        <v>0.79373961681846705</v>
      </c>
      <c r="G1101" s="3">
        <v>2.2226560687609767</v>
      </c>
      <c r="H1101" s="3">
        <f t="shared" si="93"/>
        <v>-0.23099981003437975</v>
      </c>
      <c r="I1101" s="3">
        <f t="shared" si="94"/>
        <v>0.79870290810513067</v>
      </c>
      <c r="N1101">
        <f t="shared" si="90"/>
        <v>-0.23099981003437975</v>
      </c>
      <c r="O1101">
        <f t="shared" si="91"/>
        <v>0.79870290810513067</v>
      </c>
      <c r="P1101">
        <v>2.2226560687609767</v>
      </c>
      <c r="T1101">
        <f t="shared" si="92"/>
        <v>0.79373961681846705</v>
      </c>
      <c r="AD1101" s="7">
        <v>2.2226560687609767</v>
      </c>
    </row>
    <row r="1102" spans="1:30">
      <c r="A1102" s="3" t="s">
        <v>91</v>
      </c>
      <c r="B1102" s="3" t="s">
        <v>104</v>
      </c>
      <c r="C1102" s="3" t="s">
        <v>107</v>
      </c>
      <c r="D1102" s="3" t="s">
        <v>79</v>
      </c>
      <c r="E1102" s="3">
        <v>19</v>
      </c>
      <c r="F1102" s="3">
        <v>0.81981077364133603</v>
      </c>
      <c r="G1102" s="3">
        <v>2.245551157288562</v>
      </c>
      <c r="H1102" s="3">
        <f t="shared" si="93"/>
        <v>-0.1986817292059421</v>
      </c>
      <c r="I1102" s="3">
        <f t="shared" si="94"/>
        <v>0.80895099542311488</v>
      </c>
      <c r="N1102">
        <f t="shared" si="90"/>
        <v>-0.1986817292059421</v>
      </c>
      <c r="O1102">
        <f t="shared" si="91"/>
        <v>0.80895099542311488</v>
      </c>
      <c r="P1102">
        <v>2.245551157288562</v>
      </c>
      <c r="T1102">
        <f t="shared" si="92"/>
        <v>0.81981077364133603</v>
      </c>
      <c r="AD1102" s="7">
        <v>2.245551157288562</v>
      </c>
    </row>
    <row r="1103" spans="1:30">
      <c r="A1103" s="3" t="s">
        <v>91</v>
      </c>
      <c r="B1103" s="3" t="s">
        <v>104</v>
      </c>
      <c r="C1103" s="3" t="s">
        <v>107</v>
      </c>
      <c r="D1103" s="3" t="s">
        <v>79</v>
      </c>
      <c r="E1103" s="3">
        <v>20</v>
      </c>
      <c r="F1103" s="3">
        <v>0.85451072849370902</v>
      </c>
      <c r="G1103" s="3">
        <v>2.3706539182259396</v>
      </c>
      <c r="H1103" s="3">
        <f t="shared" si="93"/>
        <v>-0.15722622121717619</v>
      </c>
      <c r="I1103" s="3">
        <f t="shared" si="94"/>
        <v>0.86316583195279983</v>
      </c>
      <c r="N1103">
        <f t="shared" si="90"/>
        <v>-0.15722622121717619</v>
      </c>
      <c r="O1103">
        <f t="shared" si="91"/>
        <v>0.86316583195279983</v>
      </c>
      <c r="P1103">
        <v>2.3706539182259396</v>
      </c>
      <c r="T1103">
        <f t="shared" si="92"/>
        <v>0.85451072849370902</v>
      </c>
      <c r="AD1103" s="7">
        <v>2.3706539182259396</v>
      </c>
    </row>
    <row r="1104" spans="1:30">
      <c r="A1104" s="3" t="s">
        <v>91</v>
      </c>
      <c r="B1104" s="3" t="s">
        <v>104</v>
      </c>
      <c r="C1104" s="3" t="s">
        <v>107</v>
      </c>
      <c r="D1104" s="3" t="s">
        <v>79</v>
      </c>
      <c r="E1104" s="3">
        <v>21</v>
      </c>
      <c r="F1104" s="3">
        <v>0.85336970180413396</v>
      </c>
      <c r="G1104" s="3">
        <v>2.3132660893204657</v>
      </c>
      <c r="H1104" s="3">
        <f t="shared" si="93"/>
        <v>-0.15856241178309574</v>
      </c>
      <c r="I1104" s="3">
        <f t="shared" si="94"/>
        <v>0.8386604174110307</v>
      </c>
      <c r="N1104">
        <f t="shared" si="90"/>
        <v>-0.15856241178309574</v>
      </c>
      <c r="O1104">
        <f t="shared" si="91"/>
        <v>0.8386604174110307</v>
      </c>
      <c r="P1104">
        <v>2.3132660893204657</v>
      </c>
      <c r="T1104">
        <f t="shared" si="92"/>
        <v>0.85336970180413396</v>
      </c>
      <c r="AD1104" s="7">
        <v>2.3132660893204657</v>
      </c>
    </row>
    <row r="1105" spans="1:30">
      <c r="A1105" s="3" t="s">
        <v>91</v>
      </c>
      <c r="B1105" s="3" t="s">
        <v>104</v>
      </c>
      <c r="C1105" s="3" t="s">
        <v>107</v>
      </c>
      <c r="D1105" s="3" t="s">
        <v>79</v>
      </c>
      <c r="E1105" s="3">
        <v>24</v>
      </c>
      <c r="F1105" s="3">
        <v>0.84704173854923603</v>
      </c>
      <c r="G1105" s="3">
        <v>2.2811400658442702</v>
      </c>
      <c r="H1105" s="3">
        <f t="shared" si="93"/>
        <v>-0.16600530744593667</v>
      </c>
      <c r="I1105" s="3">
        <f t="shared" si="94"/>
        <v>0.82467534687263355</v>
      </c>
      <c r="N1105">
        <f t="shared" si="90"/>
        <v>-0.16600530744593667</v>
      </c>
      <c r="O1105">
        <f t="shared" si="91"/>
        <v>0.82467534687263355</v>
      </c>
      <c r="P1105">
        <v>2.2811400658442702</v>
      </c>
      <c r="T1105">
        <f t="shared" si="92"/>
        <v>0.84704173854923603</v>
      </c>
      <c r="AD1105" s="7">
        <v>2.2811400658442702</v>
      </c>
    </row>
    <row r="1106" spans="1:30">
      <c r="A1106" s="3" t="s">
        <v>91</v>
      </c>
      <c r="B1106" s="3" t="s">
        <v>104</v>
      </c>
      <c r="C1106" s="3" t="s">
        <v>107</v>
      </c>
      <c r="D1106" s="3" t="s">
        <v>75</v>
      </c>
      <c r="E1106" s="3">
        <v>1</v>
      </c>
      <c r="F1106" s="3">
        <v>0.84099064833415604</v>
      </c>
      <c r="G1106" s="3">
        <v>2.3122499864850257</v>
      </c>
      <c r="H1106" s="3">
        <f t="shared" si="93"/>
        <v>-0.17317473876880635</v>
      </c>
      <c r="I1106" s="3">
        <f t="shared" si="94"/>
        <v>0.83822107060728723</v>
      </c>
      <c r="N1106">
        <f t="shared" si="90"/>
        <v>-0.17317473876880635</v>
      </c>
      <c r="O1106">
        <f t="shared" si="91"/>
        <v>0.83822107060728723</v>
      </c>
      <c r="P1106">
        <v>2.3122499864850257</v>
      </c>
      <c r="T1106">
        <f t="shared" si="92"/>
        <v>0.84099064833415604</v>
      </c>
      <c r="AD1106" s="7">
        <v>2.3122499864850257</v>
      </c>
    </row>
    <row r="1107" spans="1:30">
      <c r="A1107" s="3" t="s">
        <v>91</v>
      </c>
      <c r="B1107" s="3" t="s">
        <v>104</v>
      </c>
      <c r="C1107" s="3" t="s">
        <v>107</v>
      </c>
      <c r="D1107" s="3" t="s">
        <v>75</v>
      </c>
      <c r="E1107" s="3">
        <v>2</v>
      </c>
      <c r="F1107" s="3">
        <v>0.81927800964901498</v>
      </c>
      <c r="G1107" s="3">
        <v>2.2071927872299693</v>
      </c>
      <c r="H1107" s="3">
        <f t="shared" si="93"/>
        <v>-0.19933180260832795</v>
      </c>
      <c r="I1107" s="3">
        <f t="shared" si="94"/>
        <v>0.79172147607850729</v>
      </c>
      <c r="N1107">
        <f t="shared" si="90"/>
        <v>-0.19933180260832795</v>
      </c>
      <c r="O1107">
        <f t="shared" si="91"/>
        <v>0.79172147607850729</v>
      </c>
      <c r="P1107">
        <v>2.2071927872299693</v>
      </c>
      <c r="T1107">
        <f t="shared" si="92"/>
        <v>0.81927800964901498</v>
      </c>
      <c r="AD1107" s="7">
        <v>2.2071927872299693</v>
      </c>
    </row>
    <row r="1108" spans="1:30">
      <c r="A1108" s="3" t="s">
        <v>91</v>
      </c>
      <c r="B1108" s="3" t="s">
        <v>104</v>
      </c>
      <c r="C1108" s="3" t="s">
        <v>107</v>
      </c>
      <c r="D1108" s="3" t="s">
        <v>75</v>
      </c>
      <c r="E1108" s="3">
        <v>4</v>
      </c>
      <c r="F1108" s="3">
        <v>0.84546368825616502</v>
      </c>
      <c r="G1108" s="3">
        <v>2.2760711763914592</v>
      </c>
      <c r="H1108" s="3">
        <f t="shared" si="93"/>
        <v>-0.16787005863120014</v>
      </c>
      <c r="I1108" s="3">
        <f t="shared" si="94"/>
        <v>0.82245078835483476</v>
      </c>
      <c r="N1108">
        <f t="shared" si="90"/>
        <v>-0.16787005863120014</v>
      </c>
      <c r="O1108">
        <f t="shared" si="91"/>
        <v>0.82245078835483476</v>
      </c>
      <c r="P1108">
        <v>2.2760711763914592</v>
      </c>
      <c r="T1108">
        <f t="shared" si="92"/>
        <v>0.84546368825616502</v>
      </c>
      <c r="AD1108" s="7">
        <v>2.2760711763914592</v>
      </c>
    </row>
    <row r="1109" spans="1:30">
      <c r="A1109" s="3" t="s">
        <v>91</v>
      </c>
      <c r="B1109" s="3" t="s">
        <v>104</v>
      </c>
      <c r="C1109" s="3" t="s">
        <v>107</v>
      </c>
      <c r="D1109" s="3" t="s">
        <v>75</v>
      </c>
      <c r="E1109" s="3">
        <v>5</v>
      </c>
      <c r="F1109" s="3">
        <v>0.80556316206447798</v>
      </c>
      <c r="G1109" s="3">
        <v>2.2588713996153036</v>
      </c>
      <c r="H1109" s="3">
        <f t="shared" si="93"/>
        <v>-0.21621366595141644</v>
      </c>
      <c r="I1109" s="3">
        <f t="shared" si="94"/>
        <v>0.81486530785093148</v>
      </c>
      <c r="N1109">
        <f t="shared" si="90"/>
        <v>-0.21621366595141644</v>
      </c>
      <c r="O1109">
        <f t="shared" si="91"/>
        <v>0.81486530785093148</v>
      </c>
      <c r="P1109">
        <v>2.2588713996153036</v>
      </c>
      <c r="T1109">
        <f t="shared" si="92"/>
        <v>0.80556316206447798</v>
      </c>
      <c r="AD1109" s="7">
        <v>2.2588713996153036</v>
      </c>
    </row>
    <row r="1110" spans="1:30">
      <c r="A1110" s="3" t="s">
        <v>91</v>
      </c>
      <c r="B1110" s="3" t="s">
        <v>104</v>
      </c>
      <c r="C1110" s="3" t="s">
        <v>107</v>
      </c>
      <c r="D1110" s="3" t="s">
        <v>75</v>
      </c>
      <c r="E1110" s="3">
        <v>6</v>
      </c>
      <c r="F1110" s="3">
        <v>0.82045507174343701</v>
      </c>
      <c r="G1110" s="3">
        <v>2.2299103120977759</v>
      </c>
      <c r="H1110" s="3">
        <f t="shared" si="93"/>
        <v>-0.19789612711948681</v>
      </c>
      <c r="I1110" s="3">
        <f t="shared" si="94"/>
        <v>0.80196136587299516</v>
      </c>
      <c r="N1110">
        <f t="shared" si="90"/>
        <v>-0.19789612711948681</v>
      </c>
      <c r="O1110">
        <f t="shared" si="91"/>
        <v>0.80196136587299516</v>
      </c>
      <c r="P1110">
        <v>2.2299103120977759</v>
      </c>
      <c r="T1110">
        <f t="shared" si="92"/>
        <v>0.82045507174343701</v>
      </c>
      <c r="AD1110" s="7">
        <v>2.2299103120977759</v>
      </c>
    </row>
    <row r="1111" spans="1:30">
      <c r="A1111" s="3" t="s">
        <v>91</v>
      </c>
      <c r="B1111" s="3" t="s">
        <v>104</v>
      </c>
      <c r="C1111" s="3" t="s">
        <v>107</v>
      </c>
      <c r="D1111" s="3" t="s">
        <v>75</v>
      </c>
      <c r="E1111" s="3">
        <v>7</v>
      </c>
      <c r="F1111" s="3">
        <v>0.84197648299184402</v>
      </c>
      <c r="G1111" s="3">
        <v>2.2301569451498251</v>
      </c>
      <c r="H1111" s="3">
        <f t="shared" si="93"/>
        <v>-0.17200319506828585</v>
      </c>
      <c r="I1111" s="3">
        <f t="shared" si="94"/>
        <v>0.80207196198649533</v>
      </c>
      <c r="N1111">
        <f t="shared" si="90"/>
        <v>-0.17200319506828585</v>
      </c>
      <c r="O1111">
        <f t="shared" si="91"/>
        <v>0.80207196198649533</v>
      </c>
      <c r="P1111">
        <v>2.2301569451498251</v>
      </c>
      <c r="T1111">
        <f t="shared" si="92"/>
        <v>0.84197648299184402</v>
      </c>
      <c r="AD1111" s="7">
        <v>2.2301569451498251</v>
      </c>
    </row>
    <row r="1112" spans="1:30">
      <c r="A1112" s="3" t="s">
        <v>91</v>
      </c>
      <c r="B1112" s="3" t="s">
        <v>104</v>
      </c>
      <c r="C1112" s="3" t="s">
        <v>107</v>
      </c>
      <c r="D1112" s="3" t="s">
        <v>75</v>
      </c>
      <c r="E1112" s="3">
        <v>8</v>
      </c>
      <c r="F1112" s="3">
        <v>0.83414450644125304</v>
      </c>
      <c r="G1112" s="3">
        <v>2.2219135896789504</v>
      </c>
      <c r="H1112" s="3">
        <f t="shared" si="93"/>
        <v>-0.18134862251853723</v>
      </c>
      <c r="I1112" s="3">
        <f t="shared" si="94"/>
        <v>0.79836880192793391</v>
      </c>
      <c r="N1112">
        <f t="shared" si="90"/>
        <v>-0.18134862251853723</v>
      </c>
      <c r="O1112">
        <f t="shared" si="91"/>
        <v>0.79836880192793391</v>
      </c>
      <c r="P1112">
        <v>2.2219135896789504</v>
      </c>
      <c r="T1112">
        <f t="shared" si="92"/>
        <v>0.83414450644125304</v>
      </c>
      <c r="AD1112" s="7">
        <v>2.2219135896789504</v>
      </c>
    </row>
    <row r="1113" spans="1:30">
      <c r="A1113" s="3" t="s">
        <v>91</v>
      </c>
      <c r="B1113" s="3" t="s">
        <v>104</v>
      </c>
      <c r="C1113" s="3" t="s">
        <v>107</v>
      </c>
      <c r="D1113" s="3" t="s">
        <v>75</v>
      </c>
      <c r="E1113" s="3">
        <v>9</v>
      </c>
      <c r="F1113" s="3">
        <v>0.79663106205338996</v>
      </c>
      <c r="G1113" s="3">
        <v>2.1110187114282053</v>
      </c>
      <c r="H1113" s="3">
        <f t="shared" si="93"/>
        <v>-0.22736361570659935</v>
      </c>
      <c r="I1113" s="3">
        <f t="shared" si="94"/>
        <v>0.74717063260151229</v>
      </c>
      <c r="N1113">
        <f t="shared" si="90"/>
        <v>-0.22736361570659935</v>
      </c>
      <c r="O1113">
        <f t="shared" si="91"/>
        <v>0.74717063260151229</v>
      </c>
      <c r="P1113">
        <v>2.1110187114282053</v>
      </c>
      <c r="T1113">
        <f t="shared" si="92"/>
        <v>0.79663106205338996</v>
      </c>
      <c r="AD1113" s="7">
        <v>2.1110187114282053</v>
      </c>
    </row>
    <row r="1114" spans="1:30">
      <c r="A1114" s="3" t="s">
        <v>91</v>
      </c>
      <c r="B1114" s="3" t="s">
        <v>104</v>
      </c>
      <c r="C1114" s="3" t="s">
        <v>107</v>
      </c>
      <c r="D1114" s="3" t="s">
        <v>75</v>
      </c>
      <c r="E1114" s="3">
        <v>10</v>
      </c>
      <c r="F1114" s="3">
        <v>0.87878278400393794</v>
      </c>
      <c r="G1114" s="3">
        <v>2.3212496634356246</v>
      </c>
      <c r="H1114" s="3">
        <f t="shared" si="93"/>
        <v>-0.12921752900957212</v>
      </c>
      <c r="I1114" s="3">
        <f t="shared" si="94"/>
        <v>0.84210568869203761</v>
      </c>
      <c r="N1114">
        <f t="shared" si="90"/>
        <v>-0.12921752900957212</v>
      </c>
      <c r="O1114">
        <f t="shared" si="91"/>
        <v>0.84210568869203761</v>
      </c>
      <c r="P1114">
        <v>2.3212496634356246</v>
      </c>
      <c r="T1114">
        <f t="shared" si="92"/>
        <v>0.87878278400393794</v>
      </c>
      <c r="AD1114" s="7">
        <v>2.3212496634356246</v>
      </c>
    </row>
    <row r="1115" spans="1:30">
      <c r="A1115" s="3" t="s">
        <v>91</v>
      </c>
      <c r="B1115" s="3" t="s">
        <v>104</v>
      </c>
      <c r="C1115" s="3" t="s">
        <v>107</v>
      </c>
      <c r="D1115" s="3" t="s">
        <v>75</v>
      </c>
      <c r="E1115" s="3">
        <v>11</v>
      </c>
      <c r="F1115" s="3">
        <v>0.81897174884147805</v>
      </c>
      <c r="G1115" s="3">
        <v>2.2896506283710623</v>
      </c>
      <c r="H1115" s="3">
        <f t="shared" si="93"/>
        <v>-0.19970569042307343</v>
      </c>
      <c r="I1115" s="3">
        <f t="shared" si="94"/>
        <v>0.82839924189696901</v>
      </c>
      <c r="N1115">
        <f t="shared" si="90"/>
        <v>-0.19970569042307343</v>
      </c>
      <c r="O1115">
        <f t="shared" si="91"/>
        <v>0.82839924189696901</v>
      </c>
      <c r="P1115">
        <v>2.2896506283710623</v>
      </c>
      <c r="T1115">
        <f t="shared" si="92"/>
        <v>0.81897174884147805</v>
      </c>
      <c r="AD1115" s="7">
        <v>2.2896506283710623</v>
      </c>
    </row>
    <row r="1116" spans="1:30">
      <c r="A1116" s="3" t="s">
        <v>91</v>
      </c>
      <c r="B1116" s="3" t="s">
        <v>104</v>
      </c>
      <c r="C1116" s="3" t="s">
        <v>107</v>
      </c>
      <c r="D1116" s="3" t="s">
        <v>75</v>
      </c>
      <c r="E1116" s="3">
        <v>12</v>
      </c>
      <c r="F1116" s="3">
        <v>0.83906081069776295</v>
      </c>
      <c r="G1116" s="3">
        <v>2.2418296099391672</v>
      </c>
      <c r="H1116" s="3">
        <f t="shared" si="93"/>
        <v>-0.17547209516798148</v>
      </c>
      <c r="I1116" s="3">
        <f t="shared" si="94"/>
        <v>0.80729232262681494</v>
      </c>
      <c r="N1116">
        <f t="shared" si="90"/>
        <v>-0.17547209516798148</v>
      </c>
      <c r="O1116">
        <f t="shared" si="91"/>
        <v>0.80729232262681494</v>
      </c>
      <c r="P1116">
        <v>2.2418296099391672</v>
      </c>
      <c r="T1116">
        <f t="shared" si="92"/>
        <v>0.83906081069776295</v>
      </c>
      <c r="AD1116" s="7">
        <v>2.2418296099391672</v>
      </c>
    </row>
    <row r="1117" spans="1:30">
      <c r="A1117" s="3" t="s">
        <v>91</v>
      </c>
      <c r="B1117" s="3" t="s">
        <v>104</v>
      </c>
      <c r="C1117" s="3" t="s">
        <v>107</v>
      </c>
      <c r="D1117" s="3" t="s">
        <v>75</v>
      </c>
      <c r="E1117" s="3">
        <v>13</v>
      </c>
      <c r="F1117" s="3">
        <v>0.83353933150053905</v>
      </c>
      <c r="G1117" s="3">
        <v>2.2545953073667122</v>
      </c>
      <c r="H1117" s="3">
        <f t="shared" si="93"/>
        <v>-0.18207438954164987</v>
      </c>
      <c r="I1117" s="3">
        <f t="shared" si="94"/>
        <v>0.81297049226655727</v>
      </c>
      <c r="N1117">
        <f t="shared" si="90"/>
        <v>-0.18207438954164987</v>
      </c>
      <c r="O1117">
        <f t="shared" si="91"/>
        <v>0.81297049226655727</v>
      </c>
      <c r="P1117">
        <v>2.2545953073667122</v>
      </c>
      <c r="T1117">
        <f t="shared" si="92"/>
        <v>0.83353933150053905</v>
      </c>
      <c r="AD1117" s="7">
        <v>2.2545953073667122</v>
      </c>
    </row>
    <row r="1118" spans="1:30">
      <c r="A1118" s="3" t="s">
        <v>91</v>
      </c>
      <c r="B1118" s="3" t="s">
        <v>104</v>
      </c>
      <c r="C1118" s="3" t="s">
        <v>107</v>
      </c>
      <c r="D1118" s="3" t="s">
        <v>75</v>
      </c>
      <c r="E1118" s="3">
        <v>14</v>
      </c>
      <c r="F1118" s="3">
        <v>0.81829425637644404</v>
      </c>
      <c r="G1118" s="3">
        <v>2.1695391215647621</v>
      </c>
      <c r="H1118" s="3">
        <f t="shared" si="93"/>
        <v>-0.20053328044392899</v>
      </c>
      <c r="I1118" s="3">
        <f t="shared" si="94"/>
        <v>0.77451475861950225</v>
      </c>
      <c r="N1118">
        <f t="shared" si="90"/>
        <v>-0.20053328044392899</v>
      </c>
      <c r="O1118">
        <f t="shared" si="91"/>
        <v>0.77451475861950225</v>
      </c>
      <c r="P1118">
        <v>2.1695391215647621</v>
      </c>
      <c r="T1118">
        <f t="shared" si="92"/>
        <v>0.81829425637644404</v>
      </c>
      <c r="AD1118" s="7">
        <v>2.1695391215647621</v>
      </c>
    </row>
    <row r="1119" spans="1:30">
      <c r="A1119" s="3" t="s">
        <v>91</v>
      </c>
      <c r="B1119" s="3" t="s">
        <v>104</v>
      </c>
      <c r="C1119" s="3" t="s">
        <v>107</v>
      </c>
      <c r="D1119" s="3" t="s">
        <v>75</v>
      </c>
      <c r="E1119" s="3">
        <v>15</v>
      </c>
      <c r="F1119" s="3">
        <v>0.805561244665841</v>
      </c>
      <c r="G1119" s="3">
        <v>2.1971344974762013</v>
      </c>
      <c r="H1119" s="3">
        <f t="shared" si="93"/>
        <v>-0.21621604615077158</v>
      </c>
      <c r="I1119" s="3">
        <f t="shared" si="94"/>
        <v>0.78715401022518106</v>
      </c>
      <c r="N1119">
        <f t="shared" si="90"/>
        <v>-0.21621604615077158</v>
      </c>
      <c r="O1119">
        <f t="shared" si="91"/>
        <v>0.78715401022518106</v>
      </c>
      <c r="P1119">
        <v>2.1971344974762013</v>
      </c>
      <c r="T1119">
        <f t="shared" si="92"/>
        <v>0.805561244665841</v>
      </c>
      <c r="AD1119" s="7">
        <v>2.1971344974762013</v>
      </c>
    </row>
    <row r="1120" spans="1:30">
      <c r="A1120" s="3" t="s">
        <v>91</v>
      </c>
      <c r="B1120" s="3" t="s">
        <v>104</v>
      </c>
      <c r="C1120" s="3" t="s">
        <v>107</v>
      </c>
      <c r="D1120" s="3" t="s">
        <v>75</v>
      </c>
      <c r="E1120" s="3">
        <v>16</v>
      </c>
      <c r="F1120" s="3">
        <v>0.78607095246402103</v>
      </c>
      <c r="G1120" s="3">
        <v>2.1863439802556228</v>
      </c>
      <c r="H1120" s="3">
        <f t="shared" si="93"/>
        <v>-0.24070822031659048</v>
      </c>
      <c r="I1120" s="3">
        <f t="shared" si="94"/>
        <v>0.78223073339331295</v>
      </c>
      <c r="N1120">
        <f t="shared" si="90"/>
        <v>-0.24070822031659048</v>
      </c>
      <c r="O1120">
        <f t="shared" si="91"/>
        <v>0.78223073339331295</v>
      </c>
      <c r="P1120">
        <v>2.1863439802556228</v>
      </c>
      <c r="T1120">
        <f t="shared" si="92"/>
        <v>0.78607095246402103</v>
      </c>
      <c r="AD1120" s="7">
        <v>2.1863439802556228</v>
      </c>
    </row>
    <row r="1121" spans="1:30">
      <c r="A1121" s="3" t="s">
        <v>91</v>
      </c>
      <c r="B1121" s="3" t="s">
        <v>104</v>
      </c>
      <c r="C1121" s="3" t="s">
        <v>107</v>
      </c>
      <c r="D1121" s="3" t="s">
        <v>75</v>
      </c>
      <c r="E1121" s="3">
        <v>17</v>
      </c>
      <c r="F1121" s="3">
        <v>0.829009633475429</v>
      </c>
      <c r="G1121" s="3">
        <v>2.2242751628339512</v>
      </c>
      <c r="H1121" s="3">
        <f t="shared" si="93"/>
        <v>-0.18752350331673825</v>
      </c>
      <c r="I1121" s="3">
        <f t="shared" si="94"/>
        <v>0.79943109303095783</v>
      </c>
      <c r="N1121">
        <f t="shared" si="90"/>
        <v>-0.18752350331673825</v>
      </c>
      <c r="O1121">
        <f t="shared" si="91"/>
        <v>0.79943109303095783</v>
      </c>
      <c r="P1121">
        <v>2.2242751628339512</v>
      </c>
      <c r="T1121">
        <f t="shared" si="92"/>
        <v>0.829009633475429</v>
      </c>
      <c r="AD1121" s="7">
        <v>2.2242751628339512</v>
      </c>
    </row>
    <row r="1122" spans="1:30">
      <c r="A1122" s="3" t="s">
        <v>91</v>
      </c>
      <c r="B1122" s="3" t="s">
        <v>104</v>
      </c>
      <c r="C1122" s="3" t="s">
        <v>107</v>
      </c>
      <c r="D1122" s="3" t="s">
        <v>75</v>
      </c>
      <c r="E1122" s="3">
        <v>18</v>
      </c>
      <c r="F1122" s="3">
        <v>0.80051156988179695</v>
      </c>
      <c r="G1122" s="3">
        <v>2.211628359376864</v>
      </c>
      <c r="H1122" s="3">
        <f t="shared" si="93"/>
        <v>-0.22250429333089403</v>
      </c>
      <c r="I1122" s="3">
        <f t="shared" si="94"/>
        <v>0.79372905841302044</v>
      </c>
      <c r="N1122">
        <f t="shared" si="90"/>
        <v>-0.22250429333089403</v>
      </c>
      <c r="O1122">
        <f t="shared" si="91"/>
        <v>0.79372905841302044</v>
      </c>
      <c r="P1122">
        <v>2.211628359376864</v>
      </c>
      <c r="T1122">
        <f t="shared" si="92"/>
        <v>0.80051156988179695</v>
      </c>
      <c r="AD1122" s="7">
        <v>2.211628359376864</v>
      </c>
    </row>
    <row r="1123" spans="1:30">
      <c r="A1123" s="3" t="s">
        <v>91</v>
      </c>
      <c r="B1123" s="3" t="s">
        <v>104</v>
      </c>
      <c r="C1123" s="3" t="s">
        <v>107</v>
      </c>
      <c r="D1123" s="3" t="s">
        <v>75</v>
      </c>
      <c r="E1123" s="3">
        <v>19</v>
      </c>
      <c r="F1123" s="3">
        <v>0.81439346486639297</v>
      </c>
      <c r="G1123" s="3">
        <v>2.1827734651126764</v>
      </c>
      <c r="H1123" s="3">
        <f t="shared" si="93"/>
        <v>-0.20531165769450804</v>
      </c>
      <c r="I1123" s="3">
        <f t="shared" si="94"/>
        <v>0.78059629990305301</v>
      </c>
      <c r="N1123">
        <f t="shared" si="90"/>
        <v>-0.20531165769450804</v>
      </c>
      <c r="O1123">
        <f t="shared" si="91"/>
        <v>0.78059629990305301</v>
      </c>
      <c r="P1123">
        <v>2.1827734651126764</v>
      </c>
      <c r="T1123">
        <f t="shared" si="92"/>
        <v>0.81439346486639297</v>
      </c>
      <c r="AD1123" s="7">
        <v>2.1827734651126764</v>
      </c>
    </row>
    <row r="1124" spans="1:30">
      <c r="A1124" s="3" t="s">
        <v>91</v>
      </c>
      <c r="B1124" s="3" t="s">
        <v>104</v>
      </c>
      <c r="C1124" s="3" t="s">
        <v>107</v>
      </c>
      <c r="D1124" s="3" t="s">
        <v>75</v>
      </c>
      <c r="E1124" s="3">
        <v>20</v>
      </c>
      <c r="F1124" s="3">
        <v>0.82032162658751495</v>
      </c>
      <c r="G1124" s="3">
        <v>2.2141589825484527</v>
      </c>
      <c r="H1124" s="3">
        <f t="shared" si="93"/>
        <v>-0.1980587880792043</v>
      </c>
      <c r="I1124" s="3">
        <f t="shared" si="94"/>
        <v>0.79487263954418208</v>
      </c>
      <c r="N1124">
        <f t="shared" si="90"/>
        <v>-0.1980587880792043</v>
      </c>
      <c r="O1124">
        <f t="shared" si="91"/>
        <v>0.79487263954418208</v>
      </c>
      <c r="P1124">
        <v>2.2141589825484527</v>
      </c>
      <c r="T1124">
        <f t="shared" si="92"/>
        <v>0.82032162658751495</v>
      </c>
      <c r="AD1124" s="7">
        <v>2.2141589825484527</v>
      </c>
    </row>
    <row r="1125" spans="1:30">
      <c r="A1125" s="3" t="s">
        <v>91</v>
      </c>
      <c r="B1125" s="3" t="s">
        <v>104</v>
      </c>
      <c r="C1125" s="3" t="s">
        <v>107</v>
      </c>
      <c r="D1125" s="3" t="s">
        <v>75</v>
      </c>
      <c r="E1125" s="3">
        <v>21</v>
      </c>
      <c r="F1125" s="3">
        <v>0.84497470716622802</v>
      </c>
      <c r="G1125" s="3">
        <v>2.2808112591795053</v>
      </c>
      <c r="H1125" s="3">
        <f t="shared" si="93"/>
        <v>-0.16844858442060401</v>
      </c>
      <c r="I1125" s="3">
        <f t="shared" si="94"/>
        <v>0.82453119510865902</v>
      </c>
      <c r="N1125">
        <f t="shared" si="90"/>
        <v>-0.16844858442060401</v>
      </c>
      <c r="O1125">
        <f t="shared" si="91"/>
        <v>0.82453119510865902</v>
      </c>
      <c r="P1125">
        <v>2.2808112591795053</v>
      </c>
      <c r="T1125">
        <f t="shared" si="92"/>
        <v>0.84497470716622802</v>
      </c>
      <c r="AD1125" s="7">
        <v>2.2808112591795053</v>
      </c>
    </row>
    <row r="1126" spans="1:30">
      <c r="A1126" s="3" t="s">
        <v>91</v>
      </c>
      <c r="B1126" s="3" t="s">
        <v>104</v>
      </c>
      <c r="C1126" s="3" t="s">
        <v>107</v>
      </c>
      <c r="D1126" s="3" t="s">
        <v>75</v>
      </c>
      <c r="E1126" s="3">
        <v>23</v>
      </c>
      <c r="F1126" s="3">
        <v>0.830370477475186</v>
      </c>
      <c r="G1126" s="3">
        <v>2.2246797522340152</v>
      </c>
      <c r="H1126" s="3">
        <f t="shared" si="93"/>
        <v>-0.18588331937593364</v>
      </c>
      <c r="I1126" s="3">
        <f t="shared" si="94"/>
        <v>0.79961297367884177</v>
      </c>
      <c r="N1126">
        <f t="shared" si="90"/>
        <v>-0.18588331937593364</v>
      </c>
      <c r="O1126">
        <f t="shared" si="91"/>
        <v>0.79961297367884177</v>
      </c>
      <c r="P1126">
        <v>2.2246797522340152</v>
      </c>
      <c r="T1126">
        <f t="shared" si="92"/>
        <v>0.830370477475186</v>
      </c>
      <c r="AD1126" s="7">
        <v>2.2246797522340152</v>
      </c>
    </row>
    <row r="1127" spans="1:30">
      <c r="A1127" s="3" t="s">
        <v>91</v>
      </c>
      <c r="B1127" s="3" t="s">
        <v>105</v>
      </c>
      <c r="C1127" s="3" t="s">
        <v>107</v>
      </c>
      <c r="D1127" s="3" t="s">
        <v>79</v>
      </c>
      <c r="E1127" s="3">
        <v>1</v>
      </c>
      <c r="F1127" s="3">
        <v>0.82276368177943005</v>
      </c>
      <c r="G1127" s="3">
        <v>2.1747873459260334</v>
      </c>
      <c r="H1127" s="3">
        <f t="shared" si="93"/>
        <v>-0.19508626196917464</v>
      </c>
      <c r="I1127" s="3">
        <f t="shared" si="94"/>
        <v>0.77693088777262442</v>
      </c>
      <c r="N1127">
        <f t="shared" si="90"/>
        <v>-0.19508626196917464</v>
      </c>
      <c r="O1127">
        <f t="shared" si="91"/>
        <v>0.77693088777262442</v>
      </c>
      <c r="P1127">
        <v>2.1747873459260334</v>
      </c>
      <c r="T1127">
        <f t="shared" si="92"/>
        <v>0.82276368177943005</v>
      </c>
      <c r="AD1127" s="7">
        <v>2.1747873459260334</v>
      </c>
    </row>
    <row r="1128" spans="1:30">
      <c r="A1128" s="3" t="s">
        <v>91</v>
      </c>
      <c r="B1128" s="3" t="s">
        <v>105</v>
      </c>
      <c r="C1128" s="3" t="s">
        <v>107</v>
      </c>
      <c r="D1128" s="3" t="s">
        <v>79</v>
      </c>
      <c r="E1128" s="3">
        <v>2</v>
      </c>
      <c r="F1128" s="3">
        <v>0.81055503462754797</v>
      </c>
      <c r="G1128" s="3">
        <v>2.1749482752470231</v>
      </c>
      <c r="H1128" s="3">
        <f t="shared" si="93"/>
        <v>-0.2100360380418782</v>
      </c>
      <c r="I1128" s="3">
        <f t="shared" si="94"/>
        <v>0.77700488276224156</v>
      </c>
      <c r="N1128">
        <f t="shared" si="90"/>
        <v>-0.2100360380418782</v>
      </c>
      <c r="O1128">
        <f t="shared" si="91"/>
        <v>0.77700488276224156</v>
      </c>
      <c r="P1128">
        <v>2.1749482752470231</v>
      </c>
      <c r="T1128">
        <f t="shared" si="92"/>
        <v>0.81055503462754797</v>
      </c>
      <c r="AD1128" s="7">
        <v>2.1749482752470231</v>
      </c>
    </row>
    <row r="1129" spans="1:30">
      <c r="A1129" s="3" t="s">
        <v>91</v>
      </c>
      <c r="B1129" s="3" t="s">
        <v>105</v>
      </c>
      <c r="C1129" s="3" t="s">
        <v>107</v>
      </c>
      <c r="D1129" s="3" t="s">
        <v>79</v>
      </c>
      <c r="E1129" s="3">
        <v>3</v>
      </c>
      <c r="F1129" s="3">
        <v>0.85460431129556702</v>
      </c>
      <c r="G1129" s="3">
        <v>2.3753947040439409</v>
      </c>
      <c r="H1129" s="3">
        <f t="shared" si="93"/>
        <v>-0.15711671097383637</v>
      </c>
      <c r="I1129" s="3">
        <f t="shared" si="94"/>
        <v>0.865163614854777</v>
      </c>
      <c r="N1129">
        <f t="shared" si="90"/>
        <v>-0.15711671097383637</v>
      </c>
      <c r="O1129">
        <f t="shared" si="91"/>
        <v>0.865163614854777</v>
      </c>
      <c r="P1129">
        <v>2.3753947040439409</v>
      </c>
      <c r="T1129">
        <f t="shared" si="92"/>
        <v>0.85460431129556702</v>
      </c>
      <c r="AD1129" s="7">
        <v>2.3753947040439409</v>
      </c>
    </row>
    <row r="1130" spans="1:30">
      <c r="A1130" s="3" t="s">
        <v>91</v>
      </c>
      <c r="B1130" s="3" t="s">
        <v>105</v>
      </c>
      <c r="C1130" s="3" t="s">
        <v>107</v>
      </c>
      <c r="D1130" s="3" t="s">
        <v>79</v>
      </c>
      <c r="E1130" s="3">
        <v>4</v>
      </c>
      <c r="F1130" s="3">
        <v>0.84769855220673695</v>
      </c>
      <c r="G1130" s="3">
        <v>2.2726416347501868</v>
      </c>
      <c r="H1130" s="3">
        <f t="shared" si="93"/>
        <v>-0.16523018727682448</v>
      </c>
      <c r="I1130" s="3">
        <f t="shared" si="94"/>
        <v>0.82094287064997662</v>
      </c>
      <c r="N1130">
        <f t="shared" si="90"/>
        <v>-0.16523018727682448</v>
      </c>
      <c r="O1130">
        <f t="shared" si="91"/>
        <v>0.82094287064997662</v>
      </c>
      <c r="P1130">
        <v>2.2726416347501868</v>
      </c>
      <c r="T1130">
        <f t="shared" si="92"/>
        <v>0.84769855220673695</v>
      </c>
      <c r="AD1130" s="7">
        <v>2.2726416347501868</v>
      </c>
    </row>
    <row r="1131" spans="1:30">
      <c r="A1131" s="3" t="s">
        <v>91</v>
      </c>
      <c r="B1131" s="3" t="s">
        <v>105</v>
      </c>
      <c r="C1131" s="3" t="s">
        <v>107</v>
      </c>
      <c r="D1131" s="3" t="s">
        <v>79</v>
      </c>
      <c r="E1131" s="3">
        <v>5</v>
      </c>
      <c r="F1131" s="3">
        <v>0.84389091133233596</v>
      </c>
      <c r="G1131" s="3">
        <v>2.2983907413666635</v>
      </c>
      <c r="H1131" s="3">
        <f t="shared" si="93"/>
        <v>-0.16973204471584166</v>
      </c>
      <c r="I1131" s="3">
        <f t="shared" si="94"/>
        <v>0.83220920037978197</v>
      </c>
      <c r="N1131">
        <f t="shared" ref="N1131:N1194" si="95">LN(F1131)</f>
        <v>-0.16973204471584166</v>
      </c>
      <c r="O1131">
        <f t="shared" ref="O1131:O1194" si="96">LN(P1131)</f>
        <v>0.83220920037978197</v>
      </c>
      <c r="P1131">
        <v>2.2983907413666635</v>
      </c>
      <c r="T1131">
        <f t="shared" si="92"/>
        <v>0.84389091133233596</v>
      </c>
      <c r="AD1131" s="7">
        <v>2.2983907413666635</v>
      </c>
    </row>
    <row r="1132" spans="1:30">
      <c r="A1132" s="3" t="s">
        <v>91</v>
      </c>
      <c r="B1132" s="3" t="s">
        <v>105</v>
      </c>
      <c r="C1132" s="3" t="s">
        <v>107</v>
      </c>
      <c r="D1132" s="3" t="s">
        <v>79</v>
      </c>
      <c r="E1132" s="3">
        <v>6</v>
      </c>
      <c r="F1132" s="3">
        <v>0.80562635276285399</v>
      </c>
      <c r="G1132" s="3">
        <v>2.2552383466055201</v>
      </c>
      <c r="H1132" s="3">
        <f t="shared" si="93"/>
        <v>-0.2161352261430303</v>
      </c>
      <c r="I1132" s="3">
        <f t="shared" si="94"/>
        <v>0.81325566431169438</v>
      </c>
      <c r="N1132">
        <f t="shared" si="95"/>
        <v>-0.2161352261430303</v>
      </c>
      <c r="O1132">
        <f t="shared" si="96"/>
        <v>0.81325566431169438</v>
      </c>
      <c r="P1132">
        <v>2.2552383466055201</v>
      </c>
      <c r="T1132">
        <f t="shared" si="92"/>
        <v>0.80562635276285399</v>
      </c>
      <c r="AD1132" s="7">
        <v>2.2552383466055201</v>
      </c>
    </row>
    <row r="1133" spans="1:30">
      <c r="A1133" s="3" t="s">
        <v>91</v>
      </c>
      <c r="B1133" s="3" t="s">
        <v>105</v>
      </c>
      <c r="C1133" s="3" t="s">
        <v>107</v>
      </c>
      <c r="D1133" s="3" t="s">
        <v>79</v>
      </c>
      <c r="E1133" s="3">
        <v>7</v>
      </c>
      <c r="F1133" s="3">
        <v>0.80559767739759902</v>
      </c>
      <c r="G1133" s="3">
        <v>2.1678099547700209</v>
      </c>
      <c r="H1133" s="3">
        <f t="shared" si="93"/>
        <v>-0.21617082065344129</v>
      </c>
      <c r="I1133" s="3">
        <f t="shared" si="94"/>
        <v>0.77371742049618386</v>
      </c>
      <c r="N1133">
        <f t="shared" si="95"/>
        <v>-0.21617082065344129</v>
      </c>
      <c r="O1133">
        <f t="shared" si="96"/>
        <v>0.77371742049618386</v>
      </c>
      <c r="P1133">
        <v>2.1678099547700209</v>
      </c>
      <c r="T1133">
        <f t="shared" si="92"/>
        <v>0.80559767739759902</v>
      </c>
      <c r="AD1133" s="7">
        <v>2.1678099547700209</v>
      </c>
    </row>
    <row r="1134" spans="1:30">
      <c r="A1134" s="3" t="s">
        <v>91</v>
      </c>
      <c r="B1134" s="3" t="s">
        <v>105</v>
      </c>
      <c r="C1134" s="3" t="s">
        <v>107</v>
      </c>
      <c r="D1134" s="3" t="s">
        <v>79</v>
      </c>
      <c r="E1134" s="3">
        <v>8</v>
      </c>
      <c r="F1134" s="3">
        <v>0.80095801015286205</v>
      </c>
      <c r="G1134" s="3">
        <v>2.170023041352326</v>
      </c>
      <c r="H1134" s="3">
        <f t="shared" si="93"/>
        <v>-0.22194675506954276</v>
      </c>
      <c r="I1134" s="3">
        <f t="shared" si="94"/>
        <v>0.77473778563070861</v>
      </c>
      <c r="N1134">
        <f t="shared" si="95"/>
        <v>-0.22194675506954276</v>
      </c>
      <c r="O1134">
        <f t="shared" si="96"/>
        <v>0.77473778563070861</v>
      </c>
      <c r="P1134">
        <v>2.170023041352326</v>
      </c>
      <c r="T1134">
        <f t="shared" si="92"/>
        <v>0.80095801015286205</v>
      </c>
      <c r="AD1134" s="7">
        <v>2.170023041352326</v>
      </c>
    </row>
    <row r="1135" spans="1:30">
      <c r="A1135" s="3" t="s">
        <v>91</v>
      </c>
      <c r="B1135" s="3" t="s">
        <v>105</v>
      </c>
      <c r="C1135" s="3" t="s">
        <v>107</v>
      </c>
      <c r="D1135" s="3" t="s">
        <v>79</v>
      </c>
      <c r="E1135" s="3">
        <v>9</v>
      </c>
      <c r="F1135" s="3">
        <v>0.80921478863532503</v>
      </c>
      <c r="G1135" s="3">
        <v>2.2339650847763934</v>
      </c>
      <c r="H1135" s="3">
        <f t="shared" si="93"/>
        <v>-0.21169089823106901</v>
      </c>
      <c r="I1135" s="3">
        <f t="shared" si="94"/>
        <v>0.80377807150804093</v>
      </c>
      <c r="N1135">
        <f t="shared" si="95"/>
        <v>-0.21169089823106901</v>
      </c>
      <c r="O1135">
        <f t="shared" si="96"/>
        <v>0.80377807150804093</v>
      </c>
      <c r="P1135">
        <v>2.2339650847763934</v>
      </c>
      <c r="T1135">
        <f t="shared" si="92"/>
        <v>0.80921478863532503</v>
      </c>
      <c r="AD1135" s="7">
        <v>2.2339650847763934</v>
      </c>
    </row>
    <row r="1136" spans="1:30">
      <c r="A1136" s="3" t="s">
        <v>91</v>
      </c>
      <c r="B1136" s="3" t="s">
        <v>105</v>
      </c>
      <c r="C1136" s="3" t="s">
        <v>107</v>
      </c>
      <c r="D1136" s="3" t="s">
        <v>79</v>
      </c>
      <c r="E1136" s="3">
        <v>10</v>
      </c>
      <c r="F1136" s="3">
        <v>0.81030105214936898</v>
      </c>
      <c r="G1136" s="3">
        <v>2.2945587811167534</v>
      </c>
      <c r="H1136" s="3">
        <f t="shared" si="93"/>
        <v>-0.21034943104737663</v>
      </c>
      <c r="I1136" s="3">
        <f t="shared" si="94"/>
        <v>0.83054057279296956</v>
      </c>
      <c r="N1136">
        <f t="shared" si="95"/>
        <v>-0.21034943104737663</v>
      </c>
      <c r="O1136">
        <f t="shared" si="96"/>
        <v>0.83054057279296956</v>
      </c>
      <c r="P1136">
        <v>2.2945587811167534</v>
      </c>
      <c r="T1136">
        <f t="shared" si="92"/>
        <v>0.81030105214936898</v>
      </c>
      <c r="AD1136" s="7">
        <v>2.2945587811167534</v>
      </c>
    </row>
    <row r="1137" spans="1:30">
      <c r="A1137" s="3" t="s">
        <v>91</v>
      </c>
      <c r="B1137" s="3" t="s">
        <v>105</v>
      </c>
      <c r="C1137" s="3" t="s">
        <v>107</v>
      </c>
      <c r="D1137" s="3" t="s">
        <v>79</v>
      </c>
      <c r="E1137" s="3">
        <v>11</v>
      </c>
      <c r="F1137" s="3">
        <v>0.81221927876458799</v>
      </c>
      <c r="G1137" s="3">
        <v>2.2205629916757594</v>
      </c>
      <c r="H1137" s="3">
        <f t="shared" si="93"/>
        <v>-0.2079849275371464</v>
      </c>
      <c r="I1137" s="3">
        <f t="shared" si="94"/>
        <v>0.79776076358712633</v>
      </c>
      <c r="N1137">
        <f t="shared" si="95"/>
        <v>-0.2079849275371464</v>
      </c>
      <c r="O1137">
        <f t="shared" si="96"/>
        <v>0.79776076358712633</v>
      </c>
      <c r="P1137">
        <v>2.2205629916757594</v>
      </c>
      <c r="T1137">
        <f t="shared" si="92"/>
        <v>0.81221927876458799</v>
      </c>
      <c r="AD1137" s="7">
        <v>2.2205629916757594</v>
      </c>
    </row>
    <row r="1138" spans="1:30">
      <c r="A1138" s="3" t="s">
        <v>91</v>
      </c>
      <c r="B1138" s="3" t="s">
        <v>105</v>
      </c>
      <c r="C1138" s="3" t="s">
        <v>107</v>
      </c>
      <c r="D1138" s="3" t="s">
        <v>79</v>
      </c>
      <c r="E1138" s="3">
        <v>12</v>
      </c>
      <c r="F1138" s="3">
        <v>0.835191554635483</v>
      </c>
      <c r="G1138" s="3">
        <v>2.20476756144497</v>
      </c>
      <c r="H1138" s="3">
        <f t="shared" si="93"/>
        <v>-0.18009417369190472</v>
      </c>
      <c r="I1138" s="3">
        <f t="shared" si="94"/>
        <v>0.7906220890316592</v>
      </c>
      <c r="N1138">
        <f t="shared" si="95"/>
        <v>-0.18009417369190472</v>
      </c>
      <c r="O1138">
        <f t="shared" si="96"/>
        <v>0.7906220890316592</v>
      </c>
      <c r="P1138">
        <v>2.20476756144497</v>
      </c>
      <c r="T1138">
        <f t="shared" si="92"/>
        <v>0.835191554635483</v>
      </c>
      <c r="AD1138" s="7">
        <v>2.20476756144497</v>
      </c>
    </row>
    <row r="1139" spans="1:30">
      <c r="A1139" s="3" t="s">
        <v>91</v>
      </c>
      <c r="B1139" s="3" t="s">
        <v>105</v>
      </c>
      <c r="C1139" s="3" t="s">
        <v>107</v>
      </c>
      <c r="D1139" s="3" t="s">
        <v>79</v>
      </c>
      <c r="E1139" s="3">
        <v>13</v>
      </c>
      <c r="F1139" s="3">
        <v>0.84518194425878201</v>
      </c>
      <c r="G1139" s="3">
        <v>2.2580744009000231</v>
      </c>
      <c r="H1139" s="3">
        <f t="shared" si="93"/>
        <v>-0.16820335615325044</v>
      </c>
      <c r="I1139" s="3">
        <f t="shared" si="94"/>
        <v>0.81451241509607009</v>
      </c>
      <c r="N1139">
        <f t="shared" si="95"/>
        <v>-0.16820335615325044</v>
      </c>
      <c r="O1139">
        <f t="shared" si="96"/>
        <v>0.81451241509607009</v>
      </c>
      <c r="P1139">
        <v>2.2580744009000231</v>
      </c>
      <c r="T1139">
        <f t="shared" si="92"/>
        <v>0.84518194425878201</v>
      </c>
      <c r="AD1139" s="7">
        <v>2.2580744009000231</v>
      </c>
    </row>
    <row r="1140" spans="1:30">
      <c r="A1140" s="3" t="s">
        <v>91</v>
      </c>
      <c r="B1140" s="3" t="s">
        <v>105</v>
      </c>
      <c r="C1140" s="3" t="s">
        <v>107</v>
      </c>
      <c r="D1140" s="3" t="s">
        <v>79</v>
      </c>
      <c r="E1140" s="3">
        <v>14</v>
      </c>
      <c r="F1140" s="3">
        <v>0.84872782050985696</v>
      </c>
      <c r="G1140" s="3">
        <v>2.2737853900489382</v>
      </c>
      <c r="H1140" s="3">
        <f t="shared" si="93"/>
        <v>-0.16401673239782583</v>
      </c>
      <c r="I1140" s="3">
        <f t="shared" si="94"/>
        <v>0.82144601534652251</v>
      </c>
      <c r="N1140">
        <f t="shared" si="95"/>
        <v>-0.16401673239782583</v>
      </c>
      <c r="O1140">
        <f t="shared" si="96"/>
        <v>0.82144601534652251</v>
      </c>
      <c r="P1140">
        <v>2.2737853900489382</v>
      </c>
      <c r="T1140">
        <f t="shared" si="92"/>
        <v>0.84872782050985696</v>
      </c>
      <c r="AD1140" s="7">
        <v>2.2737853900489382</v>
      </c>
    </row>
    <row r="1141" spans="1:30">
      <c r="A1141" s="3" t="s">
        <v>91</v>
      </c>
      <c r="B1141" s="3" t="s">
        <v>105</v>
      </c>
      <c r="C1141" s="3" t="s">
        <v>107</v>
      </c>
      <c r="D1141" s="3" t="s">
        <v>79</v>
      </c>
      <c r="E1141" s="3">
        <v>15</v>
      </c>
      <c r="F1141" s="3">
        <v>0.83405251397595004</v>
      </c>
      <c r="G1141" s="3">
        <v>2.2660317738284252</v>
      </c>
      <c r="H1141" s="3">
        <f t="shared" si="93"/>
        <v>-0.1814589122076691</v>
      </c>
      <c r="I1141" s="3">
        <f t="shared" si="94"/>
        <v>0.81803018449710374</v>
      </c>
      <c r="N1141">
        <f t="shared" si="95"/>
        <v>-0.1814589122076691</v>
      </c>
      <c r="O1141">
        <f t="shared" si="96"/>
        <v>0.81803018449710374</v>
      </c>
      <c r="P1141">
        <v>2.2660317738284252</v>
      </c>
      <c r="T1141">
        <f t="shared" si="92"/>
        <v>0.83405251397595004</v>
      </c>
      <c r="AD1141" s="7">
        <v>2.2660317738284252</v>
      </c>
    </row>
    <row r="1142" spans="1:30">
      <c r="A1142" s="3" t="s">
        <v>91</v>
      </c>
      <c r="B1142" s="3" t="s">
        <v>105</v>
      </c>
      <c r="C1142" s="3" t="s">
        <v>107</v>
      </c>
      <c r="D1142" s="3" t="s">
        <v>79</v>
      </c>
      <c r="E1142" s="3">
        <v>16</v>
      </c>
      <c r="F1142" s="3">
        <v>0.829325743997259</v>
      </c>
      <c r="G1142" s="3">
        <v>2.1661486560252508</v>
      </c>
      <c r="H1142" s="3">
        <f t="shared" si="93"/>
        <v>-0.18714226496175551</v>
      </c>
      <c r="I1142" s="3">
        <f t="shared" si="94"/>
        <v>0.77295077781436416</v>
      </c>
      <c r="N1142">
        <f t="shared" si="95"/>
        <v>-0.18714226496175551</v>
      </c>
      <c r="O1142">
        <f t="shared" si="96"/>
        <v>0.77295077781436416</v>
      </c>
      <c r="P1142">
        <v>2.1661486560252508</v>
      </c>
      <c r="T1142">
        <f t="shared" si="92"/>
        <v>0.829325743997259</v>
      </c>
      <c r="AD1142" s="7">
        <v>2.1661486560252508</v>
      </c>
    </row>
    <row r="1143" spans="1:30">
      <c r="A1143" s="3" t="s">
        <v>91</v>
      </c>
      <c r="B1143" s="3" t="s">
        <v>105</v>
      </c>
      <c r="C1143" s="3" t="s">
        <v>107</v>
      </c>
      <c r="D1143" s="3" t="s">
        <v>79</v>
      </c>
      <c r="E1143" s="3">
        <v>17</v>
      </c>
      <c r="F1143" s="3">
        <v>0.84790164574649396</v>
      </c>
      <c r="G1143" s="3">
        <v>2.2629184695874485</v>
      </c>
      <c r="H1143" s="3">
        <f t="shared" si="93"/>
        <v>-0.16499063370638567</v>
      </c>
      <c r="I1143" s="3">
        <f t="shared" si="94"/>
        <v>0.81665533842282834</v>
      </c>
      <c r="N1143">
        <f t="shared" si="95"/>
        <v>-0.16499063370638567</v>
      </c>
      <c r="O1143">
        <f t="shared" si="96"/>
        <v>0.81665533842282834</v>
      </c>
      <c r="P1143">
        <v>2.2629184695874485</v>
      </c>
      <c r="T1143">
        <f t="shared" si="92"/>
        <v>0.84790164574649396</v>
      </c>
      <c r="AD1143" s="7">
        <v>2.2629184695874485</v>
      </c>
    </row>
    <row r="1144" spans="1:30">
      <c r="A1144" s="3" t="s">
        <v>91</v>
      </c>
      <c r="B1144" s="3" t="s">
        <v>105</v>
      </c>
      <c r="C1144" s="3" t="s">
        <v>107</v>
      </c>
      <c r="D1144" s="3" t="s">
        <v>79</v>
      </c>
      <c r="E1144" s="3">
        <v>18</v>
      </c>
      <c r="F1144" s="3">
        <v>0.80559996377763499</v>
      </c>
      <c r="G1144" s="3">
        <v>2.2367163432138639</v>
      </c>
      <c r="H1144" s="3">
        <f t="shared" si="93"/>
        <v>-0.21616798254099928</v>
      </c>
      <c r="I1144" s="3">
        <f t="shared" si="94"/>
        <v>0.80500887214955463</v>
      </c>
      <c r="N1144">
        <f t="shared" si="95"/>
        <v>-0.21616798254099928</v>
      </c>
      <c r="O1144">
        <f t="shared" si="96"/>
        <v>0.80500887214955463</v>
      </c>
      <c r="P1144">
        <v>2.2367163432138639</v>
      </c>
      <c r="T1144">
        <f t="shared" si="92"/>
        <v>0.80559996377763499</v>
      </c>
      <c r="AD1144" s="7">
        <v>2.2367163432138639</v>
      </c>
    </row>
    <row r="1145" spans="1:30">
      <c r="A1145" s="3" t="s">
        <v>91</v>
      </c>
      <c r="B1145" s="3" t="s">
        <v>105</v>
      </c>
      <c r="C1145" s="3" t="s">
        <v>107</v>
      </c>
      <c r="D1145" s="3" t="s">
        <v>79</v>
      </c>
      <c r="E1145" s="3">
        <v>19</v>
      </c>
      <c r="F1145" s="3">
        <v>0.81063015376731995</v>
      </c>
      <c r="G1145" s="3">
        <v>2.266384786394402</v>
      </c>
      <c r="H1145" s="3">
        <f t="shared" si="93"/>
        <v>-0.20994336616162235</v>
      </c>
      <c r="I1145" s="3">
        <f t="shared" si="94"/>
        <v>0.81818595683709061</v>
      </c>
      <c r="N1145">
        <f t="shared" si="95"/>
        <v>-0.20994336616162235</v>
      </c>
      <c r="O1145">
        <f t="shared" si="96"/>
        <v>0.81818595683709061</v>
      </c>
      <c r="P1145">
        <v>2.266384786394402</v>
      </c>
      <c r="T1145">
        <f t="shared" si="92"/>
        <v>0.81063015376731995</v>
      </c>
      <c r="AD1145" s="7">
        <v>2.266384786394402</v>
      </c>
    </row>
    <row r="1146" spans="1:30">
      <c r="A1146" s="3" t="s">
        <v>91</v>
      </c>
      <c r="B1146" s="3" t="s">
        <v>105</v>
      </c>
      <c r="C1146" s="3" t="s">
        <v>107</v>
      </c>
      <c r="D1146" s="3" t="s">
        <v>79</v>
      </c>
      <c r="E1146" s="3">
        <v>20</v>
      </c>
      <c r="F1146" s="3">
        <v>0.824494412772658</v>
      </c>
      <c r="G1146" s="3">
        <v>2.2934035841953335</v>
      </c>
      <c r="H1146" s="3">
        <f t="shared" si="93"/>
        <v>-0.19298491350919422</v>
      </c>
      <c r="I1146" s="3">
        <f t="shared" si="94"/>
        <v>0.83003699545128684</v>
      </c>
      <c r="N1146">
        <f t="shared" si="95"/>
        <v>-0.19298491350919422</v>
      </c>
      <c r="O1146">
        <f t="shared" si="96"/>
        <v>0.83003699545128684</v>
      </c>
      <c r="P1146">
        <v>2.2934035841953335</v>
      </c>
      <c r="T1146">
        <f t="shared" si="92"/>
        <v>0.824494412772658</v>
      </c>
      <c r="AD1146" s="7">
        <v>2.2934035841953335</v>
      </c>
    </row>
    <row r="1147" spans="1:30">
      <c r="A1147" s="3" t="s">
        <v>91</v>
      </c>
      <c r="B1147" s="3" t="s">
        <v>105</v>
      </c>
      <c r="C1147" s="3" t="s">
        <v>107</v>
      </c>
      <c r="D1147" s="3" t="s">
        <v>75</v>
      </c>
      <c r="E1147" s="3">
        <v>1</v>
      </c>
      <c r="F1147" s="3">
        <v>0.83183381238870802</v>
      </c>
      <c r="G1147" s="3">
        <v>2.2760711763914592</v>
      </c>
      <c r="H1147" s="3">
        <f t="shared" si="93"/>
        <v>-0.18412260283767348</v>
      </c>
      <c r="I1147" s="3">
        <f t="shared" si="94"/>
        <v>0.82245078835483476</v>
      </c>
      <c r="N1147">
        <f t="shared" si="95"/>
        <v>-0.18412260283767348</v>
      </c>
      <c r="O1147">
        <f t="shared" si="96"/>
        <v>0.82245078835483476</v>
      </c>
      <c r="P1147">
        <v>2.2760711763914592</v>
      </c>
      <c r="T1147">
        <f t="shared" si="92"/>
        <v>0.83183381238870802</v>
      </c>
      <c r="AD1147" s="7">
        <v>2.2760711763914592</v>
      </c>
    </row>
    <row r="1148" spans="1:30">
      <c r="A1148" s="3" t="s">
        <v>91</v>
      </c>
      <c r="B1148" s="3" t="s">
        <v>105</v>
      </c>
      <c r="C1148" s="3" t="s">
        <v>107</v>
      </c>
      <c r="D1148" s="3" t="s">
        <v>75</v>
      </c>
      <c r="E1148" s="3">
        <v>2</v>
      </c>
      <c r="F1148" s="3">
        <v>0.83268173535509105</v>
      </c>
      <c r="G1148" s="3">
        <v>2.2411827234743713</v>
      </c>
      <c r="H1148" s="3">
        <f t="shared" si="93"/>
        <v>-0.18310378022483859</v>
      </c>
      <c r="I1148" s="3">
        <f t="shared" si="94"/>
        <v>0.80700372807423515</v>
      </c>
      <c r="N1148">
        <f t="shared" si="95"/>
        <v>-0.18310378022483859</v>
      </c>
      <c r="O1148">
        <f t="shared" si="96"/>
        <v>0.80700372807423515</v>
      </c>
      <c r="P1148">
        <v>2.2411827234743713</v>
      </c>
      <c r="T1148">
        <f t="shared" si="92"/>
        <v>0.83268173535509105</v>
      </c>
      <c r="AD1148" s="7">
        <v>2.2411827234743713</v>
      </c>
    </row>
    <row r="1149" spans="1:30">
      <c r="A1149" s="3" t="s">
        <v>91</v>
      </c>
      <c r="B1149" s="3" t="s">
        <v>105</v>
      </c>
      <c r="C1149" s="3" t="s">
        <v>107</v>
      </c>
      <c r="D1149" s="3" t="s">
        <v>75</v>
      </c>
      <c r="E1149" s="3">
        <v>3</v>
      </c>
      <c r="F1149" s="3">
        <v>0.82149521763028499</v>
      </c>
      <c r="G1149" s="3">
        <v>2.1513251730038396</v>
      </c>
      <c r="H1149" s="3">
        <f t="shared" si="93"/>
        <v>-0.19662916303084638</v>
      </c>
      <c r="I1149" s="3">
        <f t="shared" si="94"/>
        <v>0.76608401180471719</v>
      </c>
      <c r="N1149">
        <f t="shared" si="95"/>
        <v>-0.19662916303084638</v>
      </c>
      <c r="O1149">
        <f t="shared" si="96"/>
        <v>0.76608401180471719</v>
      </c>
      <c r="P1149">
        <v>2.1513251730038396</v>
      </c>
      <c r="T1149">
        <f t="shared" ref="T1149:T1205" si="97">F1149</f>
        <v>0.82149521763028499</v>
      </c>
      <c r="AD1149" s="7">
        <v>2.1513251730038396</v>
      </c>
    </row>
    <row r="1150" spans="1:30">
      <c r="A1150" s="3" t="s">
        <v>91</v>
      </c>
      <c r="B1150" s="3" t="s">
        <v>105</v>
      </c>
      <c r="C1150" s="3" t="s">
        <v>107</v>
      </c>
      <c r="D1150" s="3" t="s">
        <v>75</v>
      </c>
      <c r="E1150" s="3">
        <v>4</v>
      </c>
      <c r="F1150" s="3">
        <v>0.81094391285776402</v>
      </c>
      <c r="G1150" s="3">
        <v>2.228744040934266</v>
      </c>
      <c r="H1150" s="3">
        <f t="shared" si="93"/>
        <v>-0.20955638526347239</v>
      </c>
      <c r="I1150" s="3">
        <f t="shared" si="94"/>
        <v>0.80143821646612712</v>
      </c>
      <c r="N1150">
        <f t="shared" si="95"/>
        <v>-0.20955638526347239</v>
      </c>
      <c r="O1150">
        <f t="shared" si="96"/>
        <v>0.80143821646612712</v>
      </c>
      <c r="P1150">
        <v>2.228744040934266</v>
      </c>
      <c r="T1150">
        <f t="shared" si="97"/>
        <v>0.81094391285776402</v>
      </c>
      <c r="AD1150" s="7">
        <v>2.228744040934266</v>
      </c>
    </row>
    <row r="1151" spans="1:30">
      <c r="A1151" s="3" t="s">
        <v>91</v>
      </c>
      <c r="B1151" s="3" t="s">
        <v>105</v>
      </c>
      <c r="C1151" s="3" t="s">
        <v>107</v>
      </c>
      <c r="D1151" s="3" t="s">
        <v>75</v>
      </c>
      <c r="E1151" s="3">
        <v>5</v>
      </c>
      <c r="F1151" s="3">
        <v>0.80895762298746399</v>
      </c>
      <c r="G1151" s="3">
        <v>2.1854976549975982</v>
      </c>
      <c r="H1151" s="3">
        <f t="shared" si="93"/>
        <v>-0.2120087452641527</v>
      </c>
      <c r="I1151" s="3">
        <f t="shared" si="94"/>
        <v>0.78184356233854635</v>
      </c>
      <c r="N1151">
        <f t="shared" si="95"/>
        <v>-0.2120087452641527</v>
      </c>
      <c r="O1151">
        <f t="shared" si="96"/>
        <v>0.78184356233854635</v>
      </c>
      <c r="P1151">
        <v>2.1854976549975982</v>
      </c>
      <c r="T1151">
        <f t="shared" si="97"/>
        <v>0.80895762298746399</v>
      </c>
      <c r="AD1151" s="7">
        <v>2.1854976549975982</v>
      </c>
    </row>
    <row r="1152" spans="1:30">
      <c r="A1152" s="3" t="s">
        <v>91</v>
      </c>
      <c r="B1152" s="3" t="s">
        <v>105</v>
      </c>
      <c r="C1152" s="3" t="s">
        <v>107</v>
      </c>
      <c r="D1152" s="3" t="s">
        <v>75</v>
      </c>
      <c r="E1152" s="3">
        <v>6</v>
      </c>
      <c r="F1152" s="3">
        <v>0.80228678587667202</v>
      </c>
      <c r="G1152" s="3">
        <v>2.0838665984174711</v>
      </c>
      <c r="H1152" s="3">
        <f t="shared" si="93"/>
        <v>-0.22028914666020527</v>
      </c>
      <c r="I1152" s="3">
        <f t="shared" si="94"/>
        <v>0.73422510956656173</v>
      </c>
      <c r="N1152">
        <f t="shared" si="95"/>
        <v>-0.22028914666020527</v>
      </c>
      <c r="O1152">
        <f t="shared" si="96"/>
        <v>0.73422510956656173</v>
      </c>
      <c r="P1152">
        <v>2.0838665984174711</v>
      </c>
      <c r="T1152">
        <f t="shared" si="97"/>
        <v>0.80228678587667202</v>
      </c>
      <c r="AD1152" s="7">
        <v>2.0838665984174711</v>
      </c>
    </row>
    <row r="1153" spans="1:30">
      <c r="A1153" s="3" t="s">
        <v>91</v>
      </c>
      <c r="B1153" s="3" t="s">
        <v>105</v>
      </c>
      <c r="C1153" s="3" t="s">
        <v>107</v>
      </c>
      <c r="D1153" s="3" t="s">
        <v>75</v>
      </c>
      <c r="E1153" s="3">
        <v>7</v>
      </c>
      <c r="F1153" s="3">
        <v>0.832509716416027</v>
      </c>
      <c r="G1153" s="3">
        <v>2.1742354978244651</v>
      </c>
      <c r="H1153" s="3">
        <f t="shared" si="93"/>
        <v>-0.18331038582504508</v>
      </c>
      <c r="I1153" s="3">
        <f t="shared" si="94"/>
        <v>0.77667710749859198</v>
      </c>
      <c r="N1153">
        <f t="shared" si="95"/>
        <v>-0.18331038582504508</v>
      </c>
      <c r="O1153">
        <f t="shared" si="96"/>
        <v>0.77667710749859198</v>
      </c>
      <c r="P1153">
        <v>2.1742354978244651</v>
      </c>
      <c r="T1153">
        <f t="shared" si="97"/>
        <v>0.832509716416027</v>
      </c>
      <c r="AD1153" s="7">
        <v>2.1742354978244651</v>
      </c>
    </row>
    <row r="1154" spans="1:30">
      <c r="A1154" s="3" t="s">
        <v>91</v>
      </c>
      <c r="B1154" s="3" t="s">
        <v>105</v>
      </c>
      <c r="C1154" s="3" t="s">
        <v>107</v>
      </c>
      <c r="D1154" s="3" t="s">
        <v>75</v>
      </c>
      <c r="E1154" s="3">
        <v>8</v>
      </c>
      <c r="F1154" s="3">
        <v>0.826394703015225</v>
      </c>
      <c r="G1154" s="3">
        <v>2.21054291973714</v>
      </c>
      <c r="H1154" s="3">
        <f t="shared" ref="H1154:H1205" si="98">LN(F1154)</f>
        <v>-0.19068277090777208</v>
      </c>
      <c r="I1154" s="3">
        <f t="shared" ref="I1154:I1205" si="99">LN(G1154)</f>
        <v>0.79323815039837664</v>
      </c>
      <c r="N1154">
        <f t="shared" si="95"/>
        <v>-0.19068277090777208</v>
      </c>
      <c r="O1154">
        <f t="shared" si="96"/>
        <v>0.79323815039837664</v>
      </c>
      <c r="P1154">
        <v>2.21054291973714</v>
      </c>
      <c r="T1154">
        <f t="shared" si="97"/>
        <v>0.826394703015225</v>
      </c>
      <c r="AD1154" s="7">
        <v>2.21054291973714</v>
      </c>
    </row>
    <row r="1155" spans="1:30">
      <c r="A1155" s="3" t="s">
        <v>91</v>
      </c>
      <c r="B1155" s="3" t="s">
        <v>105</v>
      </c>
      <c r="C1155" s="3" t="s">
        <v>107</v>
      </c>
      <c r="D1155" s="3" t="s">
        <v>75</v>
      </c>
      <c r="E1155" s="3">
        <v>9</v>
      </c>
      <c r="F1155" s="3">
        <v>0.85389001584102597</v>
      </c>
      <c r="G1155" s="3">
        <v>2.3104112188093273</v>
      </c>
      <c r="H1155" s="3">
        <f t="shared" si="98"/>
        <v>-0.15795288055873233</v>
      </c>
      <c r="I1155" s="3">
        <f t="shared" si="99"/>
        <v>0.83742552549116633</v>
      </c>
      <c r="N1155">
        <f t="shared" si="95"/>
        <v>-0.15795288055873233</v>
      </c>
      <c r="O1155">
        <f t="shared" si="96"/>
        <v>0.83742552549116633</v>
      </c>
      <c r="P1155">
        <v>2.3104112188093273</v>
      </c>
      <c r="T1155">
        <f t="shared" si="97"/>
        <v>0.85389001584102597</v>
      </c>
      <c r="AD1155" s="7">
        <v>2.3104112188093273</v>
      </c>
    </row>
    <row r="1156" spans="1:30">
      <c r="A1156" s="3" t="s">
        <v>91</v>
      </c>
      <c r="B1156" s="3" t="s">
        <v>105</v>
      </c>
      <c r="C1156" s="3" t="s">
        <v>107</v>
      </c>
      <c r="D1156" s="3" t="s">
        <v>75</v>
      </c>
      <c r="E1156" s="3">
        <v>10</v>
      </c>
      <c r="F1156" s="3">
        <v>0.84158875525058396</v>
      </c>
      <c r="G1156" s="3">
        <v>2.2875751353780709</v>
      </c>
      <c r="H1156" s="3">
        <f t="shared" si="98"/>
        <v>-0.17246379824457819</v>
      </c>
      <c r="I1156" s="3">
        <f t="shared" si="99"/>
        <v>0.82749236369503532</v>
      </c>
      <c r="N1156">
        <f t="shared" si="95"/>
        <v>-0.17246379824457819</v>
      </c>
      <c r="O1156">
        <f t="shared" si="96"/>
        <v>0.82749236369503532</v>
      </c>
      <c r="P1156">
        <v>2.2875751353780709</v>
      </c>
      <c r="T1156">
        <f t="shared" si="97"/>
        <v>0.84158875525058396</v>
      </c>
      <c r="AD1156" s="7">
        <v>2.2875751353780709</v>
      </c>
    </row>
    <row r="1157" spans="1:30">
      <c r="A1157" s="3" t="s">
        <v>91</v>
      </c>
      <c r="B1157" s="3" t="s">
        <v>105</v>
      </c>
      <c r="C1157" s="3" t="s">
        <v>107</v>
      </c>
      <c r="D1157" s="3" t="s">
        <v>75</v>
      </c>
      <c r="E1157" s="3">
        <v>11</v>
      </c>
      <c r="F1157" s="3">
        <v>0.83873995944764701</v>
      </c>
      <c r="G1157" s="3">
        <v>2.2865257488163127</v>
      </c>
      <c r="H1157" s="3">
        <f t="shared" si="98"/>
        <v>-0.17585456162018048</v>
      </c>
      <c r="I1157" s="3">
        <f t="shared" si="99"/>
        <v>0.82703352528865248</v>
      </c>
      <c r="N1157">
        <f t="shared" si="95"/>
        <v>-0.17585456162018048</v>
      </c>
      <c r="O1157">
        <f t="shared" si="96"/>
        <v>0.82703352528865248</v>
      </c>
      <c r="P1157">
        <v>2.2865257488163127</v>
      </c>
      <c r="T1157">
        <f t="shared" si="97"/>
        <v>0.83873995944764701</v>
      </c>
      <c r="AD1157" s="7">
        <v>2.2865257488163127</v>
      </c>
    </row>
    <row r="1158" spans="1:30">
      <c r="A1158" s="3" t="s">
        <v>91</v>
      </c>
      <c r="B1158" s="3" t="s">
        <v>105</v>
      </c>
      <c r="C1158" s="3" t="s">
        <v>107</v>
      </c>
      <c r="D1158" s="3" t="s">
        <v>75</v>
      </c>
      <c r="E1158" s="3">
        <v>12</v>
      </c>
      <c r="F1158" s="3">
        <v>0.84864925264570801</v>
      </c>
      <c r="G1158" s="3">
        <v>2.2945587811167534</v>
      </c>
      <c r="H1158" s="3">
        <f t="shared" si="98"/>
        <v>-0.1641093080139899</v>
      </c>
      <c r="I1158" s="3">
        <f t="shared" si="99"/>
        <v>0.83054057279296956</v>
      </c>
      <c r="N1158">
        <f t="shared" si="95"/>
        <v>-0.1641093080139899</v>
      </c>
      <c r="O1158">
        <f t="shared" si="96"/>
        <v>0.83054057279296956</v>
      </c>
      <c r="P1158">
        <v>2.2945587811167534</v>
      </c>
      <c r="T1158">
        <f t="shared" si="97"/>
        <v>0.84864925264570801</v>
      </c>
      <c r="AD1158" s="7">
        <v>2.2945587811167534</v>
      </c>
    </row>
    <row r="1159" spans="1:30">
      <c r="A1159" s="3" t="s">
        <v>91</v>
      </c>
      <c r="B1159" s="3" t="s">
        <v>105</v>
      </c>
      <c r="C1159" s="3" t="s">
        <v>107</v>
      </c>
      <c r="D1159" s="3" t="s">
        <v>75</v>
      </c>
      <c r="E1159" s="3">
        <v>13</v>
      </c>
      <c r="F1159" s="3">
        <v>0.84641252107782705</v>
      </c>
      <c r="G1159" s="3">
        <v>2.3122499864850257</v>
      </c>
      <c r="H1159" s="3">
        <f t="shared" si="98"/>
        <v>-0.16674842465360576</v>
      </c>
      <c r="I1159" s="3">
        <f t="shared" si="99"/>
        <v>0.83822107060728723</v>
      </c>
      <c r="N1159">
        <f t="shared" si="95"/>
        <v>-0.16674842465360576</v>
      </c>
      <c r="O1159">
        <f t="shared" si="96"/>
        <v>0.83822107060728723</v>
      </c>
      <c r="P1159">
        <v>2.3122499864850257</v>
      </c>
      <c r="T1159">
        <f t="shared" si="97"/>
        <v>0.84641252107782705</v>
      </c>
      <c r="AD1159" s="7">
        <v>2.3122499864850257</v>
      </c>
    </row>
    <row r="1160" spans="1:30">
      <c r="A1160" s="3" t="s">
        <v>91</v>
      </c>
      <c r="B1160" s="3" t="s">
        <v>105</v>
      </c>
      <c r="C1160" s="3" t="s">
        <v>107</v>
      </c>
      <c r="D1160" s="3" t="s">
        <v>75</v>
      </c>
      <c r="E1160" s="3">
        <v>14</v>
      </c>
      <c r="F1160" s="3">
        <v>0.869986986566472</v>
      </c>
      <c r="G1160" s="3">
        <v>2.3129418496797536</v>
      </c>
      <c r="H1160" s="3">
        <f t="shared" si="98"/>
        <v>-0.1392770254149516</v>
      </c>
      <c r="I1160" s="3">
        <f t="shared" si="99"/>
        <v>0.83852024228465571</v>
      </c>
      <c r="N1160">
        <f t="shared" si="95"/>
        <v>-0.1392770254149516</v>
      </c>
      <c r="O1160">
        <f t="shared" si="96"/>
        <v>0.83852024228465571</v>
      </c>
      <c r="P1160">
        <v>2.3129418496797536</v>
      </c>
      <c r="T1160">
        <f t="shared" si="97"/>
        <v>0.869986986566472</v>
      </c>
      <c r="AD1160" s="7">
        <v>2.3129418496797536</v>
      </c>
    </row>
    <row r="1161" spans="1:30">
      <c r="A1161" s="3" t="s">
        <v>91</v>
      </c>
      <c r="B1161" s="3" t="s">
        <v>105</v>
      </c>
      <c r="C1161" s="3" t="s">
        <v>107</v>
      </c>
      <c r="D1161" s="3" t="s">
        <v>75</v>
      </c>
      <c r="E1161" s="3">
        <v>15</v>
      </c>
      <c r="F1161" s="3">
        <v>0.84064595536560005</v>
      </c>
      <c r="G1161" s="3">
        <v>2.204835594777987</v>
      </c>
      <c r="H1161" s="3">
        <f t="shared" si="98"/>
        <v>-0.17358468818668299</v>
      </c>
      <c r="I1161" s="3">
        <f t="shared" si="99"/>
        <v>0.79065294592767099</v>
      </c>
      <c r="N1161">
        <f t="shared" si="95"/>
        <v>-0.17358468818668299</v>
      </c>
      <c r="O1161">
        <f t="shared" si="96"/>
        <v>0.79065294592767099</v>
      </c>
      <c r="P1161">
        <v>2.204835594777987</v>
      </c>
      <c r="T1161">
        <f t="shared" si="97"/>
        <v>0.84064595536560005</v>
      </c>
      <c r="AD1161" s="7">
        <v>2.204835594777987</v>
      </c>
    </row>
    <row r="1162" spans="1:30">
      <c r="A1162" s="3" t="s">
        <v>91</v>
      </c>
      <c r="B1162" s="3" t="s">
        <v>105</v>
      </c>
      <c r="C1162" s="3" t="s">
        <v>107</v>
      </c>
      <c r="D1162" s="3" t="s">
        <v>75</v>
      </c>
      <c r="E1162" s="3">
        <v>16</v>
      </c>
      <c r="F1162" s="3">
        <v>0.83424882873636996</v>
      </c>
      <c r="G1162" s="3">
        <v>2.1854976549975982</v>
      </c>
      <c r="H1162" s="3">
        <f t="shared" si="98"/>
        <v>-0.1812235653236261</v>
      </c>
      <c r="I1162" s="3">
        <f t="shared" si="99"/>
        <v>0.78184356233854635</v>
      </c>
      <c r="N1162">
        <f t="shared" si="95"/>
        <v>-0.1812235653236261</v>
      </c>
      <c r="O1162">
        <f t="shared" si="96"/>
        <v>0.78184356233854635</v>
      </c>
      <c r="P1162">
        <v>2.1854976549975982</v>
      </c>
      <c r="T1162">
        <f t="shared" si="97"/>
        <v>0.83424882873636996</v>
      </c>
      <c r="AD1162" s="7">
        <v>2.1854976549975982</v>
      </c>
    </row>
    <row r="1163" spans="1:30">
      <c r="A1163" s="3" t="s">
        <v>91</v>
      </c>
      <c r="B1163" s="3" t="s">
        <v>105</v>
      </c>
      <c r="C1163" s="3" t="s">
        <v>107</v>
      </c>
      <c r="D1163" s="3" t="s">
        <v>75</v>
      </c>
      <c r="E1163" s="3">
        <v>17</v>
      </c>
      <c r="F1163" s="3">
        <v>0.83815046361318202</v>
      </c>
      <c r="G1163" s="3">
        <v>2.1799541279577421</v>
      </c>
      <c r="H1163" s="3">
        <f t="shared" si="98"/>
        <v>-0.17655764376632632</v>
      </c>
      <c r="I1163" s="3">
        <f t="shared" si="99"/>
        <v>0.77930383435838779</v>
      </c>
      <c r="N1163">
        <f t="shared" si="95"/>
        <v>-0.17655764376632632</v>
      </c>
      <c r="O1163">
        <f t="shared" si="96"/>
        <v>0.77930383435838779</v>
      </c>
      <c r="P1163">
        <v>2.1799541279577421</v>
      </c>
      <c r="T1163">
        <f t="shared" si="97"/>
        <v>0.83815046361318202</v>
      </c>
      <c r="AD1163" s="7">
        <v>2.1799541279577421</v>
      </c>
    </row>
    <row r="1164" spans="1:30">
      <c r="A1164" s="3" t="s">
        <v>91</v>
      </c>
      <c r="B1164" s="3" t="s">
        <v>105</v>
      </c>
      <c r="C1164" s="3" t="s">
        <v>107</v>
      </c>
      <c r="D1164" s="3" t="s">
        <v>75</v>
      </c>
      <c r="E1164" s="3">
        <v>18</v>
      </c>
      <c r="F1164" s="3">
        <v>0.82133137461604</v>
      </c>
      <c r="G1164" s="3">
        <v>2.2155134844996995</v>
      </c>
      <c r="H1164" s="3">
        <f t="shared" si="98"/>
        <v>-0.19682862780157934</v>
      </c>
      <c r="I1164" s="3">
        <f t="shared" si="99"/>
        <v>0.79548419807521953</v>
      </c>
      <c r="N1164">
        <f t="shared" si="95"/>
        <v>-0.19682862780157934</v>
      </c>
      <c r="O1164">
        <f t="shared" si="96"/>
        <v>0.79548419807521953</v>
      </c>
      <c r="P1164">
        <v>2.2155134844996995</v>
      </c>
      <c r="T1164">
        <f t="shared" si="97"/>
        <v>0.82133137461604</v>
      </c>
      <c r="AD1164" s="7">
        <v>2.2155134844996995</v>
      </c>
    </row>
    <row r="1165" spans="1:30">
      <c r="A1165" s="3" t="s">
        <v>91</v>
      </c>
      <c r="B1165" s="3" t="s">
        <v>105</v>
      </c>
      <c r="C1165" s="3" t="s">
        <v>107</v>
      </c>
      <c r="D1165" s="3" t="s">
        <v>75</v>
      </c>
      <c r="E1165" s="3">
        <v>19</v>
      </c>
      <c r="F1165" s="3">
        <v>0.83888084852796896</v>
      </c>
      <c r="G1165" s="3">
        <v>2.1791053209975879</v>
      </c>
      <c r="H1165" s="3">
        <f t="shared" si="98"/>
        <v>-0.17568659865741396</v>
      </c>
      <c r="I1165" s="3">
        <f t="shared" si="99"/>
        <v>0.77891438935043511</v>
      </c>
      <c r="N1165">
        <f t="shared" si="95"/>
        <v>-0.17568659865741396</v>
      </c>
      <c r="O1165">
        <f t="shared" si="96"/>
        <v>0.77891438935043511</v>
      </c>
      <c r="P1165">
        <v>2.1791053209975879</v>
      </c>
      <c r="T1165">
        <f t="shared" si="97"/>
        <v>0.83888084852796896</v>
      </c>
      <c r="AD1165" s="7">
        <v>2.1791053209975879</v>
      </c>
    </row>
    <row r="1166" spans="1:30">
      <c r="A1166" s="3" t="s">
        <v>91</v>
      </c>
      <c r="B1166" s="3" t="s">
        <v>105</v>
      </c>
      <c r="C1166" s="3" t="s">
        <v>107</v>
      </c>
      <c r="D1166" s="3" t="s">
        <v>75</v>
      </c>
      <c r="E1166" s="3">
        <v>20</v>
      </c>
      <c r="F1166" s="3">
        <v>0.84883579614821703</v>
      </c>
      <c r="G1166" s="3">
        <v>2.2297085011274453</v>
      </c>
      <c r="H1166" s="3">
        <f t="shared" si="98"/>
        <v>-0.16388951991819192</v>
      </c>
      <c r="I1166" s="3">
        <f t="shared" si="99"/>
        <v>0.8018708599446096</v>
      </c>
      <c r="N1166">
        <f t="shared" si="95"/>
        <v>-0.16388951991819192</v>
      </c>
      <c r="O1166">
        <f t="shared" si="96"/>
        <v>0.8018708599446096</v>
      </c>
      <c r="P1166">
        <v>2.2297085011274453</v>
      </c>
      <c r="T1166">
        <f t="shared" si="97"/>
        <v>0.84883579614821703</v>
      </c>
      <c r="AD1166" s="7">
        <v>2.2297085011274453</v>
      </c>
    </row>
    <row r="1167" spans="1:30">
      <c r="A1167" s="3" t="s">
        <v>91</v>
      </c>
      <c r="B1167" s="3" t="s">
        <v>106</v>
      </c>
      <c r="C1167" s="3" t="s">
        <v>107</v>
      </c>
      <c r="D1167" s="3" t="s">
        <v>79</v>
      </c>
      <c r="E1167" s="3">
        <v>1</v>
      </c>
      <c r="F1167" s="3">
        <v>0.82920008657448496</v>
      </c>
      <c r="G1167" s="3">
        <v>2.2466196829904255</v>
      </c>
      <c r="H1167" s="3">
        <f t="shared" si="98"/>
        <v>-0.18729379401327612</v>
      </c>
      <c r="I1167" s="3">
        <f t="shared" si="99"/>
        <v>0.80942672342189659</v>
      </c>
      <c r="N1167">
        <f t="shared" si="95"/>
        <v>-0.18729379401327612</v>
      </c>
      <c r="O1167">
        <f t="shared" si="96"/>
        <v>0.80942672342189659</v>
      </c>
      <c r="P1167">
        <v>2.2466196829904255</v>
      </c>
      <c r="T1167">
        <f t="shared" si="97"/>
        <v>0.82920008657448496</v>
      </c>
      <c r="AD1167" s="7">
        <v>2.2466196829904255</v>
      </c>
    </row>
    <row r="1168" spans="1:30">
      <c r="A1168" s="3" t="s">
        <v>91</v>
      </c>
      <c r="B1168" s="3" t="s">
        <v>106</v>
      </c>
      <c r="C1168" s="3" t="s">
        <v>107</v>
      </c>
      <c r="D1168" s="3" t="s">
        <v>79</v>
      </c>
      <c r="E1168" s="3">
        <v>2</v>
      </c>
      <c r="F1168" s="3">
        <v>0.81465297631338096</v>
      </c>
      <c r="G1168" s="3">
        <v>2.17846276075585</v>
      </c>
      <c r="H1168" s="3">
        <f t="shared" si="98"/>
        <v>-0.20499305235260595</v>
      </c>
      <c r="I1168" s="3">
        <f t="shared" si="99"/>
        <v>0.7786194724452532</v>
      </c>
      <c r="N1168">
        <f t="shared" si="95"/>
        <v>-0.20499305235260595</v>
      </c>
      <c r="O1168">
        <f t="shared" si="96"/>
        <v>0.7786194724452532</v>
      </c>
      <c r="P1168">
        <v>2.17846276075585</v>
      </c>
      <c r="T1168">
        <f t="shared" si="97"/>
        <v>0.81465297631338096</v>
      </c>
      <c r="AD1168" s="7">
        <v>2.17846276075585</v>
      </c>
    </row>
    <row r="1169" spans="1:30">
      <c r="A1169" s="3" t="s">
        <v>91</v>
      </c>
      <c r="B1169" s="3" t="s">
        <v>106</v>
      </c>
      <c r="C1169" s="3" t="s">
        <v>107</v>
      </c>
      <c r="D1169" s="3" t="s">
        <v>79</v>
      </c>
      <c r="E1169" s="3">
        <v>3</v>
      </c>
      <c r="F1169" s="3">
        <v>0.81346609918905399</v>
      </c>
      <c r="G1169" s="3">
        <v>2.1109239683134016</v>
      </c>
      <c r="H1169" s="3">
        <f t="shared" si="98"/>
        <v>-0.20645102597680762</v>
      </c>
      <c r="I1169" s="3">
        <f t="shared" si="99"/>
        <v>0.74712575131249126</v>
      </c>
      <c r="N1169">
        <f t="shared" si="95"/>
        <v>-0.20645102597680762</v>
      </c>
      <c r="O1169">
        <f t="shared" si="96"/>
        <v>0.74712575131249126</v>
      </c>
      <c r="P1169">
        <v>2.1109239683134016</v>
      </c>
      <c r="T1169">
        <f t="shared" si="97"/>
        <v>0.81346609918905399</v>
      </c>
      <c r="AD1169" s="7">
        <v>2.1109239683134016</v>
      </c>
    </row>
    <row r="1170" spans="1:30">
      <c r="A1170" s="3" t="s">
        <v>91</v>
      </c>
      <c r="B1170" s="3" t="s">
        <v>106</v>
      </c>
      <c r="C1170" s="3" t="s">
        <v>107</v>
      </c>
      <c r="D1170" s="3" t="s">
        <v>79</v>
      </c>
      <c r="E1170" s="3">
        <v>4</v>
      </c>
      <c r="F1170" s="3">
        <v>0.81655984206906196</v>
      </c>
      <c r="G1170" s="3">
        <v>2.1742354978244651</v>
      </c>
      <c r="H1170" s="3">
        <f t="shared" si="98"/>
        <v>-0.20265507829699661</v>
      </c>
      <c r="I1170" s="3">
        <f t="shared" si="99"/>
        <v>0.77667710749859198</v>
      </c>
      <c r="N1170">
        <f t="shared" si="95"/>
        <v>-0.20265507829699661</v>
      </c>
      <c r="O1170">
        <f t="shared" si="96"/>
        <v>0.77667710749859198</v>
      </c>
      <c r="P1170">
        <v>2.1742354978244651</v>
      </c>
      <c r="T1170">
        <f t="shared" si="97"/>
        <v>0.81655984206906196</v>
      </c>
      <c r="AD1170" s="7">
        <v>2.1742354978244651</v>
      </c>
    </row>
    <row r="1171" spans="1:30">
      <c r="A1171" s="3" t="s">
        <v>91</v>
      </c>
      <c r="B1171" s="3" t="s">
        <v>106</v>
      </c>
      <c r="C1171" s="3" t="s">
        <v>107</v>
      </c>
      <c r="D1171" s="3" t="s">
        <v>79</v>
      </c>
      <c r="E1171" s="3">
        <v>5</v>
      </c>
      <c r="F1171" s="3">
        <v>0.85339979000736299</v>
      </c>
      <c r="G1171" s="3">
        <v>2.2723776094654689</v>
      </c>
      <c r="H1171" s="3">
        <f t="shared" si="98"/>
        <v>-0.15852715429416533</v>
      </c>
      <c r="I1171" s="3">
        <f t="shared" si="99"/>
        <v>0.82082668839822881</v>
      </c>
      <c r="N1171">
        <f t="shared" si="95"/>
        <v>-0.15852715429416533</v>
      </c>
      <c r="O1171">
        <f t="shared" si="96"/>
        <v>0.82082668839822881</v>
      </c>
      <c r="P1171">
        <v>2.2723776094654689</v>
      </c>
      <c r="T1171">
        <f t="shared" si="97"/>
        <v>0.85339979000736299</v>
      </c>
      <c r="AD1171" s="7">
        <v>2.2723776094654689</v>
      </c>
    </row>
    <row r="1172" spans="1:30">
      <c r="A1172" s="3" t="s">
        <v>91</v>
      </c>
      <c r="B1172" s="3" t="s">
        <v>106</v>
      </c>
      <c r="C1172" s="3" t="s">
        <v>107</v>
      </c>
      <c r="D1172" s="3" t="s">
        <v>79</v>
      </c>
      <c r="E1172" s="3">
        <v>6</v>
      </c>
      <c r="F1172" s="3">
        <v>0.82761699382972898</v>
      </c>
      <c r="G1172" s="3">
        <v>2.1242645786248002</v>
      </c>
      <c r="H1172" s="3">
        <f t="shared" si="98"/>
        <v>-0.18920479945287472</v>
      </c>
      <c r="I1172" s="3">
        <f t="shared" si="99"/>
        <v>0.75342566182949966</v>
      </c>
      <c r="N1172">
        <f t="shared" si="95"/>
        <v>-0.18920479945287472</v>
      </c>
      <c r="O1172">
        <f t="shared" si="96"/>
        <v>0.75342566182949966</v>
      </c>
      <c r="P1172">
        <v>2.1242645786248002</v>
      </c>
      <c r="T1172">
        <f t="shared" si="97"/>
        <v>0.82761699382972898</v>
      </c>
      <c r="AD1172" s="7">
        <v>2.1242645786248002</v>
      </c>
    </row>
    <row r="1173" spans="1:30">
      <c r="A1173" s="3" t="s">
        <v>91</v>
      </c>
      <c r="B1173" s="3" t="s">
        <v>106</v>
      </c>
      <c r="C1173" s="3" t="s">
        <v>107</v>
      </c>
      <c r="D1173" s="3" t="s">
        <v>79</v>
      </c>
      <c r="E1173" s="3">
        <v>7</v>
      </c>
      <c r="F1173" s="3">
        <v>0.83295918971664495</v>
      </c>
      <c r="G1173" s="3">
        <v>2.2408257406590097</v>
      </c>
      <c r="H1173" s="3">
        <f t="shared" si="98"/>
        <v>-0.18277062995223928</v>
      </c>
      <c r="I1173" s="3">
        <f t="shared" si="99"/>
        <v>0.80684443216081903</v>
      </c>
      <c r="N1173">
        <f t="shared" si="95"/>
        <v>-0.18277062995223928</v>
      </c>
      <c r="O1173">
        <f t="shared" si="96"/>
        <v>0.80684443216081903</v>
      </c>
      <c r="P1173">
        <v>2.2408257406590097</v>
      </c>
      <c r="T1173">
        <f t="shared" si="97"/>
        <v>0.83295918971664495</v>
      </c>
      <c r="AD1173" s="7">
        <v>2.2408257406590097</v>
      </c>
    </row>
    <row r="1174" spans="1:30">
      <c r="A1174" s="3" t="s">
        <v>91</v>
      </c>
      <c r="B1174" s="3" t="s">
        <v>106</v>
      </c>
      <c r="C1174" s="3" t="s">
        <v>107</v>
      </c>
      <c r="D1174" s="3" t="s">
        <v>79</v>
      </c>
      <c r="E1174" s="3">
        <v>8</v>
      </c>
      <c r="F1174" s="3">
        <v>0.84733368672595299</v>
      </c>
      <c r="G1174" s="3">
        <v>2.1850400453996257</v>
      </c>
      <c r="H1174" s="3">
        <f t="shared" si="98"/>
        <v>-0.16566069883647369</v>
      </c>
      <c r="I1174" s="3">
        <f t="shared" si="99"/>
        <v>0.78163415579362483</v>
      </c>
      <c r="N1174">
        <f t="shared" si="95"/>
        <v>-0.16566069883647369</v>
      </c>
      <c r="O1174">
        <f t="shared" si="96"/>
        <v>0.78163415579362483</v>
      </c>
      <c r="P1174">
        <v>2.1850400453996257</v>
      </c>
      <c r="T1174">
        <f t="shared" si="97"/>
        <v>0.84733368672595299</v>
      </c>
      <c r="AD1174" s="7">
        <v>2.1850400453996257</v>
      </c>
    </row>
    <row r="1175" spans="1:30">
      <c r="A1175" s="3" t="s">
        <v>91</v>
      </c>
      <c r="B1175" s="3" t="s">
        <v>106</v>
      </c>
      <c r="C1175" s="3" t="s">
        <v>107</v>
      </c>
      <c r="D1175" s="3" t="s">
        <v>79</v>
      </c>
      <c r="E1175" s="3">
        <v>9</v>
      </c>
      <c r="F1175" s="3">
        <v>0.83306516179988099</v>
      </c>
      <c r="G1175" s="3">
        <v>2.1172859986312664</v>
      </c>
      <c r="H1175" s="3">
        <f t="shared" si="98"/>
        <v>-0.18264341442470813</v>
      </c>
      <c r="I1175" s="3">
        <f t="shared" si="99"/>
        <v>0.75013507921665989</v>
      </c>
      <c r="N1175">
        <f t="shared" si="95"/>
        <v>-0.18264341442470813</v>
      </c>
      <c r="O1175">
        <f t="shared" si="96"/>
        <v>0.75013507921665989</v>
      </c>
      <c r="P1175">
        <v>2.1172859986312664</v>
      </c>
      <c r="T1175">
        <f t="shared" si="97"/>
        <v>0.83306516179988099</v>
      </c>
      <c r="AD1175" s="7">
        <v>2.1172859986312664</v>
      </c>
    </row>
    <row r="1176" spans="1:30">
      <c r="A1176" s="3" t="s">
        <v>91</v>
      </c>
      <c r="B1176" s="3" t="s">
        <v>106</v>
      </c>
      <c r="C1176" s="3" t="s">
        <v>107</v>
      </c>
      <c r="D1176" s="3" t="s">
        <v>79</v>
      </c>
      <c r="E1176" s="3">
        <v>10</v>
      </c>
      <c r="F1176" s="3">
        <v>0.80443520711702998</v>
      </c>
      <c r="G1176" s="3">
        <v>2.1601157376399995</v>
      </c>
      <c r="H1176" s="3">
        <f t="shared" si="98"/>
        <v>-0.21761485387009347</v>
      </c>
      <c r="I1176" s="3">
        <f t="shared" si="99"/>
        <v>0.77016180250133714</v>
      </c>
      <c r="N1176">
        <f t="shared" si="95"/>
        <v>-0.21761485387009347</v>
      </c>
      <c r="O1176">
        <f t="shared" si="96"/>
        <v>0.77016180250133714</v>
      </c>
      <c r="P1176">
        <v>2.1601157376399995</v>
      </c>
      <c r="T1176">
        <f t="shared" si="97"/>
        <v>0.80443520711702998</v>
      </c>
      <c r="AD1176" s="7">
        <v>2.1601157376399995</v>
      </c>
    </row>
    <row r="1177" spans="1:30">
      <c r="A1177" s="3" t="s">
        <v>91</v>
      </c>
      <c r="B1177" s="3" t="s">
        <v>106</v>
      </c>
      <c r="C1177" s="3" t="s">
        <v>107</v>
      </c>
      <c r="D1177" s="3" t="s">
        <v>79</v>
      </c>
      <c r="E1177" s="3">
        <v>11</v>
      </c>
      <c r="F1177" s="3">
        <v>0.82008950682662196</v>
      </c>
      <c r="G1177" s="3">
        <v>2.2370739817896057</v>
      </c>
      <c r="H1177" s="3">
        <f t="shared" si="98"/>
        <v>-0.19834179001416324</v>
      </c>
      <c r="I1177" s="3">
        <f t="shared" si="99"/>
        <v>0.80516875383846831</v>
      </c>
      <c r="N1177">
        <f t="shared" si="95"/>
        <v>-0.19834179001416324</v>
      </c>
      <c r="O1177">
        <f t="shared" si="96"/>
        <v>0.80516875383846831</v>
      </c>
      <c r="P1177">
        <v>2.2370739817896057</v>
      </c>
      <c r="T1177">
        <f t="shared" si="97"/>
        <v>0.82008950682662196</v>
      </c>
      <c r="AD1177" s="7">
        <v>2.2370739817896057</v>
      </c>
    </row>
    <row r="1178" spans="1:30">
      <c r="A1178" s="3" t="s">
        <v>91</v>
      </c>
      <c r="B1178" s="3" t="s">
        <v>106</v>
      </c>
      <c r="C1178" s="3" t="s">
        <v>107</v>
      </c>
      <c r="D1178" s="3" t="s">
        <v>79</v>
      </c>
      <c r="E1178" s="3">
        <v>12</v>
      </c>
      <c r="F1178" s="3">
        <v>0.81795616045363395</v>
      </c>
      <c r="G1178" s="3">
        <v>2.116317556511782</v>
      </c>
      <c r="H1178" s="3">
        <f t="shared" si="98"/>
        <v>-0.20094653739304169</v>
      </c>
      <c r="I1178" s="3">
        <f t="shared" si="99"/>
        <v>0.74967757670195234</v>
      </c>
      <c r="N1178">
        <f t="shared" si="95"/>
        <v>-0.20094653739304169</v>
      </c>
      <c r="O1178">
        <f t="shared" si="96"/>
        <v>0.74967757670195234</v>
      </c>
      <c r="P1178">
        <v>2.116317556511782</v>
      </c>
      <c r="T1178">
        <f t="shared" si="97"/>
        <v>0.81795616045363395</v>
      </c>
      <c r="AD1178" s="7">
        <v>2.116317556511782</v>
      </c>
    </row>
    <row r="1179" spans="1:30">
      <c r="A1179" s="3" t="s">
        <v>91</v>
      </c>
      <c r="B1179" s="3" t="s">
        <v>106</v>
      </c>
      <c r="C1179" s="3" t="s">
        <v>107</v>
      </c>
      <c r="D1179" s="3" t="s">
        <v>79</v>
      </c>
      <c r="E1179" s="3">
        <v>13</v>
      </c>
      <c r="F1179" s="3">
        <v>0.81025043460795698</v>
      </c>
      <c r="G1179" s="3">
        <v>2.1574522010927613</v>
      </c>
      <c r="H1179" s="3">
        <f t="shared" si="98"/>
        <v>-0.21041190057314252</v>
      </c>
      <c r="I1179" s="3">
        <f t="shared" si="99"/>
        <v>0.76892798896421377</v>
      </c>
      <c r="N1179">
        <f t="shared" si="95"/>
        <v>-0.21041190057314252</v>
      </c>
      <c r="O1179">
        <f t="shared" si="96"/>
        <v>0.76892798896421377</v>
      </c>
      <c r="P1179">
        <v>2.1574522010927613</v>
      </c>
      <c r="T1179">
        <f t="shared" si="97"/>
        <v>0.81025043460795698</v>
      </c>
      <c r="AD1179" s="7">
        <v>2.1574522010927613</v>
      </c>
    </row>
    <row r="1180" spans="1:30">
      <c r="A1180" s="3" t="s">
        <v>91</v>
      </c>
      <c r="B1180" s="3" t="s">
        <v>106</v>
      </c>
      <c r="C1180" s="3" t="s">
        <v>107</v>
      </c>
      <c r="D1180" s="3" t="s">
        <v>79</v>
      </c>
      <c r="E1180" s="3">
        <v>15</v>
      </c>
      <c r="F1180" s="3">
        <v>0.80263876462749895</v>
      </c>
      <c r="G1180" s="3">
        <v>2.2411827234743709</v>
      </c>
      <c r="H1180" s="3">
        <f t="shared" si="98"/>
        <v>-0.21985052350244014</v>
      </c>
      <c r="I1180" s="3">
        <f t="shared" si="99"/>
        <v>0.80700372807423493</v>
      </c>
      <c r="N1180">
        <f t="shared" si="95"/>
        <v>-0.21985052350244014</v>
      </c>
      <c r="O1180">
        <f t="shared" si="96"/>
        <v>0.80700372807423493</v>
      </c>
      <c r="P1180">
        <v>2.2411827234743709</v>
      </c>
      <c r="T1180">
        <f t="shared" si="97"/>
        <v>0.80263876462749895</v>
      </c>
      <c r="AD1180" s="7">
        <v>2.2411827234743709</v>
      </c>
    </row>
    <row r="1181" spans="1:30">
      <c r="A1181" s="3" t="s">
        <v>91</v>
      </c>
      <c r="B1181" s="3" t="s">
        <v>106</v>
      </c>
      <c r="C1181" s="3" t="s">
        <v>107</v>
      </c>
      <c r="D1181" s="3" t="s">
        <v>79</v>
      </c>
      <c r="E1181" s="3">
        <v>16</v>
      </c>
      <c r="F1181" s="3">
        <v>0.86168452211765001</v>
      </c>
      <c r="G1181" s="3">
        <v>2.3170886905770356</v>
      </c>
      <c r="H1181" s="3">
        <f t="shared" si="98"/>
        <v>-0.1488660589290105</v>
      </c>
      <c r="I1181" s="3">
        <f t="shared" si="99"/>
        <v>0.84031152291231137</v>
      </c>
      <c r="N1181">
        <f t="shared" si="95"/>
        <v>-0.1488660589290105</v>
      </c>
      <c r="O1181">
        <f t="shared" si="96"/>
        <v>0.84031152291231137</v>
      </c>
      <c r="P1181">
        <v>2.3170886905770356</v>
      </c>
      <c r="T1181">
        <f t="shared" si="97"/>
        <v>0.86168452211765001</v>
      </c>
      <c r="AD1181" s="7">
        <v>2.3170886905770356</v>
      </c>
    </row>
    <row r="1182" spans="1:30">
      <c r="A1182" s="3" t="s">
        <v>91</v>
      </c>
      <c r="B1182" s="3" t="s">
        <v>106</v>
      </c>
      <c r="C1182" s="3" t="s">
        <v>107</v>
      </c>
      <c r="D1182" s="3" t="s">
        <v>79</v>
      </c>
      <c r="E1182" s="3">
        <v>17</v>
      </c>
      <c r="F1182" s="3">
        <v>0.83888363006431599</v>
      </c>
      <c r="G1182" s="3">
        <v>2.2360679774997898</v>
      </c>
      <c r="H1182" s="3">
        <f t="shared" si="98"/>
        <v>-0.17568328289243917</v>
      </c>
      <c r="I1182" s="3">
        <f t="shared" si="99"/>
        <v>0.80471895621705025</v>
      </c>
      <c r="N1182">
        <f t="shared" si="95"/>
        <v>-0.17568328289243917</v>
      </c>
      <c r="O1182">
        <f t="shared" si="96"/>
        <v>0.80471895621705025</v>
      </c>
      <c r="P1182">
        <v>2.2360679774997898</v>
      </c>
      <c r="T1182">
        <f t="shared" si="97"/>
        <v>0.83888363006431599</v>
      </c>
      <c r="AD1182" s="7">
        <v>2.2360679774997898</v>
      </c>
    </row>
    <row r="1183" spans="1:30">
      <c r="A1183" s="3" t="s">
        <v>91</v>
      </c>
      <c r="B1183" s="3" t="s">
        <v>106</v>
      </c>
      <c r="C1183" s="3" t="s">
        <v>107</v>
      </c>
      <c r="D1183" s="3" t="s">
        <v>79</v>
      </c>
      <c r="E1183" s="3">
        <v>18</v>
      </c>
      <c r="F1183" s="3">
        <v>0.83889528151203996</v>
      </c>
      <c r="G1183" s="3">
        <v>2.1517667159801501</v>
      </c>
      <c r="H1183" s="3">
        <f t="shared" si="98"/>
        <v>-0.17566939375884263</v>
      </c>
      <c r="I1183" s="3">
        <f t="shared" si="99"/>
        <v>0.76628923306852081</v>
      </c>
      <c r="N1183">
        <f t="shared" si="95"/>
        <v>-0.17566939375884263</v>
      </c>
      <c r="O1183">
        <f t="shared" si="96"/>
        <v>0.76628923306852081</v>
      </c>
      <c r="P1183">
        <v>2.1517667159801501</v>
      </c>
      <c r="T1183">
        <f t="shared" si="97"/>
        <v>0.83889528151203996</v>
      </c>
      <c r="AD1183" s="7">
        <v>2.1517667159801501</v>
      </c>
    </row>
    <row r="1184" spans="1:30">
      <c r="A1184" s="3" t="s">
        <v>91</v>
      </c>
      <c r="B1184" s="3" t="s">
        <v>106</v>
      </c>
      <c r="C1184" s="3" t="s">
        <v>107</v>
      </c>
      <c r="D1184" s="3" t="s">
        <v>79</v>
      </c>
      <c r="E1184" s="3">
        <v>19</v>
      </c>
      <c r="F1184" s="3">
        <v>0.85020013727982402</v>
      </c>
      <c r="G1184" s="3">
        <v>2.1953131895016709</v>
      </c>
      <c r="H1184" s="3">
        <f t="shared" si="98"/>
        <v>-0.16228350158977742</v>
      </c>
      <c r="I1184" s="3">
        <f t="shared" si="99"/>
        <v>0.78632471949313221</v>
      </c>
      <c r="N1184">
        <f t="shared" si="95"/>
        <v>-0.16228350158977742</v>
      </c>
      <c r="O1184">
        <f t="shared" si="96"/>
        <v>0.78632471949313221</v>
      </c>
      <c r="P1184">
        <v>2.1953131895016709</v>
      </c>
      <c r="T1184">
        <f t="shared" si="97"/>
        <v>0.85020013727982402</v>
      </c>
      <c r="AD1184" s="7">
        <v>2.1953131895016709</v>
      </c>
    </row>
    <row r="1185" spans="1:30">
      <c r="A1185" s="3" t="s">
        <v>91</v>
      </c>
      <c r="B1185" s="3" t="s">
        <v>106</v>
      </c>
      <c r="C1185" s="3" t="s">
        <v>107</v>
      </c>
      <c r="D1185" s="3" t="s">
        <v>79</v>
      </c>
      <c r="E1185" s="3">
        <v>20</v>
      </c>
      <c r="F1185" s="3">
        <v>0.82003531859396295</v>
      </c>
      <c r="G1185" s="3">
        <v>2.1868927728629037</v>
      </c>
      <c r="H1185" s="3">
        <f t="shared" si="98"/>
        <v>-0.1984078681953344</v>
      </c>
      <c r="I1185" s="3">
        <f t="shared" si="99"/>
        <v>0.78248171116613541</v>
      </c>
      <c r="N1185">
        <f t="shared" si="95"/>
        <v>-0.1984078681953344</v>
      </c>
      <c r="O1185">
        <f t="shared" si="96"/>
        <v>0.78248171116613541</v>
      </c>
      <c r="P1185">
        <v>2.1868927728629037</v>
      </c>
      <c r="T1185">
        <f t="shared" si="97"/>
        <v>0.82003531859396295</v>
      </c>
      <c r="AD1185" s="7">
        <v>2.1868927728629037</v>
      </c>
    </row>
    <row r="1186" spans="1:30">
      <c r="A1186" s="3" t="s">
        <v>91</v>
      </c>
      <c r="B1186" s="3" t="s">
        <v>106</v>
      </c>
      <c r="C1186" s="3" t="s">
        <v>107</v>
      </c>
      <c r="D1186" s="3" t="s">
        <v>79</v>
      </c>
      <c r="E1186" s="3">
        <v>21</v>
      </c>
      <c r="F1186" s="3">
        <v>0.81808908338987896</v>
      </c>
      <c r="G1186" s="3">
        <v>2.2063997824510411</v>
      </c>
      <c r="H1186" s="3">
        <f t="shared" si="98"/>
        <v>-0.20078404440938163</v>
      </c>
      <c r="I1186" s="3">
        <f t="shared" si="99"/>
        <v>0.79136212945783868</v>
      </c>
      <c r="N1186">
        <f t="shared" si="95"/>
        <v>-0.20078404440938163</v>
      </c>
      <c r="O1186">
        <f t="shared" si="96"/>
        <v>0.79136212945783868</v>
      </c>
      <c r="P1186">
        <v>2.2063997824510411</v>
      </c>
      <c r="T1186">
        <f t="shared" si="97"/>
        <v>0.81808908338987896</v>
      </c>
      <c r="AD1186" s="7">
        <v>2.2063997824510411</v>
      </c>
    </row>
    <row r="1187" spans="1:30">
      <c r="A1187" s="3" t="s">
        <v>91</v>
      </c>
      <c r="B1187" s="3" t="s">
        <v>106</v>
      </c>
      <c r="C1187" s="3" t="s">
        <v>107</v>
      </c>
      <c r="D1187" s="3" t="s">
        <v>75</v>
      </c>
      <c r="E1187" s="3">
        <v>2</v>
      </c>
      <c r="F1187" s="3">
        <v>0.82982678728506498</v>
      </c>
      <c r="G1187" s="3">
        <v>2.1883555469804259</v>
      </c>
      <c r="H1187" s="3">
        <f t="shared" si="98"/>
        <v>-0.18653828998827932</v>
      </c>
      <c r="I1187" s="3">
        <f t="shared" si="99"/>
        <v>0.78315036997820286</v>
      </c>
      <c r="N1187">
        <f t="shared" si="95"/>
        <v>-0.18653828998827932</v>
      </c>
      <c r="O1187">
        <f t="shared" si="96"/>
        <v>0.78315036997820286</v>
      </c>
      <c r="P1187">
        <v>2.1883555469804259</v>
      </c>
      <c r="T1187">
        <f t="shared" si="97"/>
        <v>0.82982678728506498</v>
      </c>
      <c r="AD1187" s="7">
        <v>2.1883555469804259</v>
      </c>
    </row>
    <row r="1188" spans="1:30">
      <c r="A1188" s="3" t="s">
        <v>91</v>
      </c>
      <c r="B1188" s="3" t="s">
        <v>106</v>
      </c>
      <c r="C1188" s="3" t="s">
        <v>107</v>
      </c>
      <c r="D1188" s="3" t="s">
        <v>75</v>
      </c>
      <c r="E1188" s="3">
        <v>3</v>
      </c>
      <c r="F1188" s="3">
        <v>0.81148397415886597</v>
      </c>
      <c r="G1188" s="3">
        <v>2.1535552001283831</v>
      </c>
      <c r="H1188" s="3">
        <f t="shared" si="98"/>
        <v>-0.2088906406404038</v>
      </c>
      <c r="I1188" s="3">
        <f t="shared" si="99"/>
        <v>0.7671200579340991</v>
      </c>
      <c r="N1188">
        <f t="shared" si="95"/>
        <v>-0.2088906406404038</v>
      </c>
      <c r="O1188">
        <f t="shared" si="96"/>
        <v>0.7671200579340991</v>
      </c>
      <c r="P1188">
        <v>2.1535552001283831</v>
      </c>
      <c r="T1188">
        <f t="shared" si="97"/>
        <v>0.81148397415886597</v>
      </c>
      <c r="AD1188" s="7">
        <v>2.1535552001283831</v>
      </c>
    </row>
    <row r="1189" spans="1:30">
      <c r="A1189" s="3" t="s">
        <v>91</v>
      </c>
      <c r="B1189" s="3" t="s">
        <v>106</v>
      </c>
      <c r="C1189" s="3" t="s">
        <v>107</v>
      </c>
      <c r="D1189" s="3" t="s">
        <v>75</v>
      </c>
      <c r="E1189" s="3">
        <v>4</v>
      </c>
      <c r="F1189" s="3">
        <v>0.81238185903093896</v>
      </c>
      <c r="G1189" s="3">
        <v>2.2163483480716657</v>
      </c>
      <c r="H1189" s="3">
        <f t="shared" si="98"/>
        <v>-0.20778477962008374</v>
      </c>
      <c r="I1189" s="3">
        <f t="shared" si="99"/>
        <v>0.7958609533141604</v>
      </c>
      <c r="N1189">
        <f t="shared" si="95"/>
        <v>-0.20778477962008374</v>
      </c>
      <c r="O1189">
        <f t="shared" si="96"/>
        <v>0.7958609533141604</v>
      </c>
      <c r="P1189">
        <v>2.2163483480716657</v>
      </c>
      <c r="T1189">
        <f t="shared" si="97"/>
        <v>0.81238185903093896</v>
      </c>
      <c r="AD1189" s="7">
        <v>2.2163483480716657</v>
      </c>
    </row>
    <row r="1190" spans="1:30">
      <c r="A1190" s="3" t="s">
        <v>91</v>
      </c>
      <c r="B1190" s="3" t="s">
        <v>106</v>
      </c>
      <c r="C1190" s="3" t="s">
        <v>107</v>
      </c>
      <c r="D1190" s="3" t="s">
        <v>75</v>
      </c>
      <c r="E1190" s="3">
        <v>5</v>
      </c>
      <c r="F1190" s="3">
        <v>0.811216265519493</v>
      </c>
      <c r="G1190" s="3">
        <v>2.1446211786700236</v>
      </c>
      <c r="H1190" s="3">
        <f t="shared" si="98"/>
        <v>-0.20922059516343366</v>
      </c>
      <c r="I1190" s="3">
        <f t="shared" si="99"/>
        <v>0.76296293010254246</v>
      </c>
      <c r="N1190">
        <f t="shared" si="95"/>
        <v>-0.20922059516343366</v>
      </c>
      <c r="O1190">
        <f t="shared" si="96"/>
        <v>0.76296293010254246</v>
      </c>
      <c r="P1190">
        <v>2.1446211786700236</v>
      </c>
      <c r="T1190">
        <f t="shared" si="97"/>
        <v>0.811216265519493</v>
      </c>
      <c r="AD1190" s="7">
        <v>2.1446211786700236</v>
      </c>
    </row>
    <row r="1191" spans="1:30">
      <c r="A1191" s="3" t="s">
        <v>91</v>
      </c>
      <c r="B1191" s="3" t="s">
        <v>106</v>
      </c>
      <c r="C1191" s="3" t="s">
        <v>107</v>
      </c>
      <c r="D1191" s="3" t="s">
        <v>75</v>
      </c>
      <c r="E1191" s="3">
        <v>6</v>
      </c>
      <c r="F1191" s="3">
        <v>0.82382333928979301</v>
      </c>
      <c r="G1191" s="3">
        <v>2.2629184695874485</v>
      </c>
      <c r="H1191" s="3">
        <f t="shared" si="98"/>
        <v>-0.19379916612414363</v>
      </c>
      <c r="I1191" s="3">
        <f t="shared" si="99"/>
        <v>0.81665533842282834</v>
      </c>
      <c r="N1191">
        <f t="shared" si="95"/>
        <v>-0.19379916612414363</v>
      </c>
      <c r="O1191">
        <f t="shared" si="96"/>
        <v>0.81665533842282834</v>
      </c>
      <c r="P1191">
        <v>2.2629184695874485</v>
      </c>
      <c r="T1191">
        <f t="shared" si="97"/>
        <v>0.82382333928979301</v>
      </c>
      <c r="AD1191" s="7">
        <v>2.2629184695874485</v>
      </c>
    </row>
    <row r="1192" spans="1:30">
      <c r="A1192" s="3" t="s">
        <v>91</v>
      </c>
      <c r="B1192" s="3" t="s">
        <v>106</v>
      </c>
      <c r="C1192" s="3" t="s">
        <v>107</v>
      </c>
      <c r="D1192" s="3" t="s">
        <v>75</v>
      </c>
      <c r="E1192" s="3">
        <v>8</v>
      </c>
      <c r="F1192" s="3">
        <v>0.83413461402241595</v>
      </c>
      <c r="G1192" s="3">
        <v>2.2354417907876734</v>
      </c>
      <c r="H1192" s="3">
        <f t="shared" si="98"/>
        <v>-0.18136048194747315</v>
      </c>
      <c r="I1192" s="3">
        <f t="shared" si="99"/>
        <v>0.80443887778776857</v>
      </c>
      <c r="N1192">
        <f t="shared" si="95"/>
        <v>-0.18136048194747315</v>
      </c>
      <c r="O1192">
        <f t="shared" si="96"/>
        <v>0.80443887778776857</v>
      </c>
      <c r="P1192">
        <v>2.2354417907876734</v>
      </c>
      <c r="T1192">
        <f t="shared" si="97"/>
        <v>0.83413461402241595</v>
      </c>
      <c r="AD1192" s="7">
        <v>2.2354417907876734</v>
      </c>
    </row>
    <row r="1193" spans="1:30">
      <c r="A1193" s="3" t="s">
        <v>91</v>
      </c>
      <c r="B1193" s="3" t="s">
        <v>106</v>
      </c>
      <c r="C1193" s="3" t="s">
        <v>107</v>
      </c>
      <c r="D1193" s="3" t="s">
        <v>75</v>
      </c>
      <c r="E1193" s="3">
        <v>9</v>
      </c>
      <c r="F1193" s="3">
        <v>0.81959681931397299</v>
      </c>
      <c r="G1193" s="3">
        <v>2.16453228204155</v>
      </c>
      <c r="H1193" s="3">
        <f t="shared" si="98"/>
        <v>-0.19894274340338405</v>
      </c>
      <c r="I1193" s="3">
        <f t="shared" si="99"/>
        <v>0.77220430210679125</v>
      </c>
      <c r="N1193">
        <f t="shared" si="95"/>
        <v>-0.19894274340338405</v>
      </c>
      <c r="O1193">
        <f t="shared" si="96"/>
        <v>0.77220430210679125</v>
      </c>
      <c r="P1193">
        <v>2.16453228204155</v>
      </c>
      <c r="T1193">
        <f t="shared" si="97"/>
        <v>0.81959681931397299</v>
      </c>
      <c r="AD1193" s="7">
        <v>2.16453228204155</v>
      </c>
    </row>
    <row r="1194" spans="1:30">
      <c r="A1194" s="3" t="s">
        <v>91</v>
      </c>
      <c r="B1194" s="3" t="s">
        <v>106</v>
      </c>
      <c r="C1194" s="3" t="s">
        <v>107</v>
      </c>
      <c r="D1194" s="3" t="s">
        <v>75</v>
      </c>
      <c r="E1194" s="3">
        <v>10</v>
      </c>
      <c r="F1194" s="3">
        <v>0.80562234310699199</v>
      </c>
      <c r="G1194" s="3">
        <v>2.1868927728629037</v>
      </c>
      <c r="H1194" s="3">
        <f t="shared" si="98"/>
        <v>-0.21614020322182922</v>
      </c>
      <c r="I1194" s="3">
        <f t="shared" si="99"/>
        <v>0.78248171116613541</v>
      </c>
      <c r="N1194">
        <f t="shared" si="95"/>
        <v>-0.21614020322182922</v>
      </c>
      <c r="O1194">
        <f t="shared" si="96"/>
        <v>0.78248171116613541</v>
      </c>
      <c r="P1194">
        <v>2.1868927728629037</v>
      </c>
      <c r="T1194">
        <f t="shared" si="97"/>
        <v>0.80562234310699199</v>
      </c>
      <c r="AD1194" s="7">
        <v>2.1868927728629037</v>
      </c>
    </row>
    <row r="1195" spans="1:30">
      <c r="A1195" s="3" t="s">
        <v>91</v>
      </c>
      <c r="B1195" s="3" t="s">
        <v>106</v>
      </c>
      <c r="C1195" s="3" t="s">
        <v>107</v>
      </c>
      <c r="D1195" s="3" t="s">
        <v>75</v>
      </c>
      <c r="E1195" s="3">
        <v>11</v>
      </c>
      <c r="F1195" s="3">
        <v>0.78957395276183295</v>
      </c>
      <c r="G1195" s="3">
        <v>2.2027482833950867</v>
      </c>
      <c r="H1195" s="3">
        <f t="shared" si="98"/>
        <v>-0.23626177929726011</v>
      </c>
      <c r="I1195" s="3">
        <f t="shared" si="99"/>
        <v>0.78970580046356387</v>
      </c>
      <c r="N1195">
        <f t="shared" ref="N1195:N1205" si="100">LN(F1195)</f>
        <v>-0.23626177929726011</v>
      </c>
      <c r="O1195">
        <f t="shared" ref="O1195:O1205" si="101">LN(P1195)</f>
        <v>0.78970580046356387</v>
      </c>
      <c r="P1195">
        <v>2.2027482833950867</v>
      </c>
      <c r="T1195">
        <f t="shared" si="97"/>
        <v>0.78957395276183295</v>
      </c>
      <c r="AD1195" s="7">
        <v>2.2027482833950867</v>
      </c>
    </row>
    <row r="1196" spans="1:30">
      <c r="A1196" s="3" t="s">
        <v>91</v>
      </c>
      <c r="B1196" s="3" t="s">
        <v>106</v>
      </c>
      <c r="C1196" s="3" t="s">
        <v>107</v>
      </c>
      <c r="D1196" s="3" t="s">
        <v>75</v>
      </c>
      <c r="E1196" s="3">
        <v>12</v>
      </c>
      <c r="F1196" s="3">
        <v>0.83105479242560298</v>
      </c>
      <c r="G1196" s="3">
        <v>2.1064187617850347</v>
      </c>
      <c r="H1196" s="3">
        <f t="shared" si="98"/>
        <v>-0.18505955077013223</v>
      </c>
      <c r="I1196" s="3">
        <f t="shared" si="99"/>
        <v>0.74498923619838608</v>
      </c>
      <c r="N1196">
        <f t="shared" si="100"/>
        <v>-0.18505955077013223</v>
      </c>
      <c r="O1196">
        <f t="shared" si="101"/>
        <v>0.74498923619838608</v>
      </c>
      <c r="P1196">
        <v>2.1064187617850347</v>
      </c>
      <c r="T1196">
        <f t="shared" si="97"/>
        <v>0.83105479242560298</v>
      </c>
      <c r="AD1196" s="7">
        <v>2.1064187617850347</v>
      </c>
    </row>
    <row r="1197" spans="1:30">
      <c r="A1197" s="3" t="s">
        <v>91</v>
      </c>
      <c r="B1197" s="3" t="s">
        <v>106</v>
      </c>
      <c r="C1197" s="3" t="s">
        <v>107</v>
      </c>
      <c r="D1197" s="3" t="s">
        <v>75</v>
      </c>
      <c r="E1197" s="3">
        <v>13</v>
      </c>
      <c r="F1197" s="3">
        <v>0.81005366296727799</v>
      </c>
      <c r="G1197" s="3">
        <v>2.1805733191066978</v>
      </c>
      <c r="H1197" s="3">
        <f t="shared" si="98"/>
        <v>-0.21065478293323875</v>
      </c>
      <c r="I1197" s="3">
        <f t="shared" si="99"/>
        <v>0.77958783264099663</v>
      </c>
      <c r="N1197">
        <f t="shared" si="100"/>
        <v>-0.21065478293323875</v>
      </c>
      <c r="O1197">
        <f t="shared" si="101"/>
        <v>0.77958783264099663</v>
      </c>
      <c r="P1197">
        <v>2.1805733191066978</v>
      </c>
      <c r="T1197">
        <f t="shared" si="97"/>
        <v>0.81005366296727799</v>
      </c>
      <c r="AD1197" s="7">
        <v>2.1805733191066978</v>
      </c>
    </row>
    <row r="1198" spans="1:30">
      <c r="A1198" s="3" t="s">
        <v>91</v>
      </c>
      <c r="B1198" s="3" t="s">
        <v>106</v>
      </c>
      <c r="C1198" s="3" t="s">
        <v>107</v>
      </c>
      <c r="D1198" s="3" t="s">
        <v>75</v>
      </c>
      <c r="E1198" s="3">
        <v>14</v>
      </c>
      <c r="F1198" s="3">
        <v>0.81557952627893604</v>
      </c>
      <c r="G1198" s="3">
        <v>2.125323504786977</v>
      </c>
      <c r="H1198" s="3">
        <f t="shared" si="98"/>
        <v>-0.20385634324657528</v>
      </c>
      <c r="I1198" s="3">
        <f t="shared" si="99"/>
        <v>0.75392402833623351</v>
      </c>
      <c r="N1198">
        <f t="shared" si="100"/>
        <v>-0.20385634324657528</v>
      </c>
      <c r="O1198">
        <f t="shared" si="101"/>
        <v>0.75392402833623351</v>
      </c>
      <c r="P1198">
        <v>2.125323504786977</v>
      </c>
      <c r="T1198">
        <f t="shared" si="97"/>
        <v>0.81557952627893604</v>
      </c>
      <c r="AD1198" s="7">
        <v>2.125323504786977</v>
      </c>
    </row>
    <row r="1199" spans="1:30">
      <c r="A1199" s="3" t="s">
        <v>91</v>
      </c>
      <c r="B1199" s="3" t="s">
        <v>106</v>
      </c>
      <c r="C1199" s="3" t="s">
        <v>107</v>
      </c>
      <c r="D1199" s="3" t="s">
        <v>75</v>
      </c>
      <c r="E1199" s="3">
        <v>15</v>
      </c>
      <c r="F1199" s="3">
        <v>0.80017138776728503</v>
      </c>
      <c r="G1199" s="3">
        <v>2.1523243250030886</v>
      </c>
      <c r="H1199" s="3">
        <f t="shared" si="98"/>
        <v>-0.22292933955008176</v>
      </c>
      <c r="I1199" s="3">
        <f t="shared" si="99"/>
        <v>0.76654833958868895</v>
      </c>
      <c r="N1199">
        <f t="shared" si="100"/>
        <v>-0.22292933955008176</v>
      </c>
      <c r="O1199">
        <f t="shared" si="101"/>
        <v>0.76654833958868895</v>
      </c>
      <c r="P1199">
        <v>2.1523243250030886</v>
      </c>
      <c r="T1199">
        <f t="shared" si="97"/>
        <v>0.80017138776728503</v>
      </c>
      <c r="AD1199" s="7">
        <v>2.1523243250030886</v>
      </c>
    </row>
    <row r="1200" spans="1:30">
      <c r="A1200" s="3" t="s">
        <v>91</v>
      </c>
      <c r="B1200" s="3" t="s">
        <v>106</v>
      </c>
      <c r="C1200" s="3" t="s">
        <v>107</v>
      </c>
      <c r="D1200" s="3" t="s">
        <v>75</v>
      </c>
      <c r="E1200" s="3">
        <v>16</v>
      </c>
      <c r="F1200" s="3">
        <v>0.80872273846315501</v>
      </c>
      <c r="G1200" s="3">
        <v>2.1965882636488794</v>
      </c>
      <c r="H1200" s="3">
        <f t="shared" si="98"/>
        <v>-0.21229914197237387</v>
      </c>
      <c r="I1200" s="3">
        <f t="shared" si="99"/>
        <v>0.78690536739547445</v>
      </c>
      <c r="N1200">
        <f t="shared" si="100"/>
        <v>-0.21229914197237387</v>
      </c>
      <c r="O1200">
        <f t="shared" si="101"/>
        <v>0.78690536739547445</v>
      </c>
      <c r="P1200">
        <v>2.1965882636488794</v>
      </c>
      <c r="T1200">
        <f t="shared" si="97"/>
        <v>0.80872273846315501</v>
      </c>
      <c r="AD1200" s="7">
        <v>2.1965882636488794</v>
      </c>
    </row>
    <row r="1201" spans="1:84">
      <c r="A1201" s="3" t="s">
        <v>91</v>
      </c>
      <c r="B1201" s="3" t="s">
        <v>106</v>
      </c>
      <c r="C1201" s="3" t="s">
        <v>107</v>
      </c>
      <c r="D1201" s="3" t="s">
        <v>75</v>
      </c>
      <c r="E1201" s="3">
        <v>17</v>
      </c>
      <c r="F1201" s="3">
        <v>0.81876358437038699</v>
      </c>
      <c r="G1201" s="3">
        <v>2.2140009033421828</v>
      </c>
      <c r="H1201" s="3">
        <f t="shared" si="98"/>
        <v>-0.1999599005728952</v>
      </c>
      <c r="I1201" s="3">
        <f t="shared" si="99"/>
        <v>0.7948012422999946</v>
      </c>
      <c r="N1201">
        <f t="shared" si="100"/>
        <v>-0.1999599005728952</v>
      </c>
      <c r="O1201">
        <f t="shared" si="101"/>
        <v>0.7948012422999946</v>
      </c>
      <c r="P1201">
        <v>2.2140009033421828</v>
      </c>
      <c r="T1201">
        <f t="shared" si="97"/>
        <v>0.81876358437038699</v>
      </c>
      <c r="AD1201" s="7">
        <v>2.2140009033421828</v>
      </c>
    </row>
    <row r="1202" spans="1:84">
      <c r="A1202" s="3" t="s">
        <v>91</v>
      </c>
      <c r="B1202" s="3" t="s">
        <v>106</v>
      </c>
      <c r="C1202" s="3" t="s">
        <v>107</v>
      </c>
      <c r="D1202" s="3" t="s">
        <v>75</v>
      </c>
      <c r="E1202" s="3">
        <v>18</v>
      </c>
      <c r="F1202" s="3">
        <v>0.80543172748593295</v>
      </c>
      <c r="G1202" s="3">
        <v>2.2437914341578185</v>
      </c>
      <c r="H1202" s="3">
        <f t="shared" si="98"/>
        <v>-0.21637683788906714</v>
      </c>
      <c r="I1202" s="3">
        <f t="shared" si="99"/>
        <v>0.8081670395609708</v>
      </c>
      <c r="N1202">
        <f t="shared" si="100"/>
        <v>-0.21637683788906714</v>
      </c>
      <c r="O1202">
        <f t="shared" si="101"/>
        <v>0.8081670395609708</v>
      </c>
      <c r="P1202">
        <v>2.2437914341578185</v>
      </c>
      <c r="T1202">
        <f t="shared" si="97"/>
        <v>0.80543172748593295</v>
      </c>
      <c r="AD1202" s="7">
        <v>2.2437914341578185</v>
      </c>
    </row>
    <row r="1203" spans="1:84">
      <c r="A1203" s="3" t="s">
        <v>91</v>
      </c>
      <c r="B1203" s="3" t="s">
        <v>106</v>
      </c>
      <c r="C1203" s="3" t="s">
        <v>107</v>
      </c>
      <c r="D1203" s="3" t="s">
        <v>75</v>
      </c>
      <c r="E1203" s="3">
        <v>19</v>
      </c>
      <c r="F1203" s="3">
        <v>0.81180751668553897</v>
      </c>
      <c r="G1203" s="3">
        <v>2.1623135757794243</v>
      </c>
      <c r="H1203" s="3">
        <f t="shared" si="98"/>
        <v>-0.20849201533769984</v>
      </c>
      <c r="I1203" s="3">
        <f t="shared" si="99"/>
        <v>0.77117874837573908</v>
      </c>
      <c r="N1203">
        <f t="shared" si="100"/>
        <v>-0.20849201533769984</v>
      </c>
      <c r="O1203">
        <f t="shared" si="101"/>
        <v>0.77117874837573908</v>
      </c>
      <c r="P1203">
        <v>2.1623135757794243</v>
      </c>
      <c r="T1203">
        <f t="shared" si="97"/>
        <v>0.81180751668553897</v>
      </c>
      <c r="AD1203" s="7">
        <v>2.1623135757794243</v>
      </c>
    </row>
    <row r="1204" spans="1:84">
      <c r="A1204" s="3" t="s">
        <v>91</v>
      </c>
      <c r="B1204" s="3" t="s">
        <v>106</v>
      </c>
      <c r="C1204" s="3" t="s">
        <v>107</v>
      </c>
      <c r="D1204" s="3" t="s">
        <v>75</v>
      </c>
      <c r="E1204" s="3">
        <v>20</v>
      </c>
      <c r="F1204" s="3">
        <v>0.82537822356368895</v>
      </c>
      <c r="G1204" s="3">
        <v>2.1923731434224423</v>
      </c>
      <c r="H1204" s="3">
        <f t="shared" si="98"/>
        <v>-0.19191354490036358</v>
      </c>
      <c r="I1204" s="3">
        <f t="shared" si="99"/>
        <v>0.78498458426186701</v>
      </c>
      <c r="N1204">
        <f t="shared" si="100"/>
        <v>-0.19191354490036358</v>
      </c>
      <c r="O1204">
        <f t="shared" si="101"/>
        <v>0.78498458426186701</v>
      </c>
      <c r="P1204">
        <v>2.1923731434224423</v>
      </c>
      <c r="T1204">
        <f t="shared" si="97"/>
        <v>0.82537822356368895</v>
      </c>
      <c r="AD1204" s="7">
        <v>2.1923731434224423</v>
      </c>
    </row>
    <row r="1205" spans="1:84">
      <c r="A1205" s="3" t="s">
        <v>91</v>
      </c>
      <c r="B1205" s="3" t="s">
        <v>106</v>
      </c>
      <c r="C1205" s="3" t="s">
        <v>107</v>
      </c>
      <c r="D1205" s="3" t="s">
        <v>75</v>
      </c>
      <c r="E1205" s="3">
        <v>22</v>
      </c>
      <c r="F1205" s="3">
        <v>0.80934958275353197</v>
      </c>
      <c r="G1205" s="3">
        <v>2.1333776037073231</v>
      </c>
      <c r="H1205" s="3">
        <f t="shared" si="98"/>
        <v>-0.21152433813509594</v>
      </c>
      <c r="I1205" s="3">
        <f t="shared" si="99"/>
        <v>0.75770645322000985</v>
      </c>
      <c r="N1205">
        <f t="shared" si="100"/>
        <v>-0.21152433813509594</v>
      </c>
      <c r="O1205">
        <f t="shared" si="101"/>
        <v>0.75770645322000985</v>
      </c>
      <c r="P1205">
        <v>2.1333776037073231</v>
      </c>
      <c r="T1205">
        <f t="shared" si="97"/>
        <v>0.80934958275353197</v>
      </c>
      <c r="AD1205" s="7">
        <v>2.1333776037073231</v>
      </c>
    </row>
    <row r="1206" spans="1:84">
      <c r="G1206" s="3">
        <v>0.5</v>
      </c>
      <c r="AH1206">
        <f>$CN$8*G1206^$CK$8</f>
        <v>0.15979935830734629</v>
      </c>
      <c r="AI1206">
        <f>$CN$2*G1206^$CK$2</f>
        <v>0.91200866163948779</v>
      </c>
      <c r="AJ1206">
        <f t="shared" ref="AJ1206:AJ1214" si="102">$CN$27*G1206^$CK$27</f>
        <v>1.2740852045401587</v>
      </c>
      <c r="AK1206">
        <f t="shared" ref="AK1206:AK1214" si="103">$CN$30*G1206^$CK$30</f>
        <v>0.84022389333979641</v>
      </c>
      <c r="AL1206">
        <f t="shared" ref="AL1206:AL1214" si="104">$CN$33*G1206^$CK$33</f>
        <v>1.3987632144695372</v>
      </c>
      <c r="AM1206">
        <f t="shared" ref="AM1206:AM1214" si="105">$CN$36*G1206^$CK$36</f>
        <v>1.4574351559195058</v>
      </c>
      <c r="AN1206">
        <f t="shared" ref="AN1206:AN1214" si="106">$CN$39*G1206^$CK$39</f>
        <v>1.2900430037239252</v>
      </c>
      <c r="AO1206">
        <f t="shared" ref="AO1206:AO1214" si="107">$CN$42*G1206^$CK$42</f>
        <v>1.2926034583288391</v>
      </c>
      <c r="AP1206">
        <f t="shared" ref="AP1206:AP1214" si="108">$CN$45*G1206^$CK$45</f>
        <v>0.7140934559740485</v>
      </c>
      <c r="AQ1206">
        <f t="shared" ref="AQ1206:AQ1214" si="109">$CN$48*G1206^$CK$48</f>
        <v>1.3526738904338109</v>
      </c>
      <c r="AR1206">
        <f t="shared" ref="AR1206:AR1214" si="110">$CN$51*G1206^$CK$51</f>
        <v>1.2614889600395121</v>
      </c>
      <c r="AS1206">
        <f t="shared" ref="AS1206:AS1214" si="111">$CN$54*G1206^$CK$54</f>
        <v>1.2706608347694457</v>
      </c>
      <c r="AT1206">
        <f t="shared" ref="AT1206:AT1214" si="112">$CN$57*G1206^$CK$57</f>
        <v>1.1637877832415879</v>
      </c>
      <c r="AU1206">
        <f t="shared" ref="AU1206:AU1214" si="113">$CN$60*G1206^$CK$60</f>
        <v>1.3864190053492031</v>
      </c>
      <c r="AV1206">
        <f t="shared" ref="AV1206:AV1214" si="114">$CN$63*G1206^$CK$63</f>
        <v>1.0866454737099365</v>
      </c>
      <c r="AW1206">
        <f t="shared" ref="AW1206:AW1214" si="115">$CN$66*G1206^$CK$66</f>
        <v>1.1507593261933917</v>
      </c>
      <c r="AX1206">
        <f t="shared" ref="AX1206:AX1214" si="116">$CN$69*G1206^$CK$69</f>
        <v>1.2004305819282199</v>
      </c>
      <c r="AY1206">
        <f t="shared" ref="AY1206:AY1214" si="117">$CN$72*G1206^$CK$72</f>
        <v>1.3197585770136144</v>
      </c>
      <c r="AZ1206">
        <f t="shared" ref="AZ1206:AZ1214" si="118">$CN$75*G1206^$CK$75</f>
        <v>1.208897785056787</v>
      </c>
      <c r="BA1206">
        <f t="shared" ref="BA1206:BA1214" si="119">$CN$78*G1206^$CK$78</f>
        <v>1.0856103781557296</v>
      </c>
      <c r="BC1206" t="e">
        <f t="shared" ref="BC1206:BC1214" si="120">$CN$11*G1206^$CK$11</f>
        <v>#REF!</v>
      </c>
      <c r="BD1206">
        <f>$CN$81*G1206^$CK$81</f>
        <v>1.419746801658138</v>
      </c>
      <c r="BE1206">
        <f>$CN$84*G1206^$CK$84</f>
        <v>1.237264429319137</v>
      </c>
      <c r="BF1206">
        <f>$CN$87*G1206^$CK$87</f>
        <v>1.2785800600772987</v>
      </c>
      <c r="BG1206">
        <f>$CN$90*G1206^$CK$90</f>
        <v>1.4440356616716177</v>
      </c>
      <c r="BH1206">
        <f>$CN$93*G1206^$CK$93</f>
        <v>1.5015288633585082</v>
      </c>
      <c r="BI1206">
        <f>$CN$96*G1206^$CK$96</f>
        <v>1.4280579806006419</v>
      </c>
      <c r="BJ1206">
        <f>$CN$99*G1206^$CK$99</f>
        <v>1.3674390906367284</v>
      </c>
      <c r="BK1206">
        <f>$CN$102*G1206^$CK$102</f>
        <v>1.3765427178783718</v>
      </c>
      <c r="BL1206">
        <f>$CN$105*G1206^$CK$105</f>
        <v>1.3996729282585296</v>
      </c>
      <c r="BM1206">
        <f>$CN$108*G1206^$CK$108</f>
        <v>1.6003742359151678</v>
      </c>
      <c r="BN1206">
        <f>$CN$111*G1206^$CK$111</f>
        <v>1.2787069096008907</v>
      </c>
      <c r="BO1206">
        <f>$CN$114*G1206^$CK$114</f>
        <v>1.0620873989459096</v>
      </c>
      <c r="BP1206">
        <f>$CN$117*G1206^$CK$117</f>
        <v>1.4126389616974531</v>
      </c>
      <c r="BQ1206">
        <f>$CN$120*G1206^$CK$120</f>
        <v>1.1579416410909524</v>
      </c>
      <c r="BR1206">
        <f>$CN$123*G1206^$CK$123</f>
        <v>0.95483074700499271</v>
      </c>
      <c r="BS1206">
        <f>$CN$126*G1206^$CK$126</f>
        <v>1.3915951866153304</v>
      </c>
      <c r="BT1206">
        <f>$CN$129*G1206^$CK$129</f>
        <v>1.1495462006317272</v>
      </c>
      <c r="BU1206">
        <f>$CN$132*G1206^$CK$132</f>
        <v>1.1064715499852129</v>
      </c>
      <c r="BW1206" t="e">
        <f>$CN$5*G1206^$CK$5</f>
        <v>#REF!</v>
      </c>
      <c r="CA1206" t="e">
        <f>0.0857323+G1206*$CJ$15</f>
        <v>#DIV/0!</v>
      </c>
      <c r="CB1206" t="e">
        <f>0.136781+G1206*$CJ$18</f>
        <v>#DIV/0!</v>
      </c>
      <c r="CC1206" t="e">
        <f>0.292645+G1206*$CJ$21</f>
        <v>#DIV/0!</v>
      </c>
      <c r="CD1206" t="e">
        <f>0.415798+G1206*$CJ$24</f>
        <v>#DIV/0!</v>
      </c>
      <c r="CE1206" t="e">
        <f>$CV$2+G1206*$CU$2</f>
        <v>#REF!</v>
      </c>
      <c r="CF1206" t="e">
        <f>$CV$8+G1206*$CU$8</f>
        <v>#REF!</v>
      </c>
    </row>
    <row r="1207" spans="1:84">
      <c r="G1207" s="3">
        <v>0.6</v>
      </c>
      <c r="AH1207">
        <f t="shared" ref="AH1207:AH1214" si="121">$CN$8*G1207^$CK$8</f>
        <v>0.36526331981272053</v>
      </c>
      <c r="AI1207">
        <f t="shared" ref="AI1207:AI1214" si="122">$CN$2*G1207^$CK$2</f>
        <v>1.2525270139238316</v>
      </c>
      <c r="AJ1207">
        <f t="shared" si="102"/>
        <v>1.536979651767417</v>
      </c>
      <c r="AK1207">
        <f t="shared" si="103"/>
        <v>1.1488070705243087</v>
      </c>
      <c r="AL1207">
        <f t="shared" si="104"/>
        <v>1.6543613314958792</v>
      </c>
      <c r="AM1207">
        <f t="shared" si="105"/>
        <v>1.7054317026226886</v>
      </c>
      <c r="AN1207">
        <f t="shared" si="106"/>
        <v>1.5812650661009473</v>
      </c>
      <c r="AO1207">
        <f t="shared" si="107"/>
        <v>1.5795644284301271</v>
      </c>
      <c r="AP1207">
        <f t="shared" si="108"/>
        <v>1.0333248608195289</v>
      </c>
      <c r="AQ1207">
        <f t="shared" si="109"/>
        <v>1.5919770543684675</v>
      </c>
      <c r="AR1207">
        <f t="shared" si="110"/>
        <v>1.5405131040756126</v>
      </c>
      <c r="AS1207">
        <f t="shared" si="111"/>
        <v>1.5517611118739372</v>
      </c>
      <c r="AT1207">
        <f t="shared" si="112"/>
        <v>1.4735595498909362</v>
      </c>
      <c r="AU1207">
        <f t="shared" si="113"/>
        <v>1.658745688935952</v>
      </c>
      <c r="AV1207">
        <f t="shared" si="114"/>
        <v>1.3713591326568269</v>
      </c>
      <c r="AW1207">
        <f t="shared" si="115"/>
        <v>1.4246000762255389</v>
      </c>
      <c r="AX1207">
        <f t="shared" si="116"/>
        <v>1.4858850880625709</v>
      </c>
      <c r="AY1207">
        <f t="shared" si="117"/>
        <v>1.5760472049981131</v>
      </c>
      <c r="AZ1207">
        <f t="shared" si="118"/>
        <v>1.4988883106115261</v>
      </c>
      <c r="BA1207">
        <f t="shared" si="119"/>
        <v>1.3918259744386754</v>
      </c>
      <c r="BC1207" t="e">
        <f t="shared" si="120"/>
        <v>#REF!</v>
      </c>
      <c r="BD1207">
        <f>$CN$81*G1207^$CK$81</f>
        <v>1.6271993914524352</v>
      </c>
      <c r="BE1207">
        <f>$CN$84*G1207^$CK$84</f>
        <v>1.4939483849987216</v>
      </c>
      <c r="BF1207">
        <f>$CN$87*G1207^$CK$87</f>
        <v>1.5482371934888897</v>
      </c>
      <c r="BG1207">
        <f>$CN$90*G1207^$CK$90</f>
        <v>1.6700156514962747</v>
      </c>
      <c r="BH1207">
        <f>$CN$93*G1207^$CK$93</f>
        <v>1.73949694665657</v>
      </c>
      <c r="BI1207">
        <f>$CN$96*G1207^$CK$96</f>
        <v>1.6798708471850829</v>
      </c>
      <c r="BJ1207">
        <f>$CN$99*G1207^$CK$99</f>
        <v>1.5924256922697777</v>
      </c>
      <c r="BK1207">
        <f>$CN$102*G1207^$CK$102</f>
        <v>1.5867760045456769</v>
      </c>
      <c r="BL1207">
        <f>$CN$105*G1207^$CK$105</f>
        <v>1.634055009850006</v>
      </c>
      <c r="BM1207">
        <f>$CN$108*G1207^$CK$108</f>
        <v>1.7836765286614462</v>
      </c>
      <c r="BN1207">
        <f>$CN$111*G1207^$CK$111</f>
        <v>1.5689233888550387</v>
      </c>
      <c r="BO1207">
        <f>$CN$114*G1207^$CK$114</f>
        <v>1.3825249348568762</v>
      </c>
      <c r="BP1207">
        <f>$CN$117*G1207^$CK$117</f>
        <v>1.6132000050330906</v>
      </c>
      <c r="BQ1207">
        <f>$CN$120*G1207^$CK$120</f>
        <v>1.4265072955801088</v>
      </c>
      <c r="BR1207">
        <f>$CN$123*G1207^$CK$123</f>
        <v>1.2770521235474994</v>
      </c>
      <c r="BS1207">
        <f>$CN$126*G1207^$CK$126</f>
        <v>1.6171285647504294</v>
      </c>
      <c r="BT1207">
        <f>$CN$129*G1207^$CK$129</f>
        <v>1.4521416639610902</v>
      </c>
      <c r="BU1207">
        <f>$CN$132*G1207^$CK$132</f>
        <v>1.4261679970769758</v>
      </c>
      <c r="BW1207" t="e">
        <f>$CN$5*G1207^$CK$5</f>
        <v>#REF!</v>
      </c>
      <c r="CA1207" t="e">
        <f>0.0857323+G1207*$CJ$15</f>
        <v>#DIV/0!</v>
      </c>
      <c r="CB1207" t="e">
        <f>0.136781+G1207*$CJ$18</f>
        <v>#DIV/0!</v>
      </c>
      <c r="CC1207" t="e">
        <f>0.292645+G1207*$CJ$21</f>
        <v>#DIV/0!</v>
      </c>
      <c r="CD1207" t="e">
        <f>0.415798+G1207*$CJ$24</f>
        <v>#DIV/0!</v>
      </c>
      <c r="CE1207" t="e">
        <f>$CV$2+G1207*$CU$2</f>
        <v>#REF!</v>
      </c>
      <c r="CF1207" t="e">
        <f>$CV$8+G1207*$CU$8</f>
        <v>#REF!</v>
      </c>
    </row>
    <row r="1208" spans="1:84">
      <c r="G1208" s="3">
        <v>0.7</v>
      </c>
      <c r="AH1208">
        <f t="shared" si="121"/>
        <v>0.73478870778085714</v>
      </c>
      <c r="AI1208">
        <f t="shared" si="122"/>
        <v>1.6378921909425954</v>
      </c>
      <c r="AJ1208">
        <f t="shared" si="102"/>
        <v>1.8011493330186747</v>
      </c>
      <c r="AK1208">
        <f t="shared" si="103"/>
        <v>1.4966091307706131</v>
      </c>
      <c r="AL1208">
        <f t="shared" si="104"/>
        <v>1.9065787466860222</v>
      </c>
      <c r="AM1208">
        <f t="shared" si="105"/>
        <v>1.947756820933304</v>
      </c>
      <c r="AN1208">
        <f t="shared" si="106"/>
        <v>1.8782189787613814</v>
      </c>
      <c r="AO1208">
        <f t="shared" si="107"/>
        <v>1.8713529170722589</v>
      </c>
      <c r="AP1208">
        <f t="shared" si="108"/>
        <v>1.4122849398993029</v>
      </c>
      <c r="AQ1208">
        <f t="shared" si="109"/>
        <v>1.8270471156249426</v>
      </c>
      <c r="AR1208">
        <f t="shared" si="110"/>
        <v>1.8240573300430722</v>
      </c>
      <c r="AS1208">
        <f t="shared" si="111"/>
        <v>1.8374231204480533</v>
      </c>
      <c r="AT1208">
        <f t="shared" si="112"/>
        <v>1.7989746637712867</v>
      </c>
      <c r="AU1208">
        <f t="shared" si="113"/>
        <v>1.9303270358695668</v>
      </c>
      <c r="AV1208">
        <f t="shared" si="114"/>
        <v>1.6695484593932106</v>
      </c>
      <c r="AW1208">
        <f t="shared" si="115"/>
        <v>1.7063843104606133</v>
      </c>
      <c r="AX1208">
        <f t="shared" si="116"/>
        <v>1.7795825506538487</v>
      </c>
      <c r="AY1208">
        <f t="shared" si="117"/>
        <v>1.8311966076366655</v>
      </c>
      <c r="AZ1208">
        <f t="shared" si="118"/>
        <v>1.7977143134823723</v>
      </c>
      <c r="BA1208">
        <f t="shared" si="119"/>
        <v>1.7172057968737153</v>
      </c>
      <c r="BC1208" t="e">
        <f t="shared" si="120"/>
        <v>#REF!</v>
      </c>
      <c r="BD1208">
        <f t="shared" ref="BD1208:BD1214" si="123">$CN$81*G1208^$CK$81</f>
        <v>1.8260762926908953</v>
      </c>
      <c r="BE1208">
        <f t="shared" ref="BE1208:BE1214" si="124">$CN$84*G1208^$CK$84</f>
        <v>1.7520975562811414</v>
      </c>
      <c r="BF1208">
        <f t="shared" ref="BF1208:BF1214" si="125">$CN$87*G1208^$CK$87</f>
        <v>1.8201435284505951</v>
      </c>
      <c r="BG1208">
        <f t="shared" ref="BG1208:BG1214" si="126">$CN$90*G1208^$CK$90</f>
        <v>1.8884559905022371</v>
      </c>
      <c r="BH1208">
        <f t="shared" ref="BH1208:BH1213" si="127">$CN$93*G1208^$CK$93</f>
        <v>1.969889585358535</v>
      </c>
      <c r="BI1208">
        <f t="shared" ref="BI1208:BI1214" si="128">$CN$96*G1208^$CK$96</f>
        <v>1.9271175355508787</v>
      </c>
      <c r="BJ1208">
        <f t="shared" ref="BJ1208:BJ1214" si="129">$CN$99*G1208^$CK$99</f>
        <v>1.8112950737730524</v>
      </c>
      <c r="BK1208">
        <f t="shared" ref="BK1208:BK1214" si="130">$CN$102*G1208^$CK$102</f>
        <v>1.7893864960050954</v>
      </c>
      <c r="BL1208">
        <f t="shared" ref="BL1208:BL1214" si="131">$CN$105*G1208^$CK$105</f>
        <v>1.8625904667056279</v>
      </c>
      <c r="BM1208">
        <f t="shared" ref="BM1208:BM1214" si="132">$CN$108*G1208^$CK$108</f>
        <v>1.9549424139659066</v>
      </c>
      <c r="BN1208">
        <f t="shared" ref="BN1208:BN1214" si="133">$CN$111*G1208^$CK$111</f>
        <v>1.8651211440248774</v>
      </c>
      <c r="BO1208">
        <f t="shared" ref="BO1208:BO1214" si="134">$CN$114*G1208^$CK$114</f>
        <v>1.7277945320301602</v>
      </c>
      <c r="BP1208">
        <f t="shared" ref="BP1208:BP1214" si="135">$CN$117*G1208^$CK$117</f>
        <v>1.8048310034730521</v>
      </c>
      <c r="BQ1208">
        <f t="shared" ref="BQ1208:BQ1214" si="136">$CN$120*G1208^$CK$120</f>
        <v>1.7016274748700262</v>
      </c>
      <c r="BR1208">
        <f t="shared" ref="BR1208:BR1214" si="137">$CN$123*G1208^$CK$123</f>
        <v>1.6329719548143486</v>
      </c>
      <c r="BS1208">
        <f t="shared" ref="BS1208:BS1214" si="138">$CN$126*G1208^$CK$126</f>
        <v>1.8361032795983925</v>
      </c>
      <c r="BT1208">
        <f t="shared" ref="BT1208:BT1214" si="139">$CN$129*G1208^$CK$129</f>
        <v>1.769339871915649</v>
      </c>
      <c r="BU1208">
        <f t="shared" ref="BU1208:BU1214" si="140">$CN$132*G1208^$CK$132</f>
        <v>1.7675397592214059</v>
      </c>
      <c r="BW1208" t="e">
        <f t="shared" ref="BW1208:BW1214" si="141">$CN$5*G1208^$CK$5</f>
        <v>#REF!</v>
      </c>
      <c r="CA1208" t="e">
        <f t="shared" ref="CA1208:CA1214" si="142">0.0857323+G1208*$CJ$15</f>
        <v>#DIV/0!</v>
      </c>
      <c r="CB1208" t="e">
        <f t="shared" ref="CB1208:CB1214" si="143">0.136781+G1208*$CJ$18</f>
        <v>#DIV/0!</v>
      </c>
      <c r="CC1208" t="e">
        <f t="shared" ref="CC1208:CC1214" si="144">0.292645+G1208*$CJ$21</f>
        <v>#DIV/0!</v>
      </c>
      <c r="CD1208" t="e">
        <f t="shared" ref="CD1208:CD1214" si="145">0.415798+G1208*$CJ$24</f>
        <v>#DIV/0!</v>
      </c>
      <c r="CE1208" t="e">
        <f t="shared" ref="CE1208:CE1214" si="146">$CV$2+G1208*$CU$2</f>
        <v>#REF!</v>
      </c>
      <c r="CF1208" t="e">
        <f t="shared" ref="CF1208:CF1214" si="147">$CV$8+G1208*$CU$8</f>
        <v>#REF!</v>
      </c>
    </row>
    <row r="1209" spans="1:84">
      <c r="G1209" s="3">
        <v>0.8</v>
      </c>
      <c r="AH1209">
        <f t="shared" si="121"/>
        <v>1.346216773969716</v>
      </c>
      <c r="AI1209">
        <f t="shared" si="122"/>
        <v>2.0663346239003633</v>
      </c>
      <c r="AJ1209">
        <f t="shared" si="102"/>
        <v>2.0664156427830749</v>
      </c>
      <c r="AK1209">
        <f t="shared" si="103"/>
        <v>1.8819399698986568</v>
      </c>
      <c r="AL1209">
        <f t="shared" si="104"/>
        <v>2.155937719914411</v>
      </c>
      <c r="AM1209">
        <f t="shared" si="105"/>
        <v>2.1853303413493745</v>
      </c>
      <c r="AN1209">
        <f t="shared" si="106"/>
        <v>2.1801696953282805</v>
      </c>
      <c r="AO1209">
        <f t="shared" si="107"/>
        <v>2.16733885578804</v>
      </c>
      <c r="AP1209">
        <f t="shared" si="108"/>
        <v>1.8512216075786558</v>
      </c>
      <c r="AQ1209">
        <f t="shared" si="109"/>
        <v>2.0585531052107471</v>
      </c>
      <c r="AR1209">
        <f t="shared" si="110"/>
        <v>2.1115294507295603</v>
      </c>
      <c r="AS1209">
        <f t="shared" si="111"/>
        <v>2.1270493203025187</v>
      </c>
      <c r="AT1209">
        <f t="shared" si="112"/>
        <v>2.1384104236264005</v>
      </c>
      <c r="AU1209">
        <f t="shared" si="113"/>
        <v>2.2012719466442059</v>
      </c>
      <c r="AV1209">
        <f t="shared" si="114"/>
        <v>1.9797816878249139</v>
      </c>
      <c r="AW1209">
        <f t="shared" si="115"/>
        <v>1.9951523305623531</v>
      </c>
      <c r="AX1209">
        <f t="shared" si="116"/>
        <v>2.0805262307047983</v>
      </c>
      <c r="AY1209">
        <f t="shared" si="117"/>
        <v>2.0853747889606842</v>
      </c>
      <c r="AZ1209">
        <f t="shared" si="118"/>
        <v>2.1043185952274377</v>
      </c>
      <c r="BA1209">
        <f t="shared" si="119"/>
        <v>2.0599457555334255</v>
      </c>
      <c r="BC1209" t="e">
        <f t="shared" si="120"/>
        <v>#REF!</v>
      </c>
      <c r="BD1209">
        <f t="shared" si="123"/>
        <v>2.0178950761479539</v>
      </c>
      <c r="BE1209">
        <f t="shared" si="124"/>
        <v>2.0115077311755596</v>
      </c>
      <c r="BF1209">
        <f t="shared" si="125"/>
        <v>2.0939903068771857</v>
      </c>
      <c r="BG1209">
        <f t="shared" si="126"/>
        <v>2.1006427914741606</v>
      </c>
      <c r="BH1209">
        <f t="shared" si="127"/>
        <v>2.1939897229599148</v>
      </c>
      <c r="BI1209">
        <f t="shared" si="128"/>
        <v>2.1705213380136472</v>
      </c>
      <c r="BJ1209">
        <f t="shared" si="129"/>
        <v>2.0250604960276708</v>
      </c>
      <c r="BK1209">
        <f t="shared" si="130"/>
        <v>1.9856921434602379</v>
      </c>
      <c r="BL1209">
        <f t="shared" si="131"/>
        <v>2.0862372460450174</v>
      </c>
      <c r="BM1209">
        <f t="shared" si="132"/>
        <v>2.1165365777598386</v>
      </c>
      <c r="BN1209">
        <f t="shared" si="133"/>
        <v>2.1665375608424471</v>
      </c>
      <c r="BO1209">
        <f t="shared" si="134"/>
        <v>2.0958521084874357</v>
      </c>
      <c r="BP1209">
        <f t="shared" si="135"/>
        <v>1.9891350277017816</v>
      </c>
      <c r="BQ1209">
        <f t="shared" si="136"/>
        <v>1.9824862834166239</v>
      </c>
      <c r="BR1209">
        <f t="shared" si="137"/>
        <v>2.0205388057977998</v>
      </c>
      <c r="BS1209">
        <f t="shared" si="138"/>
        <v>2.0496156335159013</v>
      </c>
      <c r="BT1209">
        <f t="shared" si="139"/>
        <v>2.0996000701170563</v>
      </c>
      <c r="BU1209">
        <f t="shared" si="140"/>
        <v>2.1286360292941091</v>
      </c>
      <c r="BW1209" t="e">
        <f t="shared" si="141"/>
        <v>#REF!</v>
      </c>
      <c r="CA1209" t="e">
        <f t="shared" si="142"/>
        <v>#DIV/0!</v>
      </c>
      <c r="CB1209" t="e">
        <f t="shared" si="143"/>
        <v>#DIV/0!</v>
      </c>
      <c r="CC1209" t="e">
        <f t="shared" si="144"/>
        <v>#DIV/0!</v>
      </c>
      <c r="CD1209" t="e">
        <f t="shared" si="145"/>
        <v>#DIV/0!</v>
      </c>
      <c r="CE1209" t="e">
        <f t="shared" si="146"/>
        <v>#REF!</v>
      </c>
      <c r="CF1209" t="e">
        <f t="shared" si="147"/>
        <v>#REF!</v>
      </c>
    </row>
    <row r="1210" spans="1:84">
      <c r="G1210" s="3">
        <v>0.9</v>
      </c>
      <c r="AH1210">
        <f t="shared" si="121"/>
        <v>2.2964424257893161</v>
      </c>
      <c r="AI1210">
        <f t="shared" si="122"/>
        <v>2.5363798347821023</v>
      </c>
      <c r="AJ1210">
        <f t="shared" si="102"/>
        <v>2.3326444696434905</v>
      </c>
      <c r="AK1210">
        <f t="shared" si="103"/>
        <v>2.3033963343158748</v>
      </c>
      <c r="AL1210">
        <f t="shared" si="104"/>
        <v>2.4028242077631305</v>
      </c>
      <c r="AM1210">
        <f t="shared" si="105"/>
        <v>2.4188261943519143</v>
      </c>
      <c r="AN1210">
        <f t="shared" si="106"/>
        <v>2.4865581451291856</v>
      </c>
      <c r="AO1210">
        <f t="shared" si="107"/>
        <v>2.4670441978199</v>
      </c>
      <c r="AP1210">
        <f t="shared" si="108"/>
        <v>2.3503502359648616</v>
      </c>
      <c r="AQ1210">
        <f t="shared" si="109"/>
        <v>2.2869874817518339</v>
      </c>
      <c r="AR1210">
        <f t="shared" si="110"/>
        <v>2.4024804022542758</v>
      </c>
      <c r="AS1210">
        <f t="shared" si="111"/>
        <v>2.4201865771665716</v>
      </c>
      <c r="AT1210">
        <f t="shared" si="112"/>
        <v>2.4905999852933585</v>
      </c>
      <c r="AU1210">
        <f t="shared" si="113"/>
        <v>2.4716616505018352</v>
      </c>
      <c r="AV1210">
        <f t="shared" si="114"/>
        <v>2.3009439913007856</v>
      </c>
      <c r="AW1210">
        <f t="shared" si="115"/>
        <v>2.2901683478851895</v>
      </c>
      <c r="AX1210">
        <f t="shared" si="116"/>
        <v>2.3879520262885197</v>
      </c>
      <c r="AY1210">
        <f t="shared" si="117"/>
        <v>2.3387068753494904</v>
      </c>
      <c r="AZ1210">
        <f t="shared" si="118"/>
        <v>2.4178896067988713</v>
      </c>
      <c r="BA1210">
        <f t="shared" si="119"/>
        <v>2.4186232170701505</v>
      </c>
      <c r="BC1210" t="e">
        <f t="shared" si="120"/>
        <v>#REF!</v>
      </c>
      <c r="BD1210">
        <f t="shared" si="123"/>
        <v>2.2037491338566331</v>
      </c>
      <c r="BE1210">
        <f t="shared" si="124"/>
        <v>2.2720254560633659</v>
      </c>
      <c r="BF1210">
        <f t="shared" si="125"/>
        <v>2.3695449820269934</v>
      </c>
      <c r="BG1210">
        <f t="shared" si="126"/>
        <v>2.3075094524474129</v>
      </c>
      <c r="BH1210">
        <f t="shared" si="127"/>
        <v>2.4127297522712148</v>
      </c>
      <c r="BI1210">
        <f t="shared" si="128"/>
        <v>2.4106144424585811</v>
      </c>
      <c r="BJ1210">
        <f t="shared" si="129"/>
        <v>2.234461459417842</v>
      </c>
      <c r="BK1210">
        <f t="shared" si="130"/>
        <v>2.1766469348644706</v>
      </c>
      <c r="BL1210">
        <f t="shared" si="131"/>
        <v>2.3056958956000098</v>
      </c>
      <c r="BM1210">
        <f t="shared" si="132"/>
        <v>2.2701246800566683</v>
      </c>
      <c r="BN1210">
        <f t="shared" si="133"/>
        <v>2.4725921380399418</v>
      </c>
      <c r="BO1210">
        <f t="shared" si="134"/>
        <v>2.4850660015154444</v>
      </c>
      <c r="BP1210">
        <f t="shared" si="135"/>
        <v>2.1672636959942806</v>
      </c>
      <c r="BQ1210">
        <f t="shared" si="136"/>
        <v>2.2684606375045564</v>
      </c>
      <c r="BR1210">
        <f t="shared" si="137"/>
        <v>2.4380791905745114</v>
      </c>
      <c r="BS1210">
        <f t="shared" si="138"/>
        <v>2.2584643658423187</v>
      </c>
      <c r="BT1210">
        <f t="shared" si="139"/>
        <v>2.4417216387134624</v>
      </c>
      <c r="BU1210">
        <f t="shared" si="140"/>
        <v>2.5079118700828187</v>
      </c>
      <c r="BW1210" t="e">
        <f t="shared" si="141"/>
        <v>#REF!</v>
      </c>
      <c r="CA1210" t="e">
        <f t="shared" si="142"/>
        <v>#DIV/0!</v>
      </c>
      <c r="CB1210" t="e">
        <f t="shared" si="143"/>
        <v>#DIV/0!</v>
      </c>
      <c r="CC1210" t="e">
        <f t="shared" si="144"/>
        <v>#DIV/0!</v>
      </c>
      <c r="CD1210" t="e">
        <f t="shared" si="145"/>
        <v>#DIV/0!</v>
      </c>
      <c r="CE1210" t="e">
        <f t="shared" si="146"/>
        <v>#REF!</v>
      </c>
      <c r="CF1210" t="e">
        <f t="shared" si="147"/>
        <v>#REF!</v>
      </c>
    </row>
    <row r="1211" spans="1:84">
      <c r="G1211" s="3">
        <v>1</v>
      </c>
      <c r="AH1211">
        <f t="shared" si="121"/>
        <v>3.7028273787956851</v>
      </c>
      <c r="AI1211">
        <f t="shared" si="122"/>
        <v>3.0467702406772248</v>
      </c>
      <c r="AJ1211">
        <f t="shared" si="102"/>
        <v>2.5997313316745378</v>
      </c>
      <c r="AK1211">
        <f t="shared" si="103"/>
        <v>2.7597850977026877</v>
      </c>
      <c r="AL1211">
        <f t="shared" si="104"/>
        <v>2.6475347621869014</v>
      </c>
      <c r="AM1211">
        <f t="shared" si="105"/>
        <v>2.6487583336146692</v>
      </c>
      <c r="AN1211">
        <f t="shared" si="106"/>
        <v>2.7969438812057064</v>
      </c>
      <c r="AO1211">
        <f t="shared" si="107"/>
        <v>2.7700931337608159</v>
      </c>
      <c r="AP1211">
        <f t="shared" si="108"/>
        <v>2.9098613138277889</v>
      </c>
      <c r="AQ1211">
        <f t="shared" si="109"/>
        <v>2.51272732253718</v>
      </c>
      <c r="AR1211">
        <f t="shared" si="110"/>
        <v>2.6965573246586563</v>
      </c>
      <c r="AS1211">
        <f t="shared" si="111"/>
        <v>2.7164788250818557</v>
      </c>
      <c r="AT1211">
        <f t="shared" si="112"/>
        <v>2.8545223982666017</v>
      </c>
      <c r="AU1211">
        <f t="shared" si="113"/>
        <v>2.7415590658149647</v>
      </c>
      <c r="AV1211">
        <f t="shared" si="114"/>
        <v>2.6321389959670589</v>
      </c>
      <c r="AW1211">
        <f t="shared" si="115"/>
        <v>2.5908486569478901</v>
      </c>
      <c r="AX1211">
        <f t="shared" si="116"/>
        <v>2.7012538296812076</v>
      </c>
      <c r="AY1211">
        <f t="shared" si="117"/>
        <v>2.5912896602896818</v>
      </c>
      <c r="AZ1211">
        <f t="shared" si="118"/>
        <v>2.7377828452237916</v>
      </c>
      <c r="BA1211">
        <f t="shared" si="119"/>
        <v>2.7920816472464995</v>
      </c>
      <c r="BC1211" t="e">
        <f t="shared" si="120"/>
        <v>#REF!</v>
      </c>
      <c r="BD1211">
        <f t="shared" si="123"/>
        <v>2.384460255268853</v>
      </c>
      <c r="BE1211">
        <f t="shared" si="124"/>
        <v>2.5335311023412923</v>
      </c>
      <c r="BF1211">
        <f t="shared" si="125"/>
        <v>2.6466259045252372</v>
      </c>
      <c r="BG1211">
        <f t="shared" si="126"/>
        <v>2.5097619610147768</v>
      </c>
      <c r="BH1211">
        <f t="shared" si="127"/>
        <v>2.6268157524517726</v>
      </c>
      <c r="BI1211">
        <f t="shared" si="128"/>
        <v>2.6478042065057039</v>
      </c>
      <c r="BJ1211">
        <f t="shared" si="129"/>
        <v>2.4400600190717769</v>
      </c>
      <c r="BK1211">
        <f t="shared" si="130"/>
        <v>2.3629707817463155</v>
      </c>
      <c r="BL1211">
        <f t="shared" si="131"/>
        <v>2.521499801719933</v>
      </c>
      <c r="BM1211">
        <f t="shared" si="132"/>
        <v>2.4169342980297261</v>
      </c>
      <c r="BN1211">
        <f t="shared" si="133"/>
        <v>2.7828272280869393</v>
      </c>
      <c r="BO1211">
        <f t="shared" si="134"/>
        <v>2.8940955943286428</v>
      </c>
      <c r="BP1211">
        <f t="shared" si="135"/>
        <v>2.3400803630411011</v>
      </c>
      <c r="BQ1211">
        <f t="shared" si="136"/>
        <v>2.5590579269955613</v>
      </c>
      <c r="BR1211">
        <f t="shared" si="137"/>
        <v>2.884191893301177</v>
      </c>
      <c r="BS1211">
        <f t="shared" si="138"/>
        <v>2.4632556552365923</v>
      </c>
      <c r="BT1211">
        <f t="shared" si="139"/>
        <v>2.7947385705975383</v>
      </c>
      <c r="BU1211">
        <f t="shared" si="140"/>
        <v>2.9041066274583152</v>
      </c>
      <c r="BW1211" t="e">
        <f t="shared" si="141"/>
        <v>#REF!</v>
      </c>
      <c r="CA1211" t="e">
        <f t="shared" si="142"/>
        <v>#DIV/0!</v>
      </c>
      <c r="CB1211" t="e">
        <f t="shared" si="143"/>
        <v>#DIV/0!</v>
      </c>
      <c r="CC1211" t="e">
        <f t="shared" si="144"/>
        <v>#DIV/0!</v>
      </c>
      <c r="CD1211" t="e">
        <f t="shared" si="145"/>
        <v>#DIV/0!</v>
      </c>
      <c r="CE1211" t="e">
        <f t="shared" si="146"/>
        <v>#REF!</v>
      </c>
      <c r="CF1211" t="e">
        <f t="shared" si="147"/>
        <v>#REF!</v>
      </c>
    </row>
    <row r="1212" spans="1:84">
      <c r="G1212" s="3">
        <v>1.1000000000000001</v>
      </c>
      <c r="AH1212">
        <f t="shared" si="121"/>
        <v>5.7045325278758483</v>
      </c>
      <c r="AI1212">
        <f t="shared" si="122"/>
        <v>3.5964137786907595</v>
      </c>
      <c r="AJ1212">
        <f t="shared" si="102"/>
        <v>2.8675924885754869</v>
      </c>
      <c r="AK1212">
        <f t="shared" si="103"/>
        <v>3.2500730155119801</v>
      </c>
      <c r="AL1212">
        <f t="shared" si="104"/>
        <v>2.8903041700445442</v>
      </c>
      <c r="AM1212">
        <f t="shared" si="105"/>
        <v>2.8755309800081936</v>
      </c>
      <c r="AN1212">
        <f t="shared" si="106"/>
        <v>3.1109703865241243</v>
      </c>
      <c r="AO1212">
        <f t="shared" si="107"/>
        <v>3.0761820427646325</v>
      </c>
      <c r="AP1212">
        <f t="shared" si="108"/>
        <v>3.5299256719057661</v>
      </c>
      <c r="AQ1212">
        <f t="shared" si="109"/>
        <v>2.7360702562731616</v>
      </c>
      <c r="AR1212">
        <f t="shared" si="110"/>
        <v>2.9934752561389857</v>
      </c>
      <c r="AS1212">
        <f t="shared" si="111"/>
        <v>3.015638507706166</v>
      </c>
      <c r="AT1212">
        <f t="shared" si="112"/>
        <v>3.2293344944057281</v>
      </c>
      <c r="AU1212">
        <f t="shared" si="113"/>
        <v>3.0110143632151729</v>
      </c>
      <c r="AV1212">
        <f t="shared" si="114"/>
        <v>2.9726279242449007</v>
      </c>
      <c r="AW1212">
        <f t="shared" si="115"/>
        <v>2.8967178701850687</v>
      </c>
      <c r="AX1212">
        <f t="shared" si="116"/>
        <v>3.0199380506660489</v>
      </c>
      <c r="AY1212">
        <f t="shared" si="117"/>
        <v>2.8432002369344533</v>
      </c>
      <c r="AZ1212">
        <f t="shared" si="118"/>
        <v>3.0634729051459142</v>
      </c>
      <c r="BA1212">
        <f t="shared" si="119"/>
        <v>3.1793585074726209</v>
      </c>
      <c r="BC1212" t="e">
        <f t="shared" si="120"/>
        <v>#REF!</v>
      </c>
      <c r="BD1212">
        <f t="shared" si="123"/>
        <v>2.5606665001073483</v>
      </c>
      <c r="BE1212">
        <f t="shared" si="124"/>
        <v>2.7959287347296926</v>
      </c>
      <c r="BF1212">
        <f t="shared" si="125"/>
        <v>2.925087144794484</v>
      </c>
      <c r="BG1212">
        <f t="shared" si="126"/>
        <v>2.7079515387610922</v>
      </c>
      <c r="BH1212">
        <f t="shared" si="127"/>
        <v>2.836799605579432</v>
      </c>
      <c r="BI1212">
        <f t="shared" si="128"/>
        <v>2.88241206117879</v>
      </c>
      <c r="BJ1212">
        <f t="shared" si="129"/>
        <v>2.642296907161886</v>
      </c>
      <c r="BK1212">
        <f t="shared" si="130"/>
        <v>2.5452246405200949</v>
      </c>
      <c r="BL1212">
        <f t="shared" si="131"/>
        <v>2.734067867201321</v>
      </c>
      <c r="BM1212">
        <f t="shared" si="132"/>
        <v>2.5579021589041662</v>
      </c>
      <c r="BN1212">
        <f t="shared" si="133"/>
        <v>3.0968721637261587</v>
      </c>
      <c r="BO1212">
        <f t="shared" si="134"/>
        <v>3.3218146100104065</v>
      </c>
      <c r="BP1212">
        <f t="shared" si="135"/>
        <v>2.5082538556174798</v>
      </c>
      <c r="BQ1212">
        <f t="shared" si="136"/>
        <v>2.8538781664716537</v>
      </c>
      <c r="BR1212">
        <f t="shared" si="137"/>
        <v>3.3576798550376279</v>
      </c>
      <c r="BS1212">
        <f t="shared" si="138"/>
        <v>2.6644642090782078</v>
      </c>
      <c r="BT1212">
        <f t="shared" si="139"/>
        <v>3.1578542219340719</v>
      </c>
      <c r="BU1212">
        <f t="shared" si="140"/>
        <v>3.3161676377392468</v>
      </c>
      <c r="BW1212" t="e">
        <f t="shared" si="141"/>
        <v>#REF!</v>
      </c>
      <c r="CA1212" t="e">
        <f t="shared" si="142"/>
        <v>#DIV/0!</v>
      </c>
      <c r="CB1212" t="e">
        <f t="shared" si="143"/>
        <v>#DIV/0!</v>
      </c>
      <c r="CC1212" t="e">
        <f t="shared" si="144"/>
        <v>#DIV/0!</v>
      </c>
      <c r="CD1212" t="e">
        <f t="shared" si="145"/>
        <v>#DIV/0!</v>
      </c>
      <c r="CE1212" t="e">
        <f t="shared" si="146"/>
        <v>#REF!</v>
      </c>
      <c r="CF1212" t="e">
        <f t="shared" si="147"/>
        <v>#REF!</v>
      </c>
    </row>
    <row r="1213" spans="1:84">
      <c r="G1213" s="3">
        <v>1.2</v>
      </c>
      <c r="AH1213">
        <f t="shared" si="121"/>
        <v>8.4637825545646681</v>
      </c>
      <c r="AI1213">
        <f t="shared" si="122"/>
        <v>4.1843484521377796</v>
      </c>
      <c r="AJ1213">
        <f t="shared" si="102"/>
        <v>3.1361592950042221</v>
      </c>
      <c r="AK1213">
        <f t="shared" si="103"/>
        <v>3.7733521487543515</v>
      </c>
      <c r="AL1213">
        <f t="shared" si="104"/>
        <v>3.1313227921955313</v>
      </c>
      <c r="AM1213">
        <f t="shared" si="105"/>
        <v>3.0994699259072833</v>
      </c>
      <c r="AN1213">
        <f t="shared" si="106"/>
        <v>3.4283428059595598</v>
      </c>
      <c r="AO1213">
        <f t="shared" si="107"/>
        <v>3.3850602435986854</v>
      </c>
      <c r="AP1213">
        <f t="shared" si="108"/>
        <v>4.2106982103817323</v>
      </c>
      <c r="AQ1213">
        <f t="shared" si="109"/>
        <v>2.9572569335843513</v>
      </c>
      <c r="AR1213">
        <f t="shared" si="110"/>
        <v>3.2929990084079872</v>
      </c>
      <c r="AS1213">
        <f t="shared" si="111"/>
        <v>3.3174282913629543</v>
      </c>
      <c r="AT1213">
        <f t="shared" si="112"/>
        <v>3.6143262551074162</v>
      </c>
      <c r="AU1213">
        <f t="shared" si="113"/>
        <v>3.2800684813451748</v>
      </c>
      <c r="AV1213">
        <f t="shared" si="114"/>
        <v>3.3217897997752366</v>
      </c>
      <c r="AW1213">
        <f t="shared" si="115"/>
        <v>3.2073806487287317</v>
      </c>
      <c r="AX1213">
        <f t="shared" si="116"/>
        <v>3.3435942444485489</v>
      </c>
      <c r="AY1213">
        <f t="shared" si="117"/>
        <v>3.0945014471369738</v>
      </c>
      <c r="AZ1213">
        <f t="shared" si="118"/>
        <v>3.3945224769403821</v>
      </c>
      <c r="BA1213">
        <f t="shared" si="119"/>
        <v>3.5796376283662856</v>
      </c>
      <c r="BC1213" t="e">
        <f t="shared" si="120"/>
        <v>#REF!</v>
      </c>
      <c r="BD1213">
        <f t="shared" si="123"/>
        <v>2.7328762225662415</v>
      </c>
      <c r="BE1213">
        <f t="shared" si="124"/>
        <v>3.05913967054695</v>
      </c>
      <c r="BF1213">
        <f t="shared" si="125"/>
        <v>3.2048088270588395</v>
      </c>
      <c r="BG1213">
        <f t="shared" si="126"/>
        <v>2.9025195621365456</v>
      </c>
      <c r="BH1213">
        <f t="shared" si="127"/>
        <v>3.0431236403933544</v>
      </c>
      <c r="BI1213">
        <f t="shared" si="128"/>
        <v>3.1146978315909446</v>
      </c>
      <c r="BJ1213">
        <f t="shared" si="129"/>
        <v>2.8415263916734315</v>
      </c>
      <c r="BK1213">
        <f t="shared" si="130"/>
        <v>2.7238568678032777</v>
      </c>
      <c r="BL1213">
        <f t="shared" si="131"/>
        <v>2.9437372832970943</v>
      </c>
      <c r="BM1213">
        <f t="shared" si="132"/>
        <v>2.693763047395727</v>
      </c>
      <c r="BN1213">
        <f t="shared" si="133"/>
        <v>3.4144202181960224</v>
      </c>
      <c r="BO1213">
        <f t="shared" si="134"/>
        <v>3.7672599514783931</v>
      </c>
      <c r="BP1213">
        <f t="shared" si="135"/>
        <v>2.6723159673435659</v>
      </c>
      <c r="BQ1213">
        <f t="shared" si="136"/>
        <v>3.1525896238017252</v>
      </c>
      <c r="BR1213">
        <f t="shared" si="137"/>
        <v>3.8575039540902969</v>
      </c>
      <c r="BS1213">
        <f t="shared" si="138"/>
        <v>2.8624711558931497</v>
      </c>
      <c r="BT1213">
        <f t="shared" si="139"/>
        <v>3.5303986181795035</v>
      </c>
      <c r="BU1213">
        <f t="shared" si="140"/>
        <v>3.7431996622376298</v>
      </c>
      <c r="BW1213" t="e">
        <f t="shared" si="141"/>
        <v>#REF!</v>
      </c>
      <c r="CA1213" t="e">
        <f t="shared" si="142"/>
        <v>#DIV/0!</v>
      </c>
      <c r="CB1213" t="e">
        <f t="shared" si="143"/>
        <v>#DIV/0!</v>
      </c>
      <c r="CC1213" t="e">
        <f t="shared" si="144"/>
        <v>#DIV/0!</v>
      </c>
      <c r="CD1213" t="e">
        <f t="shared" si="145"/>
        <v>#DIV/0!</v>
      </c>
      <c r="CE1213" t="e">
        <f t="shared" si="146"/>
        <v>#REF!</v>
      </c>
      <c r="CF1213" t="e">
        <f t="shared" si="147"/>
        <v>#REF!</v>
      </c>
    </row>
    <row r="1214" spans="1:84">
      <c r="G1214" s="3">
        <v>1.3</v>
      </c>
      <c r="AH1214">
        <f t="shared" si="121"/>
        <v>12.167072593932847</v>
      </c>
      <c r="AI1214">
        <f t="shared" si="122"/>
        <v>4.8097169000118578</v>
      </c>
      <c r="AJ1214">
        <f t="shared" si="102"/>
        <v>3.4053744383186886</v>
      </c>
      <c r="AK1214">
        <f t="shared" si="103"/>
        <v>4.3288151255727962</v>
      </c>
      <c r="AL1214">
        <f t="shared" si="104"/>
        <v>3.3707479865663168</v>
      </c>
      <c r="AM1214">
        <f t="shared" si="105"/>
        <v>3.3208430330634275</v>
      </c>
      <c r="AN1214">
        <f t="shared" si="106"/>
        <v>3.7488129738952249</v>
      </c>
      <c r="AO1214">
        <f t="shared" si="107"/>
        <v>3.6965170747368612</v>
      </c>
      <c r="AP1214">
        <f t="shared" si="108"/>
        <v>4.9523206528571029</v>
      </c>
      <c r="AQ1214">
        <f t="shared" si="109"/>
        <v>3.1764857890106377</v>
      </c>
      <c r="AR1214">
        <f t="shared" si="110"/>
        <v>3.5949310060579536</v>
      </c>
      <c r="AS1214">
        <f t="shared" si="111"/>
        <v>3.6216487952880501</v>
      </c>
      <c r="AT1214">
        <f t="shared" si="112"/>
        <v>4.0088902414173644</v>
      </c>
      <c r="AU1214">
        <f t="shared" si="113"/>
        <v>3.5487554583246279</v>
      </c>
      <c r="AV1214">
        <f t="shared" si="114"/>
        <v>3.6790942420834827</v>
      </c>
      <c r="AW1214">
        <f t="shared" si="115"/>
        <v>3.5225025871808375</v>
      </c>
      <c r="AX1214">
        <f t="shared" si="116"/>
        <v>3.671875252258451</v>
      </c>
      <c r="AY1214">
        <f t="shared" si="117"/>
        <v>3.3452454911206808</v>
      </c>
      <c r="AZ1214">
        <f t="shared" si="118"/>
        <v>3.7305613652251348</v>
      </c>
      <c r="BA1214">
        <f t="shared" si="119"/>
        <v>3.9922163570962885</v>
      </c>
      <c r="BC1214" t="e">
        <f t="shared" si="120"/>
        <v>#REF!</v>
      </c>
      <c r="BD1214">
        <f t="shared" si="123"/>
        <v>2.9015030286619434</v>
      </c>
      <c r="BE1214">
        <f t="shared" si="124"/>
        <v>3.3230981861100162</v>
      </c>
      <c r="BF1214">
        <f t="shared" si="125"/>
        <v>3.4856906751972145</v>
      </c>
      <c r="BG1214">
        <f t="shared" si="126"/>
        <v>3.0938267794915566</v>
      </c>
      <c r="BH1214">
        <f>$CN$93*G1214^$CK$93</f>
        <v>3.2461496976647837</v>
      </c>
      <c r="BI1214">
        <f t="shared" si="128"/>
        <v>3.3448757099309172</v>
      </c>
      <c r="BJ1214">
        <f t="shared" si="129"/>
        <v>3.0380390389058918</v>
      </c>
      <c r="BK1214">
        <f t="shared" si="130"/>
        <v>2.8992333142410049</v>
      </c>
      <c r="BL1214">
        <f t="shared" si="131"/>
        <v>3.1507849602709515</v>
      </c>
      <c r="BM1214">
        <f t="shared" si="132"/>
        <v>2.825106422023044</v>
      </c>
      <c r="BN1214">
        <f t="shared" si="133"/>
        <v>3.7352131051660145</v>
      </c>
      <c r="BO1214">
        <f t="shared" si="134"/>
        <v>4.2295961049384729</v>
      </c>
      <c r="BP1214">
        <f t="shared" si="135"/>
        <v>2.8326985847233557</v>
      </c>
      <c r="BQ1214">
        <f t="shared" si="136"/>
        <v>3.4549123863512206</v>
      </c>
      <c r="BR1214">
        <f t="shared" si="137"/>
        <v>4.382750347933424</v>
      </c>
      <c r="BS1214">
        <f t="shared" si="138"/>
        <v>3.0575887588795094</v>
      </c>
      <c r="BT1214">
        <f t="shared" si="139"/>
        <v>3.9117992508907027</v>
      </c>
      <c r="BU1214">
        <f t="shared" si="140"/>
        <v>4.1844299011392039</v>
      </c>
      <c r="BW1214" t="e">
        <f t="shared" si="141"/>
        <v>#REF!</v>
      </c>
      <c r="CA1214" t="e">
        <f t="shared" si="142"/>
        <v>#DIV/0!</v>
      </c>
      <c r="CB1214" t="e">
        <f t="shared" si="143"/>
        <v>#DIV/0!</v>
      </c>
      <c r="CC1214" t="e">
        <f t="shared" si="144"/>
        <v>#DIV/0!</v>
      </c>
      <c r="CD1214" t="e">
        <f t="shared" si="145"/>
        <v>#DIV/0!</v>
      </c>
      <c r="CE1214" t="e">
        <f t="shared" si="146"/>
        <v>#REF!</v>
      </c>
      <c r="CF1214" t="e">
        <f t="shared" si="147"/>
        <v>#REF!</v>
      </c>
    </row>
  </sheetData>
  <sortState ref="A2:I1205">
    <sortCondition ref="C2:C1205"/>
    <sortCondition ref="A2:A1205"/>
    <sortCondition ref="B2:B1205"/>
    <sortCondition ref="D2:D1205"/>
    <sortCondition ref="E2:E1205"/>
  </sortState>
  <pageMargins left="0.69930555555555596" right="0.69930555555555596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zoomScale="70" zoomScaleNormal="70" workbookViewId="0">
      <selection activeCell="S21" sqref="S21"/>
    </sheetView>
  </sheetViews>
  <sheetFormatPr defaultColWidth="10.28515625" defaultRowHeight="15"/>
  <sheetData/>
  <pageMargins left="0.69930555555555596" right="0.69930555555555596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opLeftCell="C10" zoomScale="80" zoomScaleNormal="80" workbookViewId="0">
      <selection activeCell="S18" sqref="S18"/>
    </sheetView>
  </sheetViews>
  <sheetFormatPr defaultColWidth="10.28515625" defaultRowHeight="15"/>
  <sheetData/>
  <pageMargins left="0.69930555555555596" right="0.69930555555555596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zoomScale="70" zoomScaleNormal="70" workbookViewId="0">
      <selection activeCell="S21" sqref="S21"/>
    </sheetView>
  </sheetViews>
  <sheetFormatPr defaultColWidth="10.28515625" defaultRowHeight="15"/>
  <sheetData/>
  <pageMargins left="0.69930555555555596" right="0.69930555555555596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opLeftCell="C1" zoomScale="80" zoomScaleNormal="80" workbookViewId="0">
      <selection activeCell="R30" sqref="R30"/>
    </sheetView>
  </sheetViews>
  <sheetFormatPr defaultColWidth="10.28515625" defaultRowHeight="15"/>
  <sheetData/>
  <pageMargins left="0.69930555555555596" right="0.69930555555555596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opLeftCell="C1" zoomScale="80" zoomScaleNormal="80" workbookViewId="0">
      <selection activeCell="R30" sqref="R30"/>
    </sheetView>
  </sheetViews>
  <sheetFormatPr defaultColWidth="10.28515625" defaultRowHeight="15"/>
  <sheetData/>
  <pageMargins left="0.69930555555555596" right="0.69930555555555596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opLeftCell="C1" zoomScale="80" zoomScaleNormal="80" workbookViewId="0">
      <selection activeCell="R30" sqref="R30"/>
    </sheetView>
  </sheetViews>
  <sheetFormatPr defaultColWidth="10.28515625" defaultRowHeight="15"/>
  <sheetData/>
  <pageMargins left="0.69930555555555596" right="0.69930555555555596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opLeftCell="C1" zoomScale="80" zoomScaleNormal="80" workbookViewId="0">
      <selection activeCell="R30" sqref="R30"/>
    </sheetView>
  </sheetViews>
  <sheetFormatPr defaultColWidth="10.28515625" defaultRowHeight="15"/>
  <sheetData/>
  <pageMargins left="0.69930555555555596" right="0.69930555555555596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zoomScale="70" zoomScaleNormal="70" workbookViewId="0">
      <selection activeCell="S21" sqref="S21"/>
    </sheetView>
  </sheetViews>
  <sheetFormatPr defaultColWidth="10.28515625" defaultRowHeight="15"/>
  <sheetData/>
  <pageMargins left="0.69930555555555596" right="0.69930555555555596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zoomScale="70" zoomScaleNormal="70" workbookViewId="0">
      <selection activeCell="S21" sqref="S21"/>
    </sheetView>
  </sheetViews>
  <sheetFormatPr defaultColWidth="10.28515625" defaultRowHeight="15"/>
  <sheetData/>
  <pageMargins left="0.69930555555555596" right="0.69930555555555596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zoomScale="70" zoomScaleNormal="70" workbookViewId="0">
      <selection activeCell="S21" sqref="S21"/>
    </sheetView>
  </sheetViews>
  <sheetFormatPr defaultColWidth="10.28515625" defaultRowHeight="15"/>
  <sheetData/>
  <pageMargins left="0.69930555555555596" right="0.69930555555555596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zoomScale="70" zoomScaleNormal="70" workbookViewId="0">
      <selection activeCell="S21" sqref="S21"/>
    </sheetView>
  </sheetViews>
  <sheetFormatPr defaultColWidth="10.28515625" defaultRowHeight="15"/>
  <sheetData/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HT 2017-07-05 BIG JIM</vt:lpstr>
      <vt:lpstr>Chart5fm</vt:lpstr>
      <vt:lpstr>Chart5f-pooled</vt:lpstr>
      <vt:lpstr>Chart5m-pooled</vt:lpstr>
      <vt:lpstr>Chart5f-lines</vt:lpstr>
      <vt:lpstr>Chart5f-X</vt:lpstr>
      <vt:lpstr>Chart5f-Y</vt:lpstr>
      <vt:lpstr>Chart5f-Z</vt:lpstr>
      <vt:lpstr>Chart5m-lines</vt:lpstr>
      <vt:lpstr>Chart5m-X</vt:lpstr>
      <vt:lpstr>Chart5m-Y</vt:lpstr>
      <vt:lpstr>Chart5m-Z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abc</cp:lastModifiedBy>
  <dcterms:created xsi:type="dcterms:W3CDTF">2017-07-05T19:06:00Z</dcterms:created>
  <dcterms:modified xsi:type="dcterms:W3CDTF">2017-07-18T18:35:24Z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1033-10.2.0.5871</vt:lpwstr>
  </property>
</Properties>
</file>
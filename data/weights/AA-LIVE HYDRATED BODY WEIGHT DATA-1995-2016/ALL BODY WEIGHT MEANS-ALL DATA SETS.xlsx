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A-RESEARCH-KenWeber8\WT New Data\BODY WEIGHTS\AA-LIVE HYDRATED BODY WEIGHT DATA-1995-2016\"/>
    </mc:Choice>
  </mc:AlternateContent>
  <bookViews>
    <workbookView xWindow="240" yWindow="75" windowWidth="18195" windowHeight="10515" activeTab="5"/>
  </bookViews>
  <sheets>
    <sheet name="Sheet1" sheetId="1" r:id="rId1"/>
    <sheet name="Sheet2" sheetId="2" r:id="rId2"/>
    <sheet name="Sheet3" sheetId="3" r:id="rId3"/>
    <sheet name="Sheet4" sheetId="4" r:id="rId4"/>
    <sheet name="Gen 615" sheetId="6" r:id="rId5"/>
    <sheet name="Gen 692" sheetId="5" r:id="rId6"/>
  </sheets>
  <calcPr calcId="162913"/>
</workbook>
</file>

<file path=xl/calcChain.xml><?xml version="1.0" encoding="utf-8"?>
<calcChain xmlns="http://schemas.openxmlformats.org/spreadsheetml/2006/main">
  <c r="J7" i="3" l="1"/>
  <c r="E7" i="3"/>
  <c r="AF6" i="4" l="1"/>
  <c r="Z6" i="4"/>
  <c r="I6" i="4"/>
  <c r="D6" i="4"/>
  <c r="AF5" i="4"/>
  <c r="Z5" i="4"/>
  <c r="S5" i="4"/>
  <c r="N5" i="4"/>
  <c r="I5" i="4"/>
  <c r="D5" i="4"/>
  <c r="S4" i="4"/>
  <c r="N4" i="4"/>
  <c r="I4" i="4"/>
  <c r="D4" i="4"/>
  <c r="S3" i="4"/>
  <c r="N3" i="4"/>
  <c r="I3" i="4"/>
  <c r="D3" i="4"/>
  <c r="S2" i="4"/>
  <c r="N2" i="4"/>
  <c r="I2" i="4"/>
  <c r="D2" i="4"/>
  <c r="AG6" i="3"/>
  <c r="AA6" i="3"/>
  <c r="J6" i="3"/>
  <c r="E6" i="3"/>
  <c r="AG5" i="3"/>
  <c r="AA5" i="3"/>
  <c r="T5" i="3"/>
  <c r="O5" i="3"/>
  <c r="J5" i="3"/>
  <c r="E5" i="3"/>
  <c r="T4" i="3"/>
  <c r="O4" i="3"/>
  <c r="J4" i="3"/>
  <c r="E4" i="3"/>
  <c r="T3" i="3"/>
  <c r="O3" i="3"/>
  <c r="J3" i="3"/>
  <c r="E3" i="3"/>
  <c r="T2" i="3"/>
  <c r="O2" i="3"/>
  <c r="J2" i="3"/>
  <c r="E2" i="3"/>
  <c r="X6" i="2"/>
  <c r="X5" i="2"/>
  <c r="T6" i="2"/>
  <c r="T5" i="2"/>
  <c r="P5" i="2"/>
  <c r="P4" i="2"/>
  <c r="P3" i="2"/>
  <c r="P2" i="2"/>
  <c r="L5" i="2"/>
  <c r="L4" i="2"/>
  <c r="L3" i="2"/>
  <c r="L2" i="2"/>
  <c r="H6" i="2"/>
  <c r="H5" i="2"/>
  <c r="H4" i="2"/>
  <c r="H3" i="2"/>
  <c r="H2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<sst xmlns="http://schemas.openxmlformats.org/spreadsheetml/2006/main" count="155" uniqueCount="37">
  <si>
    <t>Eggs/Vial</t>
  </si>
  <si>
    <t>Vials/Line</t>
  </si>
  <si>
    <t>YEAR</t>
  </si>
  <si>
    <t>GENERATION</t>
  </si>
  <si>
    <t>AA1-F</t>
  </si>
  <si>
    <t>AA1-M</t>
  </si>
  <si>
    <t>AA2-F</t>
  </si>
  <si>
    <t>AA2-M</t>
  </si>
  <si>
    <t>CN1-F</t>
  </si>
  <si>
    <t>CN1-M</t>
  </si>
  <si>
    <t>CN2-F</t>
  </si>
  <si>
    <t>CN2-M</t>
  </si>
  <si>
    <t>K45-F</t>
  </si>
  <si>
    <t>K45-M</t>
  </si>
  <si>
    <t>N60-F</t>
  </si>
  <si>
    <t>N60-M</t>
  </si>
  <si>
    <t>3 to 4</t>
  </si>
  <si>
    <t>8 to 16</t>
  </si>
  <si>
    <t>MEANS</t>
  </si>
  <si>
    <t>AA-F-Mns</t>
  </si>
  <si>
    <t>CN-F-Mns</t>
  </si>
  <si>
    <t>W-F-Mns</t>
  </si>
  <si>
    <t>AA-M-Mns</t>
  </si>
  <si>
    <t>CN-M-Mns</t>
  </si>
  <si>
    <t>W-M-Mns</t>
  </si>
  <si>
    <t>RATIO</t>
  </si>
  <si>
    <t>DIFF</t>
  </si>
  <si>
    <t>AL45-F</t>
  </si>
  <si>
    <t>AL45-M</t>
  </si>
  <si>
    <t>4 to 8</t>
  </si>
  <si>
    <t>TH62-F</t>
  </si>
  <si>
    <t>TH62-M</t>
  </si>
  <si>
    <t>AA's</t>
  </si>
  <si>
    <t>Female</t>
  </si>
  <si>
    <t>Male</t>
  </si>
  <si>
    <t>Wild</t>
  </si>
  <si>
    <t>GEN615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</si>
</sst>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/>
    <xf numFmtId="0" fontId="3" fillId="0" borderId="0" xfId="0" applyNumberFormat="1" applyFont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Body Weight Ratio:</a:t>
            </a:r>
            <a:r>
              <a:rPr lang="en-US" baseline="0"/>
              <a:t>  Selected/Wild-Type</a:t>
            </a:r>
            <a:endParaRPr lang="en-US"/>
          </a:p>
        </c:rich>
      </c:tx>
      <c:layout>
        <c:manualLayout>
          <c:xMode val="edge"/>
          <c:yMode val="edge"/>
          <c:x val="0.22570178466731328"/>
          <c:y val="3.90896167362037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72625595167438"/>
          <c:y val="0.16679962013295346"/>
          <c:w val="0.72686081325261476"/>
          <c:h val="0.61313113638572958"/>
        </c:manualLayout>
      </c:layout>
      <c:scatterChart>
        <c:scatterStyle val="lineMarker"/>
        <c:varyColors val="0"/>
        <c:ser>
          <c:idx val="0"/>
          <c:order val="0"/>
          <c:tx>
            <c:v>Females/CN</c:v>
          </c:tx>
          <c:spPr>
            <a:ln>
              <a:solidFill>
                <a:sysClr val="windowText" lastClr="000000"/>
              </a:solidFill>
              <a:prstDash val="sysDash"/>
            </a:ln>
          </c:spPr>
          <c:marker>
            <c:symbol val="circle"/>
            <c:size val="8"/>
            <c:spPr>
              <a:noFill/>
              <a:ln w="15875">
                <a:solidFill>
                  <a:sysClr val="windowText" lastClr="000000"/>
                </a:solidFill>
              </a:ln>
            </c:spPr>
          </c:marker>
          <c:xVal>
            <c:numRef>
              <c:f>Sheet3!$B$14:$B$18</c:f>
              <c:numCache>
                <c:formatCode>General</c:formatCode>
                <c:ptCount val="5"/>
                <c:pt idx="0">
                  <c:v>1</c:v>
                </c:pt>
                <c:pt idx="1">
                  <c:v>173</c:v>
                </c:pt>
                <c:pt idx="2">
                  <c:v>240</c:v>
                </c:pt>
                <c:pt idx="3">
                  <c:v>465</c:v>
                </c:pt>
                <c:pt idx="4">
                  <c:v>520</c:v>
                </c:pt>
              </c:numCache>
            </c:numRef>
          </c:xVal>
          <c:yVal>
            <c:numRef>
              <c:f>Sheet3!$F$14:$F$18</c:f>
              <c:numCache>
                <c:formatCode>0.000</c:formatCode>
                <c:ptCount val="5"/>
                <c:pt idx="0">
                  <c:v>1</c:v>
                </c:pt>
                <c:pt idx="1">
                  <c:v>1.0920000000000001</c:v>
                </c:pt>
                <c:pt idx="2">
                  <c:v>1.1379999999999999</c:v>
                </c:pt>
                <c:pt idx="3">
                  <c:v>1.3460000000000001</c:v>
                </c:pt>
                <c:pt idx="4">
                  <c:v>1.321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B-4DAC-A8D6-67257525A932}"/>
            </c:ext>
          </c:extLst>
        </c:ser>
        <c:ser>
          <c:idx val="1"/>
          <c:order val="1"/>
          <c:tx>
            <c:v>Males/CN</c:v>
          </c:tx>
          <c:spPr>
            <a:ln>
              <a:solidFill>
                <a:sysClr val="windowText" lastClr="000000"/>
              </a:solidFill>
            </a:ln>
          </c:spPr>
          <c:marker>
            <c:symbol val="square"/>
            <c:size val="8"/>
            <c:spPr>
              <a:noFill/>
              <a:ln w="15875">
                <a:solidFill>
                  <a:schemeClr val="tx1"/>
                </a:solidFill>
              </a:ln>
            </c:spPr>
          </c:marker>
          <c:xVal>
            <c:numRef>
              <c:f>Sheet3!$B$14:$B$18</c:f>
              <c:numCache>
                <c:formatCode>General</c:formatCode>
                <c:ptCount val="5"/>
                <c:pt idx="0">
                  <c:v>1</c:v>
                </c:pt>
                <c:pt idx="1">
                  <c:v>173</c:v>
                </c:pt>
                <c:pt idx="2">
                  <c:v>240</c:v>
                </c:pt>
                <c:pt idx="3">
                  <c:v>465</c:v>
                </c:pt>
                <c:pt idx="4">
                  <c:v>520</c:v>
                </c:pt>
              </c:numCache>
            </c:numRef>
          </c:xVal>
          <c:yVal>
            <c:numRef>
              <c:f>Sheet3!$P$14:$P$18</c:f>
              <c:numCache>
                <c:formatCode>0.000</c:formatCode>
                <c:ptCount val="5"/>
                <c:pt idx="0">
                  <c:v>1</c:v>
                </c:pt>
                <c:pt idx="1">
                  <c:v>1.145</c:v>
                </c:pt>
                <c:pt idx="2">
                  <c:v>1.2949999999999999</c:v>
                </c:pt>
                <c:pt idx="3">
                  <c:v>1.34</c:v>
                </c:pt>
                <c:pt idx="4">
                  <c:v>1.3140000000000001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B-4DAC-A8D6-67257525A932}"/>
            </c:ext>
          </c:extLst>
        </c:ser>
        <c:ser>
          <c:idx val="2"/>
          <c:order val="2"/>
          <c:spPr>
            <a:ln>
              <a:solidFill>
                <a:sysClr val="windowText" lastClr="000000"/>
              </a:solidFill>
              <a:prstDash val="sysDot"/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Sheet3!$B$18:$B$21</c:f>
              <c:numCache>
                <c:formatCode>General</c:formatCode>
                <c:ptCount val="4"/>
                <c:pt idx="0">
                  <c:v>520</c:v>
                </c:pt>
                <c:pt idx="1">
                  <c:v>560</c:v>
                </c:pt>
                <c:pt idx="2">
                  <c:v>615</c:v>
                </c:pt>
                <c:pt idx="3">
                  <c:v>692</c:v>
                </c:pt>
              </c:numCache>
            </c:numRef>
          </c:xVal>
          <c:yVal>
            <c:numRef>
              <c:f>Sheet3!$K$18:$K$21</c:f>
              <c:numCache>
                <c:formatCode>0.000</c:formatCode>
                <c:ptCount val="4"/>
                <c:pt idx="0">
                  <c:v>1.2889999999999999</c:v>
                </c:pt>
                <c:pt idx="1">
                  <c:v>1.573</c:v>
                </c:pt>
                <c:pt idx="2">
                  <c:v>1.371</c:v>
                </c:pt>
                <c:pt idx="3">
                  <c:v>1.4750000000000001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8B-4DAC-A8D6-67257525A932}"/>
            </c:ext>
          </c:extLst>
        </c:ser>
        <c:ser>
          <c:idx val="3"/>
          <c:order val="3"/>
          <c:spPr>
            <a:ln>
              <a:solidFill>
                <a:sysClr val="windowText" lastClr="000000"/>
              </a:solidFill>
              <a:prstDash val="sysDash"/>
            </a:ln>
          </c:spPr>
          <c:marker>
            <c:symbol val="square"/>
            <c:size val="7"/>
            <c:spPr>
              <a:solidFill>
                <a:sysClr val="windowText" lastClr="000000"/>
              </a:solidFill>
            </c:spPr>
          </c:marker>
          <c:xVal>
            <c:numRef>
              <c:f>Sheet3!$B$18:$B$21</c:f>
              <c:numCache>
                <c:formatCode>General</c:formatCode>
                <c:ptCount val="4"/>
                <c:pt idx="0">
                  <c:v>520</c:v>
                </c:pt>
                <c:pt idx="1">
                  <c:v>560</c:v>
                </c:pt>
                <c:pt idx="2">
                  <c:v>615</c:v>
                </c:pt>
                <c:pt idx="3">
                  <c:v>692</c:v>
                </c:pt>
              </c:numCache>
            </c:numRef>
          </c:xVal>
          <c:yVal>
            <c:numRef>
              <c:f>Sheet3!$U$18:$U$21</c:f>
              <c:numCache>
                <c:formatCode>0.000</c:formatCode>
                <c:ptCount val="4"/>
                <c:pt idx="0">
                  <c:v>1.3120000000000001</c:v>
                </c:pt>
                <c:pt idx="1">
                  <c:v>1.595</c:v>
                </c:pt>
                <c:pt idx="2">
                  <c:v>1.4950000000000001</c:v>
                </c:pt>
                <c:pt idx="3">
                  <c:v>1.5589999999999999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8B-4DAC-A8D6-67257525A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66720"/>
        <c:axId val="77973376"/>
      </c:scatterChart>
      <c:valAx>
        <c:axId val="77966720"/>
        <c:scaling>
          <c:orientation val="minMax"/>
          <c:max val="8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500" baseline="0"/>
                </a:pPr>
                <a:r>
                  <a:rPr lang="en-US" sz="1500" baseline="0"/>
                  <a:t>Generation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300" b="1" i="0" baseline="0"/>
            </a:pPr>
            <a:endParaRPr lang="en-US"/>
          </a:p>
        </c:txPr>
        <c:crossAx val="77973376"/>
        <c:crosses val="autoZero"/>
        <c:crossBetween val="midCat"/>
        <c:majorUnit val="100"/>
        <c:minorUnit val="20"/>
      </c:valAx>
      <c:valAx>
        <c:axId val="77973376"/>
        <c:scaling>
          <c:orientation val="minMax"/>
          <c:max val="1.8"/>
          <c:min val="0.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500" baseline="0"/>
                </a:pPr>
                <a:r>
                  <a:rPr lang="en-US" sz="1500" baseline="0"/>
                  <a:t>Selected/Wild-Type</a:t>
                </a:r>
              </a:p>
            </c:rich>
          </c:tx>
          <c:layout>
            <c:manualLayout>
              <c:xMode val="edge"/>
              <c:yMode val="edge"/>
              <c:x val="6.676162967066304E-3"/>
              <c:y val="0.26095879040760933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300" b="1" i="0" baseline="0"/>
            </a:pPr>
            <a:endParaRPr lang="en-US"/>
          </a:p>
        </c:txPr>
        <c:crossAx val="77966720"/>
        <c:crosses val="autoZero"/>
        <c:crossBetween val="midCat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Body Weights:  Selected - Wild</a:t>
            </a:r>
          </a:p>
        </c:rich>
      </c:tx>
      <c:layout>
        <c:manualLayout>
          <c:xMode val="edge"/>
          <c:yMode val="edge"/>
          <c:x val="0.27770052017815072"/>
          <c:y val="1.6718913270637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11733153391887"/>
          <c:y val="0.13626967475460552"/>
          <c:w val="0.75445451015183773"/>
          <c:h val="0.66491480101037526"/>
        </c:manualLayout>
      </c:layout>
      <c:scatterChart>
        <c:scatterStyle val="lineMarker"/>
        <c:varyColors val="0"/>
        <c:ser>
          <c:idx val="0"/>
          <c:order val="0"/>
          <c:tx>
            <c:v>Females-CN</c:v>
          </c:tx>
          <c:xVal>
            <c:numRef>
              <c:f>Sheet4!$A$14:$A$18</c:f>
              <c:numCache>
                <c:formatCode>General</c:formatCode>
                <c:ptCount val="5"/>
                <c:pt idx="0">
                  <c:v>1</c:v>
                </c:pt>
                <c:pt idx="1">
                  <c:v>173</c:v>
                </c:pt>
                <c:pt idx="2">
                  <c:v>240</c:v>
                </c:pt>
                <c:pt idx="3">
                  <c:v>465</c:v>
                </c:pt>
                <c:pt idx="4">
                  <c:v>520</c:v>
                </c:pt>
              </c:numCache>
            </c:numRef>
          </c:xVal>
          <c:yVal>
            <c:numRef>
              <c:f>Sheet4!$F$14:$F$18</c:f>
              <c:numCache>
                <c:formatCode>0.000</c:formatCode>
                <c:ptCount val="5"/>
                <c:pt idx="0">
                  <c:v>0</c:v>
                </c:pt>
                <c:pt idx="1">
                  <c:v>9.6000000000000002E-2</c:v>
                </c:pt>
                <c:pt idx="2">
                  <c:v>0.18</c:v>
                </c:pt>
                <c:pt idx="3">
                  <c:v>0.45200000000000001</c:v>
                </c:pt>
                <c:pt idx="4">
                  <c:v>0.4602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8-42F1-B090-9299BDE2ED41}"/>
            </c:ext>
          </c:extLst>
        </c:ser>
        <c:ser>
          <c:idx val="1"/>
          <c:order val="1"/>
          <c:tx>
            <c:v>Males-CN</c:v>
          </c:tx>
          <c:xVal>
            <c:numRef>
              <c:f>Sheet4!$A$14:$A$18</c:f>
              <c:numCache>
                <c:formatCode>General</c:formatCode>
                <c:ptCount val="5"/>
                <c:pt idx="0">
                  <c:v>1</c:v>
                </c:pt>
                <c:pt idx="1">
                  <c:v>173</c:v>
                </c:pt>
                <c:pt idx="2">
                  <c:v>240</c:v>
                </c:pt>
                <c:pt idx="3">
                  <c:v>465</c:v>
                </c:pt>
                <c:pt idx="4">
                  <c:v>520</c:v>
                </c:pt>
              </c:numCache>
            </c:numRef>
          </c:xVal>
          <c:yVal>
            <c:numRef>
              <c:f>Sheet4!$P$14:$P$18</c:f>
              <c:numCache>
                <c:formatCode>0.000</c:formatCode>
                <c:ptCount val="5"/>
                <c:pt idx="0">
                  <c:v>0</c:v>
                </c:pt>
                <c:pt idx="1">
                  <c:v>0.10290000000000001</c:v>
                </c:pt>
                <c:pt idx="2">
                  <c:v>0.23</c:v>
                </c:pt>
                <c:pt idx="3">
                  <c:v>0.29299999999999998</c:v>
                </c:pt>
                <c:pt idx="4">
                  <c:v>0.28599999999999998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8-42F1-B090-9299BDE2ED41}"/>
            </c:ext>
          </c:extLst>
        </c:ser>
        <c:ser>
          <c:idx val="2"/>
          <c:order val="2"/>
          <c:xVal>
            <c:numRef>
              <c:f>Sheet4!$A$18:$A$21</c:f>
              <c:numCache>
                <c:formatCode>General</c:formatCode>
                <c:ptCount val="4"/>
                <c:pt idx="0">
                  <c:v>520</c:v>
                </c:pt>
                <c:pt idx="1">
                  <c:v>560</c:v>
                </c:pt>
                <c:pt idx="2">
                  <c:v>615</c:v>
                </c:pt>
                <c:pt idx="3">
                  <c:v>692</c:v>
                </c:pt>
              </c:numCache>
            </c:numRef>
          </c:xVal>
          <c:yVal>
            <c:numRef>
              <c:f>Sheet4!$K$18:$K$21</c:f>
              <c:numCache>
                <c:formatCode>0.000</c:formatCode>
                <c:ptCount val="4"/>
                <c:pt idx="0">
                  <c:v>0.42</c:v>
                </c:pt>
                <c:pt idx="1">
                  <c:v>0.67100000000000004</c:v>
                </c:pt>
                <c:pt idx="2">
                  <c:v>0.497</c:v>
                </c:pt>
                <c:pt idx="3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A8-42F1-B090-9299BDE2ED41}"/>
            </c:ext>
          </c:extLst>
        </c:ser>
        <c:ser>
          <c:idx val="3"/>
          <c:order val="3"/>
          <c:spPr>
            <a:ln>
              <a:solidFill>
                <a:srgbClr val="FFC000"/>
              </a:solidFill>
            </a:ln>
          </c:spPr>
          <c:marker>
            <c:symbol val="circle"/>
            <c:size val="7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Sheet4!$A$18:$A$21</c:f>
              <c:numCache>
                <c:formatCode>General</c:formatCode>
                <c:ptCount val="4"/>
                <c:pt idx="0">
                  <c:v>520</c:v>
                </c:pt>
                <c:pt idx="1">
                  <c:v>560</c:v>
                </c:pt>
                <c:pt idx="2">
                  <c:v>615</c:v>
                </c:pt>
                <c:pt idx="3">
                  <c:v>692</c:v>
                </c:pt>
              </c:numCache>
            </c:numRef>
          </c:xVal>
          <c:yVal>
            <c:numRef>
              <c:f>Sheet4!$U$18:$U$21</c:f>
              <c:numCache>
                <c:formatCode>0.000</c:formatCode>
                <c:ptCount val="4"/>
                <c:pt idx="0">
                  <c:v>0.28499999999999998</c:v>
                </c:pt>
                <c:pt idx="1">
                  <c:v>0.48499999999999999</c:v>
                </c:pt>
                <c:pt idx="2">
                  <c:v>0.41</c:v>
                </c:pt>
                <c:pt idx="3">
                  <c:v>0.43099999999999999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A8-42F1-B090-9299BDE2E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58240"/>
        <c:axId val="78060544"/>
      </c:scatterChart>
      <c:valAx>
        <c:axId val="78058240"/>
        <c:scaling>
          <c:orientation val="minMax"/>
          <c:max val="800"/>
        </c:scaling>
        <c:delete val="0"/>
        <c:axPos val="b"/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Generation</a:t>
                </a:r>
              </a:p>
            </c:rich>
          </c:tx>
          <c:layout>
            <c:manualLayout>
              <c:xMode val="edge"/>
              <c:yMode val="edge"/>
              <c:x val="0.41714415196152482"/>
              <c:y val="0.899310344827586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190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 b="1" i="0" baseline="0"/>
            </a:pPr>
            <a:endParaRPr lang="en-US"/>
          </a:p>
        </c:txPr>
        <c:crossAx val="78060544"/>
        <c:crosses val="autoZero"/>
        <c:crossBetween val="midCat"/>
      </c:valAx>
      <c:valAx>
        <c:axId val="7806054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350" baseline="0"/>
                </a:pPr>
                <a:r>
                  <a:rPr lang="en-US" sz="1350" baseline="0"/>
                  <a:t>Selected - Wild  (mg)</a:t>
                </a:r>
              </a:p>
            </c:rich>
          </c:tx>
          <c:layout>
            <c:manualLayout>
              <c:xMode val="edge"/>
              <c:yMode val="edge"/>
              <c:x val="5.5899761732518347E-3"/>
              <c:y val="0.15202165560025999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50" b="1" i="0" baseline="0"/>
            </a:pPr>
            <a:endParaRPr lang="en-US"/>
          </a:p>
        </c:txPr>
        <c:crossAx val="78058240"/>
        <c:crosses val="autoZero"/>
        <c:crossBetween val="midCat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</xdr:colOff>
      <xdr:row>22</xdr:row>
      <xdr:rowOff>100965</xdr:rowOff>
    </xdr:from>
    <xdr:to>
      <xdr:col>15</xdr:col>
      <xdr:colOff>346710</xdr:colOff>
      <xdr:row>43</xdr:row>
      <xdr:rowOff>150495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24</xdr:row>
      <xdr:rowOff>180975</xdr:rowOff>
    </xdr:from>
    <xdr:to>
      <xdr:col>15</xdr:col>
      <xdr:colOff>388620</xdr:colOff>
      <xdr:row>40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sqref="A1:XFD1"/>
    </sheetView>
  </sheetViews>
  <sheetFormatPr defaultRowHeight="15" x14ac:dyDescent="0.25"/>
  <cols>
    <col min="2" max="2" width="8.85546875" style="4"/>
    <col min="4" max="4" width="12.7109375" customWidth="1"/>
    <col min="5" max="5" width="9.7109375" customWidth="1"/>
  </cols>
  <sheetData>
    <row r="1" spans="1:20" s="4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27</v>
      </c>
      <c r="R1" s="7" t="s">
        <v>28</v>
      </c>
      <c r="S1" s="7" t="s">
        <v>30</v>
      </c>
      <c r="T1" s="7" t="s">
        <v>31</v>
      </c>
    </row>
    <row r="2" spans="1:20" x14ac:dyDescent="0.25">
      <c r="A2" s="9">
        <v>80</v>
      </c>
      <c r="B2" s="9" t="s">
        <v>16</v>
      </c>
      <c r="C2" s="3">
        <v>1995</v>
      </c>
      <c r="D2" s="3">
        <v>173</v>
      </c>
      <c r="E2" s="6">
        <v>1.2050000000000001</v>
      </c>
      <c r="F2" s="6">
        <v>0.84075</v>
      </c>
      <c r="G2" s="1">
        <v>1.0833330000000001</v>
      </c>
      <c r="H2" s="6">
        <v>0.78806699999999996</v>
      </c>
      <c r="I2" s="6">
        <v>1.065067</v>
      </c>
      <c r="J2" s="6">
        <v>0.69376700000000002</v>
      </c>
      <c r="K2" s="6">
        <v>1.0310999999999999</v>
      </c>
      <c r="L2" s="6">
        <v>0.72924999999999995</v>
      </c>
      <c r="M2" s="2"/>
      <c r="N2" s="2"/>
      <c r="O2" s="2"/>
      <c r="P2" s="2"/>
    </row>
    <row r="3" spans="1:20" x14ac:dyDescent="0.25">
      <c r="A3" s="9">
        <v>50</v>
      </c>
      <c r="B3" s="3"/>
      <c r="C3" s="3">
        <v>1998</v>
      </c>
      <c r="D3" s="3">
        <v>240</v>
      </c>
      <c r="E3" s="6">
        <v>1.47</v>
      </c>
      <c r="F3" s="6">
        <v>1.01</v>
      </c>
      <c r="G3" s="6">
        <v>1.5</v>
      </c>
      <c r="H3" s="6">
        <v>1.01</v>
      </c>
      <c r="I3" s="6">
        <v>1.24</v>
      </c>
      <c r="J3" s="6">
        <v>0.76</v>
      </c>
      <c r="K3" s="6">
        <v>1.37</v>
      </c>
      <c r="L3" s="6">
        <v>0.8</v>
      </c>
      <c r="M3" s="2"/>
      <c r="N3" s="2"/>
      <c r="O3" s="2"/>
      <c r="P3" s="2"/>
    </row>
    <row r="4" spans="1:20" x14ac:dyDescent="0.25">
      <c r="A4" s="9">
        <v>50</v>
      </c>
      <c r="B4" s="4">
        <v>15</v>
      </c>
      <c r="C4" s="3">
        <v>2007</v>
      </c>
      <c r="D4" s="3">
        <v>465</v>
      </c>
      <c r="E4" s="1">
        <v>1.7855000000000001</v>
      </c>
      <c r="F4" s="1">
        <v>1.1519999999999999</v>
      </c>
      <c r="G4" s="1">
        <v>1.7269000000000001</v>
      </c>
      <c r="H4" s="1">
        <v>1.1516999999999999</v>
      </c>
      <c r="I4" s="1">
        <v>1.3266</v>
      </c>
      <c r="J4" s="1">
        <v>0.87039999999999995</v>
      </c>
      <c r="K4" s="1">
        <v>1.2827</v>
      </c>
      <c r="L4" s="1">
        <v>0.84819999999999995</v>
      </c>
      <c r="M4" s="1"/>
      <c r="N4" s="1"/>
      <c r="O4" s="1"/>
      <c r="P4" s="1"/>
    </row>
    <row r="5" spans="1:20" x14ac:dyDescent="0.25">
      <c r="A5" s="9">
        <v>50</v>
      </c>
      <c r="B5" s="4">
        <v>15</v>
      </c>
      <c r="C5" s="3">
        <v>2009</v>
      </c>
      <c r="D5" s="3">
        <v>520</v>
      </c>
      <c r="E5" s="1">
        <v>1.915</v>
      </c>
      <c r="F5" s="1">
        <v>1.2062999999999999</v>
      </c>
      <c r="G5" s="1">
        <v>1.8766</v>
      </c>
      <c r="H5" s="1">
        <v>1.1890000000000001</v>
      </c>
      <c r="I5" s="1">
        <v>1.5266</v>
      </c>
      <c r="J5" s="1">
        <v>0.94399999999999995</v>
      </c>
      <c r="K5" s="1">
        <v>1.3446</v>
      </c>
      <c r="L5" s="1">
        <v>0.87860000000000005</v>
      </c>
      <c r="M5" s="1">
        <v>1.4059999999999999</v>
      </c>
      <c r="N5" s="1">
        <v>0.89959999999999996</v>
      </c>
      <c r="O5" s="1">
        <v>1.4993000000000001</v>
      </c>
      <c r="P5" s="1">
        <v>0.91259999999999997</v>
      </c>
    </row>
    <row r="6" spans="1:20" x14ac:dyDescent="0.25">
      <c r="A6" s="9">
        <v>50</v>
      </c>
      <c r="B6" s="5" t="s">
        <v>17</v>
      </c>
      <c r="C6" s="3">
        <v>2011</v>
      </c>
      <c r="D6" s="3">
        <v>560</v>
      </c>
      <c r="E6" s="1">
        <v>1.8521000000000001</v>
      </c>
      <c r="F6" s="1">
        <v>1.2791999999999999</v>
      </c>
      <c r="G6" s="1">
        <v>1.8387</v>
      </c>
      <c r="H6" s="1">
        <v>1.3207</v>
      </c>
      <c r="I6" s="1"/>
      <c r="J6" s="1"/>
      <c r="K6" s="1"/>
      <c r="L6" s="1"/>
      <c r="M6" s="1">
        <v>1.2131000000000001</v>
      </c>
      <c r="N6" s="1">
        <v>0.83950000000000002</v>
      </c>
      <c r="O6" s="1">
        <v>1.1338999999999999</v>
      </c>
      <c r="P6" s="1">
        <v>0.81510000000000005</v>
      </c>
    </row>
    <row r="7" spans="1:20" x14ac:dyDescent="0.25">
      <c r="A7" s="9">
        <v>50</v>
      </c>
      <c r="B7" s="4">
        <v>6</v>
      </c>
      <c r="C7" s="3">
        <v>2013</v>
      </c>
      <c r="D7" s="3">
        <v>615</v>
      </c>
      <c r="E7">
        <v>1.8320000000000001</v>
      </c>
      <c r="F7">
        <v>1.2112000000000001</v>
      </c>
      <c r="G7">
        <v>1.8383</v>
      </c>
      <c r="H7">
        <v>1.2664</v>
      </c>
      <c r="M7">
        <v>1.2978000000000001</v>
      </c>
      <c r="N7">
        <v>0.81079999999999997</v>
      </c>
      <c r="O7">
        <v>1.36</v>
      </c>
      <c r="P7">
        <v>0.83699999999999997</v>
      </c>
      <c r="Q7">
        <v>1.3566</v>
      </c>
      <c r="R7">
        <v>0.83799999999999997</v>
      </c>
    </row>
    <row r="8" spans="1:20" x14ac:dyDescent="0.25">
      <c r="A8" s="9">
        <v>50</v>
      </c>
      <c r="B8" s="4" t="s">
        <v>29</v>
      </c>
      <c r="C8" s="3">
        <v>2016</v>
      </c>
      <c r="D8" s="3">
        <v>692</v>
      </c>
      <c r="E8">
        <v>1.8413999999999999</v>
      </c>
      <c r="F8">
        <v>1.2133</v>
      </c>
      <c r="G8">
        <v>1.8244</v>
      </c>
      <c r="H8">
        <v>1.19</v>
      </c>
      <c r="O8">
        <v>1.2544</v>
      </c>
      <c r="P8">
        <v>0.78210000000000002</v>
      </c>
      <c r="Q8">
        <v>1.1812</v>
      </c>
      <c r="R8">
        <v>0.72940000000000005</v>
      </c>
      <c r="S8">
        <v>1.2949999999999999</v>
      </c>
      <c r="T8">
        <v>0.80120000000000002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activeCell="U25" sqref="U25"/>
    </sheetView>
  </sheetViews>
  <sheetFormatPr defaultRowHeight="15" x14ac:dyDescent="0.25"/>
  <cols>
    <col min="1" max="1" width="12.28515625" customWidth="1"/>
    <col min="3" max="5" width="9.140625" style="1"/>
    <col min="8" max="9" width="9.140625" style="1"/>
    <col min="11" max="13" width="9.140625" style="1"/>
    <col min="16" max="17" width="9.140625" style="1"/>
    <col min="20" max="21" width="9.140625" style="1"/>
  </cols>
  <sheetData>
    <row r="1" spans="1:24" x14ac:dyDescent="0.25">
      <c r="A1" s="7" t="s">
        <v>3</v>
      </c>
      <c r="B1" s="8" t="s">
        <v>4</v>
      </c>
      <c r="C1" s="8" t="s">
        <v>6</v>
      </c>
      <c r="D1" s="8" t="s">
        <v>18</v>
      </c>
      <c r="E1" s="8"/>
      <c r="F1" s="8" t="s">
        <v>5</v>
      </c>
      <c r="G1" s="8" t="s">
        <v>7</v>
      </c>
      <c r="H1" s="8" t="s">
        <v>18</v>
      </c>
      <c r="I1" s="8"/>
      <c r="J1" s="8" t="s">
        <v>8</v>
      </c>
      <c r="K1" s="8" t="s">
        <v>10</v>
      </c>
      <c r="L1" s="8" t="s">
        <v>18</v>
      </c>
      <c r="M1" s="8"/>
      <c r="N1" s="8" t="s">
        <v>9</v>
      </c>
      <c r="O1" s="8" t="s">
        <v>11</v>
      </c>
      <c r="P1" s="8" t="s">
        <v>18</v>
      </c>
      <c r="Q1" s="8"/>
      <c r="R1" s="8" t="s">
        <v>12</v>
      </c>
      <c r="S1" s="8" t="s">
        <v>14</v>
      </c>
      <c r="T1" s="8" t="s">
        <v>18</v>
      </c>
      <c r="U1" s="8"/>
      <c r="V1" s="8" t="s">
        <v>13</v>
      </c>
      <c r="W1" s="8" t="s">
        <v>15</v>
      </c>
      <c r="X1" s="8" t="s">
        <v>18</v>
      </c>
    </row>
    <row r="2" spans="1:24" x14ac:dyDescent="0.25">
      <c r="A2" s="3">
        <v>173</v>
      </c>
      <c r="B2" s="6">
        <v>1.2050000000000001</v>
      </c>
      <c r="C2" s="1">
        <v>1.0833330000000001</v>
      </c>
      <c r="D2" s="1">
        <f>AVERAGE(B2:C2)</f>
        <v>1.1441665000000001</v>
      </c>
      <c r="F2" s="6">
        <v>0.84075</v>
      </c>
      <c r="G2" s="6">
        <v>0.78806699999999996</v>
      </c>
      <c r="H2" s="6">
        <f>AVERAGE(F2:G2)</f>
        <v>0.81440849999999998</v>
      </c>
      <c r="I2" s="6"/>
      <c r="J2" s="6">
        <v>1.065067</v>
      </c>
      <c r="K2" s="6">
        <v>1.0310999999999999</v>
      </c>
      <c r="L2" s="6">
        <f>AVERAGE(J2:K2)</f>
        <v>1.0480834999999999</v>
      </c>
      <c r="M2" s="6"/>
      <c r="N2" s="6">
        <v>0.69376700000000002</v>
      </c>
      <c r="O2" s="6">
        <v>0.72924999999999995</v>
      </c>
      <c r="P2" s="6">
        <f>AVERAGE(N2:O2)</f>
        <v>0.71150849999999999</v>
      </c>
      <c r="Q2" s="6"/>
      <c r="R2" s="2"/>
      <c r="S2" s="2"/>
      <c r="T2" s="2"/>
      <c r="U2" s="2"/>
      <c r="V2" s="2"/>
      <c r="W2" s="2"/>
    </row>
    <row r="3" spans="1:24" x14ac:dyDescent="0.25">
      <c r="A3" s="3">
        <v>240</v>
      </c>
      <c r="B3" s="6">
        <v>1.47</v>
      </c>
      <c r="C3" s="6">
        <v>1.5</v>
      </c>
      <c r="D3" s="6">
        <f>AVERAGE(B3:C3)</f>
        <v>1.4849999999999999</v>
      </c>
      <c r="E3" s="6"/>
      <c r="F3" s="6">
        <v>1.01</v>
      </c>
      <c r="G3" s="6">
        <v>1.01</v>
      </c>
      <c r="H3" s="6">
        <f>AVERAGE(F3:G3)</f>
        <v>1.01</v>
      </c>
      <c r="I3" s="6"/>
      <c r="J3" s="6">
        <v>1.24</v>
      </c>
      <c r="K3" s="6">
        <v>1.37</v>
      </c>
      <c r="L3" s="6">
        <f>AVERAGE(J3:K3)</f>
        <v>1.3050000000000002</v>
      </c>
      <c r="M3" s="6"/>
      <c r="N3" s="6">
        <v>0.76</v>
      </c>
      <c r="O3" s="6">
        <v>0.8</v>
      </c>
      <c r="P3" s="6">
        <f>AVERAGE(N3:O3)</f>
        <v>0.78</v>
      </c>
      <c r="Q3" s="6"/>
      <c r="R3" s="2"/>
      <c r="S3" s="2"/>
      <c r="T3" s="2"/>
      <c r="U3" s="2"/>
      <c r="V3" s="2"/>
      <c r="W3" s="2"/>
    </row>
    <row r="4" spans="1:24" x14ac:dyDescent="0.25">
      <c r="A4" s="3">
        <v>465</v>
      </c>
      <c r="B4" s="1">
        <v>1.7855000000000001</v>
      </c>
      <c r="C4" s="1">
        <v>1.7269000000000001</v>
      </c>
      <c r="D4" s="1">
        <f>AVERAGE(B4:C4)</f>
        <v>1.7562000000000002</v>
      </c>
      <c r="F4" s="1">
        <v>1.1519999999999999</v>
      </c>
      <c r="G4" s="1">
        <v>1.1516999999999999</v>
      </c>
      <c r="H4" s="1">
        <f>AVERAGE(F4:G4)</f>
        <v>1.15185</v>
      </c>
      <c r="J4" s="1">
        <v>1.3266</v>
      </c>
      <c r="K4" s="1">
        <v>1.2827</v>
      </c>
      <c r="L4" s="1">
        <f>AVERAGE(J4:K4)</f>
        <v>1.3046500000000001</v>
      </c>
      <c r="N4" s="1">
        <v>0.87039999999999995</v>
      </c>
      <c r="O4" s="1">
        <v>0.84819999999999995</v>
      </c>
      <c r="P4" s="1">
        <f>AVERAGE(N4:O4)</f>
        <v>0.85929999999999995</v>
      </c>
      <c r="R4" s="1"/>
      <c r="S4" s="1"/>
      <c r="V4" s="1"/>
      <c r="W4" s="1"/>
    </row>
    <row r="5" spans="1:24" x14ac:dyDescent="0.25">
      <c r="A5" s="3">
        <v>520</v>
      </c>
      <c r="B5" s="1">
        <v>1.915</v>
      </c>
      <c r="C5" s="1">
        <v>1.8766</v>
      </c>
      <c r="D5" s="1">
        <f>AVERAGE(B5:C5)</f>
        <v>1.8957999999999999</v>
      </c>
      <c r="F5" s="1">
        <v>1.2062999999999999</v>
      </c>
      <c r="G5" s="1">
        <v>1.1890000000000001</v>
      </c>
      <c r="H5" s="1">
        <f>AVERAGE(F5:G5)</f>
        <v>1.1976499999999999</v>
      </c>
      <c r="J5" s="1">
        <v>1.5266</v>
      </c>
      <c r="K5" s="1">
        <v>1.3446</v>
      </c>
      <c r="L5" s="1">
        <f>AVERAGE(J5:K5)</f>
        <v>1.4356</v>
      </c>
      <c r="N5" s="1">
        <v>0.94399999999999995</v>
      </c>
      <c r="O5" s="1">
        <v>0.87860000000000005</v>
      </c>
      <c r="P5" s="1">
        <f>AVERAGE(N5:O5)</f>
        <v>0.9113</v>
      </c>
      <c r="R5" s="1">
        <v>1.4059999999999999</v>
      </c>
      <c r="S5" s="1">
        <v>1.4993000000000001</v>
      </c>
      <c r="T5" s="1">
        <f>AVERAGE(R5:S5)</f>
        <v>1.45265</v>
      </c>
      <c r="V5" s="1">
        <v>0.89959999999999996</v>
      </c>
      <c r="W5" s="1">
        <v>0.91259999999999997</v>
      </c>
      <c r="X5">
        <f>AVERAGE(V5:W5)</f>
        <v>0.90609999999999991</v>
      </c>
    </row>
    <row r="6" spans="1:24" x14ac:dyDescent="0.25">
      <c r="A6" s="3">
        <v>560</v>
      </c>
      <c r="B6" s="1">
        <v>1.8521000000000001</v>
      </c>
      <c r="C6" s="1">
        <v>1.8387</v>
      </c>
      <c r="D6" s="1">
        <f>AVERAGE(B6:C6)</f>
        <v>1.8454000000000002</v>
      </c>
      <c r="F6" s="1">
        <v>1.2791999999999999</v>
      </c>
      <c r="G6" s="1">
        <v>1.3207</v>
      </c>
      <c r="H6" s="1">
        <f>AVERAGE(F6:G6)</f>
        <v>1.2999499999999999</v>
      </c>
      <c r="J6" s="1"/>
      <c r="N6" s="1"/>
      <c r="O6" s="1"/>
      <c r="R6" s="1">
        <v>1.2131000000000001</v>
      </c>
      <c r="S6" s="1">
        <v>1.1338999999999999</v>
      </c>
      <c r="T6" s="1">
        <f>AVERAGE(R6:S6)</f>
        <v>1.1735</v>
      </c>
      <c r="V6" s="1">
        <v>0.83950000000000002</v>
      </c>
      <c r="W6" s="1">
        <v>0.81510000000000005</v>
      </c>
      <c r="X6">
        <f>AVERAGE(V6:W6)</f>
        <v>0.82730000000000004</v>
      </c>
    </row>
    <row r="7" spans="1:24" x14ac:dyDescent="0.25">
      <c r="A7" s="3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topLeftCell="A20" workbookViewId="0">
      <selection activeCell="W36" sqref="W36"/>
    </sheetView>
  </sheetViews>
  <sheetFormatPr defaultColWidth="9.140625" defaultRowHeight="15" x14ac:dyDescent="0.25"/>
  <cols>
    <col min="1" max="1" width="9.140625" style="17"/>
    <col min="2" max="2" width="12.28515625" style="10" customWidth="1"/>
    <col min="3" max="13" width="9.140625" style="10"/>
    <col min="14" max="14" width="10.28515625" style="10" customWidth="1"/>
    <col min="15" max="15" width="10.140625" style="10" customWidth="1"/>
    <col min="16" max="18" width="9.140625" style="10"/>
    <col min="19" max="19" width="10.5703125" style="10" customWidth="1"/>
    <col min="20" max="16384" width="9.140625" style="10"/>
  </cols>
  <sheetData>
    <row r="1" spans="1:33" ht="15.75" x14ac:dyDescent="0.25">
      <c r="A1" s="19" t="s">
        <v>2</v>
      </c>
      <c r="B1" s="12" t="s">
        <v>3</v>
      </c>
      <c r="C1" s="13" t="s">
        <v>4</v>
      </c>
      <c r="D1" s="13" t="s">
        <v>6</v>
      </c>
      <c r="E1" s="13" t="s">
        <v>18</v>
      </c>
      <c r="F1" s="13"/>
      <c r="G1" s="13"/>
      <c r="H1" s="13" t="s">
        <v>5</v>
      </c>
      <c r="I1" s="13" t="s">
        <v>7</v>
      </c>
      <c r="J1" s="13" t="s">
        <v>18</v>
      </c>
      <c r="K1" s="13"/>
      <c r="L1" s="13"/>
      <c r="M1" s="13" t="s">
        <v>8</v>
      </c>
      <c r="N1" s="13" t="s">
        <v>10</v>
      </c>
      <c r="O1" s="13" t="s">
        <v>18</v>
      </c>
      <c r="P1" s="13"/>
      <c r="Q1" s="13"/>
      <c r="R1" s="13" t="s">
        <v>9</v>
      </c>
      <c r="S1" s="13" t="s">
        <v>11</v>
      </c>
      <c r="T1" s="13" t="s">
        <v>18</v>
      </c>
      <c r="U1" s="13"/>
      <c r="V1" s="13"/>
      <c r="W1" s="13" t="s">
        <v>30</v>
      </c>
      <c r="X1" s="13" t="s">
        <v>12</v>
      </c>
      <c r="Y1" s="13" t="s">
        <v>14</v>
      </c>
      <c r="Z1" s="13" t="s">
        <v>27</v>
      </c>
      <c r="AA1" s="13" t="s">
        <v>18</v>
      </c>
      <c r="AB1" s="13"/>
      <c r="AC1" s="13" t="s">
        <v>31</v>
      </c>
      <c r="AD1" s="13" t="s">
        <v>13</v>
      </c>
      <c r="AE1" s="13" t="s">
        <v>15</v>
      </c>
      <c r="AF1" s="13" t="s">
        <v>28</v>
      </c>
      <c r="AG1" s="13" t="s">
        <v>18</v>
      </c>
    </row>
    <row r="2" spans="1:33" x14ac:dyDescent="0.25">
      <c r="A2" s="17">
        <v>1995</v>
      </c>
      <c r="B2" s="17">
        <v>173</v>
      </c>
      <c r="C2" s="11">
        <v>1.2050000000000001</v>
      </c>
      <c r="D2" s="10">
        <v>1.0833330000000001</v>
      </c>
      <c r="E2" s="10">
        <f t="shared" ref="E2:E7" si="0">AVERAGE(C2:D2)</f>
        <v>1.1441665000000001</v>
      </c>
      <c r="H2" s="11">
        <v>0.84075</v>
      </c>
      <c r="I2" s="11">
        <v>0.78806699999999996</v>
      </c>
      <c r="J2" s="11">
        <f t="shared" ref="J2:J7" si="1">AVERAGE(H2:I2)</f>
        <v>0.81440849999999998</v>
      </c>
      <c r="K2" s="11"/>
      <c r="L2" s="11"/>
      <c r="M2" s="11">
        <v>1.065067</v>
      </c>
      <c r="N2" s="11">
        <v>1.0310999999999999</v>
      </c>
      <c r="O2" s="11">
        <f>AVERAGE(M2:N2)</f>
        <v>1.0480834999999999</v>
      </c>
      <c r="P2" s="11"/>
      <c r="Q2" s="11"/>
      <c r="R2" s="11">
        <v>0.69376700000000002</v>
      </c>
      <c r="S2" s="11">
        <v>0.72924999999999995</v>
      </c>
      <c r="T2" s="11">
        <f>AVERAGE(R2:S2)</f>
        <v>0.71150849999999999</v>
      </c>
      <c r="U2" s="11"/>
      <c r="V2" s="11"/>
      <c r="W2" s="11"/>
      <c r="X2" s="15"/>
      <c r="Y2" s="15"/>
      <c r="Z2" s="15"/>
      <c r="AA2" s="15"/>
      <c r="AB2" s="15"/>
      <c r="AC2" s="15"/>
      <c r="AD2" s="15"/>
      <c r="AE2" s="15"/>
      <c r="AF2" s="15"/>
    </row>
    <row r="3" spans="1:33" x14ac:dyDescent="0.25">
      <c r="A3" s="17">
        <v>1998</v>
      </c>
      <c r="B3" s="17">
        <v>240</v>
      </c>
      <c r="C3" s="11">
        <v>1.47</v>
      </c>
      <c r="D3" s="11">
        <v>1.5</v>
      </c>
      <c r="E3" s="11">
        <f t="shared" si="0"/>
        <v>1.4849999999999999</v>
      </c>
      <c r="F3" s="11"/>
      <c r="G3" s="11"/>
      <c r="H3" s="11">
        <v>1.01</v>
      </c>
      <c r="I3" s="11">
        <v>1.01</v>
      </c>
      <c r="J3" s="11">
        <f t="shared" si="1"/>
        <v>1.01</v>
      </c>
      <c r="K3" s="11"/>
      <c r="L3" s="11"/>
      <c r="M3" s="11">
        <v>1.24</v>
      </c>
      <c r="N3" s="11">
        <v>1.37</v>
      </c>
      <c r="O3" s="11">
        <f>AVERAGE(M3:N3)</f>
        <v>1.3050000000000002</v>
      </c>
      <c r="P3" s="11"/>
      <c r="Q3" s="11"/>
      <c r="R3" s="11">
        <v>0.76</v>
      </c>
      <c r="S3" s="11">
        <v>0.8</v>
      </c>
      <c r="T3" s="11">
        <f>AVERAGE(R3:S3)</f>
        <v>0.78</v>
      </c>
      <c r="U3" s="11"/>
      <c r="V3" s="11"/>
      <c r="W3" s="11"/>
      <c r="X3" s="15"/>
      <c r="Y3" s="15"/>
      <c r="Z3" s="15"/>
      <c r="AA3" s="15"/>
      <c r="AB3" s="15"/>
      <c r="AC3" s="15"/>
      <c r="AD3" s="15"/>
      <c r="AE3" s="15"/>
      <c r="AF3" s="15"/>
    </row>
    <row r="4" spans="1:33" x14ac:dyDescent="0.25">
      <c r="A4" s="17">
        <v>2007</v>
      </c>
      <c r="B4" s="17">
        <v>465</v>
      </c>
      <c r="C4" s="10">
        <v>1.7855000000000001</v>
      </c>
      <c r="D4" s="10">
        <v>1.7269000000000001</v>
      </c>
      <c r="E4" s="10">
        <f t="shared" si="0"/>
        <v>1.7562000000000002</v>
      </c>
      <c r="H4" s="10">
        <v>1.1519999999999999</v>
      </c>
      <c r="I4" s="10">
        <v>1.1516999999999999</v>
      </c>
      <c r="J4" s="10">
        <f t="shared" si="1"/>
        <v>1.15185</v>
      </c>
      <c r="M4" s="10">
        <v>1.3266</v>
      </c>
      <c r="N4" s="10">
        <v>1.2827</v>
      </c>
      <c r="O4" s="10">
        <f>AVERAGE(M4:N4)</f>
        <v>1.3046500000000001</v>
      </c>
      <c r="R4" s="10">
        <v>0.87039999999999995</v>
      </c>
      <c r="S4" s="10">
        <v>0.84819999999999995</v>
      </c>
      <c r="T4" s="10">
        <f>AVERAGE(R4:S4)</f>
        <v>0.85929999999999995</v>
      </c>
    </row>
    <row r="5" spans="1:33" x14ac:dyDescent="0.25">
      <c r="A5" s="17">
        <v>2009</v>
      </c>
      <c r="B5" s="17">
        <v>520</v>
      </c>
      <c r="C5" s="10">
        <v>1.915</v>
      </c>
      <c r="D5" s="10">
        <v>1.8766</v>
      </c>
      <c r="E5" s="10">
        <f t="shared" si="0"/>
        <v>1.8957999999999999</v>
      </c>
      <c r="H5" s="10">
        <v>1.2062999999999999</v>
      </c>
      <c r="I5" s="10">
        <v>1.1890000000000001</v>
      </c>
      <c r="J5" s="10">
        <f t="shared" si="1"/>
        <v>1.1976499999999999</v>
      </c>
      <c r="M5" s="10">
        <v>1.5266</v>
      </c>
      <c r="N5" s="10">
        <v>1.3446</v>
      </c>
      <c r="O5" s="10">
        <f>AVERAGE(M5:N5)</f>
        <v>1.4356</v>
      </c>
      <c r="R5" s="10">
        <v>0.94399999999999995</v>
      </c>
      <c r="S5" s="10">
        <v>0.87860000000000005</v>
      </c>
      <c r="T5" s="10">
        <f>AVERAGE(R5:S5)</f>
        <v>0.9113</v>
      </c>
      <c r="X5" s="10">
        <v>1.4059999999999999</v>
      </c>
      <c r="Y5" s="10">
        <v>1.4993000000000001</v>
      </c>
      <c r="AA5" s="10">
        <f>AVERAGE(X5:Y5)</f>
        <v>1.45265</v>
      </c>
      <c r="AD5" s="10">
        <v>0.89959999999999996</v>
      </c>
      <c r="AE5" s="10">
        <v>0.91259999999999997</v>
      </c>
      <c r="AG5" s="10">
        <f>AVERAGE(AD5:AE5)</f>
        <v>0.90609999999999991</v>
      </c>
    </row>
    <row r="6" spans="1:33" x14ac:dyDescent="0.25">
      <c r="A6" s="17">
        <v>2011</v>
      </c>
      <c r="B6" s="17">
        <v>560</v>
      </c>
      <c r="C6" s="10">
        <v>1.8521000000000001</v>
      </c>
      <c r="D6" s="10">
        <v>1.8387</v>
      </c>
      <c r="E6" s="10">
        <f t="shared" si="0"/>
        <v>1.8454000000000002</v>
      </c>
      <c r="H6" s="10">
        <v>1.2791999999999999</v>
      </c>
      <c r="I6" s="10">
        <v>1.3207</v>
      </c>
      <c r="J6" s="10">
        <f t="shared" si="1"/>
        <v>1.2999499999999999</v>
      </c>
      <c r="X6" s="10">
        <v>1.2131000000000001</v>
      </c>
      <c r="Y6" s="10">
        <v>1.1338999999999999</v>
      </c>
      <c r="AA6" s="10">
        <f>AVERAGE(X6:Y6)</f>
        <v>1.1735</v>
      </c>
      <c r="AD6" s="10">
        <v>0.83950000000000002</v>
      </c>
      <c r="AE6" s="10">
        <v>0.81510000000000005</v>
      </c>
      <c r="AG6" s="10">
        <f>AVERAGE(AD6:AE6)</f>
        <v>0.82730000000000004</v>
      </c>
    </row>
    <row r="7" spans="1:33" x14ac:dyDescent="0.25">
      <c r="A7" s="17">
        <v>2013</v>
      </c>
      <c r="B7" s="17">
        <v>615</v>
      </c>
      <c r="C7" s="10">
        <v>1.8320000000000001</v>
      </c>
      <c r="D7" s="10">
        <v>1.8380000000000001</v>
      </c>
      <c r="E7" s="10">
        <f t="shared" si="0"/>
        <v>1.835</v>
      </c>
      <c r="H7" s="10">
        <v>1.2110000000000001</v>
      </c>
      <c r="I7" s="10">
        <v>1.266</v>
      </c>
      <c r="J7" s="10">
        <f t="shared" si="1"/>
        <v>1.2385000000000002</v>
      </c>
      <c r="X7" s="10">
        <v>1.298</v>
      </c>
      <c r="Y7" s="10">
        <v>1.36</v>
      </c>
      <c r="Z7" s="10">
        <v>1.357</v>
      </c>
      <c r="AA7" s="10">
        <v>1.3380000000000001</v>
      </c>
      <c r="AD7" s="10">
        <v>0.81100000000000005</v>
      </c>
      <c r="AE7" s="10">
        <v>0.83699999999999997</v>
      </c>
      <c r="AF7" s="10">
        <v>0.83799999999999997</v>
      </c>
      <c r="AG7" s="10">
        <v>0.82899999999999996</v>
      </c>
    </row>
    <row r="8" spans="1:33" x14ac:dyDescent="0.25">
      <c r="A8" s="17">
        <v>2016</v>
      </c>
      <c r="B8" s="17">
        <v>692</v>
      </c>
      <c r="C8" s="10">
        <v>1.8413999999999999</v>
      </c>
      <c r="D8" s="10">
        <v>1.8244</v>
      </c>
      <c r="E8" s="10">
        <v>1.8325</v>
      </c>
      <c r="H8" s="10">
        <v>1.2133</v>
      </c>
      <c r="I8" s="10">
        <v>1.19</v>
      </c>
      <c r="J8" s="10">
        <v>1.2015</v>
      </c>
      <c r="W8" s="10">
        <v>1.2949999999999999</v>
      </c>
      <c r="Y8" s="10">
        <v>1.2544</v>
      </c>
      <c r="Z8" s="10">
        <v>1.1812</v>
      </c>
      <c r="AA8" s="10">
        <v>1.2430000000000001</v>
      </c>
      <c r="AC8" s="10">
        <v>0.80120000000000002</v>
      </c>
      <c r="AD8" s="10">
        <v>0.72940000000000005</v>
      </c>
      <c r="AE8" s="10">
        <v>0.78210000000000002</v>
      </c>
      <c r="AG8" s="10">
        <v>0.77100000000000002</v>
      </c>
    </row>
    <row r="9" spans="1:33" x14ac:dyDescent="0.25">
      <c r="B9" s="17"/>
    </row>
    <row r="10" spans="1:33" x14ac:dyDescent="0.25">
      <c r="B10" s="17"/>
    </row>
    <row r="11" spans="1:33" x14ac:dyDescent="0.25">
      <c r="B11" s="18"/>
    </row>
    <row r="12" spans="1:33" x14ac:dyDescent="0.25">
      <c r="B12" s="18"/>
    </row>
    <row r="13" spans="1:33" x14ac:dyDescent="0.25">
      <c r="B13" s="18"/>
      <c r="D13" s="10" t="s">
        <v>19</v>
      </c>
      <c r="E13" s="10" t="s">
        <v>20</v>
      </c>
      <c r="F13" s="16" t="s">
        <v>25</v>
      </c>
      <c r="G13" s="16" t="s">
        <v>26</v>
      </c>
      <c r="H13" s="16"/>
      <c r="I13" s="10" t="s">
        <v>19</v>
      </c>
      <c r="J13" s="10" t="s">
        <v>21</v>
      </c>
      <c r="K13" s="16" t="s">
        <v>25</v>
      </c>
      <c r="L13" s="16" t="s">
        <v>26</v>
      </c>
      <c r="M13" s="16"/>
      <c r="N13" s="10" t="s">
        <v>22</v>
      </c>
      <c r="O13" s="10" t="s">
        <v>23</v>
      </c>
      <c r="P13" s="16" t="s">
        <v>25</v>
      </c>
      <c r="Q13" s="16" t="s">
        <v>26</v>
      </c>
      <c r="S13" s="10" t="s">
        <v>22</v>
      </c>
      <c r="T13" s="10" t="s">
        <v>24</v>
      </c>
      <c r="U13" s="16" t="s">
        <v>25</v>
      </c>
      <c r="V13" s="16" t="s">
        <v>26</v>
      </c>
      <c r="W13" s="16"/>
    </row>
    <row r="14" spans="1:33" x14ac:dyDescent="0.25">
      <c r="B14" s="17">
        <v>1</v>
      </c>
      <c r="F14" s="10">
        <v>1</v>
      </c>
      <c r="G14" s="10">
        <v>0</v>
      </c>
      <c r="P14" s="10">
        <v>1</v>
      </c>
      <c r="Q14" s="10">
        <v>0</v>
      </c>
    </row>
    <row r="15" spans="1:33" x14ac:dyDescent="0.25">
      <c r="A15" s="17">
        <v>1995</v>
      </c>
      <c r="B15" s="17">
        <v>173</v>
      </c>
      <c r="D15" s="10">
        <v>1.1441669999999999</v>
      </c>
      <c r="E15" s="10">
        <v>1.048084</v>
      </c>
      <c r="F15" s="10">
        <v>1.0920000000000001</v>
      </c>
      <c r="G15" s="10">
        <v>9.6000000000000002E-2</v>
      </c>
      <c r="I15" s="10">
        <v>1.1441669999999999</v>
      </c>
      <c r="N15" s="10">
        <v>0.81440900000000005</v>
      </c>
      <c r="O15" s="10">
        <v>0.71150899999999995</v>
      </c>
      <c r="P15" s="10">
        <v>1.145</v>
      </c>
      <c r="Q15" s="10">
        <v>0.10290000000000001</v>
      </c>
      <c r="S15" s="10">
        <v>0.81440900000000005</v>
      </c>
    </row>
    <row r="16" spans="1:33" x14ac:dyDescent="0.25">
      <c r="A16" s="17">
        <v>1998</v>
      </c>
      <c r="B16" s="17">
        <v>240</v>
      </c>
      <c r="D16" s="10">
        <v>1.4850000000000001</v>
      </c>
      <c r="E16" s="11">
        <v>1.3049999999999999</v>
      </c>
      <c r="F16" s="11">
        <v>1.1379999999999999</v>
      </c>
      <c r="G16" s="11">
        <v>0.18</v>
      </c>
      <c r="I16" s="10">
        <v>1.4850000000000001</v>
      </c>
      <c r="N16" s="10">
        <v>1.01</v>
      </c>
      <c r="O16" s="10">
        <v>0.78</v>
      </c>
      <c r="P16" s="10">
        <v>1.2949999999999999</v>
      </c>
      <c r="Q16" s="10">
        <v>0.23</v>
      </c>
      <c r="S16" s="10">
        <v>1.01</v>
      </c>
    </row>
    <row r="17" spans="1:22" x14ac:dyDescent="0.25">
      <c r="A17" s="17">
        <v>2007</v>
      </c>
      <c r="B17" s="17">
        <v>465</v>
      </c>
      <c r="C17" s="14"/>
      <c r="D17" s="10">
        <v>1.7562</v>
      </c>
      <c r="E17" s="10">
        <v>1.3046500000000001</v>
      </c>
      <c r="F17" s="10">
        <v>1.3460000000000001</v>
      </c>
      <c r="G17" s="11">
        <v>0.45200000000000001</v>
      </c>
      <c r="I17" s="10">
        <v>1.7562</v>
      </c>
      <c r="N17" s="10">
        <v>1.15185</v>
      </c>
      <c r="O17" s="10">
        <v>0.85929999999999995</v>
      </c>
      <c r="P17" s="10">
        <v>1.34</v>
      </c>
      <c r="Q17" s="10">
        <v>0.29299999999999998</v>
      </c>
      <c r="S17" s="10">
        <v>1.15185</v>
      </c>
    </row>
    <row r="18" spans="1:22" x14ac:dyDescent="0.25">
      <c r="A18" s="17">
        <v>2009</v>
      </c>
      <c r="B18" s="17">
        <v>520</v>
      </c>
      <c r="D18" s="10">
        <v>1.8957999999999999</v>
      </c>
      <c r="E18" s="10">
        <v>1.4356</v>
      </c>
      <c r="F18" s="10">
        <v>1.321</v>
      </c>
      <c r="G18" s="11">
        <v>0.4602</v>
      </c>
      <c r="I18" s="10">
        <v>1.8728</v>
      </c>
      <c r="J18" s="10">
        <v>1.45265</v>
      </c>
      <c r="K18" s="10">
        <v>1.2889999999999999</v>
      </c>
      <c r="N18" s="10">
        <v>1.1976500000000001</v>
      </c>
      <c r="O18" s="10">
        <v>0.9113</v>
      </c>
      <c r="P18" s="10">
        <v>1.3140000000000001</v>
      </c>
      <c r="Q18" s="10">
        <v>0.28599999999999998</v>
      </c>
      <c r="S18" s="10">
        <v>1.1976500000000001</v>
      </c>
      <c r="T18" s="10">
        <v>0.91259999999999997</v>
      </c>
      <c r="U18" s="10">
        <v>1.3120000000000001</v>
      </c>
    </row>
    <row r="19" spans="1:22" x14ac:dyDescent="0.25">
      <c r="A19" s="17">
        <v>2011</v>
      </c>
      <c r="B19" s="17">
        <v>560</v>
      </c>
      <c r="D19" s="10">
        <v>1.8453999999999999</v>
      </c>
      <c r="I19" s="10">
        <v>1.8453999999999999</v>
      </c>
      <c r="J19" s="10">
        <v>1.1735</v>
      </c>
      <c r="K19" s="10">
        <v>1.573</v>
      </c>
      <c r="N19" s="10">
        <v>1.2999499999999999</v>
      </c>
      <c r="S19" s="10">
        <v>1.2999499999999999</v>
      </c>
      <c r="T19" s="10">
        <v>0.81510000000000005</v>
      </c>
      <c r="U19" s="10">
        <v>1.595</v>
      </c>
    </row>
    <row r="20" spans="1:22" x14ac:dyDescent="0.25">
      <c r="A20" s="17">
        <v>2013</v>
      </c>
      <c r="B20" s="17">
        <v>615</v>
      </c>
      <c r="D20" s="10">
        <v>1.835</v>
      </c>
      <c r="I20" s="10">
        <v>1.835</v>
      </c>
      <c r="J20" s="10">
        <v>1.3380000000000001</v>
      </c>
      <c r="K20" s="10">
        <v>1.371</v>
      </c>
      <c r="N20" s="10">
        <v>1.2390000000000001</v>
      </c>
      <c r="S20" s="10">
        <v>1.2390000000000001</v>
      </c>
      <c r="T20" s="10">
        <v>0.82899999999999996</v>
      </c>
      <c r="U20" s="10">
        <v>1.4950000000000001</v>
      </c>
    </row>
    <row r="21" spans="1:22" x14ac:dyDescent="0.25">
      <c r="A21" s="17">
        <v>2016</v>
      </c>
      <c r="B21" s="17">
        <v>692</v>
      </c>
      <c r="I21" s="10">
        <v>1.833</v>
      </c>
      <c r="J21" s="10">
        <v>1.2430000000000001</v>
      </c>
      <c r="K21" s="10">
        <v>1.4750000000000001</v>
      </c>
      <c r="L21" s="10">
        <v>0.59</v>
      </c>
      <c r="S21" s="10">
        <v>1.202</v>
      </c>
      <c r="T21" s="10">
        <v>0.77100000000000002</v>
      </c>
      <c r="U21" s="10">
        <v>1.5589999999999999</v>
      </c>
      <c r="V21" s="10">
        <v>0.43099999999999999</v>
      </c>
    </row>
    <row r="22" spans="1:22" x14ac:dyDescent="0.25">
      <c r="B22" s="18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topLeftCell="C15" workbookViewId="0">
      <selection activeCell="R33" sqref="R33"/>
    </sheetView>
  </sheetViews>
  <sheetFormatPr defaultColWidth="9.140625" defaultRowHeight="15" x14ac:dyDescent="0.25"/>
  <cols>
    <col min="1" max="1" width="12.28515625" style="10" customWidth="1"/>
    <col min="2" max="12" width="9.140625" style="10"/>
    <col min="13" max="13" width="10.28515625" style="10" customWidth="1"/>
    <col min="14" max="14" width="10.140625" style="10" customWidth="1"/>
    <col min="15" max="17" width="9.140625" style="10"/>
    <col min="18" max="18" width="10.5703125" style="10" customWidth="1"/>
    <col min="19" max="16384" width="9.140625" style="10"/>
  </cols>
  <sheetData>
    <row r="1" spans="1:32" x14ac:dyDescent="0.25">
      <c r="A1" s="12" t="s">
        <v>3</v>
      </c>
      <c r="B1" s="13" t="s">
        <v>4</v>
      </c>
      <c r="C1" s="13" t="s">
        <v>6</v>
      </c>
      <c r="D1" s="13" t="s">
        <v>18</v>
      </c>
      <c r="E1" s="13"/>
      <c r="F1" s="13"/>
      <c r="G1" s="13" t="s">
        <v>5</v>
      </c>
      <c r="H1" s="13" t="s">
        <v>7</v>
      </c>
      <c r="I1" s="13" t="s">
        <v>18</v>
      </c>
      <c r="J1" s="13"/>
      <c r="K1" s="13"/>
      <c r="L1" s="13" t="s">
        <v>8</v>
      </c>
      <c r="M1" s="13" t="s">
        <v>10</v>
      </c>
      <c r="N1" s="13" t="s">
        <v>18</v>
      </c>
      <c r="O1" s="13"/>
      <c r="P1" s="13"/>
      <c r="Q1" s="13" t="s">
        <v>9</v>
      </c>
      <c r="R1" s="13" t="s">
        <v>11</v>
      </c>
      <c r="S1" s="13" t="s">
        <v>18</v>
      </c>
      <c r="T1" s="13"/>
      <c r="U1" s="13"/>
      <c r="V1" s="13" t="s">
        <v>30</v>
      </c>
      <c r="W1" s="13" t="s">
        <v>12</v>
      </c>
      <c r="X1" s="13" t="s">
        <v>14</v>
      </c>
      <c r="Y1" s="13" t="s">
        <v>27</v>
      </c>
      <c r="Z1" s="13" t="s">
        <v>18</v>
      </c>
      <c r="AA1" s="13"/>
      <c r="AB1" s="13" t="s">
        <v>31</v>
      </c>
      <c r="AC1" s="13" t="s">
        <v>13</v>
      </c>
      <c r="AD1" s="13" t="s">
        <v>15</v>
      </c>
      <c r="AE1" s="13" t="s">
        <v>28</v>
      </c>
      <c r="AF1" s="13" t="s">
        <v>18</v>
      </c>
    </row>
    <row r="2" spans="1:32" x14ac:dyDescent="0.25">
      <c r="A2" s="17">
        <v>173</v>
      </c>
      <c r="B2" s="11">
        <v>1.2050000000000001</v>
      </c>
      <c r="C2" s="10">
        <v>1.0833330000000001</v>
      </c>
      <c r="D2" s="10">
        <f>AVERAGE(B2:C2)</f>
        <v>1.1441665000000001</v>
      </c>
      <c r="G2" s="11">
        <v>0.84075</v>
      </c>
      <c r="H2" s="11">
        <v>0.78806699999999996</v>
      </c>
      <c r="I2" s="11">
        <f>AVERAGE(G2:H2)</f>
        <v>0.81440849999999998</v>
      </c>
      <c r="J2" s="11"/>
      <c r="K2" s="11"/>
      <c r="L2" s="11">
        <v>1.065067</v>
      </c>
      <c r="M2" s="11">
        <v>1.0310999999999999</v>
      </c>
      <c r="N2" s="11">
        <f>AVERAGE(L2:M2)</f>
        <v>1.0480834999999999</v>
      </c>
      <c r="O2" s="11"/>
      <c r="P2" s="11"/>
      <c r="Q2" s="11">
        <v>0.69376700000000002</v>
      </c>
      <c r="R2" s="11">
        <v>0.72924999999999995</v>
      </c>
      <c r="S2" s="11">
        <f>AVERAGE(Q2:R2)</f>
        <v>0.71150849999999999</v>
      </c>
      <c r="T2" s="11"/>
      <c r="U2" s="11"/>
      <c r="V2" s="11"/>
      <c r="W2" s="15"/>
      <c r="X2" s="15"/>
      <c r="Y2" s="15"/>
      <c r="Z2" s="15"/>
      <c r="AA2" s="15"/>
      <c r="AB2" s="15"/>
      <c r="AC2" s="15"/>
      <c r="AD2" s="15"/>
      <c r="AE2" s="15"/>
    </row>
    <row r="3" spans="1:32" x14ac:dyDescent="0.25">
      <c r="A3" s="17">
        <v>240</v>
      </c>
      <c r="B3" s="11">
        <v>1.47</v>
      </c>
      <c r="C3" s="11">
        <v>1.5</v>
      </c>
      <c r="D3" s="11">
        <f>AVERAGE(B3:C3)</f>
        <v>1.4849999999999999</v>
      </c>
      <c r="E3" s="11"/>
      <c r="F3" s="11"/>
      <c r="G3" s="11">
        <v>1.01</v>
      </c>
      <c r="H3" s="11">
        <v>1.01</v>
      </c>
      <c r="I3" s="11">
        <f>AVERAGE(G3:H3)</f>
        <v>1.01</v>
      </c>
      <c r="J3" s="11"/>
      <c r="K3" s="11"/>
      <c r="L3" s="11">
        <v>1.24</v>
      </c>
      <c r="M3" s="11">
        <v>1.37</v>
      </c>
      <c r="N3" s="11">
        <f>AVERAGE(L3:M3)</f>
        <v>1.3050000000000002</v>
      </c>
      <c r="O3" s="11"/>
      <c r="P3" s="11"/>
      <c r="Q3" s="11">
        <v>0.76</v>
      </c>
      <c r="R3" s="11">
        <v>0.8</v>
      </c>
      <c r="S3" s="11">
        <f>AVERAGE(Q3:R3)</f>
        <v>0.78</v>
      </c>
      <c r="T3" s="11"/>
      <c r="U3" s="11"/>
      <c r="V3" s="11"/>
      <c r="W3" s="15"/>
      <c r="X3" s="15"/>
      <c r="Y3" s="15"/>
      <c r="Z3" s="15"/>
      <c r="AA3" s="15"/>
      <c r="AB3" s="15"/>
      <c r="AC3" s="15"/>
      <c r="AD3" s="15"/>
      <c r="AE3" s="15"/>
    </row>
    <row r="4" spans="1:32" x14ac:dyDescent="0.25">
      <c r="A4" s="17">
        <v>465</v>
      </c>
      <c r="B4" s="10">
        <v>1.7855000000000001</v>
      </c>
      <c r="C4" s="10">
        <v>1.7269000000000001</v>
      </c>
      <c r="D4" s="10">
        <f>AVERAGE(B4:C4)</f>
        <v>1.7562000000000002</v>
      </c>
      <c r="G4" s="10">
        <v>1.1519999999999999</v>
      </c>
      <c r="H4" s="10">
        <v>1.1516999999999999</v>
      </c>
      <c r="I4" s="10">
        <f>AVERAGE(G4:H4)</f>
        <v>1.15185</v>
      </c>
      <c r="L4" s="10">
        <v>1.3266</v>
      </c>
      <c r="M4" s="10">
        <v>1.2827</v>
      </c>
      <c r="N4" s="10">
        <f>AVERAGE(L4:M4)</f>
        <v>1.3046500000000001</v>
      </c>
      <c r="Q4" s="10">
        <v>0.87039999999999995</v>
      </c>
      <c r="R4" s="10">
        <v>0.84819999999999995</v>
      </c>
      <c r="S4" s="10">
        <f>AVERAGE(Q4:R4)</f>
        <v>0.85929999999999995</v>
      </c>
    </row>
    <row r="5" spans="1:32" x14ac:dyDescent="0.25">
      <c r="A5" s="17">
        <v>520</v>
      </c>
      <c r="B5" s="10">
        <v>1.915</v>
      </c>
      <c r="C5" s="10">
        <v>1.8766</v>
      </c>
      <c r="D5" s="10">
        <f>AVERAGE(B5:C5)</f>
        <v>1.8957999999999999</v>
      </c>
      <c r="G5" s="10">
        <v>1.2062999999999999</v>
      </c>
      <c r="H5" s="10">
        <v>1.1890000000000001</v>
      </c>
      <c r="I5" s="10">
        <f>AVERAGE(G5:H5)</f>
        <v>1.1976499999999999</v>
      </c>
      <c r="L5" s="10">
        <v>1.5266</v>
      </c>
      <c r="M5" s="10">
        <v>1.3446</v>
      </c>
      <c r="N5" s="10">
        <f>AVERAGE(L5:M5)</f>
        <v>1.4356</v>
      </c>
      <c r="Q5" s="10">
        <v>0.94399999999999995</v>
      </c>
      <c r="R5" s="10">
        <v>0.87860000000000005</v>
      </c>
      <c r="S5" s="10">
        <f>AVERAGE(Q5:R5)</f>
        <v>0.9113</v>
      </c>
      <c r="W5" s="10">
        <v>1.4059999999999999</v>
      </c>
      <c r="X5" s="10">
        <v>1.4993000000000001</v>
      </c>
      <c r="Z5" s="10">
        <f>AVERAGE(W5:X5)</f>
        <v>1.45265</v>
      </c>
      <c r="AC5" s="10">
        <v>0.89959999999999996</v>
      </c>
      <c r="AD5" s="10">
        <v>0.91259999999999997</v>
      </c>
      <c r="AF5" s="10">
        <f>AVERAGE(AC5:AD5)</f>
        <v>0.90609999999999991</v>
      </c>
    </row>
    <row r="6" spans="1:32" x14ac:dyDescent="0.25">
      <c r="A6" s="17">
        <v>560</v>
      </c>
      <c r="B6" s="10">
        <v>1.8521000000000001</v>
      </c>
      <c r="C6" s="10">
        <v>1.8387</v>
      </c>
      <c r="D6" s="10">
        <f>AVERAGE(B6:C6)</f>
        <v>1.8454000000000002</v>
      </c>
      <c r="G6" s="10">
        <v>1.2791999999999999</v>
      </c>
      <c r="H6" s="10">
        <v>1.3207</v>
      </c>
      <c r="I6" s="10">
        <f>AVERAGE(G6:H6)</f>
        <v>1.2999499999999999</v>
      </c>
      <c r="W6" s="10">
        <v>1.2131000000000001</v>
      </c>
      <c r="X6" s="10">
        <v>1.1338999999999999</v>
      </c>
      <c r="Z6" s="10">
        <f>AVERAGE(W6:X6)</f>
        <v>1.1735</v>
      </c>
      <c r="AC6" s="10">
        <v>0.83950000000000002</v>
      </c>
      <c r="AD6" s="10">
        <v>0.81510000000000005</v>
      </c>
      <c r="AF6" s="10">
        <f>AVERAGE(AC6:AD6)</f>
        <v>0.82730000000000004</v>
      </c>
    </row>
    <row r="7" spans="1:32" x14ac:dyDescent="0.25">
      <c r="A7" s="17">
        <v>615</v>
      </c>
      <c r="B7" s="10">
        <v>1.8320000000000001</v>
      </c>
      <c r="C7" s="10">
        <v>1.8380000000000001</v>
      </c>
      <c r="D7" s="10">
        <v>1.835</v>
      </c>
      <c r="G7" s="10">
        <v>1.2110000000000001</v>
      </c>
      <c r="H7" s="10">
        <v>1.266</v>
      </c>
      <c r="I7" s="10">
        <v>1.2385000000000002</v>
      </c>
      <c r="W7" s="10">
        <v>1.298</v>
      </c>
      <c r="X7" s="10">
        <v>1.36</v>
      </c>
      <c r="Y7" s="10">
        <v>1.357</v>
      </c>
      <c r="Z7" s="10">
        <v>1.3380000000000001</v>
      </c>
      <c r="AC7" s="10">
        <v>0.81100000000000005</v>
      </c>
      <c r="AD7" s="10">
        <v>0.83699999999999997</v>
      </c>
      <c r="AE7" s="10">
        <v>0.83799999999999997</v>
      </c>
      <c r="AF7" s="10">
        <v>0.82899999999999996</v>
      </c>
    </row>
    <row r="8" spans="1:32" x14ac:dyDescent="0.25">
      <c r="A8" s="17">
        <v>692</v>
      </c>
      <c r="B8" s="10">
        <v>1.8413999999999999</v>
      </c>
      <c r="C8" s="10">
        <v>1.8244</v>
      </c>
      <c r="D8" s="10">
        <v>1.8325</v>
      </c>
      <c r="G8" s="10">
        <v>1.2133</v>
      </c>
      <c r="H8" s="10">
        <v>1.19</v>
      </c>
      <c r="I8" s="10">
        <v>1.2015</v>
      </c>
      <c r="V8" s="10">
        <v>1.2949999999999999</v>
      </c>
      <c r="X8" s="10">
        <v>1.2544</v>
      </c>
      <c r="Y8" s="10">
        <v>1.1812</v>
      </c>
      <c r="Z8" s="10">
        <v>1.2430000000000001</v>
      </c>
      <c r="AB8" s="10">
        <v>0.80120000000000002</v>
      </c>
      <c r="AC8" s="10">
        <v>0.72940000000000005</v>
      </c>
      <c r="AD8" s="10">
        <v>0.78210000000000002</v>
      </c>
      <c r="AF8" s="10">
        <v>0.77100000000000002</v>
      </c>
    </row>
    <row r="9" spans="1:32" x14ac:dyDescent="0.25">
      <c r="A9" s="18"/>
    </row>
    <row r="10" spans="1:32" x14ac:dyDescent="0.25">
      <c r="A10" s="18"/>
    </row>
    <row r="11" spans="1:32" x14ac:dyDescent="0.25">
      <c r="A11" s="18"/>
    </row>
    <row r="12" spans="1:32" x14ac:dyDescent="0.25">
      <c r="A12" s="18"/>
    </row>
    <row r="13" spans="1:32" x14ac:dyDescent="0.25">
      <c r="A13" s="18"/>
      <c r="C13" s="10" t="s">
        <v>19</v>
      </c>
      <c r="D13" s="10" t="s">
        <v>20</v>
      </c>
      <c r="E13" s="16" t="s">
        <v>25</v>
      </c>
      <c r="F13" s="16" t="s">
        <v>26</v>
      </c>
      <c r="G13" s="16"/>
      <c r="H13" s="10" t="s">
        <v>19</v>
      </c>
      <c r="I13" s="10" t="s">
        <v>21</v>
      </c>
      <c r="J13" s="16" t="s">
        <v>25</v>
      </c>
      <c r="K13" s="16" t="s">
        <v>26</v>
      </c>
      <c r="L13" s="16"/>
      <c r="M13" s="10" t="s">
        <v>22</v>
      </c>
      <c r="N13" s="10" t="s">
        <v>23</v>
      </c>
      <c r="O13" s="16" t="s">
        <v>25</v>
      </c>
      <c r="P13" s="16" t="s">
        <v>26</v>
      </c>
      <c r="R13" s="10" t="s">
        <v>22</v>
      </c>
      <c r="S13" s="10" t="s">
        <v>24</v>
      </c>
      <c r="T13" s="16" t="s">
        <v>25</v>
      </c>
      <c r="U13" s="16" t="s">
        <v>26</v>
      </c>
      <c r="V13" s="16"/>
    </row>
    <row r="14" spans="1:32" x14ac:dyDescent="0.25">
      <c r="A14" s="17">
        <v>1</v>
      </c>
      <c r="E14" s="10">
        <v>1</v>
      </c>
      <c r="F14" s="10">
        <v>0</v>
      </c>
      <c r="O14" s="10">
        <v>1</v>
      </c>
      <c r="P14" s="10">
        <v>0</v>
      </c>
    </row>
    <row r="15" spans="1:32" x14ac:dyDescent="0.25">
      <c r="A15" s="17">
        <v>173</v>
      </c>
      <c r="C15" s="10">
        <v>1.1441669999999999</v>
      </c>
      <c r="D15" s="10">
        <v>1.048084</v>
      </c>
      <c r="E15" s="10">
        <v>1.0920000000000001</v>
      </c>
      <c r="F15" s="10">
        <v>9.6000000000000002E-2</v>
      </c>
      <c r="H15" s="10">
        <v>1.1441669999999999</v>
      </c>
      <c r="M15" s="10">
        <v>0.81440900000000005</v>
      </c>
      <c r="N15" s="10">
        <v>0.71150899999999995</v>
      </c>
      <c r="O15" s="10">
        <v>1.145</v>
      </c>
      <c r="P15" s="10">
        <v>0.10290000000000001</v>
      </c>
      <c r="R15" s="10">
        <v>0.81440900000000005</v>
      </c>
    </row>
    <row r="16" spans="1:32" x14ac:dyDescent="0.25">
      <c r="A16" s="17">
        <v>240</v>
      </c>
      <c r="C16" s="10">
        <v>1.4850000000000001</v>
      </c>
      <c r="D16" s="11">
        <v>1.3049999999999999</v>
      </c>
      <c r="E16" s="11">
        <v>1.1379999999999999</v>
      </c>
      <c r="F16" s="11">
        <v>0.18</v>
      </c>
      <c r="H16" s="10">
        <v>1.4850000000000001</v>
      </c>
      <c r="M16" s="10">
        <v>1.01</v>
      </c>
      <c r="N16" s="10">
        <v>0.78</v>
      </c>
      <c r="O16" s="10">
        <v>1.2949999999999999</v>
      </c>
      <c r="P16" s="10">
        <v>0.23</v>
      </c>
      <c r="R16" s="10">
        <v>1.01</v>
      </c>
    </row>
    <row r="17" spans="1:21" x14ac:dyDescent="0.25">
      <c r="A17" s="17">
        <v>465</v>
      </c>
      <c r="B17" s="14"/>
      <c r="C17" s="10">
        <v>1.7562</v>
      </c>
      <c r="D17" s="10">
        <v>1.3046500000000001</v>
      </c>
      <c r="E17" s="10">
        <v>1.3460000000000001</v>
      </c>
      <c r="F17" s="11">
        <v>0.45200000000000001</v>
      </c>
      <c r="H17" s="10">
        <v>1.7562</v>
      </c>
      <c r="M17" s="10">
        <v>1.15185</v>
      </c>
      <c r="N17" s="10">
        <v>0.85929999999999995</v>
      </c>
      <c r="O17" s="10">
        <v>1.34</v>
      </c>
      <c r="P17" s="10">
        <v>0.29299999999999998</v>
      </c>
      <c r="R17" s="10">
        <v>1.15185</v>
      </c>
    </row>
    <row r="18" spans="1:21" x14ac:dyDescent="0.25">
      <c r="A18" s="17">
        <v>520</v>
      </c>
      <c r="C18" s="10">
        <v>1.8957999999999999</v>
      </c>
      <c r="D18" s="10">
        <v>1.4356</v>
      </c>
      <c r="E18" s="10">
        <v>1.321</v>
      </c>
      <c r="F18" s="11">
        <v>0.4602</v>
      </c>
      <c r="H18" s="10">
        <v>1.8728</v>
      </c>
      <c r="I18" s="10">
        <v>1.45265</v>
      </c>
      <c r="J18" s="10">
        <v>1.2889999999999999</v>
      </c>
      <c r="K18" s="10">
        <v>0.42</v>
      </c>
      <c r="M18" s="10">
        <v>1.1976500000000001</v>
      </c>
      <c r="N18" s="10">
        <v>0.9113</v>
      </c>
      <c r="O18" s="10">
        <v>1.3140000000000001</v>
      </c>
      <c r="P18" s="10">
        <v>0.28599999999999998</v>
      </c>
      <c r="R18" s="10">
        <v>1.1976500000000001</v>
      </c>
      <c r="S18" s="10">
        <v>0.91259999999999997</v>
      </c>
      <c r="T18" s="10">
        <v>1.3120000000000001</v>
      </c>
      <c r="U18" s="10">
        <v>0.28499999999999998</v>
      </c>
    </row>
    <row r="19" spans="1:21" x14ac:dyDescent="0.25">
      <c r="A19" s="17">
        <v>560</v>
      </c>
      <c r="C19" s="10">
        <v>1.8453999999999999</v>
      </c>
      <c r="H19" s="10">
        <v>1.8453999999999999</v>
      </c>
      <c r="I19" s="10">
        <v>1.1735</v>
      </c>
      <c r="J19" s="10">
        <v>1.573</v>
      </c>
      <c r="K19" s="10">
        <v>0.67100000000000004</v>
      </c>
      <c r="M19" s="10">
        <v>1.2999499999999999</v>
      </c>
      <c r="R19" s="10">
        <v>1.2999499999999999</v>
      </c>
      <c r="S19" s="10">
        <v>0.81510000000000005</v>
      </c>
      <c r="T19" s="10">
        <v>1.595</v>
      </c>
      <c r="U19" s="10">
        <v>0.48499999999999999</v>
      </c>
    </row>
    <row r="20" spans="1:21" x14ac:dyDescent="0.25">
      <c r="A20" s="17">
        <v>615</v>
      </c>
      <c r="C20" s="10">
        <v>1.835</v>
      </c>
      <c r="H20" s="10">
        <v>1.835</v>
      </c>
      <c r="I20" s="10">
        <v>1.3380000000000001</v>
      </c>
      <c r="J20" s="10">
        <v>1.371</v>
      </c>
      <c r="K20" s="10">
        <v>0.497</v>
      </c>
      <c r="M20" s="10">
        <v>1.2390000000000001</v>
      </c>
      <c r="R20" s="10">
        <v>1.2390000000000001</v>
      </c>
      <c r="S20" s="10">
        <v>0.82899999999999996</v>
      </c>
      <c r="T20" s="10">
        <v>1.4950000000000001</v>
      </c>
      <c r="U20" s="10">
        <v>0.41</v>
      </c>
    </row>
    <row r="21" spans="1:21" x14ac:dyDescent="0.25">
      <c r="A21" s="17">
        <v>692</v>
      </c>
      <c r="H21" s="10">
        <v>1.833</v>
      </c>
      <c r="I21" s="10">
        <v>1.2430000000000001</v>
      </c>
      <c r="J21" s="10">
        <v>1.4750000000000001</v>
      </c>
      <c r="K21" s="10">
        <v>0.59</v>
      </c>
      <c r="R21" s="10">
        <v>1.202</v>
      </c>
      <c r="S21" s="10">
        <v>0.77100000000000002</v>
      </c>
      <c r="T21" s="10">
        <v>1.5589999999999999</v>
      </c>
      <c r="U21" s="10">
        <v>0.43099999999999999</v>
      </c>
    </row>
    <row r="22" spans="1:21" x14ac:dyDescent="0.25">
      <c r="A22" s="18"/>
    </row>
    <row r="23" spans="1:21" x14ac:dyDescent="0.25">
      <c r="A23" s="18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O19" sqref="O19"/>
    </sheetView>
  </sheetViews>
  <sheetFormatPr defaultRowHeight="15" x14ac:dyDescent="0.25"/>
  <sheetData>
    <row r="1" spans="1:20" s="4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/>
      <c r="J1" s="7"/>
      <c r="K1" s="7"/>
      <c r="L1" s="7"/>
      <c r="M1" s="7" t="s">
        <v>12</v>
      </c>
      <c r="N1" s="7" t="s">
        <v>13</v>
      </c>
      <c r="O1" s="7" t="s">
        <v>14</v>
      </c>
      <c r="P1" s="7" t="s">
        <v>15</v>
      </c>
      <c r="Q1" s="7" t="s">
        <v>27</v>
      </c>
      <c r="R1" s="7" t="s">
        <v>28</v>
      </c>
      <c r="S1" s="7"/>
      <c r="T1" s="7"/>
    </row>
    <row r="2" spans="1:20" s="1" customFormat="1" x14ac:dyDescent="0.25">
      <c r="A2" s="9">
        <v>50</v>
      </c>
      <c r="B2" s="4">
        <v>6</v>
      </c>
      <c r="C2" s="3">
        <v>2013</v>
      </c>
      <c r="D2" s="3">
        <v>615</v>
      </c>
      <c r="E2" s="1">
        <v>1.8320000000000001</v>
      </c>
      <c r="F2" s="1">
        <v>1.2112000000000001</v>
      </c>
      <c r="G2" s="1">
        <v>1.8383</v>
      </c>
      <c r="H2" s="1">
        <v>1.2664</v>
      </c>
      <c r="M2" s="1">
        <v>1.2978000000000001</v>
      </c>
      <c r="N2" s="1">
        <v>0.81079999999999997</v>
      </c>
      <c r="O2" s="1">
        <v>1.36</v>
      </c>
      <c r="P2" s="1">
        <v>0.83699999999999997</v>
      </c>
      <c r="Q2" s="1">
        <v>1.3566</v>
      </c>
      <c r="R2" s="1">
        <v>0.83799999999999997</v>
      </c>
    </row>
    <row r="6" spans="1:20" ht="15.75" thickBot="1" x14ac:dyDescent="0.3"/>
    <row r="7" spans="1:20" ht="15.75" x14ac:dyDescent="0.25">
      <c r="E7" s="29"/>
      <c r="F7" s="30"/>
      <c r="G7" s="30"/>
      <c r="I7" s="20" t="s">
        <v>36</v>
      </c>
      <c r="J7" s="21" t="s">
        <v>33</v>
      </c>
      <c r="K7" s="22" t="s">
        <v>34</v>
      </c>
    </row>
    <row r="8" spans="1:20" ht="15.75" x14ac:dyDescent="0.25">
      <c r="E8" s="29"/>
      <c r="F8" s="30"/>
      <c r="G8" s="30"/>
      <c r="I8" s="23" t="s">
        <v>32</v>
      </c>
      <c r="J8" s="24">
        <v>1.835</v>
      </c>
      <c r="K8" s="25">
        <v>1.2390000000000001</v>
      </c>
    </row>
    <row r="9" spans="1:20" ht="16.5" thickBot="1" x14ac:dyDescent="0.3">
      <c r="E9" s="29"/>
      <c r="F9" s="30"/>
      <c r="G9" s="30"/>
      <c r="I9" s="26" t="s">
        <v>35</v>
      </c>
      <c r="J9" s="27">
        <v>1.3380000000000001</v>
      </c>
      <c r="K9" s="28">
        <v>0.82899999999999996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N17" sqref="N17"/>
    </sheetView>
  </sheetViews>
  <sheetFormatPr defaultRowHeight="15" x14ac:dyDescent="0.25"/>
  <sheetData>
    <row r="1" spans="1:20" s="4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/>
      <c r="J1" s="7"/>
      <c r="K1" s="7"/>
      <c r="L1" s="7"/>
      <c r="M1" s="7"/>
      <c r="N1" s="7"/>
      <c r="O1" s="7" t="s">
        <v>14</v>
      </c>
      <c r="P1" s="7" t="s">
        <v>15</v>
      </c>
      <c r="Q1" s="7" t="s">
        <v>27</v>
      </c>
      <c r="R1" s="7" t="s">
        <v>28</v>
      </c>
      <c r="S1" s="7" t="s">
        <v>30</v>
      </c>
      <c r="T1" s="7" t="s">
        <v>31</v>
      </c>
    </row>
    <row r="2" spans="1:20" s="1" customFormat="1" x14ac:dyDescent="0.25">
      <c r="A2" s="9">
        <v>50</v>
      </c>
      <c r="B2" s="4" t="s">
        <v>29</v>
      </c>
      <c r="C2" s="3">
        <v>2016</v>
      </c>
      <c r="D2" s="3">
        <v>692</v>
      </c>
      <c r="E2" s="1">
        <v>1.8413999999999999</v>
      </c>
      <c r="F2" s="1">
        <v>1.2133</v>
      </c>
      <c r="G2" s="1">
        <v>1.8244</v>
      </c>
      <c r="H2" s="1">
        <v>1.19</v>
      </c>
      <c r="O2" s="1">
        <v>1.2544</v>
      </c>
      <c r="P2" s="1">
        <v>0.78210000000000002</v>
      </c>
      <c r="Q2" s="1">
        <v>1.1812</v>
      </c>
      <c r="R2" s="1">
        <v>0.72940000000000005</v>
      </c>
      <c r="S2" s="1">
        <v>1.2949999999999999</v>
      </c>
      <c r="T2" s="1">
        <v>0.80120000000000002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Gen 615</vt:lpstr>
      <vt:lpstr>Gen 692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E Weber</cp:lastModifiedBy>
  <cp:lastPrinted>2014-06-28T19:35:07Z</cp:lastPrinted>
  <dcterms:created xsi:type="dcterms:W3CDTF">2012-07-13T20:46:43Z</dcterms:created>
  <dcterms:modified xsi:type="dcterms:W3CDTF">2020-06-27T23:49:42Z</dcterms:modified>
</cp:coreProperties>
</file>
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18195" windowHeight="1051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AN6" i="1"/>
  <c r="AI6"/>
  <c r="AD5"/>
  <c r="Y5"/>
  <c r="T5"/>
  <c r="O5"/>
  <c r="J6"/>
  <c r="E6"/>
</calcChain>
</file>

<file path=xl/sharedStrings.xml><?xml version="1.0" encoding="utf-8"?>
<sst xmlns="http://schemas.openxmlformats.org/spreadsheetml/2006/main" count="60" uniqueCount="32">
  <si>
    <t>Line-Vial</t>
  </si>
  <si>
    <t>Weight</t>
  </si>
  <si>
    <t>Number</t>
  </si>
  <si>
    <t>CN1-1-m</t>
  </si>
  <si>
    <t>CN1-2-m</t>
  </si>
  <si>
    <t>CN1-3-m</t>
  </si>
  <si>
    <t>Wt/Fly</t>
  </si>
  <si>
    <t>CN1-1-f</t>
  </si>
  <si>
    <t>CN1-2-f</t>
  </si>
  <si>
    <t>CN1-3-f</t>
  </si>
  <si>
    <t>CN2-1-m</t>
  </si>
  <si>
    <t>CN2-2-m</t>
  </si>
  <si>
    <t>CN2-3-m</t>
  </si>
  <si>
    <t>CN2-4-m</t>
  </si>
  <si>
    <t>CN2-1-f</t>
  </si>
  <si>
    <t>CN2-2-f</t>
  </si>
  <si>
    <t>CN2-3-f</t>
  </si>
  <si>
    <t>CN2-4-f</t>
  </si>
  <si>
    <t>AA2-1-m</t>
  </si>
  <si>
    <t>AA2-2-m</t>
  </si>
  <si>
    <t>AA2-3-m</t>
  </si>
  <si>
    <t>AA2-1-f</t>
  </si>
  <si>
    <t>AA2-2-f</t>
  </si>
  <si>
    <t>AA2-3-f</t>
  </si>
  <si>
    <t>AA1-1-f</t>
  </si>
  <si>
    <t>AA1-2-f</t>
  </si>
  <si>
    <t>AA1-3-f</t>
  </si>
  <si>
    <t>AA1-4-f</t>
  </si>
  <si>
    <t>AA1-1-m</t>
  </si>
  <si>
    <t>AA1-2-m</t>
  </si>
  <si>
    <t>AA1-3-m</t>
  </si>
  <si>
    <t>AA1-4-m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</si>
</sst>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N6"/>
  <sheetViews>
    <sheetView tabSelected="1" workbookViewId="0">
      <selection activeCell="N25" sqref="N25"/>
    </sheetView>
  </sheetViews>
  <sheetFormatPr defaultRowHeight="15"/>
  <cols>
    <col min="3" max="4" width="9.140625" style="1"/>
    <col min="28" max="28" width="7.140625" style="1" customWidth="1"/>
    <col min="29" max="29" width="8" style="1" customWidth="1"/>
  </cols>
  <sheetData>
    <row r="1" spans="2:40">
      <c r="B1" t="s">
        <v>0</v>
      </c>
      <c r="C1" s="1" t="s">
        <v>1</v>
      </c>
      <c r="D1" s="1" t="s">
        <v>2</v>
      </c>
      <c r="E1" t="s">
        <v>6</v>
      </c>
      <c r="G1" t="s">
        <v>0</v>
      </c>
      <c r="H1" s="1" t="s">
        <v>1</v>
      </c>
      <c r="I1" s="1" t="s">
        <v>2</v>
      </c>
      <c r="J1" t="s">
        <v>6</v>
      </c>
      <c r="L1" t="s">
        <v>0</v>
      </c>
      <c r="M1" s="1" t="s">
        <v>1</v>
      </c>
      <c r="N1" s="1" t="s">
        <v>2</v>
      </c>
      <c r="O1" t="s">
        <v>6</v>
      </c>
      <c r="Q1" t="s">
        <v>0</v>
      </c>
      <c r="R1" s="1" t="s">
        <v>1</v>
      </c>
      <c r="S1" s="1" t="s">
        <v>2</v>
      </c>
      <c r="T1" t="s">
        <v>6</v>
      </c>
      <c r="V1" t="s">
        <v>0</v>
      </c>
      <c r="W1" s="1" t="s">
        <v>1</v>
      </c>
      <c r="X1" s="1" t="s">
        <v>2</v>
      </c>
      <c r="Y1" t="s">
        <v>6</v>
      </c>
      <c r="AA1" t="s">
        <v>0</v>
      </c>
      <c r="AB1" s="1" t="s">
        <v>1</v>
      </c>
      <c r="AC1" s="1" t="s">
        <v>2</v>
      </c>
      <c r="AD1" t="s">
        <v>6</v>
      </c>
      <c r="AF1" t="s">
        <v>0</v>
      </c>
      <c r="AG1" s="1" t="s">
        <v>1</v>
      </c>
      <c r="AH1" s="1" t="s">
        <v>2</v>
      </c>
      <c r="AI1" t="s">
        <v>6</v>
      </c>
      <c r="AK1" t="s">
        <v>0</v>
      </c>
      <c r="AL1" s="1" t="s">
        <v>1</v>
      </c>
      <c r="AM1" s="1" t="s">
        <v>2</v>
      </c>
      <c r="AN1" t="s">
        <v>6</v>
      </c>
    </row>
    <row r="2" spans="2:40">
      <c r="B2" t="s">
        <v>24</v>
      </c>
      <c r="C2" s="1">
        <v>3.7999999999999999E-2</v>
      </c>
      <c r="D2" s="1">
        <v>32</v>
      </c>
      <c r="E2">
        <v>1.1875</v>
      </c>
      <c r="G2" t="s">
        <v>28</v>
      </c>
      <c r="H2" s="1">
        <v>2.5999999999999999E-2</v>
      </c>
      <c r="I2" s="1">
        <v>30</v>
      </c>
      <c r="J2">
        <v>0.86660000000000004</v>
      </c>
      <c r="L2" t="s">
        <v>21</v>
      </c>
      <c r="M2" s="1">
        <v>2.1999999999999999E-2</v>
      </c>
      <c r="N2" s="1">
        <v>20</v>
      </c>
      <c r="O2">
        <v>1.1000000000000001</v>
      </c>
      <c r="Q2" t="s">
        <v>18</v>
      </c>
      <c r="R2" s="1">
        <v>2.4E-2</v>
      </c>
      <c r="S2" s="1">
        <v>29</v>
      </c>
      <c r="T2">
        <v>0.82750000000000001</v>
      </c>
      <c r="V2" t="s">
        <v>7</v>
      </c>
      <c r="W2" s="1">
        <v>3.7999999999999999E-2</v>
      </c>
      <c r="X2" s="1">
        <v>35</v>
      </c>
      <c r="Y2">
        <v>1.0857000000000001</v>
      </c>
      <c r="AA2" t="s">
        <v>3</v>
      </c>
      <c r="AB2" s="1">
        <v>3.1E-2</v>
      </c>
      <c r="AC2" s="1">
        <v>43</v>
      </c>
      <c r="AD2">
        <v>0.72089999999999999</v>
      </c>
      <c r="AF2" t="s">
        <v>14</v>
      </c>
      <c r="AG2" s="1">
        <v>3.1E-2</v>
      </c>
      <c r="AH2" s="1">
        <v>29</v>
      </c>
      <c r="AI2">
        <v>1.0689</v>
      </c>
      <c r="AK2" t="s">
        <v>10</v>
      </c>
      <c r="AL2" s="1">
        <v>0.03</v>
      </c>
      <c r="AM2" s="1">
        <v>38</v>
      </c>
      <c r="AN2">
        <v>0.78939999999999999</v>
      </c>
    </row>
    <row r="3" spans="2:40">
      <c r="B3" t="s">
        <v>25</v>
      </c>
      <c r="C3" s="1">
        <v>3.6999999999999998E-2</v>
      </c>
      <c r="D3" s="1">
        <v>32</v>
      </c>
      <c r="E3">
        <v>1.1561999999999999</v>
      </c>
      <c r="G3" t="s">
        <v>29</v>
      </c>
      <c r="H3" s="1">
        <v>2.1000000000000001E-2</v>
      </c>
      <c r="I3" s="1">
        <v>26</v>
      </c>
      <c r="J3">
        <v>0.80759999999999998</v>
      </c>
      <c r="L3" t="s">
        <v>22</v>
      </c>
      <c r="M3" s="1">
        <v>2.3E-2</v>
      </c>
      <c r="N3" s="1">
        <v>20</v>
      </c>
      <c r="O3">
        <v>1.1499999999999999</v>
      </c>
      <c r="Q3" t="s">
        <v>19</v>
      </c>
      <c r="R3" s="1">
        <v>1.7000000000000001E-2</v>
      </c>
      <c r="S3" s="1">
        <v>21</v>
      </c>
      <c r="T3">
        <v>0.8095</v>
      </c>
      <c r="V3" t="s">
        <v>8</v>
      </c>
      <c r="W3" s="1">
        <v>3.5999999999999997E-2</v>
      </c>
      <c r="X3" s="1">
        <v>35</v>
      </c>
      <c r="Y3">
        <v>1.0285</v>
      </c>
      <c r="AA3" t="s">
        <v>4</v>
      </c>
      <c r="AB3" s="1">
        <v>2.1000000000000001E-2</v>
      </c>
      <c r="AC3" s="1">
        <v>33</v>
      </c>
      <c r="AD3">
        <v>0.63629999999999998</v>
      </c>
      <c r="AF3" t="s">
        <v>15</v>
      </c>
      <c r="AG3" s="1">
        <v>5.7000000000000002E-2</v>
      </c>
      <c r="AH3" s="1">
        <v>54</v>
      </c>
      <c r="AI3">
        <v>1.0555000000000001</v>
      </c>
      <c r="AK3" t="s">
        <v>11</v>
      </c>
      <c r="AL3" s="1">
        <v>4.8000000000000001E-2</v>
      </c>
      <c r="AM3" s="1">
        <v>68</v>
      </c>
      <c r="AN3">
        <v>0.70579999999999998</v>
      </c>
    </row>
    <row r="4" spans="2:40">
      <c r="B4" t="s">
        <v>26</v>
      </c>
      <c r="C4" s="1">
        <v>4.1000000000000002E-2</v>
      </c>
      <c r="D4" s="1">
        <v>32</v>
      </c>
      <c r="E4">
        <v>1.2811999999999999</v>
      </c>
      <c r="G4" t="s">
        <v>30</v>
      </c>
      <c r="H4" s="1">
        <v>0.04</v>
      </c>
      <c r="I4" s="1">
        <v>45</v>
      </c>
      <c r="J4">
        <v>0.88880000000000003</v>
      </c>
      <c r="L4" t="s">
        <v>23</v>
      </c>
      <c r="M4" s="1">
        <v>1.0999999999999999E-2</v>
      </c>
      <c r="N4" s="1">
        <v>11</v>
      </c>
      <c r="O4">
        <v>1</v>
      </c>
      <c r="Q4" t="s">
        <v>20</v>
      </c>
      <c r="R4" s="1">
        <v>8.0000000000000002E-3</v>
      </c>
      <c r="S4" s="1">
        <v>11</v>
      </c>
      <c r="T4">
        <v>0.72719999999999996</v>
      </c>
      <c r="V4" t="s">
        <v>9</v>
      </c>
      <c r="W4" s="1">
        <v>0.04</v>
      </c>
      <c r="X4" s="1">
        <v>37</v>
      </c>
      <c r="Y4">
        <v>1.081</v>
      </c>
      <c r="AA4" t="s">
        <v>5</v>
      </c>
      <c r="AB4" s="1">
        <v>2.1000000000000001E-2</v>
      </c>
      <c r="AC4" s="1">
        <v>29</v>
      </c>
      <c r="AD4">
        <v>0.72409999999999997</v>
      </c>
      <c r="AF4" t="s">
        <v>16</v>
      </c>
      <c r="AG4" s="1">
        <v>3.9E-2</v>
      </c>
      <c r="AH4" s="1">
        <v>39</v>
      </c>
      <c r="AI4">
        <v>1</v>
      </c>
      <c r="AK4" t="s">
        <v>12</v>
      </c>
      <c r="AL4" s="1">
        <v>2.3E-2</v>
      </c>
      <c r="AM4" s="1">
        <v>35</v>
      </c>
      <c r="AN4">
        <v>0.65710000000000002</v>
      </c>
    </row>
    <row r="5" spans="2:40">
      <c r="B5" t="s">
        <v>27</v>
      </c>
      <c r="C5" s="1">
        <v>4.9000000000000002E-2</v>
      </c>
      <c r="D5" s="1">
        <v>41</v>
      </c>
      <c r="E5">
        <v>1.1951000000000001</v>
      </c>
      <c r="G5" t="s">
        <v>31</v>
      </c>
      <c r="H5" s="1">
        <v>2.4E-2</v>
      </c>
      <c r="I5" s="1">
        <v>30</v>
      </c>
      <c r="J5">
        <v>0.8</v>
      </c>
      <c r="M5" s="1"/>
      <c r="N5" s="1"/>
      <c r="O5">
        <f>AVERAGE(O2:O4)</f>
        <v>1.0833333333333333</v>
      </c>
      <c r="R5" s="1"/>
      <c r="S5" s="1"/>
      <c r="T5">
        <f>AVERAGE(T2:T4)</f>
        <v>0.78806666666666658</v>
      </c>
      <c r="Y5">
        <f>AVERAGE(Y2:Y4)</f>
        <v>1.0650666666666668</v>
      </c>
      <c r="AD5">
        <f>AVERAGE(AD2:AD4)</f>
        <v>0.69376666666666653</v>
      </c>
      <c r="AF5" t="s">
        <v>17</v>
      </c>
      <c r="AG5" s="1">
        <v>3.4000000000000002E-2</v>
      </c>
      <c r="AH5" s="1">
        <v>34</v>
      </c>
      <c r="AI5">
        <v>1</v>
      </c>
      <c r="AK5" t="s">
        <v>13</v>
      </c>
      <c r="AL5" s="1">
        <v>2.5999999999999999E-2</v>
      </c>
      <c r="AM5" s="1">
        <v>34</v>
      </c>
      <c r="AN5">
        <v>0.76470000000000005</v>
      </c>
    </row>
    <row r="6" spans="2:40">
      <c r="E6">
        <f>AVERAGE(E2:E5)</f>
        <v>1.2050000000000001</v>
      </c>
      <c r="J6">
        <f>AVERAGE(J2:J5)</f>
        <v>0.84074999999999989</v>
      </c>
      <c r="AI6">
        <f>AVERAGE(AI2:AI5)</f>
        <v>1.0310999999999999</v>
      </c>
      <c r="AN6">
        <f>AVERAGE(AN2:AN5)</f>
        <v>0.72925000000000006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weber</cp:lastModifiedBy>
  <dcterms:created xsi:type="dcterms:W3CDTF">2012-07-13T19:42:56Z</dcterms:created>
  <dcterms:modified xsi:type="dcterms:W3CDTF">2012-07-13T20:52:25Z</dcterms:modified>
</cp:coreProperties>
</file>
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A-RESEARCH-KenWeber8\WT New Data\BODY WEIGHTS\LIVE HYDRATED BODY WEIGHT DATA-1995-2016\"/>
    </mc:Choice>
  </mc:AlternateContent>
  <bookViews>
    <workbookView xWindow="0" yWindow="60" windowWidth="18195" windowHeight="10005"/>
  </bookViews>
  <sheets>
    <sheet name="Sheet1" sheetId="17" r:id="rId1"/>
    <sheet name="Sheet2" sheetId="18" r:id="rId2"/>
  </sheets>
  <calcPr calcId="162913"/>
</workbook>
</file>

<file path=xl/calcChain.xml><?xml version="1.0" encoding="utf-8"?>
<calcChain xmlns="http://schemas.openxmlformats.org/spreadsheetml/2006/main">
  <c r="M16" i="18" l="1"/>
  <c r="L16" i="18"/>
  <c r="K16" i="18"/>
  <c r="J16" i="18"/>
  <c r="E16" i="18"/>
  <c r="D16" i="18"/>
  <c r="C16" i="18"/>
  <c r="B16" i="18"/>
  <c r="M15" i="18"/>
  <c r="L15" i="18"/>
  <c r="K15" i="18"/>
  <c r="J15" i="18"/>
  <c r="E15" i="18"/>
  <c r="D15" i="18"/>
  <c r="C15" i="18"/>
  <c r="B15" i="18"/>
</calcChain>
</file>

<file path=xl/sharedStrings.xml><?xml version="1.0" encoding="utf-8"?>
<sst xmlns="http://schemas.openxmlformats.org/spreadsheetml/2006/main" count="67" uniqueCount="27">
  <si>
    <t>AA1-F</t>
  </si>
  <si>
    <t>AA1-M</t>
  </si>
  <si>
    <t>AA2-M</t>
  </si>
  <si>
    <t>AA2-F</t>
  </si>
  <si>
    <t>CN1-F</t>
  </si>
  <si>
    <t>CN1-M</t>
  </si>
  <si>
    <t>CN2-M</t>
  </si>
  <si>
    <t>CN2-F</t>
  </si>
  <si>
    <t>K45-F</t>
  </si>
  <si>
    <t>K45-M</t>
  </si>
  <si>
    <t>N60-F</t>
  </si>
  <si>
    <t>N60-M</t>
  </si>
  <si>
    <t>MEANS</t>
  </si>
  <si>
    <t>MEAN/25</t>
  </si>
  <si>
    <t xml:space="preserve"> </t>
  </si>
  <si>
    <t>Set 1 July 2011</t>
  </si>
  <si>
    <t>Set 2 Aug 2011</t>
  </si>
  <si>
    <t>SD</t>
  </si>
  <si>
    <t>No. of Samples</t>
  </si>
  <si>
    <t>AA-F</t>
  </si>
  <si>
    <t>WT-F</t>
  </si>
  <si>
    <t>Ratio</t>
  </si>
  <si>
    <t>DIFF</t>
  </si>
  <si>
    <t>AA-M</t>
  </si>
  <si>
    <t>WT-M</t>
  </si>
  <si>
    <t>Unweighted MNs</t>
  </si>
  <si>
    <t>GEN 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</si>
</sst>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workbookViewId="0">
      <selection activeCell="T25" sqref="T25"/>
    </sheetView>
  </sheetViews>
  <sheetFormatPr defaultRowHeight="15" x14ac:dyDescent="0.25"/>
  <cols>
    <col min="1" max="1" width="14" style="1" customWidth="1"/>
    <col min="10" max="10" width="9.140625" customWidth="1"/>
  </cols>
  <sheetData>
    <row r="1" spans="1:13" s="1" customFormat="1" ht="14.25" customHeight="1" x14ac:dyDescent="0.25">
      <c r="A1" s="1" t="s">
        <v>26</v>
      </c>
      <c r="B1" s="1" t="s">
        <v>0</v>
      </c>
      <c r="C1" s="1" t="s">
        <v>1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 t="s">
        <v>15</v>
      </c>
      <c r="J2">
        <v>3.1350000000000003E-2</v>
      </c>
      <c r="K2">
        <v>2.1399999999999999E-2</v>
      </c>
      <c r="L2">
        <v>2.8240000000000001E-2</v>
      </c>
      <c r="M2">
        <v>2.018E-2</v>
      </c>
    </row>
    <row r="3" spans="1:13" x14ac:dyDescent="0.25">
      <c r="A3" s="1" t="s">
        <v>15</v>
      </c>
      <c r="J3">
        <v>2.997E-2</v>
      </c>
      <c r="K3">
        <v>2.0879999999999999E-2</v>
      </c>
      <c r="L3">
        <v>2.895E-2</v>
      </c>
      <c r="M3">
        <v>2.0049999999999998E-2</v>
      </c>
    </row>
    <row r="4" spans="1:13" x14ac:dyDescent="0.25">
      <c r="A4" s="1" t="s">
        <v>15</v>
      </c>
      <c r="J4">
        <v>3.0429999999999999E-2</v>
      </c>
      <c r="K4">
        <v>2.0219999999999998E-2</v>
      </c>
      <c r="L4">
        <v>2.7869999999999999E-2</v>
      </c>
      <c r="M4">
        <v>2.0039999999999999E-2</v>
      </c>
    </row>
    <row r="5" spans="1:13" x14ac:dyDescent="0.25">
      <c r="A5" s="1" t="s">
        <v>15</v>
      </c>
      <c r="J5">
        <v>3.0179999999999998E-2</v>
      </c>
      <c r="K5">
        <v>2.1940000000000001E-2</v>
      </c>
      <c r="L5">
        <v>2.9250000000000002E-2</v>
      </c>
      <c r="M5">
        <v>2.0060000000000001E-2</v>
      </c>
    </row>
    <row r="6" spans="1:13" x14ac:dyDescent="0.25">
      <c r="A6" s="1" t="s">
        <v>15</v>
      </c>
      <c r="J6">
        <v>3.0609999999999998E-2</v>
      </c>
      <c r="K6">
        <v>2.095E-2</v>
      </c>
      <c r="L6">
        <v>2.9020000000000001E-2</v>
      </c>
      <c r="M6">
        <v>1.9290000000000002E-2</v>
      </c>
    </row>
    <row r="7" spans="1:13" x14ac:dyDescent="0.25">
      <c r="A7" s="1" t="s">
        <v>15</v>
      </c>
      <c r="J7">
        <v>2.9989999999999999E-2</v>
      </c>
      <c r="K7">
        <v>2.0480000000000002E-2</v>
      </c>
      <c r="L7">
        <v>2.741E-2</v>
      </c>
    </row>
    <row r="8" spans="1:13" x14ac:dyDescent="0.25">
      <c r="A8" s="1" t="s">
        <v>15</v>
      </c>
      <c r="L8">
        <v>2.9260000000000001E-2</v>
      </c>
    </row>
    <row r="11" spans="1:13" x14ac:dyDescent="0.25">
      <c r="A11" s="1" t="s">
        <v>16</v>
      </c>
      <c r="B11">
        <v>4.8599999999999997E-2</v>
      </c>
      <c r="C11">
        <v>3.1640000000000001E-2</v>
      </c>
      <c r="D11">
        <v>4.4510000000000001E-2</v>
      </c>
      <c r="E11">
        <v>3.2820000000000002E-2</v>
      </c>
      <c r="J11">
        <v>2.886E-2</v>
      </c>
      <c r="K11">
        <v>2.1680000000000001E-2</v>
      </c>
      <c r="L11">
        <v>2.818E-2</v>
      </c>
      <c r="M11">
        <v>2.0219999999999998E-2</v>
      </c>
    </row>
    <row r="12" spans="1:13" x14ac:dyDescent="0.25">
      <c r="A12" s="1" t="s">
        <v>16</v>
      </c>
      <c r="B12">
        <v>4.6249999999999999E-2</v>
      </c>
      <c r="C12">
        <v>3.15E-2</v>
      </c>
      <c r="D12">
        <v>4.7669999999999997E-2</v>
      </c>
      <c r="E12">
        <v>3.2660000000000002E-2</v>
      </c>
      <c r="J12">
        <v>3.0880000000000001E-2</v>
      </c>
      <c r="K12">
        <v>2.0930000000000001E-2</v>
      </c>
      <c r="L12">
        <v>2.8289999999999999E-2</v>
      </c>
      <c r="M12">
        <v>2.1190000000000001E-2</v>
      </c>
    </row>
    <row r="13" spans="1:13" x14ac:dyDescent="0.25">
      <c r="A13" s="1" t="s">
        <v>16</v>
      </c>
      <c r="B13">
        <v>4.6710000000000002E-2</v>
      </c>
      <c r="C13">
        <v>3.2160000000000001E-2</v>
      </c>
      <c r="D13">
        <v>4.8809999999999999E-2</v>
      </c>
      <c r="E13">
        <v>3.3009999999999998E-2</v>
      </c>
      <c r="J13">
        <v>2.9989999999999999E-2</v>
      </c>
      <c r="K13">
        <v>2.07E-2</v>
      </c>
      <c r="L13">
        <v>2.8459999999999999E-2</v>
      </c>
      <c r="M13">
        <v>2.0959999999999999E-2</v>
      </c>
    </row>
    <row r="14" spans="1:13" x14ac:dyDescent="0.25">
      <c r="A14" s="1" t="s">
        <v>16</v>
      </c>
      <c r="B14">
        <v>4.5440000000000001E-2</v>
      </c>
      <c r="C14">
        <v>3.2160000000000001E-2</v>
      </c>
      <c r="D14">
        <v>4.7469999999999998E-2</v>
      </c>
      <c r="E14">
        <v>3.3820000000000003E-2</v>
      </c>
      <c r="J14">
        <v>3.2129999999999999E-2</v>
      </c>
      <c r="K14">
        <v>2.0889999999999999E-2</v>
      </c>
      <c r="L14">
        <v>2.759E-2</v>
      </c>
      <c r="M14">
        <v>2.095E-2</v>
      </c>
    </row>
    <row r="15" spans="1:13" x14ac:dyDescent="0.25">
      <c r="A15" s="1" t="s">
        <v>16</v>
      </c>
      <c r="B15">
        <v>4.691E-2</v>
      </c>
      <c r="C15">
        <v>3.227E-2</v>
      </c>
      <c r="D15">
        <v>4.7460000000000002E-2</v>
      </c>
      <c r="E15">
        <v>3.329E-2</v>
      </c>
      <c r="J15">
        <v>2.9180000000000001E-2</v>
      </c>
      <c r="K15">
        <v>2.0719999999999999E-2</v>
      </c>
      <c r="L15">
        <v>2.8219999999999999E-2</v>
      </c>
      <c r="M15">
        <v>2.0449999999999999E-2</v>
      </c>
    </row>
    <row r="16" spans="1:13" x14ac:dyDescent="0.25">
      <c r="A16" s="1" t="s">
        <v>16</v>
      </c>
      <c r="B16">
        <v>4.6179999999999999E-2</v>
      </c>
      <c r="C16">
        <v>3.2329999999999998E-2</v>
      </c>
      <c r="D16">
        <v>4.3310000000000001E-2</v>
      </c>
      <c r="E16">
        <v>3.236E-2</v>
      </c>
      <c r="J16">
        <v>3.0550000000000001E-2</v>
      </c>
      <c r="K16">
        <v>2.1270000000000001E-2</v>
      </c>
      <c r="L16">
        <v>2.7320000000000001E-2</v>
      </c>
      <c r="M16">
        <v>2.0029999999999999E-2</v>
      </c>
    </row>
    <row r="17" spans="1:13" x14ac:dyDescent="0.25">
      <c r="A17" s="1" t="s">
        <v>16</v>
      </c>
      <c r="B17">
        <v>4.7570000000000001E-2</v>
      </c>
      <c r="C17">
        <v>3.1789999999999999E-2</v>
      </c>
      <c r="D17">
        <v>4.3959999999999999E-2</v>
      </c>
      <c r="E17">
        <v>3.2910000000000002E-2</v>
      </c>
      <c r="J17">
        <v>3.015E-2</v>
      </c>
      <c r="K17">
        <v>2.078E-2</v>
      </c>
      <c r="L17">
        <v>2.776E-2</v>
      </c>
      <c r="M17">
        <v>2.035E-2</v>
      </c>
    </row>
    <row r="18" spans="1:13" x14ac:dyDescent="0.25">
      <c r="A18" s="1" t="s">
        <v>16</v>
      </c>
      <c r="B18">
        <v>4.2770000000000002E-2</v>
      </c>
      <c r="C18">
        <v>3.1989999999999998E-2</v>
      </c>
      <c r="D18">
        <v>4.3819999999999998E-2</v>
      </c>
      <c r="E18">
        <v>3.3119999999999997E-2</v>
      </c>
      <c r="L18">
        <v>2.8580000000000001E-2</v>
      </c>
      <c r="M18">
        <v>2.1000000000000001E-2</v>
      </c>
    </row>
    <row r="19" spans="1:13" x14ac:dyDescent="0.25">
      <c r="A19" s="1" t="s">
        <v>16</v>
      </c>
      <c r="D19">
        <v>4.6940000000000003E-2</v>
      </c>
      <c r="E19">
        <v>3.3180000000000001E-2</v>
      </c>
      <c r="L19">
        <v>2.9170000000000001E-2</v>
      </c>
      <c r="M19">
        <v>2.052E-2</v>
      </c>
    </row>
    <row r="20" spans="1:13" x14ac:dyDescent="0.25">
      <c r="A20" s="1" t="s">
        <v>16</v>
      </c>
      <c r="D20">
        <v>4.573E-2</v>
      </c>
    </row>
    <row r="27" spans="1:13" ht="15.75" customHeight="1" x14ac:dyDescent="0.25"/>
    <row r="30" spans="1:13" x14ac:dyDescent="0.25">
      <c r="K30" t="s">
        <v>14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selection activeCell="M33" sqref="M33"/>
    </sheetView>
  </sheetViews>
  <sheetFormatPr defaultRowHeight="15" x14ac:dyDescent="0.25"/>
  <cols>
    <col min="1" max="1" width="17.7109375" style="1" customWidth="1"/>
    <col min="10" max="10" width="9.140625" customWidth="1"/>
  </cols>
  <sheetData>
    <row r="1" spans="1:13" s="1" customFormat="1" ht="14.25" customHeight="1" x14ac:dyDescent="0.25">
      <c r="B1" s="1" t="s">
        <v>0</v>
      </c>
      <c r="C1" s="1" t="s">
        <v>1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</row>
    <row r="4" spans="1:13" x14ac:dyDescent="0.25">
      <c r="A4" s="1" t="s">
        <v>16</v>
      </c>
      <c r="B4">
        <v>4.8599999999999997E-2</v>
      </c>
      <c r="C4">
        <v>3.1640000000000001E-2</v>
      </c>
      <c r="D4">
        <v>4.4510000000000001E-2</v>
      </c>
      <c r="E4">
        <v>3.2820000000000002E-2</v>
      </c>
      <c r="J4">
        <v>2.886E-2</v>
      </c>
      <c r="K4">
        <v>2.1680000000000001E-2</v>
      </c>
      <c r="L4">
        <v>2.818E-2</v>
      </c>
      <c r="M4">
        <v>2.0219999999999998E-2</v>
      </c>
    </row>
    <row r="5" spans="1:13" x14ac:dyDescent="0.25">
      <c r="A5" s="1" t="s">
        <v>16</v>
      </c>
      <c r="B5">
        <v>4.6249999999999999E-2</v>
      </c>
      <c r="C5">
        <v>3.15E-2</v>
      </c>
      <c r="D5">
        <v>4.7669999999999997E-2</v>
      </c>
      <c r="E5">
        <v>3.2660000000000002E-2</v>
      </c>
      <c r="J5">
        <v>3.0880000000000001E-2</v>
      </c>
      <c r="K5">
        <v>2.0930000000000001E-2</v>
      </c>
      <c r="L5">
        <v>2.8289999999999999E-2</v>
      </c>
      <c r="M5">
        <v>2.1190000000000001E-2</v>
      </c>
    </row>
    <row r="6" spans="1:13" x14ac:dyDescent="0.25">
      <c r="A6" s="1" t="s">
        <v>16</v>
      </c>
      <c r="B6">
        <v>4.6710000000000002E-2</v>
      </c>
      <c r="C6">
        <v>3.2160000000000001E-2</v>
      </c>
      <c r="D6">
        <v>4.8809999999999999E-2</v>
      </c>
      <c r="E6">
        <v>3.3009999999999998E-2</v>
      </c>
      <c r="J6">
        <v>2.9989999999999999E-2</v>
      </c>
      <c r="K6">
        <v>2.07E-2</v>
      </c>
      <c r="L6">
        <v>2.8459999999999999E-2</v>
      </c>
      <c r="M6">
        <v>2.0959999999999999E-2</v>
      </c>
    </row>
    <row r="7" spans="1:13" x14ac:dyDescent="0.25">
      <c r="A7" s="1" t="s">
        <v>16</v>
      </c>
      <c r="B7">
        <v>4.5440000000000001E-2</v>
      </c>
      <c r="C7">
        <v>3.2160000000000001E-2</v>
      </c>
      <c r="D7">
        <v>4.7469999999999998E-2</v>
      </c>
      <c r="E7">
        <v>3.3820000000000003E-2</v>
      </c>
      <c r="J7">
        <v>3.2129999999999999E-2</v>
      </c>
      <c r="K7">
        <v>2.0889999999999999E-2</v>
      </c>
      <c r="L7">
        <v>2.759E-2</v>
      </c>
      <c r="M7">
        <v>2.095E-2</v>
      </c>
    </row>
    <row r="8" spans="1:13" x14ac:dyDescent="0.25">
      <c r="A8" s="1" t="s">
        <v>16</v>
      </c>
      <c r="B8">
        <v>4.691E-2</v>
      </c>
      <c r="C8">
        <v>3.227E-2</v>
      </c>
      <c r="D8">
        <v>4.7460000000000002E-2</v>
      </c>
      <c r="E8">
        <v>3.329E-2</v>
      </c>
      <c r="J8">
        <v>2.9180000000000001E-2</v>
      </c>
      <c r="K8">
        <v>2.0719999999999999E-2</v>
      </c>
      <c r="L8">
        <v>2.8219999999999999E-2</v>
      </c>
      <c r="M8">
        <v>2.0449999999999999E-2</v>
      </c>
    </row>
    <row r="9" spans="1:13" x14ac:dyDescent="0.25">
      <c r="A9" s="1" t="s">
        <v>16</v>
      </c>
      <c r="B9">
        <v>4.6179999999999999E-2</v>
      </c>
      <c r="C9">
        <v>3.2329999999999998E-2</v>
      </c>
      <c r="D9">
        <v>4.3310000000000001E-2</v>
      </c>
      <c r="E9">
        <v>3.236E-2</v>
      </c>
      <c r="J9">
        <v>3.0550000000000001E-2</v>
      </c>
      <c r="K9">
        <v>2.1270000000000001E-2</v>
      </c>
      <c r="L9">
        <v>2.7320000000000001E-2</v>
      </c>
      <c r="M9">
        <v>2.0029999999999999E-2</v>
      </c>
    </row>
    <row r="10" spans="1:13" x14ac:dyDescent="0.25">
      <c r="A10" s="1" t="s">
        <v>16</v>
      </c>
      <c r="B10">
        <v>4.7570000000000001E-2</v>
      </c>
      <c r="C10">
        <v>3.1789999999999999E-2</v>
      </c>
      <c r="D10">
        <v>4.3959999999999999E-2</v>
      </c>
      <c r="E10">
        <v>3.2910000000000002E-2</v>
      </c>
      <c r="J10">
        <v>3.015E-2</v>
      </c>
      <c r="K10">
        <v>2.078E-2</v>
      </c>
      <c r="L10">
        <v>2.776E-2</v>
      </c>
      <c r="M10">
        <v>2.035E-2</v>
      </c>
    </row>
    <row r="11" spans="1:13" x14ac:dyDescent="0.25">
      <c r="A11" s="1" t="s">
        <v>16</v>
      </c>
      <c r="B11">
        <v>4.2770000000000002E-2</v>
      </c>
      <c r="C11">
        <v>3.1989999999999998E-2</v>
      </c>
      <c r="D11">
        <v>4.3819999999999998E-2</v>
      </c>
      <c r="E11">
        <v>3.3119999999999997E-2</v>
      </c>
      <c r="L11">
        <v>2.8580000000000001E-2</v>
      </c>
      <c r="M11">
        <v>2.1000000000000001E-2</v>
      </c>
    </row>
    <row r="12" spans="1:13" x14ac:dyDescent="0.25">
      <c r="A12" s="1" t="s">
        <v>16</v>
      </c>
      <c r="D12">
        <v>4.6940000000000003E-2</v>
      </c>
      <c r="E12">
        <v>3.3180000000000001E-2</v>
      </c>
      <c r="L12">
        <v>2.9170000000000001E-2</v>
      </c>
      <c r="M12">
        <v>2.052E-2</v>
      </c>
    </row>
    <row r="13" spans="1:13" x14ac:dyDescent="0.25">
      <c r="A13" s="1" t="s">
        <v>16</v>
      </c>
      <c r="D13">
        <v>4.573E-2</v>
      </c>
    </row>
    <row r="15" spans="1:13" x14ac:dyDescent="0.25">
      <c r="A15" s="1" t="s">
        <v>12</v>
      </c>
      <c r="B15">
        <f>AVERAGE(B4:B14)</f>
        <v>4.6303750000000005E-2</v>
      </c>
      <c r="C15">
        <f>AVERAGE(C4:C14)</f>
        <v>3.1980000000000001E-2</v>
      </c>
      <c r="D15">
        <f>AVERAGE(D4:D14)</f>
        <v>4.5968000000000002E-2</v>
      </c>
      <c r="E15">
        <f>AVERAGE(E4:E14)</f>
        <v>3.3018888888888889E-2</v>
      </c>
      <c r="J15">
        <f>AVERAGE(J2:J14)</f>
        <v>3.024857142857143E-2</v>
      </c>
      <c r="K15">
        <f>AVERAGE(K2:K14)</f>
        <v>2.0995714285714284E-2</v>
      </c>
      <c r="L15">
        <f>AVERAGE(L2:L14)</f>
        <v>2.8174444444444446E-2</v>
      </c>
      <c r="M15">
        <f>AVERAGE(M2:M14)</f>
        <v>2.0629999999999999E-2</v>
      </c>
    </row>
    <row r="16" spans="1:13" x14ac:dyDescent="0.25">
      <c r="A16" s="1" t="s">
        <v>17</v>
      </c>
      <c r="B16">
        <f>STDEV(B4:B11)</f>
        <v>1.7179883377285844E-3</v>
      </c>
      <c r="C16">
        <f>STDEV(C4:C11)</f>
        <v>3.0556738793828823E-4</v>
      </c>
      <c r="D16">
        <f>STDEV(D4:D13)</f>
        <v>1.9520348357547311E-3</v>
      </c>
      <c r="E16">
        <f>STDEV(E4:E12)</f>
        <v>4.1320226416503505E-4</v>
      </c>
      <c r="J16">
        <f>STDEV(J4:J10)</f>
        <v>1.0936091405895213E-3</v>
      </c>
      <c r="K16">
        <f>STDEV(K4:K10)</f>
        <v>3.5799707367785189E-4</v>
      </c>
      <c r="L16">
        <f>STDEV(L4:L12)</f>
        <v>5.5857208825520286E-4</v>
      </c>
      <c r="M16">
        <f>STDEV(M4:M12)</f>
        <v>4.0509258201058243E-4</v>
      </c>
    </row>
    <row r="17" spans="1:13" x14ac:dyDescent="0.25">
      <c r="A17" s="1" t="s">
        <v>18</v>
      </c>
      <c r="B17" s="2">
        <v>8</v>
      </c>
      <c r="C17" s="2">
        <v>8</v>
      </c>
      <c r="D17" s="2">
        <v>10</v>
      </c>
      <c r="E17" s="2">
        <v>9</v>
      </c>
      <c r="F17" s="2"/>
      <c r="G17" s="2"/>
      <c r="H17" s="2"/>
      <c r="I17" s="2"/>
      <c r="J17" s="2">
        <v>7</v>
      </c>
      <c r="K17" s="2">
        <v>7</v>
      </c>
      <c r="L17" s="2">
        <v>9</v>
      </c>
      <c r="M17" s="2">
        <v>9</v>
      </c>
    </row>
    <row r="18" spans="1:13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5">
      <c r="A19" s="1" t="s">
        <v>13</v>
      </c>
      <c r="B19">
        <v>1.8521000000000001</v>
      </c>
      <c r="C19">
        <v>1.2791999999999999</v>
      </c>
      <c r="D19">
        <v>1.8387</v>
      </c>
      <c r="E19">
        <v>1.3207</v>
      </c>
      <c r="J19">
        <v>1.2131000000000001</v>
      </c>
      <c r="K19">
        <v>0.83950000000000002</v>
      </c>
      <c r="L19">
        <v>1.1338999999999999</v>
      </c>
      <c r="M19">
        <v>0.81510000000000005</v>
      </c>
    </row>
    <row r="20" spans="1:13" ht="15.75" customHeight="1" x14ac:dyDescent="0.25"/>
    <row r="23" spans="1:13" x14ac:dyDescent="0.25">
      <c r="K23" t="s">
        <v>14</v>
      </c>
    </row>
    <row r="24" spans="1:13" s="3" customFormat="1" x14ac:dyDescent="0.25">
      <c r="B24" s="3" t="s">
        <v>19</v>
      </c>
      <c r="C24" s="3" t="s">
        <v>20</v>
      </c>
      <c r="D24" s="3" t="s">
        <v>21</v>
      </c>
      <c r="E24" s="3" t="s">
        <v>22</v>
      </c>
      <c r="H24" s="3" t="s">
        <v>23</v>
      </c>
      <c r="I24" s="3" t="s">
        <v>24</v>
      </c>
      <c r="J24" s="3" t="s">
        <v>21</v>
      </c>
      <c r="K24" s="3" t="s">
        <v>22</v>
      </c>
    </row>
    <row r="25" spans="1:13" x14ac:dyDescent="0.25">
      <c r="A25" s="1" t="s">
        <v>25</v>
      </c>
      <c r="B25" s="4">
        <v>1.8453999999999999</v>
      </c>
      <c r="C25" s="4">
        <v>1.1735</v>
      </c>
      <c r="D25" s="4">
        <v>1.573</v>
      </c>
      <c r="E25" s="4">
        <v>0.67190000000000005</v>
      </c>
      <c r="F25" s="4"/>
      <c r="G25" s="4"/>
      <c r="H25" s="4">
        <v>1.3</v>
      </c>
      <c r="I25" s="4">
        <v>0.82730000000000004</v>
      </c>
      <c r="J25" s="4">
        <v>1.5713999999999999</v>
      </c>
      <c r="K25" s="4">
        <v>0.47270000000000001</v>
      </c>
      <c r="L2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weber</dc:creator>
  <cp:lastModifiedBy>Kenneth E Weber</cp:lastModifiedBy>
  <cp:lastPrinted>2012-07-11T16:57:41Z</cp:lastPrinted>
  <dcterms:created xsi:type="dcterms:W3CDTF">2011-07-09T18:27:33Z</dcterms:created>
  <dcterms:modified xsi:type="dcterms:W3CDTF">2020-06-27T20:00:54Z</dcterms:modified>
</cp:coreProperties>
</file>
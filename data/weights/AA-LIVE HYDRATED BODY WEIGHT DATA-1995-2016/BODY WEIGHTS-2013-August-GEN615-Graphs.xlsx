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A-RESEARCH-KenWeber8\WT New Data\BODY WEIGHTS\AA-LIVE HYDRATED BODY WEIGHT DATA-1995-2016\"/>
    </mc:Choice>
  </mc:AlternateContent>
  <bookViews>
    <workbookView xWindow="0" yWindow="0" windowWidth="19200" windowHeight="72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" l="1"/>
  <c r="K11" i="2"/>
  <c r="J11" i="2"/>
  <c r="H11" i="2"/>
  <c r="I11" i="2"/>
  <c r="F11" i="2"/>
  <c r="G11" i="2"/>
  <c r="E11" i="2"/>
  <c r="D11" i="2"/>
  <c r="C11" i="2"/>
  <c r="D37" i="1" l="1"/>
  <c r="D38" i="1"/>
  <c r="D39" i="1"/>
  <c r="D40" i="1"/>
  <c r="D41" i="1"/>
  <c r="D42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9" i="1"/>
  <c r="D60" i="1"/>
  <c r="D61" i="1"/>
  <c r="D62" i="1"/>
  <c r="D64" i="1"/>
  <c r="D65" i="1"/>
  <c r="D66" i="1"/>
  <c r="D67" i="1"/>
  <c r="D68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1" i="1"/>
  <c r="D32" i="1"/>
  <c r="D33" i="1"/>
  <c r="D34" i="1"/>
  <c r="D35" i="1"/>
  <c r="D9" i="1"/>
  <c r="D10" i="1"/>
  <c r="D11" i="1"/>
  <c r="D12" i="1"/>
  <c r="D13" i="1"/>
  <c r="D14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<sst xmlns="http://schemas.openxmlformats.org/spreadsheetml/2006/main" count="56" uniqueCount="38">
  <si>
    <t>AL45F</t>
  </si>
  <si>
    <t>w/Flies</t>
  </si>
  <si>
    <t>Tare</t>
  </si>
  <si>
    <t>Diff.</t>
  </si>
  <si>
    <t>N60F</t>
  </si>
  <si>
    <t>K45F</t>
  </si>
  <si>
    <t>AA2F</t>
  </si>
  <si>
    <t>AA1F</t>
  </si>
  <si>
    <t>N60M</t>
  </si>
  <si>
    <t>AA2M</t>
  </si>
  <si>
    <t>K45M</t>
  </si>
  <si>
    <t>AA1M</t>
  </si>
  <si>
    <t>AL45M</t>
  </si>
  <si>
    <t>AA1-F</t>
  </si>
  <si>
    <t>AA1-M</t>
  </si>
  <si>
    <t>AA2-F</t>
  </si>
  <si>
    <t>AA2-M</t>
  </si>
  <si>
    <t>AL45-F</t>
  </si>
  <si>
    <t>AL45-M</t>
  </si>
  <si>
    <t>K45-F</t>
  </si>
  <si>
    <t>K45-M</t>
  </si>
  <si>
    <t>N60-F</t>
  </si>
  <si>
    <t>N60-M</t>
  </si>
  <si>
    <t xml:space="preserve"> </t>
  </si>
  <si>
    <t>SD</t>
  </si>
  <si>
    <t>No. of Samples</t>
  </si>
  <si>
    <t>MEAN/20</t>
  </si>
  <si>
    <t>MONTH-YEAR</t>
  </si>
  <si>
    <t>MEAN of ALL 20-wts</t>
  </si>
  <si>
    <t>L45-M</t>
  </si>
  <si>
    <t>L45-F</t>
  </si>
  <si>
    <t>Wind Tunnel</t>
  </si>
  <si>
    <t>Wild Type</t>
  </si>
  <si>
    <t xml:space="preserve">Females </t>
  </si>
  <si>
    <t>Males</t>
  </si>
  <si>
    <t>Cohen's D</t>
  </si>
  <si>
    <t>GEN 615</t>
  </si>
  <si>
    <t>% Heavier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</si>
</sst>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Sheet2!$P$1:$AA$1</c:f>
              <c:strCache>
                <c:ptCount val="12"/>
                <c:pt idx="0">
                  <c:v>AA1-F</c:v>
                </c:pt>
                <c:pt idx="1">
                  <c:v>AA2-F</c:v>
                </c:pt>
                <c:pt idx="2">
                  <c:v>L45-F</c:v>
                </c:pt>
                <c:pt idx="3">
                  <c:v>K45-F</c:v>
                </c:pt>
                <c:pt idx="4">
                  <c:v>N60-F</c:v>
                </c:pt>
                <c:pt idx="7">
                  <c:v>AA1-M</c:v>
                </c:pt>
                <c:pt idx="8">
                  <c:v>AA2-M</c:v>
                </c:pt>
                <c:pt idx="9">
                  <c:v>L45-M</c:v>
                </c:pt>
                <c:pt idx="10">
                  <c:v>K45-M</c:v>
                </c:pt>
                <c:pt idx="11">
                  <c:v>N60-M</c:v>
                </c:pt>
              </c:strCache>
            </c:strRef>
          </c:cat>
          <c:val>
            <c:numRef>
              <c:f>Sheet2!$P$2:$AA$2</c:f>
              <c:numCache>
                <c:formatCode>General</c:formatCode>
                <c:ptCount val="12"/>
                <c:pt idx="0">
                  <c:v>1.8320000000000001</c:v>
                </c:pt>
                <c:pt idx="1">
                  <c:v>1.8380000000000001</c:v>
                </c:pt>
                <c:pt idx="2">
                  <c:v>1.357</c:v>
                </c:pt>
                <c:pt idx="3">
                  <c:v>1.298</c:v>
                </c:pt>
                <c:pt idx="4">
                  <c:v>1.36</c:v>
                </c:pt>
                <c:pt idx="7">
                  <c:v>1.2110000000000001</c:v>
                </c:pt>
                <c:pt idx="8">
                  <c:v>1.266</c:v>
                </c:pt>
                <c:pt idx="9">
                  <c:v>0.83799999999999997</c:v>
                </c:pt>
                <c:pt idx="10">
                  <c:v>0.81100000000000005</c:v>
                </c:pt>
                <c:pt idx="11">
                  <c:v>0.83699999999999997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2B3-8EA5-52F096204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934488"/>
        <c:axId val="438931536"/>
      </c:barChart>
      <c:catAx>
        <c:axId val="43893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31536"/>
        <c:crosses val="autoZero"/>
        <c:auto val="1"/>
        <c:lblAlgn val="ctr"/>
        <c:lblOffset val="100"/>
        <c:noMultiLvlLbl val="0"/>
      </c:catAx>
      <c:valAx>
        <c:axId val="4389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Live Body Weight - mg</a:t>
                </a:r>
              </a:p>
            </c:rich>
          </c:tx>
          <c:layout>
            <c:manualLayout>
              <c:xMode val="edge"/>
              <c:yMode val="edge"/>
              <c:x val="1.3546202225447508E-2"/>
              <c:y val="0.2774938018020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34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Females: Selected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vs Controls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013325381329123"/>
          <c:y val="2.6755852842809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Sheet2!$P$1:$T$1</c:f>
              <c:strCache>
                <c:ptCount val="5"/>
                <c:pt idx="0">
                  <c:v>AA1-F</c:v>
                </c:pt>
                <c:pt idx="1">
                  <c:v>AA2-F</c:v>
                </c:pt>
                <c:pt idx="2">
                  <c:v>L45-F</c:v>
                </c:pt>
                <c:pt idx="3">
                  <c:v>K45-F</c:v>
                </c:pt>
                <c:pt idx="4">
                  <c:v>N60-F</c:v>
                </c:pt>
              </c:strCache>
            </c:strRef>
          </c:cat>
          <c:val>
            <c:numRef>
              <c:f>Sheet2!$P$2:$T$2</c:f>
              <c:numCache>
                <c:formatCode>General</c:formatCode>
                <c:ptCount val="5"/>
                <c:pt idx="0">
                  <c:v>1.8320000000000001</c:v>
                </c:pt>
                <c:pt idx="1">
                  <c:v>1.8380000000000001</c:v>
                </c:pt>
                <c:pt idx="2">
                  <c:v>1.357</c:v>
                </c:pt>
                <c:pt idx="3">
                  <c:v>1.298</c:v>
                </c:pt>
                <c:pt idx="4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C-41BC-B7F3-1A4DEF9C9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309752"/>
        <c:axId val="436310408"/>
      </c:barChart>
      <c:catAx>
        <c:axId val="436309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Lines</a:t>
                </a:r>
              </a:p>
            </c:rich>
          </c:tx>
          <c:layout>
            <c:manualLayout>
              <c:xMode val="edge"/>
              <c:yMode val="edge"/>
              <c:x val="0.50599466181847386"/>
              <c:y val="0.9027645958970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6310408"/>
        <c:crosses val="autoZero"/>
        <c:auto val="1"/>
        <c:lblAlgn val="ctr"/>
        <c:lblOffset val="100"/>
        <c:noMultiLvlLbl val="0"/>
      </c:catAx>
      <c:valAx>
        <c:axId val="43631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Live Body Weight - mg</a:t>
                </a:r>
                <a:endParaRPr lang="en-US" sz="11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4444438945133096E-2"/>
              <c:y val="0.19520606746899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630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Males: Selected vs Controls</a:t>
            </a:r>
          </a:p>
        </c:rich>
      </c:tx>
      <c:layout>
        <c:manualLayout>
          <c:xMode val="edge"/>
          <c:yMode val="edge"/>
          <c:x val="0.21103774384362634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Sheet2!$W$1:$AA$1</c:f>
              <c:strCache>
                <c:ptCount val="5"/>
                <c:pt idx="0">
                  <c:v>AA1-M</c:v>
                </c:pt>
                <c:pt idx="1">
                  <c:v>AA2-M</c:v>
                </c:pt>
                <c:pt idx="2">
                  <c:v>L45-M</c:v>
                </c:pt>
                <c:pt idx="3">
                  <c:v>K45-M</c:v>
                </c:pt>
                <c:pt idx="4">
                  <c:v>N60-M</c:v>
                </c:pt>
              </c:strCache>
            </c:strRef>
          </c:cat>
          <c:val>
            <c:numRef>
              <c:f>Sheet2!$W$2:$AA$2</c:f>
              <c:numCache>
                <c:formatCode>General</c:formatCode>
                <c:ptCount val="5"/>
                <c:pt idx="0">
                  <c:v>1.2110000000000001</c:v>
                </c:pt>
                <c:pt idx="1">
                  <c:v>1.266</c:v>
                </c:pt>
                <c:pt idx="2">
                  <c:v>0.83799999999999997</c:v>
                </c:pt>
                <c:pt idx="3">
                  <c:v>0.81100000000000005</c:v>
                </c:pt>
                <c:pt idx="4">
                  <c:v>0.83699999999999997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9-4AD4-95F1-B2BB76C0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62480"/>
        <c:axId val="431663136"/>
      </c:barChart>
      <c:catAx>
        <c:axId val="43166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Lines</a:t>
                </a:r>
              </a:p>
            </c:rich>
          </c:tx>
          <c:layout>
            <c:manualLayout>
              <c:xMode val="edge"/>
              <c:yMode val="edge"/>
              <c:x val="0.50249606249329803"/>
              <c:y val="0.90308871391076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1663136"/>
        <c:crosses val="autoZero"/>
        <c:auto val="1"/>
        <c:lblAlgn val="ctr"/>
        <c:lblOffset val="100"/>
        <c:noMultiLvlLbl val="0"/>
      </c:catAx>
      <c:valAx>
        <c:axId val="43166313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Live Body Weight - mg</a:t>
                </a:r>
                <a:endParaRPr lang="en-US" sz="11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4380591732593451E-2"/>
              <c:y val="0.1981403324584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166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287482</xdr:colOff>
      <xdr:row>3</xdr:row>
      <xdr:rowOff>179244</xdr:rowOff>
    </xdr:from>
    <xdr:to>
      <xdr:col>42</xdr:col>
      <xdr:colOff>144607</xdr:colOff>
      <xdr:row>22</xdr:row>
      <xdr:rowOff>45027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193098</xdr:colOff>
      <xdr:row>12</xdr:row>
      <xdr:rowOff>148070</xdr:rowOff>
    </xdr:from>
    <xdr:to>
      <xdr:col>21</xdr:col>
      <xdr:colOff>580160</xdr:colOff>
      <xdr:row>16</xdr:row>
      <xdr:rowOff>175779</xdr:rowOff>
    </xdr:to>
    <xdr:sp macro="" textlink="">
      <xdr:nvSpPr>
        <xdr:cNvPr id="4" name="TextBox 3"/>
        <xdr:cNvSpPr txBox="1"/>
      </xdr:nvSpPr>
      <xdr:spPr>
        <a:xfrm>
          <a:off x="12861348" y="2434070"/>
          <a:ext cx="993198" cy="78970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latin typeface="Arial Black" panose="020B0A04020102020204" pitchFamily="34" charset="0"/>
            </a:rPr>
            <a:t>ADD ERROR BARS!!</a:t>
          </a:r>
        </a:p>
      </xdr:txBody>
    </xdr:sp>
    <xdr:clientData/>
  </xdr:twoCellAnchor>
  <xdr:twoCellAnchor>
    <xdr:from>
      <xdr:col>14</xdr:col>
      <xdr:colOff>9525</xdr:colOff>
      <xdr:row>5</xdr:row>
      <xdr:rowOff>9525</xdr:rowOff>
    </xdr:from>
    <xdr:to>
      <xdr:col>20</xdr:col>
      <xdr:colOff>9526</xdr:colOff>
      <xdr:row>20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28</xdr:col>
      <xdr:colOff>9525</xdr:colOff>
      <xdr:row>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554182</xdr:colOff>
      <xdr:row>24</xdr:row>
      <xdr:rowOff>51955</xdr:rowOff>
    </xdr:from>
    <xdr:to>
      <xdr:col>18</xdr:col>
      <xdr:colOff>216478</xdr:colOff>
      <xdr:row>28</xdr:row>
      <xdr:rowOff>8659</xdr:rowOff>
    </xdr:to>
    <xdr:sp macro="" textlink="">
      <xdr:nvSpPr>
        <xdr:cNvPr id="7" name="TextBox 6"/>
        <xdr:cNvSpPr txBox="1"/>
      </xdr:nvSpPr>
      <xdr:spPr>
        <a:xfrm>
          <a:off x="9585614" y="4632614"/>
          <a:ext cx="2086841" cy="727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Line means within type can be used</a:t>
          </a:r>
          <a:r>
            <a:rPr lang="en-US" sz="1100" b="1" baseline="0"/>
            <a:t> as point estimates for Cohen's D for treatment effects.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P21" sqref="P21"/>
    </sheetView>
  </sheetViews>
  <sheetFormatPr defaultRowHeight="15" x14ac:dyDescent="0.25"/>
  <cols>
    <col min="1" max="1" width="8.85546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>
        <v>1.5263</v>
      </c>
      <c r="C2">
        <v>1.4993000000000001</v>
      </c>
      <c r="D2">
        <f>B2-C2</f>
        <v>2.6999999999999913E-2</v>
      </c>
    </row>
    <row r="3" spans="1:4" x14ac:dyDescent="0.25">
      <c r="A3" s="1">
        <v>2</v>
      </c>
      <c r="B3">
        <v>1.5269999999999999</v>
      </c>
      <c r="C3">
        <v>1.4995000000000001</v>
      </c>
      <c r="D3">
        <f t="shared" ref="D3:D66" si="0">B3-C3</f>
        <v>2.7499999999999858E-2</v>
      </c>
    </row>
    <row r="4" spans="1:4" x14ac:dyDescent="0.25">
      <c r="A4" s="1">
        <v>3</v>
      </c>
      <c r="B4">
        <v>1.5264</v>
      </c>
      <c r="C4">
        <v>1.4994000000000001</v>
      </c>
      <c r="D4">
        <f t="shared" si="0"/>
        <v>2.6999999999999913E-2</v>
      </c>
    </row>
    <row r="5" spans="1:4" x14ac:dyDescent="0.25">
      <c r="A5" s="1">
        <v>4</v>
      </c>
      <c r="B5">
        <v>1.5274000000000001</v>
      </c>
      <c r="C5">
        <v>1.4995000000000001</v>
      </c>
      <c r="D5">
        <f t="shared" si="0"/>
        <v>2.7900000000000036E-2</v>
      </c>
    </row>
    <row r="6" spans="1:4" x14ac:dyDescent="0.25">
      <c r="A6" s="1">
        <v>5</v>
      </c>
      <c r="B6">
        <v>1.5261</v>
      </c>
      <c r="C6">
        <v>1.4997</v>
      </c>
      <c r="D6">
        <f t="shared" si="0"/>
        <v>2.6399999999999979E-2</v>
      </c>
    </row>
    <row r="7" spans="1:4" x14ac:dyDescent="0.25">
      <c r="A7" s="1">
        <v>6</v>
      </c>
      <c r="B7">
        <v>1.5265</v>
      </c>
      <c r="C7">
        <v>1.4995000000000001</v>
      </c>
      <c r="D7">
        <f t="shared" si="0"/>
        <v>2.6999999999999913E-2</v>
      </c>
    </row>
    <row r="8" spans="1:4" x14ac:dyDescent="0.25">
      <c r="A8" s="1" t="s">
        <v>4</v>
      </c>
    </row>
    <row r="9" spans="1:4" x14ac:dyDescent="0.25">
      <c r="A9" s="1">
        <v>1</v>
      </c>
      <c r="B9">
        <v>1.5267999999999999</v>
      </c>
      <c r="C9">
        <v>1.4995000000000001</v>
      </c>
      <c r="D9">
        <f t="shared" si="0"/>
        <v>2.729999999999988E-2</v>
      </c>
    </row>
    <row r="10" spans="1:4" x14ac:dyDescent="0.25">
      <c r="A10" s="1">
        <v>2</v>
      </c>
      <c r="B10">
        <v>1.5263</v>
      </c>
      <c r="C10">
        <v>1.4996</v>
      </c>
      <c r="D10">
        <f t="shared" si="0"/>
        <v>2.6699999999999946E-2</v>
      </c>
    </row>
    <row r="11" spans="1:4" x14ac:dyDescent="0.25">
      <c r="A11" s="1">
        <v>3</v>
      </c>
      <c r="B11">
        <v>1.5267999999999999</v>
      </c>
      <c r="C11">
        <v>1.4996</v>
      </c>
      <c r="D11">
        <f t="shared" si="0"/>
        <v>2.7199999999999891E-2</v>
      </c>
    </row>
    <row r="12" spans="1:4" x14ac:dyDescent="0.25">
      <c r="A12" s="1">
        <v>4</v>
      </c>
      <c r="B12">
        <v>1.5263</v>
      </c>
      <c r="C12">
        <v>1.4996</v>
      </c>
      <c r="D12">
        <f t="shared" si="0"/>
        <v>2.6699999999999946E-2</v>
      </c>
    </row>
    <row r="13" spans="1:4" x14ac:dyDescent="0.25">
      <c r="A13" s="1">
        <v>5</v>
      </c>
      <c r="B13">
        <v>1.5275000000000001</v>
      </c>
      <c r="C13">
        <v>1.4996</v>
      </c>
      <c r="D13">
        <f t="shared" si="0"/>
        <v>2.7900000000000036E-2</v>
      </c>
    </row>
    <row r="14" spans="1:4" x14ac:dyDescent="0.25">
      <c r="A14" s="1">
        <v>6</v>
      </c>
      <c r="B14">
        <v>1.5271999999999999</v>
      </c>
      <c r="C14">
        <v>1.4998</v>
      </c>
      <c r="D14">
        <f t="shared" si="0"/>
        <v>2.7399999999999869E-2</v>
      </c>
    </row>
    <row r="15" spans="1:4" x14ac:dyDescent="0.25">
      <c r="A15" s="1" t="s">
        <v>5</v>
      </c>
    </row>
    <row r="16" spans="1:4" x14ac:dyDescent="0.25">
      <c r="A16" s="1">
        <v>1</v>
      </c>
      <c r="B16">
        <v>1.5267999999999999</v>
      </c>
      <c r="C16">
        <v>1.4995000000000001</v>
      </c>
      <c r="D16">
        <f t="shared" si="0"/>
        <v>2.729999999999988E-2</v>
      </c>
    </row>
    <row r="17" spans="1:4" x14ac:dyDescent="0.25">
      <c r="A17" s="1">
        <v>2</v>
      </c>
      <c r="B17">
        <v>1.526</v>
      </c>
      <c r="C17">
        <v>1.4997</v>
      </c>
      <c r="D17">
        <f t="shared" si="0"/>
        <v>2.629999999999999E-2</v>
      </c>
    </row>
    <row r="18" spans="1:4" x14ac:dyDescent="0.25">
      <c r="A18" s="1">
        <v>3</v>
      </c>
      <c r="B18">
        <v>1.5256000000000001</v>
      </c>
      <c r="C18">
        <v>1.4996</v>
      </c>
      <c r="D18">
        <f t="shared" si="0"/>
        <v>2.6000000000000023E-2</v>
      </c>
    </row>
    <row r="19" spans="1:4" x14ac:dyDescent="0.25">
      <c r="A19" s="1">
        <v>4</v>
      </c>
      <c r="B19">
        <v>1.5254000000000001</v>
      </c>
      <c r="C19">
        <v>1.4996</v>
      </c>
      <c r="D19">
        <f t="shared" si="0"/>
        <v>2.5800000000000045E-2</v>
      </c>
    </row>
    <row r="20" spans="1:4" x14ac:dyDescent="0.25">
      <c r="A20" s="1">
        <v>5</v>
      </c>
      <c r="B20">
        <v>1.526</v>
      </c>
      <c r="C20">
        <v>1.4998</v>
      </c>
      <c r="D20">
        <f t="shared" si="0"/>
        <v>2.6200000000000001E-2</v>
      </c>
    </row>
    <row r="21" spans="1:4" x14ac:dyDescent="0.25">
      <c r="A21" s="1">
        <v>6</v>
      </c>
      <c r="B21">
        <v>1.5247999999999999</v>
      </c>
      <c r="C21">
        <v>1.4997</v>
      </c>
      <c r="D21">
        <f t="shared" si="0"/>
        <v>2.50999999999999E-2</v>
      </c>
    </row>
    <row r="22" spans="1:4" x14ac:dyDescent="0.25">
      <c r="A22" s="1">
        <v>7</v>
      </c>
      <c r="B22">
        <v>1.5246999999999999</v>
      </c>
      <c r="C22">
        <v>1.4997</v>
      </c>
      <c r="D22">
        <f t="shared" si="0"/>
        <v>2.4999999999999911E-2</v>
      </c>
    </row>
    <row r="23" spans="1:4" x14ac:dyDescent="0.25">
      <c r="A23" s="1" t="s">
        <v>6</v>
      </c>
    </row>
    <row r="24" spans="1:4" x14ac:dyDescent="0.25">
      <c r="A24" s="1">
        <v>1</v>
      </c>
      <c r="B24">
        <v>1.5363</v>
      </c>
      <c r="C24">
        <v>1.4995000000000001</v>
      </c>
      <c r="D24">
        <f t="shared" si="0"/>
        <v>3.6799999999999944E-2</v>
      </c>
    </row>
    <row r="25" spans="1:4" x14ac:dyDescent="0.25">
      <c r="A25" s="1">
        <v>2</v>
      </c>
      <c r="B25">
        <v>1.5367</v>
      </c>
      <c r="C25">
        <v>1.4997</v>
      </c>
      <c r="D25">
        <f t="shared" si="0"/>
        <v>3.6999999999999922E-2</v>
      </c>
    </row>
    <row r="26" spans="1:4" x14ac:dyDescent="0.25">
      <c r="A26" s="1">
        <v>3</v>
      </c>
      <c r="B26">
        <v>1.5364</v>
      </c>
      <c r="C26">
        <v>1.4997</v>
      </c>
      <c r="D26">
        <f t="shared" si="0"/>
        <v>3.6699999999999955E-2</v>
      </c>
    </row>
    <row r="27" spans="1:4" x14ac:dyDescent="0.25">
      <c r="A27" s="1">
        <v>4</v>
      </c>
      <c r="B27">
        <v>1.5370999999999999</v>
      </c>
      <c r="C27">
        <v>1.4995000000000001</v>
      </c>
      <c r="D27">
        <f t="shared" si="0"/>
        <v>3.7599999999999856E-2</v>
      </c>
    </row>
    <row r="28" spans="1:4" x14ac:dyDescent="0.25">
      <c r="A28" s="1">
        <v>5</v>
      </c>
      <c r="B28">
        <v>1.5364</v>
      </c>
      <c r="C28">
        <v>1.4997</v>
      </c>
      <c r="D28">
        <f t="shared" si="0"/>
        <v>3.6699999999999955E-2</v>
      </c>
    </row>
    <row r="29" spans="1:4" x14ac:dyDescent="0.25">
      <c r="A29" s="1">
        <v>6</v>
      </c>
      <c r="B29">
        <v>1.5354000000000001</v>
      </c>
      <c r="C29">
        <v>1.4996</v>
      </c>
      <c r="D29">
        <f t="shared" si="0"/>
        <v>3.5800000000000054E-2</v>
      </c>
    </row>
    <row r="30" spans="1:4" x14ac:dyDescent="0.25">
      <c r="A30" s="1" t="s">
        <v>7</v>
      </c>
    </row>
    <row r="31" spans="1:4" x14ac:dyDescent="0.25">
      <c r="A31" s="1">
        <v>1</v>
      </c>
      <c r="B31">
        <v>1.5362</v>
      </c>
      <c r="C31">
        <v>1.4995000000000001</v>
      </c>
      <c r="D31">
        <f t="shared" si="0"/>
        <v>3.6699999999999955E-2</v>
      </c>
    </row>
    <row r="32" spans="1:4" x14ac:dyDescent="0.25">
      <c r="A32" s="1">
        <v>2</v>
      </c>
      <c r="B32">
        <v>1.5368999999999999</v>
      </c>
      <c r="C32">
        <v>1.4997</v>
      </c>
      <c r="D32">
        <f t="shared" si="0"/>
        <v>3.71999999999999E-2</v>
      </c>
    </row>
    <row r="33" spans="1:4" x14ac:dyDescent="0.25">
      <c r="A33" s="1">
        <v>3</v>
      </c>
      <c r="B33">
        <v>1.536</v>
      </c>
      <c r="C33">
        <v>1.4998</v>
      </c>
      <c r="D33">
        <f t="shared" si="0"/>
        <v>3.620000000000001E-2</v>
      </c>
    </row>
    <row r="34" spans="1:4" x14ac:dyDescent="0.25">
      <c r="A34" s="1">
        <v>4</v>
      </c>
      <c r="B34">
        <v>1.5358000000000001</v>
      </c>
      <c r="C34">
        <v>1.4998</v>
      </c>
      <c r="D34">
        <f t="shared" si="0"/>
        <v>3.6000000000000032E-2</v>
      </c>
    </row>
    <row r="35" spans="1:4" x14ac:dyDescent="0.25">
      <c r="A35" s="1">
        <v>5</v>
      </c>
      <c r="B35">
        <v>1.5367999999999999</v>
      </c>
      <c r="C35">
        <v>1.4997</v>
      </c>
      <c r="D35">
        <f t="shared" si="0"/>
        <v>3.7099999999999911E-2</v>
      </c>
    </row>
    <row r="36" spans="1:4" x14ac:dyDescent="0.25">
      <c r="A36" s="1" t="s">
        <v>8</v>
      </c>
    </row>
    <row r="37" spans="1:4" x14ac:dyDescent="0.25">
      <c r="A37" s="1">
        <v>1</v>
      </c>
      <c r="B37">
        <v>1.5166999999999999</v>
      </c>
      <c r="C37">
        <v>1.4995000000000001</v>
      </c>
      <c r="D37">
        <f t="shared" si="0"/>
        <v>1.7199999999999882E-2</v>
      </c>
    </row>
    <row r="38" spans="1:4" x14ac:dyDescent="0.25">
      <c r="A38" s="1">
        <v>2</v>
      </c>
      <c r="B38">
        <v>1.5165999999999999</v>
      </c>
      <c r="C38">
        <v>1.4997</v>
      </c>
      <c r="D38">
        <f t="shared" si="0"/>
        <v>1.6899999999999915E-2</v>
      </c>
    </row>
    <row r="39" spans="1:4" x14ac:dyDescent="0.25">
      <c r="A39" s="1">
        <v>3</v>
      </c>
      <c r="B39">
        <v>1.5165</v>
      </c>
      <c r="C39">
        <v>1.4996</v>
      </c>
      <c r="D39">
        <f t="shared" si="0"/>
        <v>1.6899999999999915E-2</v>
      </c>
    </row>
    <row r="40" spans="1:4" x14ac:dyDescent="0.25">
      <c r="A40" s="1">
        <v>4</v>
      </c>
      <c r="B40">
        <v>1.5159</v>
      </c>
      <c r="C40">
        <v>1.4997</v>
      </c>
      <c r="D40">
        <f t="shared" si="0"/>
        <v>1.6199999999999992E-2</v>
      </c>
    </row>
    <row r="41" spans="1:4" x14ac:dyDescent="0.25">
      <c r="A41" s="1">
        <v>5</v>
      </c>
      <c r="B41">
        <v>1.5162</v>
      </c>
      <c r="C41">
        <v>1.4997</v>
      </c>
      <c r="D41">
        <f t="shared" si="0"/>
        <v>1.6499999999999959E-2</v>
      </c>
    </row>
    <row r="42" spans="1:4" x14ac:dyDescent="0.25">
      <c r="A42" s="1">
        <v>6</v>
      </c>
      <c r="B42">
        <v>1.516</v>
      </c>
      <c r="C42">
        <v>1.4997</v>
      </c>
      <c r="D42">
        <f t="shared" si="0"/>
        <v>1.6299999999999981E-2</v>
      </c>
    </row>
    <row r="43" spans="1:4" x14ac:dyDescent="0.25">
      <c r="A43" s="1" t="s">
        <v>10</v>
      </c>
    </row>
    <row r="44" spans="1:4" x14ac:dyDescent="0.25">
      <c r="A44" s="1">
        <v>1</v>
      </c>
      <c r="B44">
        <v>1.5152000000000001</v>
      </c>
      <c r="C44">
        <v>1.4995000000000001</v>
      </c>
      <c r="D44">
        <f t="shared" si="0"/>
        <v>1.5700000000000047E-2</v>
      </c>
    </row>
    <row r="45" spans="1:4" x14ac:dyDescent="0.25">
      <c r="A45" s="1">
        <v>2</v>
      </c>
      <c r="B45">
        <v>1.516</v>
      </c>
      <c r="C45">
        <v>1.4997</v>
      </c>
      <c r="D45">
        <f t="shared" si="0"/>
        <v>1.6299999999999981E-2</v>
      </c>
    </row>
    <row r="46" spans="1:4" x14ac:dyDescent="0.25">
      <c r="A46" s="1">
        <v>3</v>
      </c>
      <c r="B46">
        <v>1.5161</v>
      </c>
      <c r="C46">
        <v>1.4996</v>
      </c>
      <c r="D46">
        <f t="shared" si="0"/>
        <v>1.6499999999999959E-2</v>
      </c>
    </row>
    <row r="47" spans="1:4" x14ac:dyDescent="0.25">
      <c r="A47" s="1">
        <v>4</v>
      </c>
      <c r="B47">
        <v>1.5157</v>
      </c>
      <c r="C47">
        <v>1.4995000000000001</v>
      </c>
      <c r="D47">
        <f t="shared" si="0"/>
        <v>1.6199999999999992E-2</v>
      </c>
    </row>
    <row r="48" spans="1:4" x14ac:dyDescent="0.25">
      <c r="A48" s="1">
        <v>5</v>
      </c>
      <c r="B48">
        <v>1.5157</v>
      </c>
      <c r="C48">
        <v>1.4996</v>
      </c>
      <c r="D48">
        <f t="shared" si="0"/>
        <v>1.6100000000000003E-2</v>
      </c>
    </row>
    <row r="49" spans="1:4" x14ac:dyDescent="0.25">
      <c r="A49" s="1">
        <v>6</v>
      </c>
      <c r="B49">
        <v>1.5161</v>
      </c>
      <c r="C49">
        <v>1.4996</v>
      </c>
      <c r="D49">
        <f t="shared" si="0"/>
        <v>1.6499999999999959E-2</v>
      </c>
    </row>
    <row r="50" spans="1:4" x14ac:dyDescent="0.25">
      <c r="A50" s="1" t="s">
        <v>9</v>
      </c>
    </row>
    <row r="51" spans="1:4" x14ac:dyDescent="0.25">
      <c r="A51" s="1">
        <v>1</v>
      </c>
      <c r="B51">
        <v>1.5249999999999999</v>
      </c>
      <c r="C51">
        <v>1.4995000000000001</v>
      </c>
      <c r="D51">
        <f t="shared" si="0"/>
        <v>2.5499999999999856E-2</v>
      </c>
    </row>
    <row r="52" spans="1:4" x14ac:dyDescent="0.25">
      <c r="A52" s="1">
        <v>2</v>
      </c>
      <c r="B52">
        <v>1.5243</v>
      </c>
      <c r="C52">
        <v>1.4996</v>
      </c>
      <c r="D52">
        <f t="shared" si="0"/>
        <v>2.4699999999999944E-2</v>
      </c>
    </row>
    <row r="53" spans="1:4" x14ac:dyDescent="0.25">
      <c r="A53" s="1">
        <v>3</v>
      </c>
      <c r="B53">
        <v>1.5248999999999999</v>
      </c>
      <c r="C53">
        <v>1.4996</v>
      </c>
      <c r="D53">
        <f t="shared" si="0"/>
        <v>2.5299999999999878E-2</v>
      </c>
    </row>
    <row r="54" spans="1:4" x14ac:dyDescent="0.25">
      <c r="A54" s="1">
        <v>4</v>
      </c>
      <c r="B54">
        <v>1.5256000000000001</v>
      </c>
      <c r="C54">
        <v>1.4996</v>
      </c>
      <c r="D54">
        <f t="shared" si="0"/>
        <v>2.6000000000000023E-2</v>
      </c>
    </row>
    <row r="55" spans="1:4" x14ac:dyDescent="0.25">
      <c r="A55" s="1">
        <v>5</v>
      </c>
      <c r="B55">
        <v>1.5245</v>
      </c>
      <c r="C55">
        <v>1.4996</v>
      </c>
      <c r="D55">
        <f t="shared" si="0"/>
        <v>2.4899999999999922E-2</v>
      </c>
    </row>
    <row r="56" spans="1:4" x14ac:dyDescent="0.25">
      <c r="A56" s="1">
        <v>6</v>
      </c>
      <c r="B56">
        <v>1.5249999999999999</v>
      </c>
      <c r="C56">
        <v>1.4996</v>
      </c>
      <c r="D56">
        <f t="shared" si="0"/>
        <v>2.5399999999999867E-2</v>
      </c>
    </row>
    <row r="57" spans="1:4" x14ac:dyDescent="0.25">
      <c r="A57" s="1">
        <v>7</v>
      </c>
      <c r="B57">
        <v>1.5250999999999999</v>
      </c>
      <c r="C57">
        <v>1.4996</v>
      </c>
      <c r="D57">
        <f t="shared" si="0"/>
        <v>2.5499999999999856E-2</v>
      </c>
    </row>
    <row r="58" spans="1:4" x14ac:dyDescent="0.25">
      <c r="A58" s="1" t="s">
        <v>11</v>
      </c>
    </row>
    <row r="59" spans="1:4" x14ac:dyDescent="0.25">
      <c r="A59" s="1">
        <v>1</v>
      </c>
      <c r="B59">
        <v>1.5234000000000001</v>
      </c>
      <c r="C59">
        <v>1.4994000000000001</v>
      </c>
      <c r="D59">
        <f t="shared" si="0"/>
        <v>2.4000000000000021E-2</v>
      </c>
    </row>
    <row r="60" spans="1:4" x14ac:dyDescent="0.25">
      <c r="A60" s="1">
        <v>2</v>
      </c>
      <c r="B60">
        <v>1.5244</v>
      </c>
      <c r="C60">
        <v>1.4996</v>
      </c>
      <c r="D60">
        <f t="shared" si="0"/>
        <v>2.4799999999999933E-2</v>
      </c>
    </row>
    <row r="61" spans="1:4" x14ac:dyDescent="0.25">
      <c r="A61" s="1">
        <v>3</v>
      </c>
      <c r="B61">
        <v>1.5236000000000001</v>
      </c>
      <c r="C61">
        <v>1.4995000000000001</v>
      </c>
      <c r="D61">
        <f t="shared" si="0"/>
        <v>2.410000000000001E-2</v>
      </c>
    </row>
    <row r="62" spans="1:4" x14ac:dyDescent="0.25">
      <c r="A62" s="1">
        <v>4</v>
      </c>
      <c r="B62">
        <v>1.5237000000000001</v>
      </c>
      <c r="C62">
        <v>1.4997</v>
      </c>
      <c r="D62">
        <f t="shared" si="0"/>
        <v>2.4000000000000021E-2</v>
      </c>
    </row>
    <row r="63" spans="1:4" x14ac:dyDescent="0.25">
      <c r="A63" s="1" t="s">
        <v>12</v>
      </c>
    </row>
    <row r="64" spans="1:4" x14ac:dyDescent="0.25">
      <c r="A64" s="1">
        <v>1</v>
      </c>
      <c r="B64">
        <v>1.5161</v>
      </c>
      <c r="C64">
        <v>1.4994000000000001</v>
      </c>
      <c r="D64">
        <f t="shared" si="0"/>
        <v>1.6699999999999937E-2</v>
      </c>
    </row>
    <row r="65" spans="1:4" x14ac:dyDescent="0.25">
      <c r="A65" s="1">
        <v>2</v>
      </c>
      <c r="B65">
        <v>1.5167999999999999</v>
      </c>
      <c r="C65">
        <v>1.4995000000000001</v>
      </c>
      <c r="D65">
        <f t="shared" si="0"/>
        <v>1.7299999999999871E-2</v>
      </c>
    </row>
    <row r="66" spans="1:4" x14ac:dyDescent="0.25">
      <c r="A66" s="1">
        <v>3</v>
      </c>
      <c r="B66">
        <v>1.5162</v>
      </c>
      <c r="C66">
        <v>1.4996</v>
      </c>
      <c r="D66">
        <f t="shared" si="0"/>
        <v>1.6599999999999948E-2</v>
      </c>
    </row>
    <row r="67" spans="1:4" x14ac:dyDescent="0.25">
      <c r="A67" s="1">
        <v>4</v>
      </c>
      <c r="B67">
        <v>1.5166999999999999</v>
      </c>
      <c r="C67">
        <v>1.4996</v>
      </c>
      <c r="D67">
        <f t="shared" ref="D67:D68" si="1">B67-C67</f>
        <v>1.7099999999999893E-2</v>
      </c>
    </row>
    <row r="68" spans="1:4" x14ac:dyDescent="0.25">
      <c r="A68" s="1">
        <v>5</v>
      </c>
      <c r="B68">
        <v>1.5158</v>
      </c>
      <c r="C68">
        <v>1.4997</v>
      </c>
      <c r="D68">
        <f t="shared" si="1"/>
        <v>1.6100000000000003E-2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"/>
  <sheetViews>
    <sheetView tabSelected="1" topLeftCell="M1" zoomScale="110" zoomScaleNormal="110" workbookViewId="0">
      <selection activeCell="AC29" sqref="AC29"/>
    </sheetView>
  </sheetViews>
  <sheetFormatPr defaultRowHeight="15" x14ac:dyDescent="0.25"/>
  <cols>
    <col min="1" max="1" width="8.28515625" style="1" bestFit="1" customWidth="1"/>
    <col min="2" max="2" width="18.85546875" style="2" bestFit="1" customWidth="1"/>
    <col min="3" max="3" width="9.7109375" customWidth="1"/>
    <col min="22" max="22" width="10.7109375" bestFit="1" customWidth="1"/>
  </cols>
  <sheetData>
    <row r="1" spans="1:40" s="2" customFormat="1" x14ac:dyDescent="0.25">
      <c r="A1" s="2" t="s">
        <v>36</v>
      </c>
      <c r="B1" s="2" t="s">
        <v>27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P1" s="2" t="s">
        <v>13</v>
      </c>
      <c r="Q1" s="2" t="s">
        <v>15</v>
      </c>
      <c r="R1" s="2" t="s">
        <v>30</v>
      </c>
      <c r="S1" s="2" t="s">
        <v>19</v>
      </c>
      <c r="T1" s="2" t="s">
        <v>21</v>
      </c>
      <c r="W1" s="2" t="s">
        <v>14</v>
      </c>
      <c r="X1" s="2" t="s">
        <v>16</v>
      </c>
      <c r="Y1" s="2" t="s">
        <v>29</v>
      </c>
      <c r="Z1" s="2" t="s">
        <v>20</v>
      </c>
      <c r="AA1" s="2" t="s">
        <v>22</v>
      </c>
      <c r="AE1" s="2" t="s">
        <v>13</v>
      </c>
      <c r="AF1" s="2" t="s">
        <v>15</v>
      </c>
      <c r="AG1" s="2" t="s">
        <v>30</v>
      </c>
      <c r="AH1" s="2" t="s">
        <v>19</v>
      </c>
      <c r="AI1" s="2" t="s">
        <v>21</v>
      </c>
      <c r="AJ1" s="2" t="s">
        <v>14</v>
      </c>
      <c r="AK1" s="2" t="s">
        <v>16</v>
      </c>
      <c r="AL1" s="2" t="s">
        <v>29</v>
      </c>
      <c r="AM1" s="2" t="s">
        <v>20</v>
      </c>
      <c r="AN1" s="2" t="s">
        <v>22</v>
      </c>
    </row>
    <row r="2" spans="1:40" x14ac:dyDescent="0.25">
      <c r="A2" s="2">
        <v>1</v>
      </c>
      <c r="B2" s="3">
        <v>41487</v>
      </c>
      <c r="C2">
        <v>3.6699999999999955E-2</v>
      </c>
      <c r="D2">
        <v>2.4000000000000021E-2</v>
      </c>
      <c r="E2">
        <v>3.6799999999999944E-2</v>
      </c>
      <c r="F2">
        <v>2.5499999999999856E-2</v>
      </c>
      <c r="G2">
        <v>2.6999999999999913E-2</v>
      </c>
      <c r="H2">
        <v>1.6699999999999937E-2</v>
      </c>
      <c r="I2">
        <v>2.729999999999988E-2</v>
      </c>
      <c r="J2">
        <v>1.5700000000000047E-2</v>
      </c>
      <c r="K2">
        <v>2.729999999999988E-2</v>
      </c>
      <c r="L2">
        <v>1.7199999999999882E-2</v>
      </c>
      <c r="P2" s="2">
        <v>1.8320000000000001</v>
      </c>
      <c r="Q2" s="2">
        <v>1.8380000000000001</v>
      </c>
      <c r="R2" s="2">
        <v>1.357</v>
      </c>
      <c r="S2" s="2">
        <v>1.298</v>
      </c>
      <c r="T2" s="2">
        <v>1.36</v>
      </c>
      <c r="U2" s="2"/>
      <c r="V2" s="2"/>
      <c r="W2" s="2">
        <v>1.2110000000000001</v>
      </c>
      <c r="X2" s="2">
        <v>1.266</v>
      </c>
      <c r="Y2" s="2">
        <v>0.83799999999999997</v>
      </c>
      <c r="Z2" s="2">
        <v>0.81100000000000005</v>
      </c>
      <c r="AA2" s="2">
        <v>0.83699999999999997</v>
      </c>
      <c r="AE2" s="2">
        <v>1.8320000000000001</v>
      </c>
      <c r="AF2" s="2">
        <v>1.8380000000000001</v>
      </c>
      <c r="AG2" s="2">
        <v>1.357</v>
      </c>
      <c r="AH2" s="2">
        <v>1.298</v>
      </c>
      <c r="AI2" s="2">
        <v>1.36</v>
      </c>
      <c r="AJ2" s="2">
        <v>1.2110000000000001</v>
      </c>
      <c r="AK2" s="2">
        <v>1.266</v>
      </c>
      <c r="AL2" s="2">
        <v>0.83799999999999997</v>
      </c>
      <c r="AM2" s="2">
        <v>0.81100000000000005</v>
      </c>
      <c r="AN2" s="2">
        <v>0.83699999999999997</v>
      </c>
    </row>
    <row r="3" spans="1:40" x14ac:dyDescent="0.25">
      <c r="A3" s="2">
        <v>2</v>
      </c>
      <c r="B3" s="3">
        <v>41487</v>
      </c>
      <c r="C3">
        <v>3.71999999999999E-2</v>
      </c>
      <c r="D3">
        <v>2.4799999999999933E-2</v>
      </c>
      <c r="E3">
        <v>3.6999999999999922E-2</v>
      </c>
      <c r="F3">
        <v>2.4699999999999944E-2</v>
      </c>
      <c r="G3">
        <v>2.7499999999999858E-2</v>
      </c>
      <c r="H3">
        <v>1.7299999999999871E-2</v>
      </c>
      <c r="I3">
        <v>2.629999999999999E-2</v>
      </c>
      <c r="J3">
        <v>1.6299999999999981E-2</v>
      </c>
      <c r="K3">
        <v>2.6699999999999946E-2</v>
      </c>
      <c r="L3">
        <v>1.6899999999999915E-2</v>
      </c>
    </row>
    <row r="4" spans="1:40" x14ac:dyDescent="0.25">
      <c r="A4" s="2">
        <v>3</v>
      </c>
      <c r="B4" s="3">
        <v>41487</v>
      </c>
      <c r="C4">
        <v>3.620000000000001E-2</v>
      </c>
      <c r="D4">
        <v>2.410000000000001E-2</v>
      </c>
      <c r="E4">
        <v>3.6699999999999955E-2</v>
      </c>
      <c r="F4">
        <v>2.5299999999999878E-2</v>
      </c>
      <c r="G4">
        <v>2.6999999999999913E-2</v>
      </c>
      <c r="H4">
        <v>1.6599999999999948E-2</v>
      </c>
      <c r="I4">
        <v>2.6000000000000023E-2</v>
      </c>
      <c r="J4">
        <v>1.6499999999999959E-2</v>
      </c>
      <c r="K4">
        <v>2.7199999999999891E-2</v>
      </c>
      <c r="L4">
        <v>1.6899999999999915E-2</v>
      </c>
    </row>
    <row r="5" spans="1:40" x14ac:dyDescent="0.25">
      <c r="A5" s="2">
        <v>4</v>
      </c>
      <c r="B5" s="3">
        <v>41487</v>
      </c>
      <c r="C5">
        <v>3.6000000000000032E-2</v>
      </c>
      <c r="D5">
        <v>2.4000000000000021E-2</v>
      </c>
      <c r="E5">
        <v>3.7599999999999856E-2</v>
      </c>
      <c r="F5">
        <v>2.6000000000000023E-2</v>
      </c>
      <c r="G5">
        <v>2.7900000000000036E-2</v>
      </c>
      <c r="H5">
        <v>1.7099999999999893E-2</v>
      </c>
      <c r="I5">
        <v>2.5800000000000045E-2</v>
      </c>
      <c r="J5">
        <v>1.6199999999999992E-2</v>
      </c>
      <c r="K5">
        <v>2.6699999999999946E-2</v>
      </c>
      <c r="L5">
        <v>1.6199999999999992E-2</v>
      </c>
    </row>
    <row r="6" spans="1:40" x14ac:dyDescent="0.25">
      <c r="A6" s="2">
        <v>5</v>
      </c>
      <c r="B6" s="3">
        <v>41487</v>
      </c>
      <c r="C6">
        <v>3.7099999999999911E-2</v>
      </c>
      <c r="E6">
        <v>3.6699999999999955E-2</v>
      </c>
      <c r="F6">
        <v>2.4899999999999922E-2</v>
      </c>
      <c r="G6">
        <v>2.6399999999999979E-2</v>
      </c>
      <c r="H6">
        <v>1.6100000000000003E-2</v>
      </c>
      <c r="I6">
        <v>2.6200000000000001E-2</v>
      </c>
      <c r="J6">
        <v>1.6100000000000003E-2</v>
      </c>
      <c r="K6">
        <v>2.7900000000000036E-2</v>
      </c>
      <c r="L6">
        <v>1.6499999999999959E-2</v>
      </c>
    </row>
    <row r="7" spans="1:40" x14ac:dyDescent="0.25">
      <c r="A7" s="2">
        <v>6</v>
      </c>
      <c r="B7" s="3">
        <v>41487</v>
      </c>
      <c r="E7">
        <v>3.5800000000000054E-2</v>
      </c>
      <c r="F7">
        <v>2.5399999999999867E-2</v>
      </c>
      <c r="G7">
        <v>2.6999999999999913E-2</v>
      </c>
      <c r="I7">
        <v>2.50999999999999E-2</v>
      </c>
      <c r="J7">
        <v>1.6499999999999959E-2</v>
      </c>
      <c r="K7">
        <v>2.7399999999999869E-2</v>
      </c>
      <c r="L7">
        <v>1.6299999999999981E-2</v>
      </c>
    </row>
    <row r="8" spans="1:40" x14ac:dyDescent="0.25">
      <c r="A8" s="2">
        <v>7</v>
      </c>
      <c r="B8" s="3">
        <v>41487</v>
      </c>
      <c r="F8">
        <v>2.5499999999999856E-2</v>
      </c>
      <c r="I8">
        <v>2.4999999999999911E-2</v>
      </c>
    </row>
    <row r="11" spans="1:40" x14ac:dyDescent="0.25">
      <c r="B11" s="2" t="s">
        <v>28</v>
      </c>
      <c r="C11">
        <f>AVERAGE(C2:C6)</f>
        <v>3.6639999999999964E-2</v>
      </c>
      <c r="D11">
        <f>AVERAGE(D2:D5)</f>
        <v>2.4224999999999997E-2</v>
      </c>
      <c r="E11">
        <f>AVERAGE(E2:E7)</f>
        <v>3.6766666666666614E-2</v>
      </c>
      <c r="F11">
        <f>AVERAGE(F2:F8)</f>
        <v>2.5328571428571336E-2</v>
      </c>
      <c r="G11">
        <f>AVERAGE(G2:G7)</f>
        <v>2.713333333333327E-2</v>
      </c>
      <c r="H11">
        <f>AVERAGE(H2:H6)</f>
        <v>1.6759999999999931E-2</v>
      </c>
      <c r="I11">
        <f>AVERAGE(I2:I8)</f>
        <v>2.5957142857142821E-2</v>
      </c>
      <c r="J11">
        <f>AVERAGE(J2:J7)</f>
        <v>1.6216666666666657E-2</v>
      </c>
      <c r="K11">
        <f>AVERAGE(K2:K7)</f>
        <v>2.7199999999999929E-2</v>
      </c>
      <c r="L11">
        <f>AVERAGE(L2:L6)</f>
        <v>1.6739999999999932E-2</v>
      </c>
    </row>
    <row r="12" spans="1:40" x14ac:dyDescent="0.25">
      <c r="B12" s="2" t="s">
        <v>24</v>
      </c>
    </row>
    <row r="13" spans="1:40" x14ac:dyDescent="0.25">
      <c r="B13" s="2" t="s">
        <v>25</v>
      </c>
      <c r="C13">
        <v>5</v>
      </c>
      <c r="D13">
        <v>4</v>
      </c>
      <c r="E13">
        <v>6</v>
      </c>
      <c r="F13">
        <v>7</v>
      </c>
      <c r="G13">
        <v>6</v>
      </c>
      <c r="H13">
        <v>5</v>
      </c>
      <c r="I13">
        <v>7</v>
      </c>
      <c r="J13">
        <v>6</v>
      </c>
      <c r="K13">
        <v>6</v>
      </c>
      <c r="L13">
        <v>6</v>
      </c>
    </row>
    <row r="15" spans="1:40" x14ac:dyDescent="0.25">
      <c r="B15" s="2" t="s">
        <v>26</v>
      </c>
      <c r="C15">
        <v>1.8320000000000001E-3</v>
      </c>
      <c r="D15">
        <v>1.2112E-3</v>
      </c>
      <c r="E15">
        <v>1.8383E-3</v>
      </c>
      <c r="F15">
        <v>1.2664E-3</v>
      </c>
      <c r="G15">
        <v>1.3565999999999999E-3</v>
      </c>
      <c r="H15">
        <v>8.3799999999999999E-4</v>
      </c>
      <c r="I15">
        <v>1.2978E-3</v>
      </c>
      <c r="J15">
        <v>8.1079999999999998E-4</v>
      </c>
      <c r="K15">
        <v>1.3600000000000001E-3</v>
      </c>
      <c r="L15">
        <v>8.3699999999999996E-4</v>
      </c>
    </row>
    <row r="21" spans="1:27" x14ac:dyDescent="0.25">
      <c r="J21" t="s">
        <v>23</v>
      </c>
    </row>
    <row r="22" spans="1:27" x14ac:dyDescent="0.25">
      <c r="Q22" s="5"/>
      <c r="R22" s="1"/>
      <c r="S22" s="1"/>
      <c r="T22" s="7"/>
    </row>
    <row r="23" spans="1:27" x14ac:dyDescent="0.25">
      <c r="Q23" s="4"/>
      <c r="R23" s="1"/>
      <c r="S23" s="1"/>
      <c r="T23" s="7"/>
    </row>
    <row r="25" spans="1:27" s="10" customFormat="1" x14ac:dyDescent="0.25">
      <c r="A25" s="8"/>
      <c r="B25" s="9"/>
      <c r="U25" s="13"/>
      <c r="V25" s="14" t="s">
        <v>31</v>
      </c>
      <c r="W25" s="15" t="s">
        <v>32</v>
      </c>
      <c r="X25" s="15" t="s">
        <v>37</v>
      </c>
      <c r="Y25" s="12" t="s">
        <v>35</v>
      </c>
    </row>
    <row r="26" spans="1:27" s="10" customFormat="1" x14ac:dyDescent="0.25">
      <c r="A26" s="8"/>
      <c r="B26" s="9"/>
      <c r="U26" s="16" t="s">
        <v>33</v>
      </c>
      <c r="V26" s="11">
        <v>1.835</v>
      </c>
      <c r="W26" s="11">
        <v>1.3380000000000001</v>
      </c>
      <c r="X26" s="11">
        <v>37.1</v>
      </c>
    </row>
    <row r="27" spans="1:27" s="10" customFormat="1" x14ac:dyDescent="0.25">
      <c r="A27" s="8"/>
      <c r="B27" s="9"/>
      <c r="U27" s="16" t="s">
        <v>34</v>
      </c>
      <c r="V27" s="11">
        <v>1.2390000000000001</v>
      </c>
      <c r="W27" s="11">
        <v>0.82899999999999996</v>
      </c>
      <c r="X27" s="11">
        <v>49.5</v>
      </c>
    </row>
    <row r="29" spans="1:27" x14ac:dyDescent="0.25">
      <c r="AA29" s="10"/>
    </row>
    <row r="32" spans="1:27" x14ac:dyDescent="0.25">
      <c r="W32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Southern Maine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dcterms:created xsi:type="dcterms:W3CDTF">2014-06-27T19:13:54Z</dcterms:created>
  <dcterms:modified xsi:type="dcterms:W3CDTF">2020-06-29T21:06:35Z</dcterms:modified>
</cp:coreProperties>
</file>
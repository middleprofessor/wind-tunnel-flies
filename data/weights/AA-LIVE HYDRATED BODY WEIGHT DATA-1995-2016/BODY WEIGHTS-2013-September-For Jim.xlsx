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AA-RESEARCH-KenWeber8\WT New Data\BODY WEIGHTS\AA-LIVE HYDRATED BODY WEIGHT DATA-1995-2016\"/>
    </mc:Choice>
  </mc:AlternateContent>
  <bookViews>
    <workbookView xWindow="120" yWindow="45" windowWidth="18195" windowHeight="11280"/>
  </bookViews>
  <sheets>
    <sheet name="Data Set" sheetId="1" r:id="rId1"/>
    <sheet name="Data Summary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O23" i="1" l="1"/>
  <c r="K17" i="1"/>
  <c r="K18" i="1"/>
  <c r="K19" i="1"/>
  <c r="K20" i="1"/>
  <c r="K24" i="1"/>
  <c r="D9" i="2"/>
  <c r="K21" i="1"/>
  <c r="K22" i="1"/>
  <c r="O17" i="1"/>
  <c r="O25" i="1"/>
  <c r="D10" i="2"/>
  <c r="O18" i="1"/>
  <c r="O19" i="1"/>
  <c r="O20" i="1"/>
  <c r="O21" i="1"/>
  <c r="O22" i="1"/>
  <c r="G17" i="1"/>
  <c r="G23" i="1"/>
  <c r="C8" i="2"/>
  <c r="G18" i="1"/>
  <c r="G19" i="1"/>
  <c r="G20" i="1"/>
  <c r="G21" i="1"/>
  <c r="G22" i="1"/>
  <c r="C17" i="1"/>
  <c r="C18" i="1"/>
  <c r="C19" i="1"/>
  <c r="C20" i="1"/>
  <c r="C21" i="1"/>
  <c r="C23" i="1"/>
  <c r="D7" i="2"/>
  <c r="S17" i="1"/>
  <c r="S18" i="1"/>
  <c r="S19" i="1"/>
  <c r="S22" i="1"/>
  <c r="D11" i="2"/>
  <c r="S20" i="1"/>
  <c r="C22" i="1"/>
  <c r="C7" i="2"/>
  <c r="K10" i="1"/>
  <c r="S4" i="1"/>
  <c r="S9" i="1"/>
  <c r="C6" i="2"/>
  <c r="S5" i="1"/>
  <c r="S6" i="1"/>
  <c r="S7" i="1"/>
  <c r="S8" i="1"/>
  <c r="S10" i="1"/>
  <c r="D6" i="2"/>
  <c r="O4" i="1"/>
  <c r="O5" i="1"/>
  <c r="O10" i="1"/>
  <c r="C5" i="2"/>
  <c r="O6" i="1"/>
  <c r="O7" i="1"/>
  <c r="O8" i="1"/>
  <c r="O9" i="1"/>
  <c r="O11" i="1"/>
  <c r="D5" i="2"/>
  <c r="K4" i="1"/>
  <c r="K5" i="1"/>
  <c r="K11" i="1"/>
  <c r="C4" i="2"/>
  <c r="K6" i="1"/>
  <c r="K7" i="1"/>
  <c r="K8" i="1"/>
  <c r="K9" i="1"/>
  <c r="K12" i="1"/>
  <c r="D4" i="2"/>
  <c r="G4" i="1"/>
  <c r="G5" i="1"/>
  <c r="G10" i="1"/>
  <c r="C3" i="2"/>
  <c r="G6" i="1"/>
  <c r="G7" i="1"/>
  <c r="G8" i="1"/>
  <c r="G9" i="1"/>
  <c r="G11" i="1"/>
  <c r="D3" i="2"/>
  <c r="C4" i="1"/>
  <c r="C5" i="1"/>
  <c r="C10" i="1"/>
  <c r="C2" i="2"/>
  <c r="C6" i="1"/>
  <c r="C7" i="1"/>
  <c r="C8" i="1"/>
  <c r="C9" i="1"/>
  <c r="C11" i="1"/>
  <c r="D2" i="2"/>
  <c r="K23" i="1"/>
  <c r="C9" i="2"/>
  <c r="O24" i="1"/>
  <c r="C10" i="2"/>
  <c r="G24" i="1"/>
  <c r="D8" i="2"/>
  <c r="S21" i="1"/>
  <c r="C11" i="2"/>
</calcChain>
</file>

<file path=xl/sharedStrings.xml><?xml version="1.0" encoding="utf-8"?>
<sst xmlns="http://schemas.openxmlformats.org/spreadsheetml/2006/main" count="114" uniqueCount="18">
  <si>
    <t>Strain</t>
  </si>
  <si>
    <t>AL45</t>
  </si>
  <si>
    <t>Gender</t>
  </si>
  <si>
    <t>Female</t>
  </si>
  <si>
    <t>Tare WT</t>
  </si>
  <si>
    <t>WT 20 Fly</t>
  </si>
  <si>
    <t>actual wt</t>
  </si>
  <si>
    <t>Average</t>
  </si>
  <si>
    <t>ST Dev</t>
  </si>
  <si>
    <t xml:space="preserve">AL 45 </t>
  </si>
  <si>
    <t xml:space="preserve">Female </t>
  </si>
  <si>
    <t>Sex</t>
  </si>
  <si>
    <t>St Dev</t>
  </si>
  <si>
    <t>N60</t>
  </si>
  <si>
    <t>K45</t>
  </si>
  <si>
    <t>AA2</t>
  </si>
  <si>
    <t>AA1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</si>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</sst>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0.0000"/>
  </numFmts>
  <fonts count="2" x14ac:knownFonts="1">
    <font>
      <sz val="10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tabSelected="1" workbookViewId="0">
      <selection activeCell="D30" sqref="D30"/>
    </sheetView>
  </sheetViews>
  <sheetFormatPr defaultRowHeight="12.75" x14ac:dyDescent="0.2"/>
  <sheetData>
    <row r="1" spans="1:19" x14ac:dyDescent="0.2">
      <c r="A1" t="s">
        <v>0</v>
      </c>
      <c r="B1" t="s">
        <v>1</v>
      </c>
      <c r="E1" t="s">
        <v>0</v>
      </c>
      <c r="F1" t="s">
        <v>13</v>
      </c>
      <c r="I1" t="s">
        <v>0</v>
      </c>
      <c r="J1" t="s">
        <v>14</v>
      </c>
      <c r="M1" t="s">
        <v>0</v>
      </c>
      <c r="N1" t="s">
        <v>15</v>
      </c>
      <c r="Q1" t="s">
        <v>0</v>
      </c>
      <c r="R1" t="s">
        <v>16</v>
      </c>
    </row>
    <row r="2" spans="1:19" x14ac:dyDescent="0.2">
      <c r="A2" t="s">
        <v>2</v>
      </c>
      <c r="B2" t="s">
        <v>3</v>
      </c>
      <c r="E2" t="s">
        <v>2</v>
      </c>
      <c r="F2" t="s">
        <v>3</v>
      </c>
      <c r="I2" t="s">
        <v>2</v>
      </c>
      <c r="J2" t="s">
        <v>3</v>
      </c>
      <c r="M2" t="s">
        <v>2</v>
      </c>
      <c r="N2" t="s">
        <v>3</v>
      </c>
      <c r="Q2" t="s">
        <v>2</v>
      </c>
      <c r="R2" t="s">
        <v>3</v>
      </c>
    </row>
    <row r="3" spans="1:19" x14ac:dyDescent="0.2">
      <c r="A3" t="s">
        <v>4</v>
      </c>
      <c r="B3" t="s">
        <v>5</v>
      </c>
      <c r="C3" t="s">
        <v>6</v>
      </c>
      <c r="E3" t="s">
        <v>4</v>
      </c>
      <c r="F3" t="s">
        <v>5</v>
      </c>
      <c r="G3" t="s">
        <v>6</v>
      </c>
      <c r="I3" t="s">
        <v>4</v>
      </c>
      <c r="J3" t="s">
        <v>5</v>
      </c>
      <c r="K3" t="s">
        <v>6</v>
      </c>
      <c r="M3" t="s">
        <v>4</v>
      </c>
      <c r="N3" t="s">
        <v>5</v>
      </c>
      <c r="O3" t="s">
        <v>6</v>
      </c>
      <c r="Q3" t="s">
        <v>4</v>
      </c>
      <c r="R3" t="s">
        <v>5</v>
      </c>
      <c r="S3" t="s">
        <v>6</v>
      </c>
    </row>
    <row r="4" spans="1:19" x14ac:dyDescent="0.2">
      <c r="A4" s="1">
        <v>1.4993000000000001</v>
      </c>
      <c r="B4" s="1">
        <v>1.5263</v>
      </c>
      <c r="C4" s="1">
        <f t="shared" ref="C4:C9" si="0">SUM(B4-A4)</f>
        <v>2.6999999999999913E-2</v>
      </c>
      <c r="E4" s="1">
        <v>1.4995000000000001</v>
      </c>
      <c r="F4" s="1">
        <v>1.5267999999999999</v>
      </c>
      <c r="G4" s="1">
        <f t="shared" ref="G4:G9" si="1">SUM(F4-E4)</f>
        <v>2.729999999999988E-2</v>
      </c>
      <c r="I4" s="1">
        <v>1.4995000000000001</v>
      </c>
      <c r="J4" s="1">
        <v>1.5267999999999999</v>
      </c>
      <c r="K4" s="1">
        <f>SUM(J4-I4)</f>
        <v>2.729999999999988E-2</v>
      </c>
      <c r="M4" s="1">
        <v>1.4995000000000001</v>
      </c>
      <c r="N4" s="1">
        <v>1.5363</v>
      </c>
      <c r="O4" s="1">
        <f t="shared" ref="O4:O9" si="2">SUM(N4-M4)</f>
        <v>3.6799999999999944E-2</v>
      </c>
      <c r="Q4" s="1">
        <v>1.4995000000000001</v>
      </c>
      <c r="R4" s="1">
        <v>1.5362</v>
      </c>
      <c r="S4" s="1">
        <f>SUM(R4-Q4)</f>
        <v>3.6699999999999955E-2</v>
      </c>
    </row>
    <row r="5" spans="1:19" x14ac:dyDescent="0.2">
      <c r="A5" s="1">
        <v>1.4995000000000001</v>
      </c>
      <c r="B5" s="1">
        <v>1.5269999999999999</v>
      </c>
      <c r="C5" s="1">
        <f t="shared" si="0"/>
        <v>2.7499999999999858E-2</v>
      </c>
      <c r="E5" s="1">
        <v>1.4996</v>
      </c>
      <c r="F5" s="1">
        <v>1.5263</v>
      </c>
      <c r="G5" s="1">
        <f t="shared" si="1"/>
        <v>2.6699999999999946E-2</v>
      </c>
      <c r="I5" s="1">
        <v>1.4997</v>
      </c>
      <c r="J5" s="1">
        <v>1.526</v>
      </c>
      <c r="K5" s="1">
        <f t="shared" ref="K5:K10" si="3">SUM(J5-I5)</f>
        <v>2.629999999999999E-2</v>
      </c>
      <c r="M5" s="1">
        <v>1.4997</v>
      </c>
      <c r="N5" s="1">
        <v>1.5367</v>
      </c>
      <c r="O5" s="1">
        <f t="shared" si="2"/>
        <v>3.6999999999999922E-2</v>
      </c>
      <c r="Q5" s="1">
        <v>1.4997</v>
      </c>
      <c r="R5" s="1">
        <v>1.5368999999999999</v>
      </c>
      <c r="S5" s="1">
        <f>SUM(R5-Q5)</f>
        <v>3.71999999999999E-2</v>
      </c>
    </row>
    <row r="6" spans="1:19" x14ac:dyDescent="0.2">
      <c r="A6" s="1">
        <v>1.4994000000000001</v>
      </c>
      <c r="B6" s="1">
        <v>1.5264</v>
      </c>
      <c r="C6" s="1">
        <f t="shared" si="0"/>
        <v>2.6999999999999913E-2</v>
      </c>
      <c r="E6" s="1">
        <v>1.4996</v>
      </c>
      <c r="F6" s="1">
        <v>1.5267999999999999</v>
      </c>
      <c r="G6" s="1">
        <f t="shared" si="1"/>
        <v>2.7199999999999891E-2</v>
      </c>
      <c r="I6" s="1">
        <v>1.4996</v>
      </c>
      <c r="J6" s="1">
        <v>1.5256000000000001</v>
      </c>
      <c r="K6" s="1">
        <f t="shared" si="3"/>
        <v>2.6000000000000023E-2</v>
      </c>
      <c r="M6" s="1">
        <v>1.4997</v>
      </c>
      <c r="N6" s="1">
        <v>1.5364</v>
      </c>
      <c r="O6" s="1">
        <f t="shared" si="2"/>
        <v>3.6699999999999955E-2</v>
      </c>
      <c r="Q6" s="1">
        <v>1.4998</v>
      </c>
      <c r="R6" s="1">
        <v>1.536</v>
      </c>
      <c r="S6" s="1">
        <f>SUM(R6-Q6)</f>
        <v>3.620000000000001E-2</v>
      </c>
    </row>
    <row r="7" spans="1:19" x14ac:dyDescent="0.2">
      <c r="A7" s="1">
        <v>1.4995000000000001</v>
      </c>
      <c r="B7" s="1">
        <v>1.5274000000000001</v>
      </c>
      <c r="C7" s="1">
        <f t="shared" si="0"/>
        <v>2.7900000000000036E-2</v>
      </c>
      <c r="E7" s="1">
        <v>1.4996</v>
      </c>
      <c r="F7" s="1">
        <v>1.5263</v>
      </c>
      <c r="G7" s="1">
        <f t="shared" si="1"/>
        <v>2.6699999999999946E-2</v>
      </c>
      <c r="I7" s="1">
        <v>1.4996</v>
      </c>
      <c r="J7" s="1">
        <v>1.5254000000000001</v>
      </c>
      <c r="K7" s="1">
        <f t="shared" si="3"/>
        <v>2.5800000000000045E-2</v>
      </c>
      <c r="M7" s="1">
        <v>1.4995000000000001</v>
      </c>
      <c r="N7" s="1">
        <v>1.5370999999999999</v>
      </c>
      <c r="O7" s="1">
        <f t="shared" si="2"/>
        <v>3.7599999999999856E-2</v>
      </c>
      <c r="Q7" s="1">
        <v>1.4998</v>
      </c>
      <c r="R7" s="1">
        <v>1.5358000000000001</v>
      </c>
      <c r="S7" s="1">
        <f>SUM(R7-Q7)</f>
        <v>3.6000000000000032E-2</v>
      </c>
    </row>
    <row r="8" spans="1:19" x14ac:dyDescent="0.2">
      <c r="A8" s="1">
        <v>1.4997</v>
      </c>
      <c r="B8" s="1">
        <v>1.5261</v>
      </c>
      <c r="C8" s="1">
        <f t="shared" si="0"/>
        <v>2.6399999999999979E-2</v>
      </c>
      <c r="E8" s="1">
        <v>1.4996</v>
      </c>
      <c r="F8" s="1">
        <v>1.5275000000000001</v>
      </c>
      <c r="G8" s="1">
        <f t="shared" si="1"/>
        <v>2.7900000000000036E-2</v>
      </c>
      <c r="I8" s="1">
        <v>1.4998</v>
      </c>
      <c r="J8" s="1">
        <v>1.526</v>
      </c>
      <c r="K8" s="1">
        <f t="shared" si="3"/>
        <v>2.6200000000000001E-2</v>
      </c>
      <c r="M8" s="1">
        <v>1.4997</v>
      </c>
      <c r="N8" s="1">
        <v>1.5364</v>
      </c>
      <c r="O8" s="1">
        <f t="shared" si="2"/>
        <v>3.6699999999999955E-2</v>
      </c>
      <c r="Q8" s="1">
        <v>1.4997</v>
      </c>
      <c r="R8" s="1">
        <v>1.5367999999999999</v>
      </c>
      <c r="S8" s="1">
        <f>SUM(R8-Q8)</f>
        <v>3.7099999999999911E-2</v>
      </c>
    </row>
    <row r="9" spans="1:19" x14ac:dyDescent="0.2">
      <c r="A9" s="1">
        <v>1.4995000000000001</v>
      </c>
      <c r="B9" s="1">
        <v>1.5265</v>
      </c>
      <c r="C9" s="1">
        <f t="shared" si="0"/>
        <v>2.6999999999999913E-2</v>
      </c>
      <c r="E9" s="1">
        <v>1.4998</v>
      </c>
      <c r="F9" s="1">
        <v>1.5271999999999999</v>
      </c>
      <c r="G9" s="1">
        <f t="shared" si="1"/>
        <v>2.7399999999999869E-2</v>
      </c>
      <c r="I9" s="1">
        <v>1.4997</v>
      </c>
      <c r="J9" s="1">
        <v>1.5247999999999999</v>
      </c>
      <c r="K9" s="1">
        <f t="shared" si="3"/>
        <v>2.50999999999999E-2</v>
      </c>
      <c r="M9" s="1">
        <v>1.4996</v>
      </c>
      <c r="N9" s="1">
        <v>1.5354000000000001</v>
      </c>
      <c r="O9" s="1">
        <f t="shared" si="2"/>
        <v>3.5800000000000054E-2</v>
      </c>
      <c r="R9" t="s">
        <v>7</v>
      </c>
      <c r="S9" s="1">
        <f>AVERAGE(S4:S8)</f>
        <v>3.6639999999999964E-2</v>
      </c>
    </row>
    <row r="10" spans="1:19" x14ac:dyDescent="0.2">
      <c r="B10" t="s">
        <v>7</v>
      </c>
      <c r="C10" s="1">
        <f>AVERAGE(C4:C9)</f>
        <v>2.713333333333327E-2</v>
      </c>
      <c r="F10" t="s">
        <v>7</v>
      </c>
      <c r="G10" s="1">
        <f>AVERAGE(G4:G9)</f>
        <v>2.7199999999999929E-2</v>
      </c>
      <c r="I10" s="1">
        <v>1.4997</v>
      </c>
      <c r="J10" s="1">
        <v>1.5246999999999999</v>
      </c>
      <c r="K10" s="1">
        <f t="shared" si="3"/>
        <v>2.4999999999999911E-2</v>
      </c>
      <c r="N10" t="s">
        <v>7</v>
      </c>
      <c r="O10" s="1">
        <f>AVERAGE(O4:O9)</f>
        <v>3.6766666666666614E-2</v>
      </c>
      <c r="R10" t="s">
        <v>8</v>
      </c>
      <c r="S10" s="1">
        <f>STDEV(S4:S8)</f>
        <v>5.3197744313075691E-4</v>
      </c>
    </row>
    <row r="11" spans="1:19" x14ac:dyDescent="0.2">
      <c r="B11" t="s">
        <v>8</v>
      </c>
      <c r="C11" s="1">
        <f>STDEV(C4:C9)</f>
        <v>5.1251016250087851E-4</v>
      </c>
      <c r="F11" t="s">
        <v>8</v>
      </c>
      <c r="G11" s="1">
        <f>STDEV(G4:G9)</f>
        <v>4.5607017003967309E-4</v>
      </c>
      <c r="J11" t="s">
        <v>7</v>
      </c>
      <c r="K11" s="1">
        <f>AVERAGE(K4:K9)</f>
        <v>2.6116666666666639E-2</v>
      </c>
      <c r="N11" t="s">
        <v>8</v>
      </c>
      <c r="O11" s="1">
        <f>STDEV(O4:O9)</f>
        <v>5.819507424744744E-4</v>
      </c>
    </row>
    <row r="12" spans="1:19" x14ac:dyDescent="0.2">
      <c r="J12" t="s">
        <v>8</v>
      </c>
      <c r="K12" s="1">
        <f>STDEV(K4:K9)</f>
        <v>7.1949056051253584E-4</v>
      </c>
    </row>
    <row r="14" spans="1:19" x14ac:dyDescent="0.2">
      <c r="A14" t="s">
        <v>0</v>
      </c>
      <c r="B14" t="s">
        <v>1</v>
      </c>
      <c r="E14" t="s">
        <v>0</v>
      </c>
      <c r="F14" t="s">
        <v>13</v>
      </c>
      <c r="I14" t="s">
        <v>0</v>
      </c>
      <c r="J14" t="s">
        <v>14</v>
      </c>
      <c r="M14" t="s">
        <v>0</v>
      </c>
      <c r="N14" t="s">
        <v>15</v>
      </c>
      <c r="Q14" t="s">
        <v>0</v>
      </c>
      <c r="R14" t="s">
        <v>16</v>
      </c>
    </row>
    <row r="15" spans="1:19" x14ac:dyDescent="0.2">
      <c r="A15" t="s">
        <v>2</v>
      </c>
      <c r="B15" t="s">
        <v>17</v>
      </c>
      <c r="E15" t="s">
        <v>2</v>
      </c>
      <c r="F15" t="s">
        <v>17</v>
      </c>
      <c r="I15" t="s">
        <v>2</v>
      </c>
      <c r="J15" t="s">
        <v>17</v>
      </c>
      <c r="M15" t="s">
        <v>2</v>
      </c>
      <c r="N15" t="s">
        <v>17</v>
      </c>
      <c r="Q15" t="s">
        <v>2</v>
      </c>
      <c r="R15" t="s">
        <v>17</v>
      </c>
    </row>
    <row r="16" spans="1:19" x14ac:dyDescent="0.2">
      <c r="A16" t="s">
        <v>4</v>
      </c>
      <c r="B16" t="s">
        <v>5</v>
      </c>
      <c r="C16" t="s">
        <v>6</v>
      </c>
      <c r="E16" t="s">
        <v>4</v>
      </c>
      <c r="F16" t="s">
        <v>5</v>
      </c>
      <c r="G16" t="s">
        <v>6</v>
      </c>
      <c r="I16" t="s">
        <v>4</v>
      </c>
      <c r="J16" t="s">
        <v>5</v>
      </c>
      <c r="K16" t="s">
        <v>6</v>
      </c>
      <c r="M16" t="s">
        <v>4</v>
      </c>
      <c r="N16" t="s">
        <v>5</v>
      </c>
      <c r="O16" t="s">
        <v>6</v>
      </c>
      <c r="Q16" t="s">
        <v>4</v>
      </c>
      <c r="R16" t="s">
        <v>5</v>
      </c>
      <c r="S16" t="s">
        <v>6</v>
      </c>
    </row>
    <row r="17" spans="1:19" x14ac:dyDescent="0.2">
      <c r="A17" s="1">
        <v>1.4994000000000001</v>
      </c>
      <c r="B17" s="1">
        <v>1.5161</v>
      </c>
      <c r="C17" s="1">
        <f>SUM(B17-A17)</f>
        <v>1.6699999999999937E-2</v>
      </c>
      <c r="E17" s="1">
        <v>1.4995000000000001</v>
      </c>
      <c r="F17" s="1">
        <v>1.5166999999999999</v>
      </c>
      <c r="G17" s="1">
        <f t="shared" ref="G17:G22" si="4">SUM(F17-E17)</f>
        <v>1.7199999999999882E-2</v>
      </c>
      <c r="I17" s="1">
        <v>1.4995000000000001</v>
      </c>
      <c r="J17" s="1">
        <v>1.5152000000000001</v>
      </c>
      <c r="K17" s="1">
        <f t="shared" ref="K17:K22" si="5">SUM(J17-I17)</f>
        <v>1.5700000000000047E-2</v>
      </c>
      <c r="M17" s="1">
        <v>1.4995000000000001</v>
      </c>
      <c r="N17" s="1">
        <v>1.5249999999999999</v>
      </c>
      <c r="O17" s="1">
        <f t="shared" ref="O17:O23" si="6">SUM(N17-M17)</f>
        <v>2.5499999999999856E-2</v>
      </c>
      <c r="Q17" s="1">
        <v>1.4994000000000001</v>
      </c>
      <c r="R17" s="1">
        <v>1.5234000000000001</v>
      </c>
      <c r="S17" s="1">
        <f>SUM(R17-Q17)</f>
        <v>2.4000000000000021E-2</v>
      </c>
    </row>
    <row r="18" spans="1:19" x14ac:dyDescent="0.2">
      <c r="A18" s="1">
        <v>1.4995000000000001</v>
      </c>
      <c r="B18" s="1">
        <v>1.5167999999999999</v>
      </c>
      <c r="C18" s="1">
        <f>SUM(B18-A18)</f>
        <v>1.7299999999999871E-2</v>
      </c>
      <c r="E18" s="1">
        <v>1.4997</v>
      </c>
      <c r="F18" s="1">
        <v>1.5165999999999999</v>
      </c>
      <c r="G18" s="1">
        <f t="shared" si="4"/>
        <v>1.6899999999999915E-2</v>
      </c>
      <c r="I18" s="1">
        <v>1.4997</v>
      </c>
      <c r="J18" s="1">
        <v>1.516</v>
      </c>
      <c r="K18" s="1">
        <f t="shared" si="5"/>
        <v>1.6299999999999981E-2</v>
      </c>
      <c r="M18" s="1">
        <v>1.4996</v>
      </c>
      <c r="N18" s="1">
        <v>1.5243</v>
      </c>
      <c r="O18" s="1">
        <f t="shared" si="6"/>
        <v>2.4699999999999944E-2</v>
      </c>
      <c r="Q18" s="1">
        <v>1.4996</v>
      </c>
      <c r="R18" s="1">
        <v>1.5244</v>
      </c>
      <c r="S18" s="1">
        <f>SUM(R18-Q18)</f>
        <v>2.4799999999999933E-2</v>
      </c>
    </row>
    <row r="19" spans="1:19" x14ac:dyDescent="0.2">
      <c r="A19" s="1">
        <v>1.4996</v>
      </c>
      <c r="B19" s="1">
        <v>1.5162</v>
      </c>
      <c r="C19" s="1">
        <f>SUM(B19-A19)</f>
        <v>1.6599999999999948E-2</v>
      </c>
      <c r="E19" s="1">
        <v>1.4996</v>
      </c>
      <c r="F19" s="1">
        <v>1.5165</v>
      </c>
      <c r="G19" s="1">
        <f t="shared" si="4"/>
        <v>1.6899999999999915E-2</v>
      </c>
      <c r="I19" s="1">
        <v>1.4996</v>
      </c>
      <c r="J19" s="1">
        <v>1.5161</v>
      </c>
      <c r="K19" s="1">
        <f t="shared" si="5"/>
        <v>1.6499999999999959E-2</v>
      </c>
      <c r="M19" s="1">
        <v>1.4996</v>
      </c>
      <c r="N19" s="1">
        <v>1.5248999999999999</v>
      </c>
      <c r="O19" s="1">
        <f t="shared" si="6"/>
        <v>2.5299999999999878E-2</v>
      </c>
      <c r="Q19" s="1">
        <v>1.4995000000000001</v>
      </c>
      <c r="R19" s="1">
        <v>1.5236000000000001</v>
      </c>
      <c r="S19" s="1">
        <f>SUM(R19-Q19)</f>
        <v>2.410000000000001E-2</v>
      </c>
    </row>
    <row r="20" spans="1:19" x14ac:dyDescent="0.2">
      <c r="A20" s="1">
        <v>1.4996</v>
      </c>
      <c r="B20" s="1">
        <v>1.5166999999999999</v>
      </c>
      <c r="C20" s="1">
        <f>SUM(B20-A20)</f>
        <v>1.7099999999999893E-2</v>
      </c>
      <c r="E20" s="1">
        <v>1.4997</v>
      </c>
      <c r="F20" s="1">
        <v>1.5159</v>
      </c>
      <c r="G20" s="1">
        <f t="shared" si="4"/>
        <v>1.6199999999999992E-2</v>
      </c>
      <c r="I20" s="1">
        <v>1.4995000000000001</v>
      </c>
      <c r="J20" s="1">
        <v>1.5157</v>
      </c>
      <c r="K20" s="1">
        <f t="shared" si="5"/>
        <v>1.6199999999999992E-2</v>
      </c>
      <c r="M20" s="1">
        <v>1.4996</v>
      </c>
      <c r="N20" s="1">
        <v>1.5256000000000001</v>
      </c>
      <c r="O20" s="1">
        <f t="shared" si="6"/>
        <v>2.6000000000000023E-2</v>
      </c>
      <c r="Q20" s="1">
        <v>1.4997</v>
      </c>
      <c r="R20" s="1">
        <v>1.5237000000000001</v>
      </c>
      <c r="S20" s="1">
        <f>SUM(R20-Q20)</f>
        <v>2.4000000000000021E-2</v>
      </c>
    </row>
    <row r="21" spans="1:19" x14ac:dyDescent="0.2">
      <c r="A21" s="1">
        <v>1.4997</v>
      </c>
      <c r="B21" s="1">
        <v>1.5158</v>
      </c>
      <c r="C21" s="1">
        <f>SUM(B21-A21)</f>
        <v>1.6100000000000003E-2</v>
      </c>
      <c r="E21" s="1">
        <v>1.4997</v>
      </c>
      <c r="F21" s="1">
        <v>1.5162</v>
      </c>
      <c r="G21" s="1">
        <f t="shared" si="4"/>
        <v>1.6499999999999959E-2</v>
      </c>
      <c r="I21" s="1">
        <v>1.4996</v>
      </c>
      <c r="J21" s="1">
        <v>1.5157</v>
      </c>
      <c r="K21" s="1">
        <f t="shared" si="5"/>
        <v>1.6100000000000003E-2</v>
      </c>
      <c r="M21" s="1">
        <v>1.4996</v>
      </c>
      <c r="N21" s="1">
        <v>1.5245</v>
      </c>
      <c r="O21" s="1">
        <f t="shared" si="6"/>
        <v>2.4899999999999922E-2</v>
      </c>
      <c r="R21" t="s">
        <v>7</v>
      </c>
      <c r="S21" s="1">
        <f>AVERAGE(S17:S20)</f>
        <v>2.4224999999999997E-2</v>
      </c>
    </row>
    <row r="22" spans="1:19" x14ac:dyDescent="0.2">
      <c r="B22" t="s">
        <v>7</v>
      </c>
      <c r="C22" s="1">
        <f>AVERAGE(C17:C21)</f>
        <v>1.6759999999999931E-2</v>
      </c>
      <c r="E22" s="1">
        <v>1.4997</v>
      </c>
      <c r="F22" s="1">
        <v>1.516</v>
      </c>
      <c r="G22" s="1">
        <f t="shared" si="4"/>
        <v>1.6299999999999981E-2</v>
      </c>
      <c r="I22" s="1">
        <v>1.4996</v>
      </c>
      <c r="J22" s="1">
        <v>1.5161</v>
      </c>
      <c r="K22" s="1">
        <f t="shared" si="5"/>
        <v>1.6499999999999959E-2</v>
      </c>
      <c r="M22" s="1">
        <v>1.4996</v>
      </c>
      <c r="N22" s="1">
        <v>1.5249999999999999</v>
      </c>
      <c r="O22" s="1">
        <f t="shared" si="6"/>
        <v>2.5399999999999867E-2</v>
      </c>
      <c r="R22" t="s">
        <v>8</v>
      </c>
      <c r="S22" s="1">
        <f>STDEV(S17:S20)</f>
        <v>3.8622100754183967E-4</v>
      </c>
    </row>
    <row r="23" spans="1:19" x14ac:dyDescent="0.2">
      <c r="B23" t="s">
        <v>8</v>
      </c>
      <c r="C23" s="1">
        <f>STDEV(C17:C21)</f>
        <v>4.6690470119709868E-4</v>
      </c>
      <c r="F23" t="s">
        <v>7</v>
      </c>
      <c r="G23" s="1">
        <f>AVERAGE(G17:G22)</f>
        <v>1.6666666666666607E-2</v>
      </c>
      <c r="J23" t="s">
        <v>7</v>
      </c>
      <c r="K23" s="1">
        <f>AVERAGE(K17:K22)</f>
        <v>1.6216666666666657E-2</v>
      </c>
      <c r="M23" s="1">
        <v>1.4996</v>
      </c>
      <c r="N23" s="1">
        <v>1.5250999999999999</v>
      </c>
      <c r="O23" s="1">
        <f t="shared" si="6"/>
        <v>2.5499999999999856E-2</v>
      </c>
    </row>
    <row r="24" spans="1:19" x14ac:dyDescent="0.2">
      <c r="F24" t="s">
        <v>8</v>
      </c>
      <c r="G24" s="1">
        <f>STDEV(G17:G22)</f>
        <v>3.9327683210002671E-4</v>
      </c>
      <c r="J24" t="s">
        <v>8</v>
      </c>
      <c r="K24" s="1">
        <f>STDEV(K17:K22)</f>
        <v>2.9944392908630977E-4</v>
      </c>
      <c r="N24" t="s">
        <v>7</v>
      </c>
      <c r="O24" s="1">
        <f>AVERAGE(O17:O22)</f>
        <v>2.5299999999999916E-2</v>
      </c>
    </row>
    <row r="25" spans="1:19" x14ac:dyDescent="0.2">
      <c r="N25" t="s">
        <v>8</v>
      </c>
      <c r="O25" s="1">
        <f>STDEV(O17:O22)</f>
        <v>4.6043457732887033E-4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opLeftCell="A2" workbookViewId="0">
      <selection activeCell="E22" sqref="E22"/>
    </sheetView>
  </sheetViews>
  <sheetFormatPr defaultRowHeight="12.75" x14ac:dyDescent="0.2"/>
  <sheetData>
    <row r="1" spans="1:4" x14ac:dyDescent="0.2">
      <c r="A1" t="s">
        <v>0</v>
      </c>
      <c r="B1" t="s">
        <v>11</v>
      </c>
      <c r="C1" t="s">
        <v>7</v>
      </c>
      <c r="D1" t="s">
        <v>12</v>
      </c>
    </row>
    <row r="2" spans="1:4" x14ac:dyDescent="0.2">
      <c r="A2" t="s">
        <v>9</v>
      </c>
      <c r="B2" t="s">
        <v>10</v>
      </c>
      <c r="C2" s="1">
        <f>'Data Set'!C10</f>
        <v>2.713333333333327E-2</v>
      </c>
      <c r="D2" s="1">
        <f>'Data Set'!C11</f>
        <v>5.1251016250087851E-4</v>
      </c>
    </row>
    <row r="3" spans="1:4" x14ac:dyDescent="0.2">
      <c r="A3" t="s">
        <v>13</v>
      </c>
      <c r="B3" t="s">
        <v>10</v>
      </c>
      <c r="C3" s="1">
        <f>'Data Set'!G10</f>
        <v>2.7199999999999929E-2</v>
      </c>
      <c r="D3" s="1">
        <f>'Data Set'!G11</f>
        <v>4.5607017003967309E-4</v>
      </c>
    </row>
    <row r="4" spans="1:4" x14ac:dyDescent="0.2">
      <c r="A4" t="s">
        <v>14</v>
      </c>
      <c r="B4" t="s">
        <v>10</v>
      </c>
      <c r="C4" s="1">
        <f>'Data Set'!K11</f>
        <v>2.6116666666666639E-2</v>
      </c>
      <c r="D4" s="1">
        <f>'Data Set'!K12</f>
        <v>7.1949056051253584E-4</v>
      </c>
    </row>
    <row r="5" spans="1:4" x14ac:dyDescent="0.2">
      <c r="A5" t="s">
        <v>15</v>
      </c>
      <c r="B5" t="s">
        <v>10</v>
      </c>
      <c r="C5" s="1">
        <f>'Data Set'!O10</f>
        <v>3.6766666666666614E-2</v>
      </c>
      <c r="D5" s="1">
        <f>'Data Set'!O11</f>
        <v>5.819507424744744E-4</v>
      </c>
    </row>
    <row r="6" spans="1:4" x14ac:dyDescent="0.2">
      <c r="A6" t="s">
        <v>16</v>
      </c>
      <c r="B6" t="s">
        <v>10</v>
      </c>
      <c r="C6" s="1">
        <f>'Data Set'!S9</f>
        <v>3.6639999999999964E-2</v>
      </c>
      <c r="D6" s="1">
        <f>'Data Set'!S10</f>
        <v>5.3197744313075691E-4</v>
      </c>
    </row>
    <row r="7" spans="1:4" x14ac:dyDescent="0.2">
      <c r="A7" t="s">
        <v>9</v>
      </c>
      <c r="B7" t="s">
        <v>17</v>
      </c>
      <c r="C7" s="1">
        <f>'Data Set'!C22</f>
        <v>1.6759999999999931E-2</v>
      </c>
      <c r="D7" s="1">
        <f>'Data Set'!C23</f>
        <v>4.6690470119709868E-4</v>
      </c>
    </row>
    <row r="8" spans="1:4" x14ac:dyDescent="0.2">
      <c r="A8" t="s">
        <v>13</v>
      </c>
      <c r="B8" t="s">
        <v>17</v>
      </c>
      <c r="C8" s="1">
        <f>'Data Set'!G23</f>
        <v>1.6666666666666607E-2</v>
      </c>
      <c r="D8" s="1">
        <f>'Data Set'!G24</f>
        <v>3.9327683210002671E-4</v>
      </c>
    </row>
    <row r="9" spans="1:4" x14ac:dyDescent="0.2">
      <c r="A9" t="s">
        <v>14</v>
      </c>
      <c r="B9" t="s">
        <v>17</v>
      </c>
      <c r="C9" s="1">
        <f>'Data Set'!K23</f>
        <v>1.6216666666666657E-2</v>
      </c>
      <c r="D9" s="1">
        <f>'Data Set'!K24</f>
        <v>2.9944392908630977E-4</v>
      </c>
    </row>
    <row r="10" spans="1:4" x14ac:dyDescent="0.2">
      <c r="A10" t="s">
        <v>15</v>
      </c>
      <c r="B10" t="s">
        <v>17</v>
      </c>
      <c r="C10" s="1">
        <f>'Data Set'!O24</f>
        <v>2.5299999999999916E-2</v>
      </c>
      <c r="D10" s="1">
        <f>'Data Set'!O25</f>
        <v>4.6043457732887033E-4</v>
      </c>
    </row>
    <row r="11" spans="1:4" x14ac:dyDescent="0.2">
      <c r="A11" t="s">
        <v>16</v>
      </c>
      <c r="B11" t="s">
        <v>17</v>
      </c>
      <c r="C11" s="1">
        <f>'Data Set'!S21</f>
        <v>2.4224999999999997E-2</v>
      </c>
      <c r="D11" s="1">
        <f>'Data Set'!S22</f>
        <v>3.8622100754183967E-4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Set</vt:lpstr>
      <vt:lpstr>Data Summary</vt:lpstr>
      <vt:lpstr>Sheet3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Microscope</dc:creator>
  <cp:lastModifiedBy>Kenneth E Weber</cp:lastModifiedBy>
  <dcterms:created xsi:type="dcterms:W3CDTF">2013-09-24T03:46:53Z</dcterms:created>
  <dcterms:modified xsi:type="dcterms:W3CDTF">2020-06-27T20:26:03Z</dcterms:modified>
</cp:coreProperties>
</file>
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 and FLYING SPEED\BODY WEIGHT and FLYING SPEED-Selected Males vs Females-2009\"/>
    </mc:Choice>
  </mc:AlternateContent>
  <bookViews>
    <workbookView xWindow="480" yWindow="90" windowWidth="17175" windowHeight="9945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K33" i="2" l="1"/>
  <c r="B33" i="2" l="1"/>
</calcChain>
</file>

<file path=xl/sharedStrings.xml><?xml version="1.0" encoding="utf-8"?>
<sst xmlns="http://schemas.openxmlformats.org/spreadsheetml/2006/main" count="90" uniqueCount="46">
  <si>
    <t>HI</t>
  </si>
  <si>
    <t>LO</t>
  </si>
  <si>
    <t>8WetWt-F</t>
  </si>
  <si>
    <t>9DrytWt-F</t>
  </si>
  <si>
    <t>9WetWt-F</t>
  </si>
  <si>
    <t>10DryWt-F</t>
  </si>
  <si>
    <t>10WetWt-F</t>
  </si>
  <si>
    <t>11DryWt-F</t>
  </si>
  <si>
    <t>11WetWt-F</t>
  </si>
  <si>
    <t>12DryWt-F</t>
  </si>
  <si>
    <t>12WetWt-F</t>
  </si>
  <si>
    <t>13DryWt-F</t>
  </si>
  <si>
    <t>13WetWt-F</t>
  </si>
  <si>
    <t>14DryWt-F</t>
  </si>
  <si>
    <t>14WetWt-F</t>
  </si>
  <si>
    <t>15DryWt-F</t>
  </si>
  <si>
    <t>15WetWt-F</t>
  </si>
  <si>
    <t>16DryWt-F</t>
  </si>
  <si>
    <t>16WetWt-F</t>
  </si>
  <si>
    <t>18DryWt-F</t>
  </si>
  <si>
    <t>18WetWt-F</t>
  </si>
  <si>
    <t>19DryWt-F</t>
  </si>
  <si>
    <t>19WetWt-F</t>
  </si>
  <si>
    <t>20DryWt-F</t>
  </si>
  <si>
    <t>20WetWt-F</t>
  </si>
  <si>
    <t>21DryWt-F</t>
  </si>
  <si>
    <t>21WetWt-F</t>
  </si>
  <si>
    <t>1DryWt-F</t>
  </si>
  <si>
    <t>1WetWt-F</t>
  </si>
  <si>
    <t>2DryWt-F</t>
  </si>
  <si>
    <t>2WetWt-F</t>
  </si>
  <si>
    <t>3DryWt-F</t>
  </si>
  <si>
    <t>3WetWt-F</t>
  </si>
  <si>
    <t>4DryWt-F</t>
  </si>
  <si>
    <t>4WetWt-F</t>
  </si>
  <si>
    <t>5DryWt-F</t>
  </si>
  <si>
    <t>5WetWt-F</t>
  </si>
  <si>
    <t>6DryWt-F</t>
  </si>
  <si>
    <t>6WetWt-F</t>
  </si>
  <si>
    <t>7DryWt-F</t>
  </si>
  <si>
    <t>7WetWt-F</t>
  </si>
  <si>
    <t>8DryWt-F</t>
  </si>
  <si>
    <t>.001155.</t>
  </si>
  <si>
    <t>Mean</t>
  </si>
  <si>
    <t>HI +%</t>
  </si>
  <si>
    <t>HI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</si>
</sst>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93088847319529"/>
          <c:y val="6.8684553319723923E-2"/>
          <c:w val="0.40610929547636559"/>
          <c:h val="0.7982250656167978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1.1100000000000001E-3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1.1000000000000001E-3</c:v>
                </c:pt>
                <c:pt idx="1">
                  <c:v>1.4469999999999999E-3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2-481A-884E-54C84410B043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Sheet1!$D$2:$D$3</c:f>
              <c:numCache>
                <c:formatCode>General</c:formatCode>
                <c:ptCount val="2"/>
                <c:pt idx="0">
                  <c:v>8.4500000000000005E-4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Sheet1!$E$2:$E$3</c:f>
              <c:numCache>
                <c:formatCode>General</c:formatCode>
                <c:ptCount val="2"/>
                <c:pt idx="0">
                  <c:v>1.16E-3</c:v>
                </c:pt>
                <c:pt idx="1">
                  <c:v>1.4300000000000001E-3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2-481A-884E-54C84410B043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6.8499999999999995E-4</c:v>
                </c:pt>
                <c:pt idx="1">
                  <c:v>9.8499999999999998E-4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9.7999999999999997E-4</c:v>
                </c:pt>
                <c:pt idx="1">
                  <c:v>1.6900000000000001E-3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92-481A-884E-54C84410B043}"/>
            </c:ext>
          </c:extLst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8.4999999999999995E-4</c:v>
                </c:pt>
                <c:pt idx="1">
                  <c:v>1.06E-3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1.1900000000000001E-3</c:v>
                </c:pt>
                <c:pt idx="1">
                  <c:v>1.5100000000000001E-3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92-481A-884E-54C84410B043}"/>
            </c:ext>
          </c:extLst>
        </c:ser>
        <c:ser>
          <c:idx val="4"/>
          <c:order val="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7.6999999999999996E-4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1.0300000000000001E-3</c:v>
                </c:pt>
                <c:pt idx="1">
                  <c:v>1.3600000000000001E-3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92-481A-884E-54C84410B043}"/>
            </c:ext>
          </c:extLst>
        </c:ser>
        <c:ser>
          <c:idx val="5"/>
          <c:order val="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Sheet1!$L$2:$L$3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9.5E-4</c:v>
                </c:pt>
              </c:numCache>
            </c:numRef>
          </c:xVal>
          <c:yVal>
            <c:numRef>
              <c:f>Sheet1!$M$2:$M$3</c:f>
              <c:numCache>
                <c:formatCode>General</c:formatCode>
                <c:ptCount val="2"/>
                <c:pt idx="0">
                  <c:v>9.8499999999999998E-4</c:v>
                </c:pt>
                <c:pt idx="1">
                  <c:v>1.33E-3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92-481A-884E-54C84410B043}"/>
            </c:ext>
          </c:extLst>
        </c:ser>
        <c:ser>
          <c:idx val="6"/>
          <c:order val="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Sheet1!$N$2:$N$3</c:f>
              <c:numCache>
                <c:formatCode>General</c:formatCode>
                <c:ptCount val="2"/>
                <c:pt idx="0">
                  <c:v>7.3499999999999998E-4</c:v>
                </c:pt>
                <c:pt idx="1">
                  <c:v>9.8999999999999999E-4</c:v>
                </c:pt>
              </c:numCache>
            </c:numRef>
          </c:xVal>
          <c:yVal>
            <c:numRef>
              <c:f>Sheet1!$O$2:$O$3</c:f>
              <c:numCache>
                <c:formatCode>General</c:formatCode>
                <c:ptCount val="2"/>
                <c:pt idx="0">
                  <c:v>1E-3</c:v>
                </c:pt>
                <c:pt idx="1">
                  <c:v>1.3699999999999999E-3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92-481A-884E-54C84410B043}"/>
            </c:ext>
          </c:extLst>
        </c:ser>
        <c:ser>
          <c:idx val="7"/>
          <c:order val="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9.6500000000000004E-4</c:v>
                </c:pt>
                <c:pt idx="1">
                  <c:v>1.07E-3</c:v>
                </c:pt>
              </c:numCache>
            </c:numRef>
          </c:xVal>
          <c:yVal>
            <c:numRef>
              <c:f>Sheet1!$Q$2:$Q$3</c:f>
              <c:numCache>
                <c:formatCode>General</c:formatCode>
                <c:ptCount val="2"/>
                <c:pt idx="0">
                  <c:v>1.3500000000000001E-3</c:v>
                </c:pt>
                <c:pt idx="1">
                  <c:v>1.4499999999999999E-3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92-481A-884E-54C84410B043}"/>
            </c:ext>
          </c:extLst>
        </c:ser>
        <c:ser>
          <c:idx val="8"/>
          <c:order val="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Sheet1!$R$2:$R$3</c:f>
              <c:numCache>
                <c:formatCode>General</c:formatCode>
                <c:ptCount val="2"/>
                <c:pt idx="0">
                  <c:v>9.6500000000000004E-4</c:v>
                </c:pt>
                <c:pt idx="1">
                  <c:v>1.1000000000000001E-3</c:v>
                </c:pt>
              </c:numCache>
            </c:numRef>
          </c:xVal>
          <c:yVal>
            <c:numRef>
              <c:f>Sheet1!$S$2:$S$3</c:f>
              <c:numCache>
                <c:formatCode>General</c:formatCode>
                <c:ptCount val="2"/>
                <c:pt idx="0">
                  <c:v>1.2700000000000001E-3</c:v>
                </c:pt>
                <c:pt idx="1">
                  <c:v>1.42E-3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992-481A-884E-54C84410B043}"/>
            </c:ext>
          </c:extLst>
        </c:ser>
        <c:ser>
          <c:idx val="9"/>
          <c:order val="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Sheet1!$T$2:$T$3</c:f>
              <c:numCache>
                <c:formatCode>General</c:formatCode>
                <c:ptCount val="2"/>
                <c:pt idx="0">
                  <c:v>6.6500000000000001E-4</c:v>
                </c:pt>
                <c:pt idx="1">
                  <c:v>8.9999999999999998E-4</c:v>
                </c:pt>
              </c:numCache>
            </c:numRef>
          </c:xVal>
          <c:yVal>
            <c:numRef>
              <c:f>Sheet1!$U$2:$U$3</c:f>
              <c:numCache>
                <c:formatCode>General</c:formatCode>
                <c:ptCount val="2"/>
                <c:pt idx="0">
                  <c:v>8.8999999999999995E-4</c:v>
                </c:pt>
                <c:pt idx="1">
                  <c:v>1.25E-3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992-481A-884E-54C84410B043}"/>
            </c:ext>
          </c:extLst>
        </c:ser>
        <c:ser>
          <c:idx val="10"/>
          <c:order val="1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Sheet1!$V$2:$V$3</c:f>
              <c:numCache>
                <c:formatCode>General</c:formatCode>
                <c:ptCount val="2"/>
                <c:pt idx="0">
                  <c:v>7.9040000000000002E-4</c:v>
                </c:pt>
                <c:pt idx="1">
                  <c:v>9.5500000000000001E-4</c:v>
                </c:pt>
              </c:numCache>
            </c:numRef>
          </c:xVal>
          <c:yVal>
            <c:numRef>
              <c:f>Sheet1!$W$2:$W$3</c:f>
              <c:numCache>
                <c:formatCode>General</c:formatCode>
                <c:ptCount val="2"/>
                <c:pt idx="0">
                  <c:v>1.1349999999999999E-3</c:v>
                </c:pt>
                <c:pt idx="1">
                  <c:v>1.3849999999999999E-3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92-481A-884E-54C84410B043}"/>
            </c:ext>
          </c:extLst>
        </c:ser>
        <c:ser>
          <c:idx val="11"/>
          <c:order val="1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Sheet1!$X$2:$X$3</c:f>
              <c:numCache>
                <c:formatCode>General</c:formatCode>
                <c:ptCount val="2"/>
                <c:pt idx="0">
                  <c:v>7.45E-4</c:v>
                </c:pt>
                <c:pt idx="1">
                  <c:v>1.0399999999999999E-3</c:v>
                </c:pt>
              </c:numCache>
            </c:numRef>
          </c:xVal>
          <c:yVal>
            <c:numRef>
              <c:f>Sheet1!$Y$2:$Y$3</c:f>
              <c:numCache>
                <c:formatCode>General</c:formatCode>
                <c:ptCount val="2"/>
                <c:pt idx="0">
                  <c:v>9.7999999999999997E-4</c:v>
                </c:pt>
                <c:pt idx="1">
                  <c:v>1.315E-3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92-481A-884E-54C84410B043}"/>
            </c:ext>
          </c:extLst>
        </c:ser>
        <c:ser>
          <c:idx val="12"/>
          <c:order val="12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Sheet1!$Z$2:$Z$3</c:f>
              <c:numCache>
                <c:formatCode>General</c:formatCode>
                <c:ptCount val="2"/>
                <c:pt idx="0">
                  <c:v>9.7999999999999997E-4</c:v>
                </c:pt>
                <c:pt idx="1">
                  <c:v>1.09E-3</c:v>
                </c:pt>
              </c:numCache>
            </c:numRef>
          </c:xVal>
          <c:yVal>
            <c:numRef>
              <c:f>Sheet1!$AA$2:$AA$3</c:f>
              <c:numCache>
                <c:formatCode>General</c:formatCode>
                <c:ptCount val="2"/>
                <c:pt idx="0">
                  <c:v>1.2600000000000001E-3</c:v>
                </c:pt>
                <c:pt idx="1">
                  <c:v>1.4499999999999999E-3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92-481A-884E-54C84410B043}"/>
            </c:ext>
          </c:extLst>
        </c:ser>
        <c:ser>
          <c:idx val="13"/>
          <c:order val="1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9.3999999999999997E-4</c:v>
                </c:pt>
                <c:pt idx="1">
                  <c:v>1.0499999999999999E-3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1.07E-3</c:v>
                </c:pt>
                <c:pt idx="1">
                  <c:v>1.49E-3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92-481A-884E-54C84410B043}"/>
            </c:ext>
          </c:extLst>
        </c:ser>
        <c:ser>
          <c:idx val="14"/>
          <c:order val="1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Sheet1!$AD$2:$AD$3</c:f>
              <c:numCache>
                <c:formatCode>General</c:formatCode>
                <c:ptCount val="2"/>
                <c:pt idx="0">
                  <c:v>8.0500000000000005E-4</c:v>
                </c:pt>
                <c:pt idx="1">
                  <c:v>1.1421000000000001E-3</c:v>
                </c:pt>
              </c:numCache>
            </c:numRef>
          </c:xVal>
          <c:yVal>
            <c:numRef>
              <c:f>Sheet1!$AE$2:$AE$3</c:f>
              <c:numCache>
                <c:formatCode>General</c:formatCode>
                <c:ptCount val="2"/>
                <c:pt idx="0">
                  <c:v>1.0499999999999999E-3</c:v>
                </c:pt>
                <c:pt idx="1">
                  <c:v>1.07E-3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92-481A-884E-54C84410B043}"/>
            </c:ext>
          </c:extLst>
        </c:ser>
        <c:ser>
          <c:idx val="15"/>
          <c:order val="1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Sheet1!$AF$2:$AF$3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1.16E-3</c:v>
                </c:pt>
              </c:numCache>
            </c:numRef>
          </c:xVal>
          <c:yVal>
            <c:numRef>
              <c:f>Sheet1!$AG$2:$AG$3</c:f>
              <c:numCache>
                <c:formatCode>General</c:formatCode>
                <c:ptCount val="2"/>
                <c:pt idx="0">
                  <c:v>1.08E-3</c:v>
                </c:pt>
                <c:pt idx="1">
                  <c:v>1.6000000000000001E-3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992-481A-884E-54C84410B043}"/>
            </c:ext>
          </c:extLst>
        </c:ser>
        <c:ser>
          <c:idx val="16"/>
          <c:order val="1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992-481A-884E-54C84410B043}"/>
            </c:ext>
          </c:extLst>
        </c:ser>
        <c:ser>
          <c:idx val="17"/>
          <c:order val="1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Sheet1!$AH$2:$AH$3</c:f>
              <c:numCache>
                <c:formatCode>General</c:formatCode>
                <c:ptCount val="2"/>
                <c:pt idx="0">
                  <c:v>7.45E-4</c:v>
                </c:pt>
                <c:pt idx="1">
                  <c:v>1.06E-3</c:v>
                </c:pt>
              </c:numCache>
            </c:numRef>
          </c:xVal>
          <c:yVal>
            <c:numRef>
              <c:f>Sheet1!$AI$2:$AI$3</c:f>
              <c:numCache>
                <c:formatCode>General</c:formatCode>
                <c:ptCount val="2"/>
                <c:pt idx="0">
                  <c:v>9.4499999999999998E-4</c:v>
                </c:pt>
                <c:pt idx="1">
                  <c:v>1.5449999999999999E-3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992-481A-884E-54C84410B043}"/>
            </c:ext>
          </c:extLst>
        </c:ser>
        <c:ser>
          <c:idx val="18"/>
          <c:order val="1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Sheet1!$AJ$2:$AJ$3</c:f>
              <c:numCache>
                <c:formatCode>General</c:formatCode>
                <c:ptCount val="2"/>
                <c:pt idx="0">
                  <c:v>8.0999999999999996E-4</c:v>
                </c:pt>
                <c:pt idx="1">
                  <c:v>9.7999999999999997E-4</c:v>
                </c:pt>
              </c:numCache>
            </c:numRef>
          </c:xVal>
          <c:yVal>
            <c:numRef>
              <c:f>Sheet1!$AK$2:$AK$3</c:f>
              <c:numCache>
                <c:formatCode>General</c:formatCode>
                <c:ptCount val="2"/>
                <c:pt idx="0">
                  <c:v>9.7000000000000005E-4</c:v>
                </c:pt>
                <c:pt idx="1">
                  <c:v>1.485E-3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992-481A-884E-54C84410B043}"/>
            </c:ext>
          </c:extLst>
        </c:ser>
        <c:ser>
          <c:idx val="19"/>
          <c:order val="1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Sheet1!$AL$2:$AL$3</c:f>
              <c:numCache>
                <c:formatCode>General</c:formatCode>
                <c:ptCount val="2"/>
                <c:pt idx="0">
                  <c:v>7.2499999999999995E-4</c:v>
                </c:pt>
                <c:pt idx="1">
                  <c:v>1.0200000000000001E-3</c:v>
                </c:pt>
              </c:numCache>
            </c:numRef>
          </c:xVal>
          <c:yVal>
            <c:numRef>
              <c:f>Sheet1!$AM$2:$AM$3</c:f>
              <c:numCache>
                <c:formatCode>General</c:formatCode>
                <c:ptCount val="2"/>
                <c:pt idx="0">
                  <c:v>1.0399999999999999E-3</c:v>
                </c:pt>
                <c:pt idx="1">
                  <c:v>1.4649999999999999E-3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992-481A-884E-54C84410B043}"/>
            </c:ext>
          </c:extLst>
        </c:ser>
        <c:ser>
          <c:idx val="20"/>
          <c:order val="2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strRef>
              <c:f>Sheet1!$AN$2:$AN$3</c:f>
              <c:strCache>
                <c:ptCount val="2"/>
                <c:pt idx="0">
                  <c:v>0.00085</c:v>
                </c:pt>
                <c:pt idx="1">
                  <c:v>.001155.</c:v>
                </c:pt>
              </c:strCache>
            </c:strRef>
          </c:xVal>
          <c:yVal>
            <c:numRef>
              <c:f>Sheet1!$AO$2:$AO$3</c:f>
              <c:numCache>
                <c:formatCode>General</c:formatCode>
                <c:ptCount val="2"/>
                <c:pt idx="0">
                  <c:v>1.1000000000000001E-3</c:v>
                </c:pt>
                <c:pt idx="1">
                  <c:v>1.6000000000000001E-3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992-481A-884E-54C84410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33248"/>
        <c:axId val="72484352"/>
      </c:scatterChart>
      <c:valAx>
        <c:axId val="72133248"/>
        <c:scaling>
          <c:orientation val="minMax"/>
          <c:max val="1.8000000000000017E-3"/>
          <c:min val="5.0000000000000034E-4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Mean  DrY  weight  (gm)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72484352"/>
        <c:crosses val="autoZero"/>
        <c:crossBetween val="midCat"/>
        <c:majorUnit val="2.0000000000000023E-4"/>
      </c:valAx>
      <c:valAx>
        <c:axId val="72484352"/>
        <c:scaling>
          <c:orientation val="minMax"/>
          <c:max val="1.8000000000000017E-3"/>
          <c:min val="5.0000000000000034E-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mean </a:t>
                </a:r>
                <a:r>
                  <a:rPr lang="en-US" sz="1400" baseline="0"/>
                  <a:t> HYDRATED  WEIGHT  (GM)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72133248"/>
        <c:crosses val="autoZero"/>
        <c:crossBetween val="midCat"/>
        <c:majorUnit val="2.0000000000000023E-4"/>
      </c:valAx>
    </c:plotArea>
    <c:plotVisOnly val="1"/>
    <c:dispBlanksAs val="gap"/>
    <c:showDLblsOverMax val="0"/>
  </c:chart>
  <c:txPr>
    <a:bodyPr/>
    <a:lstStyle/>
    <a:p>
      <a:pPr>
        <a:defRPr cap="all" baseline="0"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590549</xdr:colOff>
      <xdr:row>3</xdr:row>
      <xdr:rowOff>76200</xdr:rowOff>
    </xdr:from>
    <xdr:to>
      <xdr:col>32</xdr:col>
      <xdr:colOff>276225</xdr:colOff>
      <xdr:row>30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19</xdr:row>
      <xdr:rowOff>76200</xdr:rowOff>
    </xdr:from>
    <xdr:to>
      <xdr:col>8</xdr:col>
      <xdr:colOff>361950</xdr:colOff>
      <xdr:row>22</xdr:row>
      <xdr:rowOff>0</xdr:rowOff>
    </xdr:to>
    <xdr:sp macro="" textlink="">
      <xdr:nvSpPr>
        <xdr:cNvPr id="2" name="TextBox 1"/>
        <xdr:cNvSpPr txBox="1"/>
      </xdr:nvSpPr>
      <xdr:spPr>
        <a:xfrm>
          <a:off x="1485900" y="3743325"/>
          <a:ext cx="375285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The mean percent gain in weight after full re-hydration of the fastest 20 female flies in 19 tested </a:t>
          </a:r>
          <a:r>
            <a:rPr lang="en-US" sz="1100" b="1" baseline="0"/>
            <a:t>samples </a:t>
          </a:r>
          <a:r>
            <a:rPr lang="en-US" sz="1100" b="1"/>
            <a:t>was 40.18%.</a:t>
          </a:r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18</xdr:col>
      <xdr:colOff>590550</xdr:colOff>
      <xdr:row>21</xdr:row>
      <xdr:rowOff>85726</xdr:rowOff>
    </xdr:to>
    <xdr:sp macro="" textlink="">
      <xdr:nvSpPr>
        <xdr:cNvPr id="3" name="TextBox 2"/>
        <xdr:cNvSpPr txBox="1"/>
      </xdr:nvSpPr>
      <xdr:spPr>
        <a:xfrm>
          <a:off x="7315200" y="3667125"/>
          <a:ext cx="4248150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The mean weight per fly, immediately</a:t>
          </a:r>
          <a:r>
            <a:rPr lang="en-US" sz="1100" b="1" baseline="0"/>
            <a:t> </a:t>
          </a:r>
          <a:r>
            <a:rPr lang="en-US" sz="1100" b="1"/>
            <a:t>after a run in the wind</a:t>
          </a:r>
          <a:r>
            <a:rPr lang="en-US" sz="1100" b="1" baseline="0"/>
            <a:t> tunnel, in the </a:t>
          </a:r>
          <a:r>
            <a:rPr lang="en-US" sz="1100" b="1"/>
            <a:t>fastest 20 female flies, in 19 tested </a:t>
          </a:r>
          <a:r>
            <a:rPr lang="en-US" sz="1100" b="1" baseline="0"/>
            <a:t>samples, </a:t>
          </a:r>
          <a:r>
            <a:rPr lang="en-US" sz="1100" b="1"/>
            <a:t>was 0.001038 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topLeftCell="Q1" workbookViewId="0">
      <selection activeCell="AJ17" sqref="AJ17"/>
    </sheetView>
  </sheetViews>
  <sheetFormatPr defaultRowHeight="15" x14ac:dyDescent="0.25"/>
  <cols>
    <col min="2" max="2" width="10.140625" customWidth="1"/>
    <col min="3" max="3" width="10.7109375" customWidth="1"/>
    <col min="4" max="4" width="10" customWidth="1"/>
    <col min="5" max="5" width="11.140625" customWidth="1"/>
    <col min="6" max="6" width="10" customWidth="1"/>
    <col min="7" max="7" width="10.85546875" customWidth="1"/>
    <col min="8" max="8" width="10.140625" customWidth="1"/>
    <col min="9" max="9" width="10.85546875" customWidth="1"/>
    <col min="10" max="10" width="10" customWidth="1"/>
    <col min="11" max="11" width="10.85546875" customWidth="1"/>
    <col min="12" max="12" width="10.140625" customWidth="1"/>
    <col min="13" max="13" width="10.85546875" customWidth="1"/>
    <col min="14" max="14" width="10" customWidth="1"/>
    <col min="15" max="15" width="11" customWidth="1"/>
    <col min="16" max="16" width="10" customWidth="1"/>
    <col min="17" max="17" width="10.85546875" customWidth="1"/>
    <col min="18" max="18" width="10.5703125" customWidth="1"/>
    <col min="19" max="19" width="10.85546875" customWidth="1"/>
    <col min="20" max="20" width="11.140625" customWidth="1"/>
    <col min="21" max="21" width="11.85546875" customWidth="1"/>
    <col min="22" max="22" width="11" customWidth="1"/>
    <col min="23" max="23" width="11.85546875" customWidth="1"/>
    <col min="24" max="24" width="11.140625" customWidth="1"/>
    <col min="25" max="25" width="12" customWidth="1"/>
    <col min="26" max="26" width="10.85546875" customWidth="1"/>
    <col min="27" max="27" width="12" customWidth="1"/>
    <col min="28" max="28" width="11" customWidth="1"/>
    <col min="29" max="29" width="11.7109375" customWidth="1"/>
    <col min="30" max="30" width="11.140625" customWidth="1"/>
    <col min="31" max="31" width="12" customWidth="1"/>
    <col min="32" max="32" width="11" customWidth="1"/>
    <col min="33" max="33" width="12" customWidth="1"/>
    <col min="34" max="34" width="11.140625" customWidth="1"/>
    <col min="35" max="35" width="11.85546875" customWidth="1"/>
    <col min="36" max="36" width="11" customWidth="1"/>
    <col min="37" max="37" width="12" customWidth="1"/>
    <col min="38" max="38" width="11" customWidth="1"/>
    <col min="39" max="39" width="12.140625" customWidth="1"/>
    <col min="40" max="40" width="11.140625" customWidth="1"/>
    <col min="41" max="41" width="12" customWidth="1"/>
  </cols>
  <sheetData>
    <row r="1" spans="1:41" s="1" customFormat="1" x14ac:dyDescent="0.25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</row>
    <row r="2" spans="1:41" x14ac:dyDescent="0.25">
      <c r="A2" s="1" t="s">
        <v>1</v>
      </c>
      <c r="B2">
        <v>8.4999999999999995E-4</v>
      </c>
      <c r="C2">
        <v>1.1000000000000001E-3</v>
      </c>
      <c r="D2">
        <v>8.4500000000000005E-4</v>
      </c>
      <c r="E2">
        <v>1.16E-3</v>
      </c>
      <c r="F2">
        <v>6.8499999999999995E-4</v>
      </c>
      <c r="G2">
        <v>9.7999999999999997E-4</v>
      </c>
      <c r="H2">
        <v>8.4999999999999995E-4</v>
      </c>
      <c r="I2">
        <v>1.1900000000000001E-3</v>
      </c>
      <c r="J2">
        <v>7.6999999999999996E-4</v>
      </c>
      <c r="K2">
        <v>1.0300000000000001E-3</v>
      </c>
      <c r="L2">
        <v>7.2499999999999995E-4</v>
      </c>
      <c r="M2">
        <v>9.8499999999999998E-4</v>
      </c>
      <c r="N2">
        <v>7.3499999999999998E-4</v>
      </c>
      <c r="O2">
        <v>1E-3</v>
      </c>
      <c r="P2">
        <v>9.6500000000000004E-4</v>
      </c>
      <c r="Q2">
        <v>1.3500000000000001E-3</v>
      </c>
      <c r="R2">
        <v>9.6500000000000004E-4</v>
      </c>
      <c r="S2">
        <v>1.2700000000000001E-3</v>
      </c>
      <c r="T2">
        <v>6.6500000000000001E-4</v>
      </c>
      <c r="U2">
        <v>8.8999999999999995E-4</v>
      </c>
      <c r="V2">
        <v>7.9040000000000002E-4</v>
      </c>
      <c r="W2">
        <v>1.1349999999999999E-3</v>
      </c>
      <c r="X2">
        <v>7.45E-4</v>
      </c>
      <c r="Y2">
        <v>9.7999999999999997E-4</v>
      </c>
      <c r="Z2">
        <v>9.7999999999999997E-4</v>
      </c>
      <c r="AA2">
        <v>1.2600000000000001E-3</v>
      </c>
      <c r="AB2">
        <v>9.3999999999999997E-4</v>
      </c>
      <c r="AC2">
        <v>1.07E-3</v>
      </c>
      <c r="AD2" s="2">
        <v>8.0500000000000005E-4</v>
      </c>
      <c r="AE2" s="2">
        <v>1.0499999999999999E-3</v>
      </c>
      <c r="AF2">
        <v>8.0999999999999996E-4</v>
      </c>
      <c r="AG2">
        <v>1.08E-3</v>
      </c>
      <c r="AH2">
        <v>7.45E-4</v>
      </c>
      <c r="AI2">
        <v>9.4499999999999998E-4</v>
      </c>
      <c r="AJ2">
        <v>8.0999999999999996E-4</v>
      </c>
      <c r="AK2">
        <v>9.7000000000000005E-4</v>
      </c>
      <c r="AL2">
        <v>7.2499999999999995E-4</v>
      </c>
      <c r="AM2">
        <v>1.0399999999999999E-3</v>
      </c>
      <c r="AN2">
        <v>8.4999999999999995E-4</v>
      </c>
      <c r="AO2">
        <v>1.1000000000000001E-3</v>
      </c>
    </row>
    <row r="3" spans="1:41" x14ac:dyDescent="0.25">
      <c r="A3" s="1" t="s">
        <v>0</v>
      </c>
      <c r="B3">
        <v>1.1100000000000001E-3</v>
      </c>
      <c r="C3">
        <v>1.4469999999999999E-3</v>
      </c>
      <c r="D3">
        <v>1.0200000000000001E-3</v>
      </c>
      <c r="E3">
        <v>1.4300000000000001E-3</v>
      </c>
      <c r="F3">
        <v>9.8499999999999998E-4</v>
      </c>
      <c r="G3">
        <v>1.6900000000000001E-3</v>
      </c>
      <c r="H3">
        <v>1.06E-3</v>
      </c>
      <c r="I3">
        <v>1.5100000000000001E-3</v>
      </c>
      <c r="J3">
        <v>1.0200000000000001E-3</v>
      </c>
      <c r="K3">
        <v>1.3600000000000001E-3</v>
      </c>
      <c r="L3">
        <v>9.5E-4</v>
      </c>
      <c r="M3">
        <v>1.33E-3</v>
      </c>
      <c r="N3">
        <v>9.8999999999999999E-4</v>
      </c>
      <c r="O3">
        <v>1.3699999999999999E-3</v>
      </c>
      <c r="P3">
        <v>1.07E-3</v>
      </c>
      <c r="Q3">
        <v>1.4499999999999999E-3</v>
      </c>
      <c r="R3">
        <v>1.1000000000000001E-3</v>
      </c>
      <c r="S3">
        <v>1.42E-3</v>
      </c>
      <c r="T3">
        <v>8.9999999999999998E-4</v>
      </c>
      <c r="U3">
        <v>1.25E-3</v>
      </c>
      <c r="V3">
        <v>9.5500000000000001E-4</v>
      </c>
      <c r="W3">
        <v>1.3849999999999999E-3</v>
      </c>
      <c r="X3">
        <v>1.0399999999999999E-3</v>
      </c>
      <c r="Y3">
        <v>1.315E-3</v>
      </c>
      <c r="Z3">
        <v>1.09E-3</v>
      </c>
      <c r="AA3">
        <v>1.4499999999999999E-3</v>
      </c>
      <c r="AB3">
        <v>1.0499999999999999E-3</v>
      </c>
      <c r="AC3">
        <v>1.49E-3</v>
      </c>
      <c r="AD3" s="2">
        <v>1.1421000000000001E-3</v>
      </c>
      <c r="AE3" s="2">
        <v>1.07E-3</v>
      </c>
      <c r="AF3">
        <v>1.16E-3</v>
      </c>
      <c r="AG3">
        <v>1.6000000000000001E-3</v>
      </c>
      <c r="AH3">
        <v>1.06E-3</v>
      </c>
      <c r="AI3">
        <v>1.5449999999999999E-3</v>
      </c>
      <c r="AJ3">
        <v>9.7999999999999997E-4</v>
      </c>
      <c r="AK3">
        <v>1.485E-3</v>
      </c>
      <c r="AL3">
        <v>1.0200000000000001E-3</v>
      </c>
      <c r="AM3">
        <v>1.4649999999999999E-3</v>
      </c>
      <c r="AN3" t="s">
        <v>42</v>
      </c>
      <c r="AO3">
        <v>1.6000000000000001E-3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tabSelected="1" workbookViewId="0">
      <selection activeCell="O11" sqref="O11"/>
    </sheetView>
  </sheetViews>
  <sheetFormatPr defaultRowHeight="15" x14ac:dyDescent="0.25"/>
  <sheetData>
    <row r="1" spans="1:39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</row>
    <row r="2" spans="1:39" x14ac:dyDescent="0.25">
      <c r="A2" t="s">
        <v>1</v>
      </c>
      <c r="B2">
        <v>8.4999999999999995E-4</v>
      </c>
      <c r="C2">
        <v>1.1000000000000001E-3</v>
      </c>
      <c r="D2">
        <v>8.4500000000000005E-4</v>
      </c>
      <c r="E2">
        <v>1.16E-3</v>
      </c>
      <c r="F2">
        <v>6.8499999999999995E-4</v>
      </c>
      <c r="G2">
        <v>9.7999999999999997E-4</v>
      </c>
      <c r="H2">
        <v>8.4999999999999995E-4</v>
      </c>
      <c r="I2">
        <v>1.1900000000000001E-3</v>
      </c>
      <c r="J2">
        <v>7.6999999999999996E-4</v>
      </c>
      <c r="K2">
        <v>1.0300000000000001E-3</v>
      </c>
      <c r="L2">
        <v>7.2499999999999995E-4</v>
      </c>
      <c r="M2">
        <v>9.8499999999999998E-4</v>
      </c>
      <c r="N2">
        <v>7.3499999999999998E-4</v>
      </c>
      <c r="O2">
        <v>1E-3</v>
      </c>
      <c r="P2">
        <v>9.6500000000000004E-4</v>
      </c>
      <c r="Q2">
        <v>1.3500000000000001E-3</v>
      </c>
      <c r="R2">
        <v>9.6500000000000004E-4</v>
      </c>
      <c r="S2">
        <v>1.2700000000000001E-3</v>
      </c>
      <c r="T2">
        <v>6.6500000000000001E-4</v>
      </c>
      <c r="U2">
        <v>8.8999999999999995E-4</v>
      </c>
      <c r="V2">
        <v>7.9040000000000002E-4</v>
      </c>
      <c r="W2">
        <v>1.1349999999999999E-3</v>
      </c>
      <c r="X2">
        <v>7.45E-4</v>
      </c>
      <c r="Y2">
        <v>9.7999999999999997E-4</v>
      </c>
      <c r="Z2">
        <v>9.7999999999999997E-4</v>
      </c>
      <c r="AA2">
        <v>1.2600000000000001E-3</v>
      </c>
      <c r="AB2">
        <v>9.3999999999999997E-4</v>
      </c>
      <c r="AC2">
        <v>1.07E-3</v>
      </c>
      <c r="AD2">
        <v>8.0999999999999996E-4</v>
      </c>
      <c r="AE2">
        <v>1.08E-3</v>
      </c>
      <c r="AF2">
        <v>7.45E-4</v>
      </c>
      <c r="AG2">
        <v>9.4499999999999998E-4</v>
      </c>
      <c r="AH2">
        <v>8.0999999999999996E-4</v>
      </c>
      <c r="AI2">
        <v>9.7000000000000005E-4</v>
      </c>
      <c r="AJ2">
        <v>7.2499999999999995E-4</v>
      </c>
      <c r="AK2">
        <v>1.0399999999999999E-3</v>
      </c>
      <c r="AL2">
        <v>8.4999999999999995E-4</v>
      </c>
      <c r="AM2">
        <v>1.1000000000000001E-3</v>
      </c>
    </row>
    <row r="3" spans="1:39" x14ac:dyDescent="0.25">
      <c r="A3" t="s">
        <v>0</v>
      </c>
      <c r="B3">
        <v>1.1100000000000001E-3</v>
      </c>
      <c r="C3">
        <v>1.4469999999999999E-3</v>
      </c>
      <c r="D3">
        <v>1.0200000000000001E-3</v>
      </c>
      <c r="E3">
        <v>1.4300000000000001E-3</v>
      </c>
      <c r="F3">
        <v>9.8499999999999998E-4</v>
      </c>
      <c r="G3">
        <v>1.6900000000000001E-3</v>
      </c>
      <c r="H3">
        <v>1.06E-3</v>
      </c>
      <c r="I3">
        <v>1.5100000000000001E-3</v>
      </c>
      <c r="J3">
        <v>1.0200000000000001E-3</v>
      </c>
      <c r="K3">
        <v>1.3600000000000001E-3</v>
      </c>
      <c r="L3">
        <v>9.5E-4</v>
      </c>
      <c r="M3">
        <v>1.33E-3</v>
      </c>
      <c r="N3">
        <v>9.8999999999999999E-4</v>
      </c>
      <c r="O3">
        <v>1.3699999999999999E-3</v>
      </c>
      <c r="P3">
        <v>1.07E-3</v>
      </c>
      <c r="Q3">
        <v>1.4499999999999999E-3</v>
      </c>
      <c r="R3">
        <v>1.1000000000000001E-3</v>
      </c>
      <c r="S3">
        <v>1.42E-3</v>
      </c>
      <c r="T3">
        <v>8.9999999999999998E-4</v>
      </c>
      <c r="U3">
        <v>1.25E-3</v>
      </c>
      <c r="V3">
        <v>9.5500000000000001E-4</v>
      </c>
      <c r="W3">
        <v>1.3849999999999999E-3</v>
      </c>
      <c r="X3">
        <v>1.0399999999999999E-3</v>
      </c>
      <c r="Y3">
        <v>1.315E-3</v>
      </c>
      <c r="Z3">
        <v>1.09E-3</v>
      </c>
      <c r="AA3">
        <v>1.4499999999999999E-3</v>
      </c>
      <c r="AB3">
        <v>1.0499999999999999E-3</v>
      </c>
      <c r="AC3">
        <v>1.49E-3</v>
      </c>
      <c r="AD3">
        <v>1.16E-3</v>
      </c>
      <c r="AE3">
        <v>1.6000000000000001E-3</v>
      </c>
      <c r="AF3">
        <v>1.06E-3</v>
      </c>
      <c r="AG3">
        <v>1.5449999999999999E-3</v>
      </c>
      <c r="AH3">
        <v>9.7999999999999997E-4</v>
      </c>
      <c r="AI3">
        <v>1.485E-3</v>
      </c>
      <c r="AJ3">
        <v>1.0200000000000001E-3</v>
      </c>
      <c r="AK3">
        <v>1.4649999999999999E-3</v>
      </c>
      <c r="AL3" t="s">
        <v>42</v>
      </c>
      <c r="AM3">
        <v>1.6000000000000001E-3</v>
      </c>
    </row>
    <row r="5" spans="1:39" s="3" customFormat="1" x14ac:dyDescent="0.25">
      <c r="A5" s="3" t="s">
        <v>1</v>
      </c>
      <c r="C5" s="3">
        <v>29.4</v>
      </c>
      <c r="E5" s="3">
        <v>37.299999999999997</v>
      </c>
      <c r="G5" s="3">
        <v>43.1</v>
      </c>
      <c r="I5" s="3">
        <v>40</v>
      </c>
      <c r="K5" s="3">
        <v>33.799999999999997</v>
      </c>
      <c r="M5" s="3">
        <v>40</v>
      </c>
      <c r="O5" s="3">
        <v>36.1</v>
      </c>
      <c r="Q5" s="3">
        <v>39.9</v>
      </c>
      <c r="S5" s="3">
        <v>31.6</v>
      </c>
      <c r="U5" s="3">
        <v>33.799999999999997</v>
      </c>
      <c r="W5" s="3">
        <v>43.7</v>
      </c>
      <c r="Y5" s="3">
        <v>31.5</v>
      </c>
      <c r="AA5" s="3">
        <v>28.6</v>
      </c>
      <c r="AC5" s="3">
        <v>13.8</v>
      </c>
      <c r="AE5" s="3">
        <v>33.299999999999997</v>
      </c>
      <c r="AG5" s="3">
        <v>26.8</v>
      </c>
      <c r="AI5" s="3">
        <v>19.8</v>
      </c>
      <c r="AK5" s="3">
        <v>43.4</v>
      </c>
      <c r="AM5" s="3">
        <v>29.4</v>
      </c>
    </row>
    <row r="6" spans="1:39" s="3" customFormat="1" x14ac:dyDescent="0.25">
      <c r="A6" s="3" t="s">
        <v>0</v>
      </c>
      <c r="C6" s="3">
        <v>30.4</v>
      </c>
      <c r="E6" s="3">
        <v>40.200000000000003</v>
      </c>
      <c r="G6" s="3">
        <v>71.599999999999994</v>
      </c>
      <c r="I6" s="3">
        <v>42.5</v>
      </c>
      <c r="K6" s="3">
        <v>33.299999999999997</v>
      </c>
      <c r="M6" s="3">
        <v>40</v>
      </c>
      <c r="O6" s="3">
        <v>38.4</v>
      </c>
      <c r="Q6" s="3">
        <v>35.5</v>
      </c>
      <c r="S6" s="3">
        <v>29.1</v>
      </c>
      <c r="U6" s="3">
        <v>38.9</v>
      </c>
      <c r="W6" s="3">
        <v>45</v>
      </c>
      <c r="Y6" s="3">
        <v>26.4</v>
      </c>
      <c r="AA6" s="3">
        <v>33</v>
      </c>
      <c r="AC6" s="3">
        <v>41.9</v>
      </c>
      <c r="AE6" s="3">
        <v>37.9</v>
      </c>
      <c r="AG6" s="3">
        <v>45.8</v>
      </c>
      <c r="AI6" s="3">
        <v>51.5</v>
      </c>
      <c r="AK6" s="3">
        <v>43.6</v>
      </c>
      <c r="AM6" s="3">
        <v>38.5</v>
      </c>
    </row>
    <row r="13" spans="1:39" ht="18.75" x14ac:dyDescent="0.4">
      <c r="B13" s="4" t="s">
        <v>44</v>
      </c>
      <c r="K13" s="4" t="s">
        <v>45</v>
      </c>
    </row>
    <row r="14" spans="1:39" x14ac:dyDescent="0.25">
      <c r="B14" s="3">
        <v>30.4</v>
      </c>
      <c r="K14" s="3">
        <v>1.1100000000000001E-3</v>
      </c>
      <c r="L14" s="1"/>
    </row>
    <row r="15" spans="1:39" x14ac:dyDescent="0.25">
      <c r="B15" s="3">
        <v>40.200000000000003</v>
      </c>
      <c r="K15" s="3">
        <v>1.0200000000000001E-3</v>
      </c>
      <c r="L15" s="1"/>
    </row>
    <row r="16" spans="1:39" x14ac:dyDescent="0.25">
      <c r="B16" s="3">
        <v>71.599999999999994</v>
      </c>
      <c r="K16" s="3">
        <v>9.8499999999999998E-4</v>
      </c>
      <c r="L16" s="1"/>
    </row>
    <row r="17" spans="2:12" x14ac:dyDescent="0.25">
      <c r="B17" s="3">
        <v>42.5</v>
      </c>
      <c r="K17" s="3">
        <v>1.06E-3</v>
      </c>
      <c r="L17" s="1"/>
    </row>
    <row r="18" spans="2:12" x14ac:dyDescent="0.25">
      <c r="B18" s="3">
        <v>33.299999999999997</v>
      </c>
      <c r="K18" s="3">
        <v>1.0200000000000001E-3</v>
      </c>
      <c r="L18" s="1"/>
    </row>
    <row r="19" spans="2:12" x14ac:dyDescent="0.25">
      <c r="B19" s="3">
        <v>40</v>
      </c>
      <c r="K19" s="3">
        <v>9.5E-4</v>
      </c>
      <c r="L19" s="1"/>
    </row>
    <row r="20" spans="2:12" x14ac:dyDescent="0.25">
      <c r="B20" s="3">
        <v>38.4</v>
      </c>
      <c r="K20" s="3">
        <v>9.8999999999999999E-4</v>
      </c>
      <c r="L20" s="1"/>
    </row>
    <row r="21" spans="2:12" x14ac:dyDescent="0.25">
      <c r="B21" s="3">
        <v>35.5</v>
      </c>
      <c r="K21" s="3">
        <v>1.07E-3</v>
      </c>
      <c r="L21" s="1"/>
    </row>
    <row r="22" spans="2:12" x14ac:dyDescent="0.25">
      <c r="B22" s="3">
        <v>29.1</v>
      </c>
      <c r="K22" s="3">
        <v>1.1000000000000001E-3</v>
      </c>
      <c r="L22" s="1"/>
    </row>
    <row r="23" spans="2:12" x14ac:dyDescent="0.25">
      <c r="B23" s="3">
        <v>38.9</v>
      </c>
      <c r="K23" s="3">
        <v>8.9999999999999998E-4</v>
      </c>
      <c r="L23" s="1"/>
    </row>
    <row r="24" spans="2:12" x14ac:dyDescent="0.25">
      <c r="B24" s="3">
        <v>45</v>
      </c>
      <c r="K24" s="3">
        <v>9.5500000000000001E-4</v>
      </c>
      <c r="L24" s="1"/>
    </row>
    <row r="25" spans="2:12" x14ac:dyDescent="0.25">
      <c r="B25" s="3">
        <v>26.4</v>
      </c>
      <c r="K25" s="3">
        <v>1.0399999999999999E-3</v>
      </c>
      <c r="L25" s="1"/>
    </row>
    <row r="26" spans="2:12" x14ac:dyDescent="0.25">
      <c r="B26" s="3">
        <v>33</v>
      </c>
      <c r="K26" s="3">
        <v>1.09E-3</v>
      </c>
      <c r="L26" s="1"/>
    </row>
    <row r="27" spans="2:12" x14ac:dyDescent="0.25">
      <c r="B27" s="3">
        <v>41.9</v>
      </c>
      <c r="K27" s="3">
        <v>1.0499999999999999E-3</v>
      </c>
      <c r="L27" s="1"/>
    </row>
    <row r="28" spans="2:12" x14ac:dyDescent="0.25">
      <c r="B28" s="3">
        <v>37.9</v>
      </c>
      <c r="K28" s="3">
        <v>1.16E-3</v>
      </c>
      <c r="L28" s="1"/>
    </row>
    <row r="29" spans="2:12" x14ac:dyDescent="0.25">
      <c r="B29" s="3">
        <v>45.8</v>
      </c>
      <c r="K29" s="3">
        <v>1.06E-3</v>
      </c>
      <c r="L29" s="1"/>
    </row>
    <row r="30" spans="2:12" x14ac:dyDescent="0.25">
      <c r="B30" s="3">
        <v>51.5</v>
      </c>
      <c r="K30" s="3">
        <v>9.7999999999999997E-4</v>
      </c>
      <c r="L30" s="1"/>
    </row>
    <row r="31" spans="2:12" x14ac:dyDescent="0.25">
      <c r="B31" s="3">
        <v>43.6</v>
      </c>
      <c r="K31" s="3">
        <v>1.0200000000000001E-3</v>
      </c>
      <c r="L31" s="1"/>
    </row>
    <row r="32" spans="2:12" x14ac:dyDescent="0.25">
      <c r="B32" s="3">
        <v>38.5</v>
      </c>
      <c r="K32" s="3">
        <v>1.155E-3</v>
      </c>
      <c r="L32" s="1"/>
    </row>
    <row r="33" spans="1:11" s="3" customFormat="1" x14ac:dyDescent="0.25">
      <c r="A33" s="3" t="s">
        <v>43</v>
      </c>
      <c r="B33" s="3">
        <f>AVERAGE(B14:B32)</f>
        <v>40.18421052631578</v>
      </c>
      <c r="J33" s="3" t="s">
        <v>43</v>
      </c>
      <c r="K33" s="3">
        <f>AVERAGE(K14:K32)</f>
        <v>1.0376315789473684E-3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E Weber</cp:lastModifiedBy>
  <dcterms:created xsi:type="dcterms:W3CDTF">2009-05-10T22:27:20Z</dcterms:created>
  <dcterms:modified xsi:type="dcterms:W3CDTF">2020-06-28T00:14:29Z</dcterms:modified>
</cp:coreProperties>
</file>
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H:\AA-RESEARCH-KenWeber8\WT New Data\BODY WEIGHT and FLYING SPEED\BODY WEIGHT and FLYING SPEED-Selected vs Controls-Wheeler 2013\"/>
    </mc:Choice>
  </mc:AlternateContent>
  <bookViews>
    <workbookView xWindow="480" yWindow="75" windowWidth="14355" windowHeight="7995"/>
  </bookViews>
  <sheets>
    <sheet name="Sheet1" sheetId="1" r:id="rId1"/>
    <sheet name="Sheet2" sheetId="2" r:id="rId2"/>
    <sheet name="Sheet3" sheetId="3" r:id="rId3"/>
  </sheets>
  <calcPr calcId="162913"/>
</workbook>
</file>

<file path=xl/calcChain.xml><?xml version="1.0" encoding="utf-8"?>
<calcChain xmlns="http://schemas.openxmlformats.org/spreadsheetml/2006/main">
  <c r="AY4" i="1" l="1"/>
  <c r="AX4" i="1"/>
  <c r="AW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D4" i="1"/>
  <c r="C4" i="1"/>
  <c r="B4" i="1"/>
</calcChain>
</file>

<file path=xl/sharedStrings.xml><?xml version="1.0" encoding="utf-8"?>
<sst xmlns="http://schemas.openxmlformats.org/spreadsheetml/2006/main" count="52" uniqueCount="52">
  <si>
    <t>1-AA1-F</t>
  </si>
  <si>
    <t>2-AA1-F</t>
  </si>
  <si>
    <t>3-AA1-F</t>
  </si>
  <si>
    <t>4-AA1-F</t>
  </si>
  <si>
    <t>5-AA1-F</t>
  </si>
  <si>
    <t>6-AA1-F</t>
  </si>
  <si>
    <t>8-AA1-F</t>
  </si>
  <si>
    <t>9-AA1-F</t>
  </si>
  <si>
    <t>10-AA1-F</t>
  </si>
  <si>
    <t>14-AA1-F</t>
  </si>
  <si>
    <t>15-AA1-F</t>
  </si>
  <si>
    <t>1-AA2-F</t>
  </si>
  <si>
    <t>2-AA2-F</t>
  </si>
  <si>
    <t>3-AA2-F</t>
  </si>
  <si>
    <t>4-AA2-F</t>
  </si>
  <si>
    <t>5-AA2-F</t>
  </si>
  <si>
    <t>8-AA2-F</t>
  </si>
  <si>
    <t>9-AA2-F</t>
  </si>
  <si>
    <t>10-AA2-F</t>
  </si>
  <si>
    <t>11-AA2-F</t>
  </si>
  <si>
    <t>12-AA2-F</t>
  </si>
  <si>
    <t>13-AA2-F</t>
  </si>
  <si>
    <t>14-AA2-F</t>
  </si>
  <si>
    <t>total in g</t>
  </si>
  <si>
    <t>single in mg</t>
  </si>
  <si>
    <t>speed</t>
  </si>
  <si>
    <t>1-K45-F</t>
  </si>
  <si>
    <t>2-K45-F</t>
  </si>
  <si>
    <t>3-K45-F</t>
  </si>
  <si>
    <t>4-K45-F</t>
  </si>
  <si>
    <t>5-K45-F</t>
  </si>
  <si>
    <t>6-K45-F</t>
  </si>
  <si>
    <t>8-K45-F</t>
  </si>
  <si>
    <t>9-K45-F</t>
  </si>
  <si>
    <t>10-K45-F</t>
  </si>
  <si>
    <t>11-K45-F</t>
  </si>
  <si>
    <t>12-K45-F</t>
  </si>
  <si>
    <t>13-K45-F</t>
  </si>
  <si>
    <t>14-K45-F</t>
  </si>
  <si>
    <t>15-K45-F</t>
  </si>
  <si>
    <t>1-N60-F</t>
  </si>
  <si>
    <t>2-N60-F</t>
  </si>
  <si>
    <t>3-N60-F</t>
  </si>
  <si>
    <t>4-N60-F</t>
  </si>
  <si>
    <t>5-N60-F</t>
  </si>
  <si>
    <t>6-N60-F</t>
  </si>
  <si>
    <t>9-N60-F</t>
  </si>
  <si>
    <t>10-N60-F</t>
  </si>
  <si>
    <t>11-N60-F</t>
  </si>
  <si>
    <t>12-N60-F</t>
  </si>
  <si>
    <t>13-N60-F</t>
  </si>
  <si>
    <t>14-N60-F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</si>
</sst>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 u="sng"/>
              <a:t>Females</a:t>
            </a:r>
          </a:p>
          <a:p>
            <a:pPr>
              <a:defRPr/>
            </a:pPr>
            <a:r>
              <a:rPr lang="en-US"/>
              <a:t>Selected vs Wild-Type</a:t>
            </a:r>
          </a:p>
        </c:rich>
      </c:tx>
      <c:layout>
        <c:manualLayout>
          <c:xMode val="edge"/>
          <c:yMode val="edge"/>
          <c:x val="0.16425083282858874"/>
          <c:y val="8.0895602586930349E-2"/>
        </c:manualLayout>
      </c:layout>
      <c:overlay val="1"/>
    </c:title>
    <c:autoTitleDeleted val="0"/>
    <c:plotArea>
      <c:layout>
        <c:manualLayout>
          <c:layoutTarget val="inner"/>
          <c:xMode val="edge"/>
          <c:yMode val="edge"/>
          <c:x val="0.11145025741974561"/>
          <c:y val="3.5362934845143836E-2"/>
          <c:w val="0.85655461336563699"/>
          <c:h val="0.81591450363063378"/>
        </c:manualLayout>
      </c:layout>
      <c:scatterChart>
        <c:scatterStyle val="lineMarker"/>
        <c:varyColors val="0"/>
        <c:ser>
          <c:idx val="0"/>
          <c:order val="0"/>
          <c:spPr>
            <a:ln w="28575">
              <a:noFill/>
            </a:ln>
          </c:spPr>
          <c:marker>
            <c:symbol val="circle"/>
            <c:size val="10"/>
            <c:spPr>
              <a:noFill/>
              <a:ln w="22225">
                <a:solidFill>
                  <a:schemeClr val="tx1">
                    <a:shade val="95000"/>
                    <a:satMod val="105000"/>
                  </a:schemeClr>
                </a:solidFill>
              </a:ln>
            </c:spPr>
          </c:marker>
          <c:trendline>
            <c:spPr>
              <a:ln w="31750"/>
            </c:spPr>
            <c:trendlineType val="linear"/>
            <c:dispRSqr val="1"/>
            <c:dispEq val="1"/>
            <c:trendlineLbl>
              <c:layout>
                <c:manualLayout>
                  <c:x val="7.2437790228144561E-2"/>
                  <c:y val="0.49161023228154455"/>
                </c:manualLayout>
              </c:layout>
              <c:numFmt formatCode="General" sourceLinked="0"/>
              <c:txPr>
                <a:bodyPr/>
                <a:lstStyle/>
                <a:p>
                  <a:pPr>
                    <a:defRPr sz="1500" b="1" i="0" baseline="0"/>
                  </a:pPr>
                  <a:endParaRPr lang="en-US"/>
                </a:p>
              </c:txPr>
            </c:trendlineLbl>
          </c:trendline>
          <c:xVal>
            <c:numRef>
              <c:f>Sheet1!$B$4:$AY$4</c:f>
              <c:numCache>
                <c:formatCode>General</c:formatCode>
                <c:ptCount val="50"/>
                <c:pt idx="0">
                  <c:v>1.7949999999999999</c:v>
                </c:pt>
                <c:pt idx="1">
                  <c:v>1.9300000000000002</c:v>
                </c:pt>
                <c:pt idx="2">
                  <c:v>1.8649999999999998</c:v>
                </c:pt>
                <c:pt idx="3">
                  <c:v>1.8649999999999998</c:v>
                </c:pt>
                <c:pt idx="4">
                  <c:v>2.0549999999999997</c:v>
                </c:pt>
                <c:pt idx="5">
                  <c:v>1.8199999999999998</c:v>
                </c:pt>
                <c:pt idx="6">
                  <c:v>1.7949999999999999</c:v>
                </c:pt>
                <c:pt idx="7">
                  <c:v>2.25</c:v>
                </c:pt>
                <c:pt idx="8">
                  <c:v>1.77</c:v>
                </c:pt>
                <c:pt idx="9">
                  <c:v>1.7600000000000002</c:v>
                </c:pt>
                <c:pt idx="10">
                  <c:v>2.1350000000000002</c:v>
                </c:pt>
                <c:pt idx="11">
                  <c:v>1.7149999999999999</c:v>
                </c:pt>
                <c:pt idx="12">
                  <c:v>1.95</c:v>
                </c:pt>
                <c:pt idx="13">
                  <c:v>1.9</c:v>
                </c:pt>
                <c:pt idx="14">
                  <c:v>1.9400000000000002</c:v>
                </c:pt>
                <c:pt idx="15">
                  <c:v>1.9349999999999998</c:v>
                </c:pt>
                <c:pt idx="16">
                  <c:v>1.8050000000000002</c:v>
                </c:pt>
                <c:pt idx="17">
                  <c:v>1.825</c:v>
                </c:pt>
                <c:pt idx="18">
                  <c:v>1.8399999999999999</c:v>
                </c:pt>
                <c:pt idx="19">
                  <c:v>1.8649999999999998</c:v>
                </c:pt>
                <c:pt idx="20">
                  <c:v>1.9400000000000002</c:v>
                </c:pt>
                <c:pt idx="21">
                  <c:v>2</c:v>
                </c:pt>
                <c:pt idx="22">
                  <c:v>1.7050000000000001</c:v>
                </c:pt>
                <c:pt idx="24">
                  <c:v>1.37</c:v>
                </c:pt>
                <c:pt idx="25">
                  <c:v>1.4350000000000001</c:v>
                </c:pt>
                <c:pt idx="26">
                  <c:v>1.37</c:v>
                </c:pt>
                <c:pt idx="27">
                  <c:v>1.3299999999999998</c:v>
                </c:pt>
                <c:pt idx="28">
                  <c:v>1.39</c:v>
                </c:pt>
                <c:pt idx="29">
                  <c:v>1.47</c:v>
                </c:pt>
                <c:pt idx="30">
                  <c:v>1.4200000000000002</c:v>
                </c:pt>
                <c:pt idx="31">
                  <c:v>1.385</c:v>
                </c:pt>
                <c:pt idx="32">
                  <c:v>1.4300000000000002</c:v>
                </c:pt>
                <c:pt idx="33">
                  <c:v>1.31</c:v>
                </c:pt>
                <c:pt idx="34">
                  <c:v>1.47</c:v>
                </c:pt>
                <c:pt idx="35">
                  <c:v>1.4</c:v>
                </c:pt>
                <c:pt idx="36">
                  <c:v>1.4449999999999998</c:v>
                </c:pt>
                <c:pt idx="37">
                  <c:v>1.4350000000000001</c:v>
                </c:pt>
                <c:pt idx="38">
                  <c:v>1.37</c:v>
                </c:pt>
                <c:pt idx="39">
                  <c:v>1.46</c:v>
                </c:pt>
                <c:pt idx="40">
                  <c:v>1.4650000000000001</c:v>
                </c:pt>
                <c:pt idx="41">
                  <c:v>1.4650000000000001</c:v>
                </c:pt>
                <c:pt idx="42">
                  <c:v>1.6650000000000003</c:v>
                </c:pt>
                <c:pt idx="43">
                  <c:v>1.4949999999999999</c:v>
                </c:pt>
                <c:pt idx="44">
                  <c:v>1.6199999999999999</c:v>
                </c:pt>
                <c:pt idx="45">
                  <c:v>1.4200000000000002</c:v>
                </c:pt>
                <c:pt idx="46">
                  <c:v>1.365</c:v>
                </c:pt>
                <c:pt idx="47">
                  <c:v>1.59</c:v>
                </c:pt>
                <c:pt idx="48">
                  <c:v>1.4849999999999999</c:v>
                </c:pt>
                <c:pt idx="49">
                  <c:v>1.5649999999999999</c:v>
                </c:pt>
              </c:numCache>
            </c:numRef>
          </c:xVal>
          <c:yVal>
            <c:numRef>
              <c:f>Sheet1!$B$5:$AY$5</c:f>
              <c:numCache>
                <c:formatCode>General</c:formatCode>
                <c:ptCount val="50"/>
                <c:pt idx="0">
                  <c:v>169.82</c:v>
                </c:pt>
                <c:pt idx="1">
                  <c:v>167.19</c:v>
                </c:pt>
                <c:pt idx="2">
                  <c:v>177.7</c:v>
                </c:pt>
                <c:pt idx="3">
                  <c:v>178.36</c:v>
                </c:pt>
                <c:pt idx="4">
                  <c:v>180.72</c:v>
                </c:pt>
                <c:pt idx="5">
                  <c:v>206.55</c:v>
                </c:pt>
                <c:pt idx="6">
                  <c:v>200.28</c:v>
                </c:pt>
                <c:pt idx="7">
                  <c:v>170.22</c:v>
                </c:pt>
                <c:pt idx="8">
                  <c:v>193.03</c:v>
                </c:pt>
                <c:pt idx="9">
                  <c:v>187.44</c:v>
                </c:pt>
                <c:pt idx="10">
                  <c:v>220.34</c:v>
                </c:pt>
                <c:pt idx="11">
                  <c:v>165.05</c:v>
                </c:pt>
                <c:pt idx="12">
                  <c:v>177.44</c:v>
                </c:pt>
                <c:pt idx="13">
                  <c:v>159.71</c:v>
                </c:pt>
                <c:pt idx="14">
                  <c:v>181.15</c:v>
                </c:pt>
                <c:pt idx="15">
                  <c:v>179.84</c:v>
                </c:pt>
                <c:pt idx="16">
                  <c:v>178.43</c:v>
                </c:pt>
                <c:pt idx="17">
                  <c:v>159.43</c:v>
                </c:pt>
                <c:pt idx="18">
                  <c:v>184.34</c:v>
                </c:pt>
                <c:pt idx="19">
                  <c:v>125.71</c:v>
                </c:pt>
                <c:pt idx="20">
                  <c:v>191.31</c:v>
                </c:pt>
                <c:pt idx="21">
                  <c:v>184.14</c:v>
                </c:pt>
                <c:pt idx="22">
                  <c:v>169.42</c:v>
                </c:pt>
                <c:pt idx="24">
                  <c:v>117.13</c:v>
                </c:pt>
                <c:pt idx="25">
                  <c:v>163.76</c:v>
                </c:pt>
                <c:pt idx="26">
                  <c:v>124.54</c:v>
                </c:pt>
                <c:pt idx="27">
                  <c:v>116.68</c:v>
                </c:pt>
                <c:pt idx="28">
                  <c:v>124.22</c:v>
                </c:pt>
                <c:pt idx="29">
                  <c:v>130.33000000000001</c:v>
                </c:pt>
                <c:pt idx="30">
                  <c:v>113.03</c:v>
                </c:pt>
                <c:pt idx="31">
                  <c:v>144.38</c:v>
                </c:pt>
                <c:pt idx="32">
                  <c:v>120.99</c:v>
                </c:pt>
                <c:pt idx="33">
                  <c:v>98.86</c:v>
                </c:pt>
                <c:pt idx="34">
                  <c:v>114.86</c:v>
                </c:pt>
                <c:pt idx="35">
                  <c:v>129.21</c:v>
                </c:pt>
                <c:pt idx="36">
                  <c:v>127.51</c:v>
                </c:pt>
                <c:pt idx="37">
                  <c:v>146.75</c:v>
                </c:pt>
                <c:pt idx="38">
                  <c:v>108.12</c:v>
                </c:pt>
                <c:pt idx="39">
                  <c:v>118.8</c:v>
                </c:pt>
                <c:pt idx="40">
                  <c:v>121.59</c:v>
                </c:pt>
                <c:pt idx="41">
                  <c:v>113.41</c:v>
                </c:pt>
                <c:pt idx="42">
                  <c:v>130.19999999999999</c:v>
                </c:pt>
                <c:pt idx="43">
                  <c:v>161.49</c:v>
                </c:pt>
                <c:pt idx="44">
                  <c:v>100.39</c:v>
                </c:pt>
                <c:pt idx="45">
                  <c:v>129.15</c:v>
                </c:pt>
                <c:pt idx="46">
                  <c:v>121.01</c:v>
                </c:pt>
                <c:pt idx="47">
                  <c:v>112.52</c:v>
                </c:pt>
                <c:pt idx="48">
                  <c:v>104.8</c:v>
                </c:pt>
                <c:pt idx="49">
                  <c:v>122.05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E70-4283-99D7-CF87B2373CB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767424"/>
        <c:axId val="55768960"/>
      </c:scatterChart>
      <c:valAx>
        <c:axId val="55767424"/>
        <c:scaling>
          <c:orientation val="minMax"/>
          <c:max val="2.5"/>
          <c:min val="0.5"/>
        </c:scaling>
        <c:delete val="0"/>
        <c:axPos val="b"/>
        <c:title>
          <c:tx>
            <c:rich>
              <a:bodyPr/>
              <a:lstStyle/>
              <a:p>
                <a:pPr>
                  <a:defRPr sz="1600"/>
                </a:pPr>
                <a:r>
                  <a:rPr lang="en-US" sz="1600"/>
                  <a:t>Mean Fly Weight (mg)</a:t>
                </a:r>
              </a:p>
            </c:rich>
          </c:tx>
          <c:layout/>
          <c:overlay val="0"/>
        </c:title>
        <c:numFmt formatCode="#,##0.0" sourceLinked="0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400" b="1" i="0" baseline="0"/>
            </a:pPr>
            <a:endParaRPr lang="en-US"/>
          </a:p>
        </c:txPr>
        <c:crossAx val="55768960"/>
        <c:crosses val="autoZero"/>
        <c:crossBetween val="midCat"/>
        <c:majorUnit val="0.1"/>
      </c:valAx>
      <c:valAx>
        <c:axId val="55768960"/>
        <c:scaling>
          <c:orientation val="minMax"/>
          <c:max val="275"/>
          <c:min val="0"/>
        </c:scaling>
        <c:delete val="0"/>
        <c:axPos val="l"/>
        <c:majorGridlines>
          <c:spPr>
            <a:ln>
              <a:solidFill>
                <a:schemeClr val="bg1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 algn="r">
                  <a:defRPr sz="1600" baseline="0"/>
                </a:pPr>
                <a:r>
                  <a:rPr lang="en-US" sz="1600" baseline="0"/>
                  <a:t>Mean Maximum Speed (cm/sec)</a:t>
                </a:r>
              </a:p>
            </c:rich>
          </c:tx>
          <c:layout>
            <c:manualLayout>
              <c:xMode val="edge"/>
              <c:yMode val="edge"/>
              <c:x val="1.0889359983848173E-2"/>
              <c:y val="0.16481546316258583"/>
            </c:manualLayout>
          </c:layout>
          <c:overlay val="0"/>
        </c:title>
        <c:numFmt formatCode="General" sourceLinked="1"/>
        <c:majorTickMark val="out"/>
        <c:minorTickMark val="none"/>
        <c:tickLblPos val="nextTo"/>
        <c:spPr>
          <a:ln w="25400">
            <a:solidFill>
              <a:schemeClr val="tx1"/>
            </a:solidFill>
          </a:ln>
        </c:spPr>
        <c:txPr>
          <a:bodyPr/>
          <a:lstStyle/>
          <a:p>
            <a:pPr>
              <a:defRPr sz="1350" b="1" i="0" baseline="0"/>
            </a:pPr>
            <a:endParaRPr lang="en-US"/>
          </a:p>
        </c:txPr>
        <c:crossAx val="55767424"/>
        <c:crosses val="autoZero"/>
        <c:crossBetween val="midCat"/>
        <c:majorUnit val="25"/>
      </c:valAx>
      <c:spPr>
        <a:ln>
          <a:solidFill>
            <a:schemeClr val="tx1">
              <a:shade val="95000"/>
              <a:satMod val="105000"/>
            </a:schemeClr>
          </a:solidFill>
        </a:ln>
      </c:spPr>
    </c:plotArea>
    <c:plotVisOnly val="1"/>
    <c:dispBlanksAs val="gap"/>
    <c:showDLblsOverMax val="0"/>
  </c:chart>
  <c:spPr>
    <a:ln>
      <a:solidFill>
        <a:schemeClr val="tx1"/>
      </a:solidFill>
    </a:ln>
  </c:spPr>
  <c:printSettings>
    <c:headerFooter/>
    <c:pageMargins b="0.75" l="0.7" r="0.7" t="0.75" header="0.3" footer="0.3"/>
    <c:pageSetup orientation="portrait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10</xdr:row>
      <xdr:rowOff>4761</xdr:rowOff>
    </xdr:from>
    <xdr:to>
      <xdr:col>14</xdr:col>
      <xdr:colOff>0</xdr:colOff>
      <xdr:row>33</xdr:row>
      <xdr:rowOff>19050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190500</xdr:colOff>
      <xdr:row>18</xdr:row>
      <xdr:rowOff>38100</xdr:rowOff>
    </xdr:from>
    <xdr:to>
      <xdr:col>20</xdr:col>
      <xdr:colOff>47625</xdr:colOff>
      <xdr:row>22</xdr:row>
      <xdr:rowOff>85725</xdr:rowOff>
    </xdr:to>
    <xdr:sp macro="" textlink="">
      <xdr:nvSpPr>
        <xdr:cNvPr id="3" name="TextBox 2"/>
        <xdr:cNvSpPr txBox="1"/>
      </xdr:nvSpPr>
      <xdr:spPr>
        <a:xfrm>
          <a:off x="8724900" y="3505200"/>
          <a:ext cx="3514725" cy="8096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Data</a:t>
          </a:r>
          <a:r>
            <a:rPr lang="en-US" sz="1100" b="1" baseline="0"/>
            <a:t> from Wheeler 2013. Females of AA1, AA2, K45 &amp; N60, only from those sets where the runs were successful.  Were able to get data from an average of 15.9 flies per run, out of 30 per run. </a:t>
          </a:r>
          <a:endParaRPr lang="en-US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Z5"/>
  <sheetViews>
    <sheetView tabSelected="1" topLeftCell="A2" zoomScaleNormal="100" workbookViewId="0">
      <selection activeCell="X27" sqref="X27"/>
    </sheetView>
  </sheetViews>
  <sheetFormatPr defaultRowHeight="15" x14ac:dyDescent="0.25"/>
  <sheetData>
    <row r="2" spans="2:52" ht="15.75" x14ac:dyDescent="0.2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15</v>
      </c>
      <c r="R2" s="1" t="s">
        <v>16</v>
      </c>
      <c r="S2" s="1" t="s">
        <v>17</v>
      </c>
      <c r="T2" s="1" t="s">
        <v>18</v>
      </c>
      <c r="U2" s="1" t="s">
        <v>19</v>
      </c>
      <c r="V2" s="1" t="s">
        <v>20</v>
      </c>
      <c r="W2" s="1" t="s">
        <v>21</v>
      </c>
      <c r="X2" s="1" t="s">
        <v>22</v>
      </c>
      <c r="Y2" s="1"/>
      <c r="Z2" s="1" t="s">
        <v>26</v>
      </c>
      <c r="AA2" s="1" t="s">
        <v>27</v>
      </c>
      <c r="AB2" s="1" t="s">
        <v>28</v>
      </c>
      <c r="AC2" s="1" t="s">
        <v>29</v>
      </c>
      <c r="AD2" s="1" t="s">
        <v>30</v>
      </c>
      <c r="AE2" s="1" t="s">
        <v>31</v>
      </c>
      <c r="AF2" s="1" t="s">
        <v>32</v>
      </c>
      <c r="AG2" s="1" t="s">
        <v>33</v>
      </c>
      <c r="AH2" s="1" t="s">
        <v>34</v>
      </c>
      <c r="AI2" s="1" t="s">
        <v>35</v>
      </c>
      <c r="AJ2" s="1" t="s">
        <v>36</v>
      </c>
      <c r="AK2" s="1" t="s">
        <v>37</v>
      </c>
      <c r="AL2" s="1" t="s">
        <v>38</v>
      </c>
      <c r="AM2" s="1" t="s">
        <v>39</v>
      </c>
      <c r="AN2" s="1" t="s">
        <v>40</v>
      </c>
      <c r="AO2" s="1" t="s">
        <v>41</v>
      </c>
      <c r="AP2" s="1" t="s">
        <v>42</v>
      </c>
      <c r="AQ2" s="1" t="s">
        <v>43</v>
      </c>
      <c r="AR2" s="1" t="s">
        <v>44</v>
      </c>
      <c r="AS2" s="1" t="s">
        <v>45</v>
      </c>
      <c r="AT2" s="1" t="s">
        <v>46</v>
      </c>
      <c r="AU2" s="1" t="s">
        <v>47</v>
      </c>
      <c r="AV2" s="1" t="s">
        <v>48</v>
      </c>
      <c r="AW2" s="1" t="s">
        <v>49</v>
      </c>
      <c r="AX2" s="1" t="s">
        <v>50</v>
      </c>
      <c r="AY2" s="1" t="s">
        <v>51</v>
      </c>
    </row>
    <row r="3" spans="2:52" ht="15.75" x14ac:dyDescent="0.25">
      <c r="B3" s="2">
        <v>3.5900000000000001E-2</v>
      </c>
      <c r="C3" s="2">
        <v>3.8600000000000002E-2</v>
      </c>
      <c r="D3" s="2">
        <v>3.73E-2</v>
      </c>
      <c r="E3" s="2">
        <v>3.73E-2</v>
      </c>
      <c r="F3" s="2">
        <v>4.1099999999999998E-2</v>
      </c>
      <c r="G3" s="2">
        <v>3.6400000000000002E-2</v>
      </c>
      <c r="H3" s="2">
        <v>3.5900000000000001E-2</v>
      </c>
      <c r="I3" s="2">
        <v>4.4999999999999998E-2</v>
      </c>
      <c r="J3" s="2">
        <v>3.5400000000000001E-2</v>
      </c>
      <c r="K3" s="2">
        <v>3.5200000000000002E-2</v>
      </c>
      <c r="L3" s="2">
        <v>4.2700000000000002E-2</v>
      </c>
      <c r="M3" s="2">
        <v>3.4299999999999997E-2</v>
      </c>
      <c r="N3" s="2">
        <v>3.9E-2</v>
      </c>
      <c r="O3" s="2">
        <v>3.7999999999999999E-2</v>
      </c>
      <c r="P3" s="2">
        <v>3.8800000000000001E-2</v>
      </c>
      <c r="Q3" s="2">
        <v>3.8699999999999998E-2</v>
      </c>
      <c r="R3" s="2">
        <v>3.61E-2</v>
      </c>
      <c r="S3" s="2">
        <v>3.6499999999999998E-2</v>
      </c>
      <c r="T3" s="2">
        <v>3.6799999999999999E-2</v>
      </c>
      <c r="U3" s="2">
        <v>3.73E-2</v>
      </c>
      <c r="V3" s="2">
        <v>3.8800000000000001E-2</v>
      </c>
      <c r="W3" s="2">
        <v>0.04</v>
      </c>
      <c r="X3" s="2">
        <v>3.4099999999999998E-2</v>
      </c>
      <c r="Y3" s="2"/>
      <c r="Z3" s="2">
        <v>2.7400000000000001E-2</v>
      </c>
      <c r="AA3" s="2">
        <v>2.87E-2</v>
      </c>
      <c r="AB3" s="2">
        <v>2.7400000000000001E-2</v>
      </c>
      <c r="AC3" s="2">
        <v>2.6599999999999999E-2</v>
      </c>
      <c r="AD3" s="2">
        <v>2.7799999999999998E-2</v>
      </c>
      <c r="AE3" s="2">
        <v>2.9399999999999999E-2</v>
      </c>
      <c r="AF3" s="2">
        <v>2.8400000000000002E-2</v>
      </c>
      <c r="AG3" s="2">
        <v>2.7699999999999999E-2</v>
      </c>
      <c r="AH3" s="2">
        <v>2.86E-2</v>
      </c>
      <c r="AI3" s="2">
        <v>2.6200000000000001E-2</v>
      </c>
      <c r="AJ3" s="2">
        <v>2.9399999999999999E-2</v>
      </c>
      <c r="AK3" s="2">
        <v>2.8000000000000001E-2</v>
      </c>
      <c r="AL3" s="2">
        <v>2.8899999999999999E-2</v>
      </c>
      <c r="AM3" s="2">
        <v>2.87E-2</v>
      </c>
      <c r="AN3" s="2">
        <v>2.7400000000000001E-2</v>
      </c>
      <c r="AO3" s="2">
        <v>2.92E-2</v>
      </c>
      <c r="AP3" s="2">
        <v>2.93E-2</v>
      </c>
      <c r="AQ3" s="2">
        <v>2.93E-2</v>
      </c>
      <c r="AR3" s="2">
        <v>3.3300000000000003E-2</v>
      </c>
      <c r="AS3" s="2">
        <v>2.9899999999999999E-2</v>
      </c>
      <c r="AT3" s="2">
        <v>3.2399999999999998E-2</v>
      </c>
      <c r="AU3" s="2">
        <v>2.8400000000000002E-2</v>
      </c>
      <c r="AV3" s="2">
        <v>2.7300000000000001E-2</v>
      </c>
      <c r="AW3" s="2">
        <v>3.1800000000000002E-2</v>
      </c>
      <c r="AX3" s="2">
        <v>2.9700000000000001E-2</v>
      </c>
      <c r="AY3" s="2">
        <v>3.1300000000000001E-2</v>
      </c>
      <c r="AZ3" t="s">
        <v>23</v>
      </c>
    </row>
    <row r="4" spans="2:52" ht="15.75" x14ac:dyDescent="0.25">
      <c r="B4" s="2">
        <f>B3*1000/20</f>
        <v>1.7949999999999999</v>
      </c>
      <c r="C4" s="2">
        <f t="shared" ref="C4:L4" si="0">C3*1000/20</f>
        <v>1.9300000000000002</v>
      </c>
      <c r="D4" s="2">
        <f t="shared" si="0"/>
        <v>1.8649999999999998</v>
      </c>
      <c r="E4" s="2">
        <f t="shared" si="0"/>
        <v>1.8649999999999998</v>
      </c>
      <c r="F4" s="2">
        <f t="shared" si="0"/>
        <v>2.0549999999999997</v>
      </c>
      <c r="G4" s="2">
        <f t="shared" si="0"/>
        <v>1.8199999999999998</v>
      </c>
      <c r="H4" s="2">
        <f t="shared" si="0"/>
        <v>1.7949999999999999</v>
      </c>
      <c r="I4" s="2">
        <f t="shared" si="0"/>
        <v>2.25</v>
      </c>
      <c r="J4" s="2">
        <f t="shared" si="0"/>
        <v>1.77</v>
      </c>
      <c r="K4" s="2">
        <f t="shared" si="0"/>
        <v>1.7600000000000002</v>
      </c>
      <c r="L4" s="2">
        <f t="shared" si="0"/>
        <v>2.1350000000000002</v>
      </c>
      <c r="M4" s="2">
        <f>M3*1000/20</f>
        <v>1.7149999999999999</v>
      </c>
      <c r="N4" s="2">
        <f t="shared" ref="N4:X4" si="1">N3*1000/20</f>
        <v>1.95</v>
      </c>
      <c r="O4" s="2">
        <f t="shared" si="1"/>
        <v>1.9</v>
      </c>
      <c r="P4" s="2">
        <f t="shared" si="1"/>
        <v>1.9400000000000002</v>
      </c>
      <c r="Q4" s="2">
        <f t="shared" si="1"/>
        <v>1.9349999999999998</v>
      </c>
      <c r="R4" s="2">
        <f t="shared" si="1"/>
        <v>1.8050000000000002</v>
      </c>
      <c r="S4" s="2">
        <f t="shared" si="1"/>
        <v>1.825</v>
      </c>
      <c r="T4" s="2">
        <f t="shared" si="1"/>
        <v>1.8399999999999999</v>
      </c>
      <c r="U4" s="2">
        <f t="shared" si="1"/>
        <v>1.8649999999999998</v>
      </c>
      <c r="V4" s="2">
        <f t="shared" si="1"/>
        <v>1.9400000000000002</v>
      </c>
      <c r="W4" s="2">
        <f t="shared" si="1"/>
        <v>2</v>
      </c>
      <c r="X4" s="2">
        <f t="shared" si="1"/>
        <v>1.7050000000000001</v>
      </c>
      <c r="Y4" s="2"/>
      <c r="Z4" s="2">
        <f>Z3*1000/20</f>
        <v>1.37</v>
      </c>
      <c r="AA4" s="2">
        <f t="shared" ref="AA4:AM4" si="2">AA3*1000/20</f>
        <v>1.4350000000000001</v>
      </c>
      <c r="AB4" s="2">
        <f t="shared" si="2"/>
        <v>1.37</v>
      </c>
      <c r="AC4" s="2">
        <f t="shared" si="2"/>
        <v>1.3299999999999998</v>
      </c>
      <c r="AD4" s="2">
        <f t="shared" si="2"/>
        <v>1.39</v>
      </c>
      <c r="AE4" s="2">
        <f t="shared" si="2"/>
        <v>1.47</v>
      </c>
      <c r="AF4" s="2">
        <f t="shared" si="2"/>
        <v>1.4200000000000002</v>
      </c>
      <c r="AG4" s="2">
        <f t="shared" si="2"/>
        <v>1.385</v>
      </c>
      <c r="AH4" s="2">
        <f t="shared" si="2"/>
        <v>1.4300000000000002</v>
      </c>
      <c r="AI4" s="2">
        <f t="shared" si="2"/>
        <v>1.31</v>
      </c>
      <c r="AJ4" s="2">
        <f t="shared" si="2"/>
        <v>1.47</v>
      </c>
      <c r="AK4" s="2">
        <f t="shared" si="2"/>
        <v>1.4</v>
      </c>
      <c r="AL4" s="2">
        <f t="shared" si="2"/>
        <v>1.4449999999999998</v>
      </c>
      <c r="AM4" s="2">
        <f t="shared" si="2"/>
        <v>1.4350000000000001</v>
      </c>
      <c r="AN4" s="2">
        <f>AN3*1000/20</f>
        <v>1.37</v>
      </c>
      <c r="AO4" s="2">
        <f t="shared" ref="AO4:AY4" si="3">AO3*1000/20</f>
        <v>1.46</v>
      </c>
      <c r="AP4" s="2">
        <f t="shared" si="3"/>
        <v>1.4650000000000001</v>
      </c>
      <c r="AQ4" s="2">
        <f t="shared" si="3"/>
        <v>1.4650000000000001</v>
      </c>
      <c r="AR4" s="2">
        <f t="shared" si="3"/>
        <v>1.6650000000000003</v>
      </c>
      <c r="AS4" s="2">
        <f t="shared" si="3"/>
        <v>1.4949999999999999</v>
      </c>
      <c r="AT4" s="2">
        <f t="shared" si="3"/>
        <v>1.6199999999999999</v>
      </c>
      <c r="AU4" s="2">
        <f t="shared" si="3"/>
        <v>1.4200000000000002</v>
      </c>
      <c r="AV4" s="2">
        <f t="shared" si="3"/>
        <v>1.365</v>
      </c>
      <c r="AW4" s="2">
        <f t="shared" si="3"/>
        <v>1.59</v>
      </c>
      <c r="AX4" s="2">
        <f t="shared" si="3"/>
        <v>1.4849999999999999</v>
      </c>
      <c r="AY4" s="2">
        <f t="shared" si="3"/>
        <v>1.5649999999999999</v>
      </c>
      <c r="AZ4" t="s">
        <v>24</v>
      </c>
    </row>
    <row r="5" spans="2:52" ht="15.75" x14ac:dyDescent="0.25">
      <c r="B5" s="2">
        <v>169.82</v>
      </c>
      <c r="C5" s="2">
        <v>167.19</v>
      </c>
      <c r="D5" s="2">
        <v>177.7</v>
      </c>
      <c r="E5" s="2">
        <v>178.36</v>
      </c>
      <c r="F5" s="2">
        <v>180.72</v>
      </c>
      <c r="G5" s="2">
        <v>206.55</v>
      </c>
      <c r="H5" s="2">
        <v>200.28</v>
      </c>
      <c r="I5" s="2">
        <v>170.22</v>
      </c>
      <c r="J5" s="2">
        <v>193.03</v>
      </c>
      <c r="K5" s="2">
        <v>187.44</v>
      </c>
      <c r="L5" s="2">
        <v>220.34</v>
      </c>
      <c r="M5" s="2">
        <v>165.05</v>
      </c>
      <c r="N5" s="2">
        <v>177.44</v>
      </c>
      <c r="O5" s="2">
        <v>159.71</v>
      </c>
      <c r="P5" s="2">
        <v>181.15</v>
      </c>
      <c r="Q5" s="2">
        <v>179.84</v>
      </c>
      <c r="R5" s="2">
        <v>178.43</v>
      </c>
      <c r="S5" s="2">
        <v>159.43</v>
      </c>
      <c r="T5" s="2">
        <v>184.34</v>
      </c>
      <c r="U5" s="2">
        <v>125.71</v>
      </c>
      <c r="V5" s="2">
        <v>191.31</v>
      </c>
      <c r="W5" s="2">
        <v>184.14</v>
      </c>
      <c r="X5" s="2">
        <v>169.42</v>
      </c>
      <c r="Y5" s="2"/>
      <c r="Z5" s="2">
        <v>117.13</v>
      </c>
      <c r="AA5" s="2">
        <v>163.76</v>
      </c>
      <c r="AB5" s="2">
        <v>124.54</v>
      </c>
      <c r="AC5" s="2">
        <v>116.68</v>
      </c>
      <c r="AD5" s="2">
        <v>124.22</v>
      </c>
      <c r="AE5" s="2">
        <v>130.33000000000001</v>
      </c>
      <c r="AF5" s="2">
        <v>113.03</v>
      </c>
      <c r="AG5" s="2">
        <v>144.38</v>
      </c>
      <c r="AH5" s="2">
        <v>120.99</v>
      </c>
      <c r="AI5" s="2">
        <v>98.86</v>
      </c>
      <c r="AJ5" s="2">
        <v>114.86</v>
      </c>
      <c r="AK5" s="2">
        <v>129.21</v>
      </c>
      <c r="AL5" s="2">
        <v>127.51</v>
      </c>
      <c r="AM5" s="2">
        <v>146.75</v>
      </c>
      <c r="AN5" s="2">
        <v>108.12</v>
      </c>
      <c r="AO5" s="2">
        <v>118.8</v>
      </c>
      <c r="AP5" s="2">
        <v>121.59</v>
      </c>
      <c r="AQ5" s="2">
        <v>113.41</v>
      </c>
      <c r="AR5" s="2">
        <v>130.19999999999999</v>
      </c>
      <c r="AS5" s="2">
        <v>161.49</v>
      </c>
      <c r="AT5" s="2">
        <v>100.39</v>
      </c>
      <c r="AU5" s="2">
        <v>129.15</v>
      </c>
      <c r="AV5" s="2">
        <v>121.01</v>
      </c>
      <c r="AW5" s="2">
        <v>112.52</v>
      </c>
      <c r="AX5" s="2">
        <v>104.8</v>
      </c>
      <c r="AY5" s="2">
        <v>122.05</v>
      </c>
      <c r="AZ5" t="s">
        <v>25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 Wheeler</dc:creator>
  <cp:lastModifiedBy>Kenneth E Weber</cp:lastModifiedBy>
  <dcterms:created xsi:type="dcterms:W3CDTF">2012-07-23T01:29:48Z</dcterms:created>
  <dcterms:modified xsi:type="dcterms:W3CDTF">2020-06-26T19:21:28Z</dcterms:modified>
</cp:coreProperties>
</file>
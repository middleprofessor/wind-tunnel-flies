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 and FLYING SPEED\BODY WEIGHT and FLYING SPEED-Selected vs Controls-Wheeler 2013\"/>
    </mc:Choice>
  </mc:AlternateContent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Y4" i="1" l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<sst xmlns="http://schemas.openxmlformats.org/spreadsheetml/2006/main" count="53" uniqueCount="53">
  <si>
    <t>1-AA1-M</t>
  </si>
  <si>
    <t>2-AA1-M</t>
  </si>
  <si>
    <t>3-AA1-M</t>
  </si>
  <si>
    <t>4-AA1-M</t>
  </si>
  <si>
    <t>5-AA1-M</t>
  </si>
  <si>
    <t>6-AA1-M</t>
  </si>
  <si>
    <t>7-AA1-M</t>
  </si>
  <si>
    <t>8-AA1-M</t>
  </si>
  <si>
    <t>9-AA1-M</t>
  </si>
  <si>
    <t>10-AA1-M</t>
  </si>
  <si>
    <t>11-AA1-M</t>
  </si>
  <si>
    <t>13-AA1-M</t>
  </si>
  <si>
    <t>14-AA1-M</t>
  </si>
  <si>
    <t>15-AA1-M</t>
  </si>
  <si>
    <t>total in g</t>
  </si>
  <si>
    <t>single in mg</t>
  </si>
  <si>
    <t>speed</t>
  </si>
  <si>
    <t>1-AA2-M</t>
  </si>
  <si>
    <t>3-AA2-M</t>
  </si>
  <si>
    <t>4-AA2-M</t>
  </si>
  <si>
    <t>5-AA2-M</t>
  </si>
  <si>
    <t>6-AA2-M</t>
  </si>
  <si>
    <t>7-AA2-M</t>
  </si>
  <si>
    <t>8-AA2-M</t>
  </si>
  <si>
    <t>9-AA2-M</t>
  </si>
  <si>
    <t>10-AA2-M</t>
  </si>
  <si>
    <t>11-AA2-M</t>
  </si>
  <si>
    <t>13-AA2-M</t>
  </si>
  <si>
    <t>14-AA2-M</t>
  </si>
  <si>
    <t>15-AA2-M</t>
  </si>
  <si>
    <t>1-K45-M</t>
  </si>
  <si>
    <t>2-K45-M</t>
  </si>
  <si>
    <t>3-K45-M</t>
  </si>
  <si>
    <t>4-K45-M</t>
  </si>
  <si>
    <t>5-K45-M</t>
  </si>
  <si>
    <t>8-K45-M</t>
  </si>
  <si>
    <t>9-K45-M</t>
  </si>
  <si>
    <t>10-K45-M</t>
  </si>
  <si>
    <t>11-K45-M</t>
  </si>
  <si>
    <t>13-K45-M</t>
  </si>
  <si>
    <t>15-K45-M</t>
  </si>
  <si>
    <t>1-N60-M</t>
  </si>
  <si>
    <t>2-N60-M</t>
  </si>
  <si>
    <t>3-N60-M</t>
  </si>
  <si>
    <t>4-N60-M</t>
  </si>
  <si>
    <t>5-N60-M</t>
  </si>
  <si>
    <t>6-N60-M</t>
  </si>
  <si>
    <t>7-N60-M</t>
  </si>
  <si>
    <t>9-N60-M</t>
  </si>
  <si>
    <t>10-N60-M</t>
  </si>
  <si>
    <t>11-N60-M</t>
  </si>
  <si>
    <t>13-N60-M</t>
  </si>
  <si>
    <t>15-N60-M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</si>
</sst>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theme="1"/>
      <name val="Calibri"/>
      <family val="2"/>
      <scheme val="minor"/>
    </font>
    <font>
      <sz val="12"/>
      <color rgb="FF000000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0" borderId="0" xfId="0" applyFont="1"/>
    <xf numFmtId="0" fontId="4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u="sng"/>
              <a:t>Males</a:t>
            </a:r>
          </a:p>
          <a:p>
            <a:pPr>
              <a:defRPr/>
            </a:pPr>
            <a:r>
              <a:rPr lang="en-US"/>
              <a:t>Selected vs Wild-Type</a:t>
            </a:r>
          </a:p>
        </c:rich>
      </c:tx>
      <c:layout>
        <c:manualLayout>
          <c:xMode val="edge"/>
          <c:yMode val="edge"/>
          <c:x val="0.62759243108316587"/>
          <c:y val="7.536231884057971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307148745034568"/>
          <c:y val="3.3060823918749288E-2"/>
          <c:w val="0.83602542115470013"/>
          <c:h val="0.82682254935524369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</c:spPr>
          <c:marker>
            <c:symbol val="circle"/>
            <c:size val="10"/>
            <c:spPr>
              <a:noFill/>
              <a:ln w="22225">
                <a:solidFill>
                  <a:schemeClr val="tx1">
                    <a:shade val="95000"/>
                    <a:satMod val="105000"/>
                  </a:schemeClr>
                </a:solidFill>
              </a:ln>
            </c:spPr>
          </c:marker>
          <c:trendline>
            <c:spPr>
              <a:ln w="31750"/>
            </c:spPr>
            <c:trendlineType val="linear"/>
            <c:dispRSqr val="1"/>
            <c:dispEq val="1"/>
            <c:trendlineLbl>
              <c:layout>
                <c:manualLayout>
                  <c:x val="0.26106900003481665"/>
                  <c:y val="0.3484881889763779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 b="1" i="0" baseline="0"/>
                  </a:pPr>
                  <a:endParaRPr lang="en-US"/>
                </a:p>
              </c:txPr>
            </c:trendlineLbl>
          </c:trendline>
          <c:xVal>
            <c:numRef>
              <c:f>Sheet1!$B$4:$AY$4</c:f>
              <c:numCache>
                <c:formatCode>General</c:formatCode>
                <c:ptCount val="50"/>
                <c:pt idx="0">
                  <c:v>1.21</c:v>
                </c:pt>
                <c:pt idx="1">
                  <c:v>1.2050000000000001</c:v>
                </c:pt>
                <c:pt idx="2">
                  <c:v>1.2200000000000002</c:v>
                </c:pt>
                <c:pt idx="3">
                  <c:v>1.18</c:v>
                </c:pt>
                <c:pt idx="4">
                  <c:v>1.1299999999999999</c:v>
                </c:pt>
                <c:pt idx="5">
                  <c:v>1.175</c:v>
                </c:pt>
                <c:pt idx="6">
                  <c:v>1.1850000000000001</c:v>
                </c:pt>
                <c:pt idx="7">
                  <c:v>1.1549999999999998</c:v>
                </c:pt>
                <c:pt idx="8">
                  <c:v>1.24</c:v>
                </c:pt>
                <c:pt idx="9">
                  <c:v>1.1400000000000001</c:v>
                </c:pt>
                <c:pt idx="10">
                  <c:v>1.29</c:v>
                </c:pt>
                <c:pt idx="11">
                  <c:v>1.34</c:v>
                </c:pt>
                <c:pt idx="12">
                  <c:v>1.1549999999999998</c:v>
                </c:pt>
                <c:pt idx="13">
                  <c:v>1.2149999999999999</c:v>
                </c:pt>
                <c:pt idx="14">
                  <c:v>1.1850000000000001</c:v>
                </c:pt>
                <c:pt idx="15">
                  <c:v>1.2149999999999999</c:v>
                </c:pt>
                <c:pt idx="16">
                  <c:v>1.2</c:v>
                </c:pt>
                <c:pt idx="17">
                  <c:v>1.21</c:v>
                </c:pt>
                <c:pt idx="18">
                  <c:v>1.1299999999999999</c:v>
                </c:pt>
                <c:pt idx="19">
                  <c:v>1.095</c:v>
                </c:pt>
                <c:pt idx="20">
                  <c:v>1.1599999999999999</c:v>
                </c:pt>
                <c:pt idx="21">
                  <c:v>1.21</c:v>
                </c:pt>
                <c:pt idx="22">
                  <c:v>1.1599999999999999</c:v>
                </c:pt>
                <c:pt idx="23">
                  <c:v>1.25</c:v>
                </c:pt>
                <c:pt idx="24">
                  <c:v>1.2749999999999999</c:v>
                </c:pt>
                <c:pt idx="25">
                  <c:v>1.175</c:v>
                </c:pt>
                <c:pt idx="26">
                  <c:v>1.165</c:v>
                </c:pt>
                <c:pt idx="27">
                  <c:v>0.92999999999999994</c:v>
                </c:pt>
                <c:pt idx="28">
                  <c:v>0.93500000000000016</c:v>
                </c:pt>
                <c:pt idx="29">
                  <c:v>0.77500000000000002</c:v>
                </c:pt>
                <c:pt idx="30">
                  <c:v>0.90999999999999992</c:v>
                </c:pt>
                <c:pt idx="31">
                  <c:v>0.91500000000000004</c:v>
                </c:pt>
                <c:pt idx="32">
                  <c:v>0.9</c:v>
                </c:pt>
                <c:pt idx="33">
                  <c:v>0.92500000000000004</c:v>
                </c:pt>
                <c:pt idx="34">
                  <c:v>0.875</c:v>
                </c:pt>
                <c:pt idx="35">
                  <c:v>0.89499999999999991</c:v>
                </c:pt>
                <c:pt idx="36">
                  <c:v>0.89499999999999991</c:v>
                </c:pt>
                <c:pt idx="37">
                  <c:v>0.9</c:v>
                </c:pt>
                <c:pt idx="38">
                  <c:v>0.92500000000000004</c:v>
                </c:pt>
                <c:pt idx="39">
                  <c:v>0.89499999999999991</c:v>
                </c:pt>
                <c:pt idx="40">
                  <c:v>0.92500000000000004</c:v>
                </c:pt>
                <c:pt idx="41">
                  <c:v>0.91500000000000004</c:v>
                </c:pt>
                <c:pt idx="42">
                  <c:v>0.86999999999999988</c:v>
                </c:pt>
                <c:pt idx="43">
                  <c:v>0.92999999999999994</c:v>
                </c:pt>
                <c:pt idx="44">
                  <c:v>0.85500000000000009</c:v>
                </c:pt>
                <c:pt idx="45">
                  <c:v>0.91500000000000004</c:v>
                </c:pt>
                <c:pt idx="46">
                  <c:v>0.91500000000000004</c:v>
                </c:pt>
                <c:pt idx="47">
                  <c:v>0.91500000000000004</c:v>
                </c:pt>
                <c:pt idx="48">
                  <c:v>0.85500000000000009</c:v>
                </c:pt>
                <c:pt idx="49">
                  <c:v>0.89499999999999991</c:v>
                </c:pt>
              </c:numCache>
            </c:numRef>
          </c:xVal>
          <c:yVal>
            <c:numRef>
              <c:f>Sheet1!$B$5:$AY$5</c:f>
              <c:numCache>
                <c:formatCode>General</c:formatCode>
                <c:ptCount val="50"/>
                <c:pt idx="0">
                  <c:v>165.2</c:v>
                </c:pt>
                <c:pt idx="1">
                  <c:v>157.26</c:v>
                </c:pt>
                <c:pt idx="2">
                  <c:v>158.38</c:v>
                </c:pt>
                <c:pt idx="3">
                  <c:v>177.37</c:v>
                </c:pt>
                <c:pt idx="4">
                  <c:v>170.73</c:v>
                </c:pt>
                <c:pt idx="5">
                  <c:v>184.15</c:v>
                </c:pt>
                <c:pt idx="6">
                  <c:v>155.63999999999999</c:v>
                </c:pt>
                <c:pt idx="7">
                  <c:v>215.69</c:v>
                </c:pt>
                <c:pt idx="8">
                  <c:v>180.84</c:v>
                </c:pt>
                <c:pt idx="9">
                  <c:v>134.57</c:v>
                </c:pt>
                <c:pt idx="10">
                  <c:v>195.09</c:v>
                </c:pt>
                <c:pt idx="11">
                  <c:v>184.11</c:v>
                </c:pt>
                <c:pt idx="12">
                  <c:v>188.75</c:v>
                </c:pt>
                <c:pt idx="13">
                  <c:v>190.49</c:v>
                </c:pt>
                <c:pt idx="14">
                  <c:v>137.69</c:v>
                </c:pt>
                <c:pt idx="15">
                  <c:v>167.52</c:v>
                </c:pt>
                <c:pt idx="16">
                  <c:v>159.88</c:v>
                </c:pt>
                <c:pt idx="17">
                  <c:v>186.26</c:v>
                </c:pt>
                <c:pt idx="18">
                  <c:v>191.68</c:v>
                </c:pt>
                <c:pt idx="19">
                  <c:v>200.14</c:v>
                </c:pt>
                <c:pt idx="20">
                  <c:v>224.02</c:v>
                </c:pt>
                <c:pt idx="21">
                  <c:v>182.08</c:v>
                </c:pt>
                <c:pt idx="22">
                  <c:v>192.35</c:v>
                </c:pt>
                <c:pt idx="23">
                  <c:v>153.69</c:v>
                </c:pt>
                <c:pt idx="24">
                  <c:v>143.83000000000001</c:v>
                </c:pt>
                <c:pt idx="25">
                  <c:v>196.69</c:v>
                </c:pt>
                <c:pt idx="26">
                  <c:v>179.19</c:v>
                </c:pt>
                <c:pt idx="27">
                  <c:v>133.52000000000001</c:v>
                </c:pt>
                <c:pt idx="28">
                  <c:v>145.11000000000001</c:v>
                </c:pt>
                <c:pt idx="29">
                  <c:v>133.71</c:v>
                </c:pt>
                <c:pt idx="30">
                  <c:v>117.53</c:v>
                </c:pt>
                <c:pt idx="31">
                  <c:v>127.32</c:v>
                </c:pt>
                <c:pt idx="32">
                  <c:v>94.17</c:v>
                </c:pt>
                <c:pt idx="33">
                  <c:v>129.80000000000001</c:v>
                </c:pt>
                <c:pt idx="34">
                  <c:v>116.64</c:v>
                </c:pt>
                <c:pt idx="35">
                  <c:v>116.92</c:v>
                </c:pt>
                <c:pt idx="36">
                  <c:v>135.43</c:v>
                </c:pt>
                <c:pt idx="37">
                  <c:v>128.65</c:v>
                </c:pt>
                <c:pt idx="38">
                  <c:v>130.38999999999999</c:v>
                </c:pt>
                <c:pt idx="39">
                  <c:v>151.38</c:v>
                </c:pt>
                <c:pt idx="40">
                  <c:v>139.62</c:v>
                </c:pt>
                <c:pt idx="41">
                  <c:v>141.15</c:v>
                </c:pt>
                <c:pt idx="42">
                  <c:v>145.62</c:v>
                </c:pt>
                <c:pt idx="43">
                  <c:v>147.93</c:v>
                </c:pt>
                <c:pt idx="44">
                  <c:v>130.52000000000001</c:v>
                </c:pt>
                <c:pt idx="45">
                  <c:v>133.96</c:v>
                </c:pt>
                <c:pt idx="46">
                  <c:v>160.81</c:v>
                </c:pt>
                <c:pt idx="47">
                  <c:v>109.02</c:v>
                </c:pt>
                <c:pt idx="48">
                  <c:v>109.54</c:v>
                </c:pt>
                <c:pt idx="49">
                  <c:v>127.18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AB-4253-ABDD-D0F402ACA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21920"/>
        <c:axId val="136723456"/>
      </c:scatterChart>
      <c:valAx>
        <c:axId val="136721920"/>
        <c:scaling>
          <c:orientation val="minMax"/>
          <c:max val="2.5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1600" baseline="0"/>
                </a:pPr>
                <a:r>
                  <a:rPr lang="en-US" sz="1600" baseline="0"/>
                  <a:t>Mean Fly Weight (mg)</a:t>
                </a:r>
              </a:p>
            </c:rich>
          </c:tx>
          <c:layout>
            <c:manualLayout>
              <c:xMode val="edge"/>
              <c:yMode val="edge"/>
              <c:x val="0.40285057920162326"/>
              <c:y val="0.93372863174711851"/>
            </c:manualLayout>
          </c:layout>
          <c:overlay val="0"/>
        </c:title>
        <c:numFmt formatCode="#,##0.0" sourceLinked="0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400" b="1" i="0" baseline="0"/>
            </a:pPr>
            <a:endParaRPr lang="en-US"/>
          </a:p>
        </c:txPr>
        <c:crossAx val="136723456"/>
        <c:crosses val="autoZero"/>
        <c:crossBetween val="midCat"/>
        <c:majorUnit val="0.1"/>
      </c:valAx>
      <c:valAx>
        <c:axId val="136723456"/>
        <c:scaling>
          <c:orientation val="minMax"/>
          <c:max val="275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 baseline="0"/>
                </a:pPr>
                <a:r>
                  <a:rPr lang="en-US" sz="1600" baseline="0"/>
                  <a:t>Mean Maximum Speed (cm/sec)</a:t>
                </a:r>
              </a:p>
            </c:rich>
          </c:tx>
          <c:layout>
            <c:manualLayout>
              <c:xMode val="edge"/>
              <c:yMode val="edge"/>
              <c:x val="7.3123639626106341E-3"/>
              <c:y val="0.1629213739586899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ysClr val="windowText" lastClr="000000"/>
            </a:solidFill>
          </a:ln>
        </c:spPr>
        <c:txPr>
          <a:bodyPr/>
          <a:lstStyle/>
          <a:p>
            <a:pPr>
              <a:defRPr sz="1350" b="1" i="0" baseline="0"/>
            </a:pPr>
            <a:endParaRPr lang="en-US"/>
          </a:p>
        </c:txPr>
        <c:crossAx val="136721920"/>
        <c:crosses val="autoZero"/>
        <c:crossBetween val="midCat"/>
        <c:majorUnit val="25"/>
      </c:valAx>
      <c:spPr>
        <a:ln w="12700">
          <a:solidFill>
            <a:schemeClr val="tx1"/>
          </a:solidFill>
        </a:ln>
      </c:spPr>
    </c:plotArea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644524</xdr:colOff>
      <xdr:row>8</xdr:row>
      <xdr:rowOff>44450</xdr:rowOff>
    </xdr:from>
    <xdr:to>
      <xdr:col>16</xdr:col>
      <xdr:colOff>9525</xdr:colOff>
      <xdr:row>31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247650</xdr:colOff>
      <xdr:row>17</xdr:row>
      <xdr:rowOff>171450</xdr:rowOff>
    </xdr:from>
    <xdr:to>
      <xdr:col>22</xdr:col>
      <xdr:colOff>104775</xdr:colOff>
      <xdr:row>22</xdr:row>
      <xdr:rowOff>28575</xdr:rowOff>
    </xdr:to>
    <xdr:sp macro="" textlink="">
      <xdr:nvSpPr>
        <xdr:cNvPr id="3" name="TextBox 2"/>
        <xdr:cNvSpPr txBox="1"/>
      </xdr:nvSpPr>
      <xdr:spPr>
        <a:xfrm>
          <a:off x="10277475" y="3467100"/>
          <a:ext cx="351472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Data</a:t>
          </a:r>
          <a:r>
            <a:rPr lang="en-US" sz="1100" b="1" baseline="0"/>
            <a:t> from Wheeler 2013. Males of AA1, AA2, K45 &amp; N60, only from those sets where the runs were successful.  Were able to get data from an average of 16 flies per run, out of 30 per run. 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Z5"/>
  <sheetViews>
    <sheetView tabSelected="1" topLeftCell="B1" zoomScaleNormal="100" workbookViewId="0">
      <selection activeCell="AD31" sqref="AD31"/>
    </sheetView>
  </sheetViews>
  <sheetFormatPr defaultRowHeight="15" x14ac:dyDescent="0.25"/>
  <cols>
    <col min="2" max="2" width="10.7109375" customWidth="1"/>
    <col min="3" max="3" width="9.85546875" customWidth="1"/>
    <col min="4" max="4" width="10" customWidth="1"/>
    <col min="5" max="5" width="10.140625" customWidth="1"/>
  </cols>
  <sheetData>
    <row r="1" spans="2:52" s="3" customFormat="1" ht="15.75" x14ac:dyDescent="0.25"/>
    <row r="2" spans="2:52" s="3" customFormat="1" ht="16.5" customHeight="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2"/>
    </row>
    <row r="3" spans="2:52" s="3" customFormat="1" ht="15.75" x14ac:dyDescent="0.25">
      <c r="B3" s="2">
        <v>2.4199999999999999E-2</v>
      </c>
      <c r="C3" s="2">
        <v>2.41E-2</v>
      </c>
      <c r="D3" s="2">
        <v>2.4400000000000002E-2</v>
      </c>
      <c r="E3" s="2">
        <v>2.3599999999999999E-2</v>
      </c>
      <c r="F3" s="2">
        <v>2.2599999999999999E-2</v>
      </c>
      <c r="G3" s="2">
        <v>2.35E-2</v>
      </c>
      <c r="H3" s="2">
        <v>2.3699999999999999E-2</v>
      </c>
      <c r="I3" s="2">
        <v>2.3099999999999999E-2</v>
      </c>
      <c r="J3" s="2">
        <v>2.4799999999999999E-2</v>
      </c>
      <c r="K3" s="2">
        <v>2.2800000000000001E-2</v>
      </c>
      <c r="L3" s="2">
        <v>2.58E-2</v>
      </c>
      <c r="M3" s="2">
        <v>2.6800000000000001E-2</v>
      </c>
      <c r="N3" s="2">
        <v>2.3099999999999999E-2</v>
      </c>
      <c r="O3" s="2">
        <v>2.4299999999999999E-2</v>
      </c>
      <c r="P3" s="2">
        <v>2.3699999999999999E-2</v>
      </c>
      <c r="Q3" s="2">
        <v>2.4299999999999999E-2</v>
      </c>
      <c r="R3" s="2">
        <v>2.4E-2</v>
      </c>
      <c r="S3" s="2">
        <v>2.4199999999999999E-2</v>
      </c>
      <c r="T3" s="2">
        <v>2.2599999999999999E-2</v>
      </c>
      <c r="U3" s="2">
        <v>2.1899999999999999E-2</v>
      </c>
      <c r="V3" s="2">
        <v>2.3199999999999998E-2</v>
      </c>
      <c r="W3" s="2">
        <v>2.4199999999999999E-2</v>
      </c>
      <c r="X3" s="2">
        <v>2.3199999999999998E-2</v>
      </c>
      <c r="Y3" s="2">
        <v>2.5000000000000001E-2</v>
      </c>
      <c r="Z3" s="2">
        <v>2.5499999999999998E-2</v>
      </c>
      <c r="AA3" s="2">
        <v>2.35E-2</v>
      </c>
      <c r="AB3" s="2">
        <v>2.3300000000000001E-2</v>
      </c>
      <c r="AC3" s="2">
        <v>1.8599999999999998E-2</v>
      </c>
      <c r="AD3" s="2">
        <v>1.8700000000000001E-2</v>
      </c>
      <c r="AE3" s="2">
        <v>1.55E-2</v>
      </c>
      <c r="AF3" s="2">
        <v>1.8200000000000001E-2</v>
      </c>
      <c r="AG3" s="2">
        <v>1.83E-2</v>
      </c>
      <c r="AH3" s="2">
        <v>1.7999999999999999E-2</v>
      </c>
      <c r="AI3" s="2">
        <v>1.8499999999999999E-2</v>
      </c>
      <c r="AJ3" s="2">
        <v>1.7500000000000002E-2</v>
      </c>
      <c r="AK3" s="2">
        <v>1.7899999999999999E-2</v>
      </c>
      <c r="AL3" s="2">
        <v>1.7899999999999999E-2</v>
      </c>
      <c r="AM3" s="2">
        <v>1.7999999999999999E-2</v>
      </c>
      <c r="AN3" s="2">
        <v>1.8499999999999999E-2</v>
      </c>
      <c r="AO3" s="2">
        <v>1.7899999999999999E-2</v>
      </c>
      <c r="AP3" s="2">
        <v>1.8499999999999999E-2</v>
      </c>
      <c r="AQ3" s="2">
        <v>1.83E-2</v>
      </c>
      <c r="AR3" s="2">
        <v>1.7399999999999999E-2</v>
      </c>
      <c r="AS3" s="2">
        <v>1.8599999999999998E-2</v>
      </c>
      <c r="AT3" s="2">
        <v>1.7100000000000001E-2</v>
      </c>
      <c r="AU3" s="2">
        <v>1.83E-2</v>
      </c>
      <c r="AV3" s="2">
        <v>1.83E-2</v>
      </c>
      <c r="AW3" s="2">
        <v>1.83E-2</v>
      </c>
      <c r="AX3" s="2">
        <v>1.7100000000000001E-2</v>
      </c>
      <c r="AY3" s="2">
        <v>1.7899999999999999E-2</v>
      </c>
      <c r="AZ3" s="3" t="s">
        <v>14</v>
      </c>
    </row>
    <row r="4" spans="2:52" s="3" customFormat="1" ht="15.75" x14ac:dyDescent="0.25">
      <c r="B4" s="3">
        <f>B3*1000/20</f>
        <v>1.21</v>
      </c>
      <c r="C4" s="3">
        <f t="shared" ref="C4:O4" si="0">C3*1000/20</f>
        <v>1.2050000000000001</v>
      </c>
      <c r="D4" s="3">
        <f t="shared" si="0"/>
        <v>1.2200000000000002</v>
      </c>
      <c r="E4" s="3">
        <f t="shared" si="0"/>
        <v>1.18</v>
      </c>
      <c r="F4" s="3">
        <f t="shared" si="0"/>
        <v>1.1299999999999999</v>
      </c>
      <c r="G4" s="3">
        <f t="shared" si="0"/>
        <v>1.175</v>
      </c>
      <c r="H4" s="3">
        <f t="shared" si="0"/>
        <v>1.1850000000000001</v>
      </c>
      <c r="I4" s="3">
        <f t="shared" si="0"/>
        <v>1.1549999999999998</v>
      </c>
      <c r="J4" s="3">
        <f t="shared" si="0"/>
        <v>1.24</v>
      </c>
      <c r="K4" s="3">
        <f t="shared" si="0"/>
        <v>1.1400000000000001</v>
      </c>
      <c r="L4" s="3">
        <f t="shared" si="0"/>
        <v>1.29</v>
      </c>
      <c r="M4" s="3">
        <f t="shared" si="0"/>
        <v>1.34</v>
      </c>
      <c r="N4" s="3">
        <f t="shared" si="0"/>
        <v>1.1549999999999998</v>
      </c>
      <c r="O4" s="3">
        <f t="shared" si="0"/>
        <v>1.2149999999999999</v>
      </c>
      <c r="P4" s="3">
        <f>P3*1000/20</f>
        <v>1.1850000000000001</v>
      </c>
      <c r="Q4" s="3">
        <f t="shared" ref="Q4:AB4" si="1">Q3*1000/20</f>
        <v>1.2149999999999999</v>
      </c>
      <c r="R4" s="3">
        <f t="shared" si="1"/>
        <v>1.2</v>
      </c>
      <c r="S4" s="3">
        <f t="shared" si="1"/>
        <v>1.21</v>
      </c>
      <c r="T4" s="3">
        <f t="shared" si="1"/>
        <v>1.1299999999999999</v>
      </c>
      <c r="U4" s="3">
        <f t="shared" si="1"/>
        <v>1.095</v>
      </c>
      <c r="V4" s="3">
        <f t="shared" si="1"/>
        <v>1.1599999999999999</v>
      </c>
      <c r="W4" s="3">
        <f t="shared" si="1"/>
        <v>1.21</v>
      </c>
      <c r="X4" s="3">
        <f t="shared" si="1"/>
        <v>1.1599999999999999</v>
      </c>
      <c r="Y4" s="3">
        <f t="shared" si="1"/>
        <v>1.25</v>
      </c>
      <c r="Z4" s="3">
        <f t="shared" si="1"/>
        <v>1.2749999999999999</v>
      </c>
      <c r="AA4" s="3">
        <f t="shared" si="1"/>
        <v>1.175</v>
      </c>
      <c r="AB4" s="3">
        <f t="shared" si="1"/>
        <v>1.165</v>
      </c>
      <c r="AC4" s="3">
        <f>AC3*1000/20</f>
        <v>0.92999999999999994</v>
      </c>
      <c r="AD4" s="3">
        <f t="shared" ref="AD4:AM4" si="2">AD3*1000/20</f>
        <v>0.93500000000000016</v>
      </c>
      <c r="AE4" s="3">
        <f t="shared" si="2"/>
        <v>0.77500000000000002</v>
      </c>
      <c r="AF4" s="3">
        <f t="shared" si="2"/>
        <v>0.90999999999999992</v>
      </c>
      <c r="AG4" s="3">
        <f t="shared" si="2"/>
        <v>0.91500000000000004</v>
      </c>
      <c r="AH4" s="3">
        <f t="shared" si="2"/>
        <v>0.9</v>
      </c>
      <c r="AI4" s="3">
        <f t="shared" si="2"/>
        <v>0.92500000000000004</v>
      </c>
      <c r="AJ4" s="3">
        <f t="shared" si="2"/>
        <v>0.875</v>
      </c>
      <c r="AK4" s="3">
        <f t="shared" si="2"/>
        <v>0.89499999999999991</v>
      </c>
      <c r="AL4" s="3">
        <f t="shared" si="2"/>
        <v>0.89499999999999991</v>
      </c>
      <c r="AM4" s="3">
        <f t="shared" si="2"/>
        <v>0.9</v>
      </c>
      <c r="AN4" s="3">
        <f>AN3*1000/20</f>
        <v>0.92500000000000004</v>
      </c>
      <c r="AO4" s="3">
        <f t="shared" ref="AO4:AY4" si="3">AO3*1000/20</f>
        <v>0.89499999999999991</v>
      </c>
      <c r="AP4" s="3">
        <f t="shared" si="3"/>
        <v>0.92500000000000004</v>
      </c>
      <c r="AQ4" s="3">
        <f t="shared" si="3"/>
        <v>0.91500000000000004</v>
      </c>
      <c r="AR4" s="3">
        <f t="shared" si="3"/>
        <v>0.86999999999999988</v>
      </c>
      <c r="AS4" s="3">
        <f t="shared" si="3"/>
        <v>0.92999999999999994</v>
      </c>
      <c r="AT4" s="3">
        <f t="shared" si="3"/>
        <v>0.85500000000000009</v>
      </c>
      <c r="AU4" s="3">
        <f t="shared" si="3"/>
        <v>0.91500000000000004</v>
      </c>
      <c r="AV4" s="3">
        <f t="shared" si="3"/>
        <v>0.91500000000000004</v>
      </c>
      <c r="AW4" s="3">
        <f t="shared" si="3"/>
        <v>0.91500000000000004</v>
      </c>
      <c r="AX4" s="3">
        <f t="shared" si="3"/>
        <v>0.85500000000000009</v>
      </c>
      <c r="AY4" s="3">
        <f t="shared" si="3"/>
        <v>0.89499999999999991</v>
      </c>
      <c r="AZ4" s="3" t="s">
        <v>15</v>
      </c>
    </row>
    <row r="5" spans="2:52" s="3" customFormat="1" ht="15.75" x14ac:dyDescent="0.25">
      <c r="B5" s="4">
        <v>165.2</v>
      </c>
      <c r="C5" s="4">
        <v>157.26</v>
      </c>
      <c r="D5" s="4">
        <v>158.38</v>
      </c>
      <c r="E5" s="4">
        <v>177.37</v>
      </c>
      <c r="F5" s="4">
        <v>170.73</v>
      </c>
      <c r="G5" s="4">
        <v>184.15</v>
      </c>
      <c r="H5" s="4">
        <v>155.63999999999999</v>
      </c>
      <c r="I5" s="4">
        <v>215.69</v>
      </c>
      <c r="J5" s="4">
        <v>180.84</v>
      </c>
      <c r="K5" s="4">
        <v>134.57</v>
      </c>
      <c r="L5" s="4">
        <v>195.09</v>
      </c>
      <c r="M5" s="4">
        <v>184.11</v>
      </c>
      <c r="N5" s="4">
        <v>188.75</v>
      </c>
      <c r="O5" s="4">
        <v>190.49</v>
      </c>
      <c r="P5" s="4">
        <v>137.69</v>
      </c>
      <c r="Q5" s="2">
        <v>167.52</v>
      </c>
      <c r="R5" s="2">
        <v>159.88</v>
      </c>
      <c r="S5" s="2">
        <v>186.26</v>
      </c>
      <c r="T5" s="2">
        <v>191.68</v>
      </c>
      <c r="U5" s="2">
        <v>200.14</v>
      </c>
      <c r="V5" s="2">
        <v>224.02</v>
      </c>
      <c r="W5" s="2">
        <v>182.08</v>
      </c>
      <c r="X5" s="2">
        <v>192.35</v>
      </c>
      <c r="Y5" s="2">
        <v>153.69</v>
      </c>
      <c r="Z5" s="2">
        <v>143.83000000000001</v>
      </c>
      <c r="AA5" s="2">
        <v>196.69</v>
      </c>
      <c r="AB5" s="2">
        <v>179.19</v>
      </c>
      <c r="AC5" s="4">
        <v>133.52000000000001</v>
      </c>
      <c r="AD5" s="2">
        <v>145.11000000000001</v>
      </c>
      <c r="AE5" s="2">
        <v>133.71</v>
      </c>
      <c r="AF5" s="2">
        <v>117.53</v>
      </c>
      <c r="AG5" s="2">
        <v>127.32</v>
      </c>
      <c r="AH5" s="2">
        <v>94.17</v>
      </c>
      <c r="AI5" s="2">
        <v>129.80000000000001</v>
      </c>
      <c r="AJ5" s="2">
        <v>116.64</v>
      </c>
      <c r="AK5" s="2">
        <v>116.92</v>
      </c>
      <c r="AL5" s="2">
        <v>135.43</v>
      </c>
      <c r="AM5" s="2">
        <v>128.65</v>
      </c>
      <c r="AN5" s="4">
        <v>130.38999999999999</v>
      </c>
      <c r="AO5" s="2">
        <v>151.38</v>
      </c>
      <c r="AP5" s="2">
        <v>139.62</v>
      </c>
      <c r="AQ5" s="2">
        <v>141.15</v>
      </c>
      <c r="AR5" s="2">
        <v>145.62</v>
      </c>
      <c r="AS5" s="2">
        <v>147.93</v>
      </c>
      <c r="AT5" s="2">
        <v>130.52000000000001</v>
      </c>
      <c r="AU5" s="2">
        <v>133.96</v>
      </c>
      <c r="AV5" s="2">
        <v>160.81</v>
      </c>
      <c r="AW5" s="2">
        <v>109.02</v>
      </c>
      <c r="AX5" s="2">
        <v>109.54</v>
      </c>
      <c r="AY5" s="2">
        <v>127.18</v>
      </c>
      <c r="AZ5" s="3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Kenneth E Weber</cp:lastModifiedBy>
  <dcterms:created xsi:type="dcterms:W3CDTF">2012-07-23T00:55:25Z</dcterms:created>
  <dcterms:modified xsi:type="dcterms:W3CDTF">2020-06-26T19:21:22Z</dcterms:modified>
</cp:coreProperties>
</file>
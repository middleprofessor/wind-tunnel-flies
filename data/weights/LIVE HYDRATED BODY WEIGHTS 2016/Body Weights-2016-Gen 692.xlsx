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A-RESEARCH-KenWeber8\WT New Data\BODY WEIGHTS\BODY WEIGHTS 2016\"/>
    </mc:Choice>
  </mc:AlternateContent>
  <bookViews>
    <workbookView xWindow="240" yWindow="72" windowWidth="16488" windowHeight="7992" activeTab="3"/>
  </bookViews>
  <sheets>
    <sheet name="FEMALE WEIGHTS" sheetId="1" r:id="rId1"/>
    <sheet name="MALE WEIGHTS" sheetId="2" r:id="rId2"/>
    <sheet name="FEMALE WEIGHT MEANS" sheetId="3" r:id="rId3"/>
    <sheet name="MALE WEIGHT MEANS" sheetId="4" r:id="rId4"/>
  </sheets>
  <calcPr calcId="162913"/>
</workbook>
</file>

<file path=xl/calcChain.xml><?xml version="1.0" encoding="utf-8"?>
<calcChain xmlns="http://schemas.openxmlformats.org/spreadsheetml/2006/main">
  <c r="T14" i="3" l="1"/>
  <c r="T13" i="3"/>
  <c r="P14" i="3"/>
  <c r="P13" i="3"/>
  <c r="L14" i="3"/>
  <c r="L13" i="3"/>
  <c r="H14" i="3"/>
  <c r="H13" i="3"/>
  <c r="D14" i="3"/>
  <c r="D13" i="3"/>
  <c r="T13" i="4" l="1"/>
  <c r="T14" i="4"/>
  <c r="P13" i="4"/>
  <c r="P14" i="4"/>
  <c r="L13" i="4"/>
  <c r="L14" i="4"/>
  <c r="H13" i="4"/>
  <c r="H14" i="4"/>
  <c r="D13" i="4"/>
  <c r="D14" i="4"/>
  <c r="T12" i="2" l="1"/>
  <c r="S12" i="2"/>
  <c r="R12" i="2"/>
  <c r="P12" i="2"/>
  <c r="O12" i="2"/>
  <c r="N12" i="2"/>
  <c r="L12" i="2"/>
  <c r="K12" i="2"/>
  <c r="J12" i="2"/>
  <c r="D12" i="2"/>
  <c r="C12" i="2"/>
  <c r="B12" i="2"/>
  <c r="H12" i="2"/>
  <c r="G12" i="2"/>
  <c r="F12" i="2"/>
  <c r="T11" i="1" l="1"/>
  <c r="S11" i="1"/>
  <c r="R11" i="1"/>
  <c r="P11" i="1"/>
  <c r="O11" i="1"/>
  <c r="N11" i="1"/>
  <c r="L11" i="1"/>
  <c r="K11" i="1"/>
  <c r="J11" i="1"/>
  <c r="H11" i="1"/>
  <c r="G11" i="1"/>
  <c r="F11" i="1"/>
  <c r="D11" i="1"/>
  <c r="C11" i="1"/>
  <c r="B11" i="1"/>
</calcChain>
</file>

<file path=xl/sharedStrings.xml><?xml version="1.0" encoding="utf-8"?>
<sst xmlns="http://schemas.openxmlformats.org/spreadsheetml/2006/main" count="94" uniqueCount="17">
  <si>
    <t>N60</t>
  </si>
  <si>
    <t>Plus Flies</t>
  </si>
  <si>
    <t>Tare</t>
  </si>
  <si>
    <t>Weight</t>
  </si>
  <si>
    <t>AL45</t>
  </si>
  <si>
    <t>TH62</t>
  </si>
  <si>
    <t>AA1</t>
  </si>
  <si>
    <t>AA2</t>
  </si>
  <si>
    <t>TOTALS</t>
  </si>
  <si>
    <t>MEAN</t>
  </si>
  <si>
    <t>SD</t>
  </si>
  <si>
    <t>MALES</t>
  </si>
  <si>
    <t>FEMALES</t>
  </si>
  <si>
    <r>
      <t xml:space="preserve">NF </t>
    </r>
    <r>
      <rPr>
        <b/>
        <sz val="8"/>
        <color theme="1"/>
        <rFont val="Arial Black"/>
        <family val="2"/>
      </rPr>
      <t>(Flies/Vial)</t>
    </r>
  </si>
  <si>
    <r>
      <t xml:space="preserve">NV </t>
    </r>
    <r>
      <rPr>
        <b/>
        <sz val="8"/>
        <color theme="1"/>
        <rFont val="Arial Black"/>
        <family val="2"/>
      </rPr>
      <t>(Vials)</t>
    </r>
  </si>
  <si>
    <t>MEAN (g)</t>
  </si>
  <si>
    <t>Mn/Fly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</si>
</sst>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2"/>
      <color theme="1"/>
      <name val="Arial Black"/>
      <family val="2"/>
    </font>
    <font>
      <b/>
      <sz val="11"/>
      <color theme="1"/>
      <name val="Arial Black"/>
      <family val="2"/>
    </font>
    <font>
      <sz val="12"/>
      <color theme="1"/>
      <name val="Arial Black"/>
      <family val="2"/>
    </font>
    <font>
      <b/>
      <sz val="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selection activeCell="J15" sqref="J15"/>
    </sheetView>
  </sheetViews>
  <sheetFormatPr defaultRowHeight="14.4" x14ac:dyDescent="0.3"/>
  <cols>
    <col min="2" max="2" width="11.33203125" customWidth="1"/>
  </cols>
  <sheetData>
    <row r="1" spans="1:20" s="1" customFormat="1" ht="17.399999999999999" x14ac:dyDescent="0.45">
      <c r="B1" s="7" t="s">
        <v>0</v>
      </c>
      <c r="C1" s="7"/>
      <c r="D1" s="7"/>
      <c r="F1" s="7" t="s">
        <v>4</v>
      </c>
      <c r="G1" s="7"/>
      <c r="H1" s="7"/>
      <c r="J1" s="7" t="s">
        <v>5</v>
      </c>
      <c r="K1" s="7"/>
      <c r="L1" s="7"/>
      <c r="N1" s="7" t="s">
        <v>6</v>
      </c>
      <c r="O1" s="7"/>
      <c r="P1" s="7"/>
      <c r="R1" s="7" t="s">
        <v>7</v>
      </c>
      <c r="S1" s="7"/>
      <c r="T1" s="7"/>
    </row>
    <row r="2" spans="1:20" s="2" customFormat="1" x14ac:dyDescent="0.3">
      <c r="B2" s="2" t="s">
        <v>1</v>
      </c>
      <c r="C2" s="2" t="s">
        <v>2</v>
      </c>
      <c r="D2" s="2" t="s">
        <v>3</v>
      </c>
      <c r="F2" s="2" t="s">
        <v>1</v>
      </c>
      <c r="G2" s="2" t="s">
        <v>2</v>
      </c>
      <c r="H2" s="2" t="s">
        <v>3</v>
      </c>
      <c r="J2" s="2" t="s">
        <v>1</v>
      </c>
      <c r="K2" s="2" t="s">
        <v>2</v>
      </c>
      <c r="L2" s="2" t="s">
        <v>3</v>
      </c>
      <c r="N2" s="2" t="s">
        <v>1</v>
      </c>
      <c r="O2" s="2" t="s">
        <v>2</v>
      </c>
      <c r="P2" s="2" t="s">
        <v>3</v>
      </c>
      <c r="R2" s="2" t="s">
        <v>1</v>
      </c>
      <c r="S2" s="2" t="s">
        <v>2</v>
      </c>
      <c r="T2" s="2" t="s">
        <v>3</v>
      </c>
    </row>
    <row r="3" spans="1:20" x14ac:dyDescent="0.3">
      <c r="B3">
        <v>1.6921999999999999</v>
      </c>
      <c r="C3">
        <v>1.6661999999999999</v>
      </c>
      <c r="D3">
        <v>2.5999999999999999E-2</v>
      </c>
      <c r="F3">
        <v>1.7248000000000001</v>
      </c>
      <c r="G3">
        <v>1.7000999999999999</v>
      </c>
      <c r="H3">
        <v>2.47E-2</v>
      </c>
      <c r="J3">
        <v>1.6678999999999999</v>
      </c>
      <c r="K3">
        <v>1.6414</v>
      </c>
      <c r="L3">
        <v>2.6499999999999999E-2</v>
      </c>
      <c r="N3">
        <v>1.6966000000000001</v>
      </c>
      <c r="O3">
        <v>1.6592</v>
      </c>
      <c r="P3">
        <v>3.7400000000000003E-2</v>
      </c>
      <c r="R3">
        <v>1.6943999999999999</v>
      </c>
      <c r="S3">
        <v>1.6586000000000001</v>
      </c>
      <c r="T3">
        <v>3.5799999999999998E-2</v>
      </c>
    </row>
    <row r="4" spans="1:20" x14ac:dyDescent="0.3">
      <c r="B4">
        <v>1.6832</v>
      </c>
      <c r="C4">
        <v>1.6572</v>
      </c>
      <c r="D4">
        <v>2.5999999999999999E-2</v>
      </c>
      <c r="F4">
        <v>1.6688000000000001</v>
      </c>
      <c r="G4">
        <v>1.6449</v>
      </c>
      <c r="H4">
        <v>2.3900000000000001E-2</v>
      </c>
      <c r="J4">
        <v>1.512</v>
      </c>
      <c r="K4">
        <v>1.4857</v>
      </c>
      <c r="L4">
        <v>2.63E-2</v>
      </c>
      <c r="N4">
        <v>1.708</v>
      </c>
      <c r="O4">
        <v>1.6711</v>
      </c>
      <c r="P4">
        <v>3.6900000000000002E-2</v>
      </c>
      <c r="R4">
        <v>1.6873</v>
      </c>
      <c r="S4">
        <v>1.6503000000000001</v>
      </c>
      <c r="T4">
        <v>3.6999999999999998E-2</v>
      </c>
    </row>
    <row r="5" spans="1:20" x14ac:dyDescent="0.3">
      <c r="B5">
        <v>1.6909000000000001</v>
      </c>
      <c r="C5">
        <v>1.6661999999999999</v>
      </c>
      <c r="D5">
        <v>2.47E-2</v>
      </c>
      <c r="F5">
        <v>1.7243999999999999</v>
      </c>
      <c r="G5">
        <v>1.7002999999999999</v>
      </c>
      <c r="H5">
        <v>2.41E-2</v>
      </c>
      <c r="J5">
        <v>1.6680999999999999</v>
      </c>
      <c r="K5">
        <v>1.6415999999999999</v>
      </c>
      <c r="L5">
        <v>2.6499999999999999E-2</v>
      </c>
      <c r="N5">
        <v>1.6957</v>
      </c>
      <c r="O5">
        <v>1.6592</v>
      </c>
      <c r="P5">
        <v>3.6499999999999998E-2</v>
      </c>
      <c r="R5">
        <v>1.6950000000000001</v>
      </c>
      <c r="S5">
        <v>1.6587000000000001</v>
      </c>
      <c r="T5">
        <v>3.6299999999999999E-2</v>
      </c>
    </row>
    <row r="6" spans="1:20" x14ac:dyDescent="0.3">
      <c r="B6">
        <v>1.6825000000000001</v>
      </c>
      <c r="C6">
        <v>1.6574</v>
      </c>
      <c r="D6">
        <v>2.5100000000000001E-2</v>
      </c>
      <c r="F6">
        <v>1.6681999999999999</v>
      </c>
      <c r="G6">
        <v>1.6448</v>
      </c>
      <c r="H6">
        <v>2.3400000000000001E-2</v>
      </c>
      <c r="J6">
        <v>1.5113000000000001</v>
      </c>
      <c r="K6">
        <v>1.4859</v>
      </c>
      <c r="L6">
        <v>2.5399999999999999E-2</v>
      </c>
      <c r="N6">
        <v>1.7083999999999999</v>
      </c>
      <c r="O6">
        <v>1.6711</v>
      </c>
      <c r="P6">
        <v>3.73E-2</v>
      </c>
      <c r="R6">
        <v>1.6879</v>
      </c>
      <c r="S6">
        <v>1.6503000000000001</v>
      </c>
      <c r="T6">
        <v>3.7600000000000001E-2</v>
      </c>
    </row>
    <row r="7" spans="1:20" x14ac:dyDescent="0.3">
      <c r="B7">
        <v>1.6916</v>
      </c>
      <c r="C7">
        <v>1.6659999999999999</v>
      </c>
      <c r="D7">
        <v>2.5600000000000001E-2</v>
      </c>
      <c r="F7">
        <v>1.7242</v>
      </c>
      <c r="G7">
        <v>1.7007000000000001</v>
      </c>
      <c r="H7">
        <v>2.35E-2</v>
      </c>
      <c r="J7">
        <v>1.6685000000000001</v>
      </c>
      <c r="K7">
        <v>1.6418999999999999</v>
      </c>
      <c r="L7">
        <v>2.6599999999999999E-2</v>
      </c>
      <c r="N7">
        <v>1.6960999999999999</v>
      </c>
      <c r="O7">
        <v>1.6595</v>
      </c>
      <c r="P7">
        <v>3.6600000000000001E-2</v>
      </c>
      <c r="R7">
        <v>1.6950000000000001</v>
      </c>
      <c r="S7">
        <v>1.6588000000000001</v>
      </c>
      <c r="T7">
        <v>3.6200000000000003E-2</v>
      </c>
    </row>
    <row r="8" spans="1:20" x14ac:dyDescent="0.3">
      <c r="B8">
        <v>1.6823999999999999</v>
      </c>
      <c r="C8">
        <v>1.6575</v>
      </c>
      <c r="D8">
        <v>2.4899999999999999E-2</v>
      </c>
      <c r="F8">
        <v>1.6691</v>
      </c>
      <c r="G8">
        <v>1.6451</v>
      </c>
      <c r="H8">
        <v>2.4E-2</v>
      </c>
      <c r="J8">
        <v>1.5116000000000001</v>
      </c>
      <c r="K8">
        <v>1.4861</v>
      </c>
      <c r="L8">
        <v>2.5499999999999998E-2</v>
      </c>
      <c r="N8">
        <v>1.7075</v>
      </c>
      <c r="O8">
        <v>1.6714</v>
      </c>
      <c r="P8">
        <v>3.61E-2</v>
      </c>
      <c r="R8">
        <v>1.6856</v>
      </c>
      <c r="S8">
        <v>1.6504000000000001</v>
      </c>
      <c r="T8">
        <v>3.5200000000000002E-2</v>
      </c>
    </row>
    <row r="9" spans="1:20" x14ac:dyDescent="0.3">
      <c r="B9">
        <v>1.6909000000000001</v>
      </c>
      <c r="C9">
        <v>1.6665000000000001</v>
      </c>
      <c r="D9">
        <v>2.4400000000000002E-2</v>
      </c>
      <c r="F9">
        <v>1.7236</v>
      </c>
      <c r="G9">
        <v>1.7005999999999999</v>
      </c>
      <c r="H9">
        <v>2.3E-2</v>
      </c>
      <c r="J9">
        <v>1.6664000000000001</v>
      </c>
      <c r="K9">
        <v>1.6418999999999999</v>
      </c>
      <c r="L9">
        <v>2.4500000000000001E-2</v>
      </c>
      <c r="N9">
        <v>1.6967000000000001</v>
      </c>
      <c r="O9">
        <v>1.6597</v>
      </c>
      <c r="P9">
        <v>3.6999999999999998E-2</v>
      </c>
      <c r="R9">
        <v>1.6956</v>
      </c>
      <c r="S9">
        <v>1.659</v>
      </c>
      <c r="T9">
        <v>3.6600000000000001E-2</v>
      </c>
    </row>
    <row r="10" spans="1:20" x14ac:dyDescent="0.3">
      <c r="B10">
        <v>1.6815</v>
      </c>
      <c r="C10">
        <v>1.6575</v>
      </c>
      <c r="D10">
        <v>2.4E-2</v>
      </c>
      <c r="F10">
        <v>1.6677999999999999</v>
      </c>
      <c r="G10">
        <v>1.6454</v>
      </c>
      <c r="H10">
        <v>2.24E-2</v>
      </c>
      <c r="R10">
        <v>1.6877</v>
      </c>
      <c r="S10">
        <v>1.6505000000000001</v>
      </c>
      <c r="T10">
        <v>3.7199999999999997E-2</v>
      </c>
    </row>
    <row r="11" spans="1:20" s="3" customFormat="1" x14ac:dyDescent="0.3">
      <c r="A11" s="2" t="s">
        <v>8</v>
      </c>
      <c r="B11" s="3">
        <f>SUM(B3:B10)</f>
        <v>13.495200000000001</v>
      </c>
      <c r="C11" s="3">
        <f>SUM(C3:C10)</f>
        <v>13.294500000000001</v>
      </c>
      <c r="D11" s="3">
        <f>SUM(D3:D10)</f>
        <v>0.20069999999999999</v>
      </c>
      <c r="F11" s="3">
        <f>SUM(F3:F10)</f>
        <v>13.5709</v>
      </c>
      <c r="G11" s="3">
        <f>SUM(G3:G10)</f>
        <v>13.381899999999998</v>
      </c>
      <c r="H11" s="3">
        <f>SUM(H3:H10)</f>
        <v>0.189</v>
      </c>
      <c r="J11" s="3">
        <f>SUM(J3:J10)</f>
        <v>11.2058</v>
      </c>
      <c r="K11" s="3">
        <f>SUM(K3:K10)</f>
        <v>11.0245</v>
      </c>
      <c r="L11" s="3">
        <f>SUM(L3:L10)</f>
        <v>0.18129999999999996</v>
      </c>
      <c r="N11" s="3">
        <f>SUM(N3:N10)</f>
        <v>11.909000000000001</v>
      </c>
      <c r="O11" s="3">
        <f>SUM(O3:O10)</f>
        <v>11.651199999999999</v>
      </c>
      <c r="P11" s="3">
        <f>SUM(P3:P10)</f>
        <v>0.25779999999999997</v>
      </c>
      <c r="R11" s="3">
        <f>SUM(R3:R10)</f>
        <v>13.528499999999999</v>
      </c>
      <c r="S11" s="3">
        <f>SUM(S3:S10)</f>
        <v>13.236599999999999</v>
      </c>
      <c r="T11" s="3">
        <f>SUM(T3:T10)</f>
        <v>0.29190000000000005</v>
      </c>
    </row>
  </sheetData>
  <mergeCells count="5">
    <mergeCell ref="B1:D1"/>
    <mergeCell ref="F1:H1"/>
    <mergeCell ref="J1:L1"/>
    <mergeCell ref="N1:P1"/>
    <mergeCell ref="R1:T1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selection activeCell="E16" sqref="E16"/>
    </sheetView>
  </sheetViews>
  <sheetFormatPr defaultRowHeight="14.4" x14ac:dyDescent="0.3"/>
  <cols>
    <col min="2" max="2" width="11.33203125" customWidth="1"/>
  </cols>
  <sheetData>
    <row r="1" spans="1:20" s="1" customFormat="1" ht="17.399999999999999" x14ac:dyDescent="0.45">
      <c r="B1" s="7" t="s">
        <v>0</v>
      </c>
      <c r="C1" s="7"/>
      <c r="D1" s="7"/>
      <c r="F1" s="7" t="s">
        <v>4</v>
      </c>
      <c r="G1" s="7"/>
      <c r="H1" s="7"/>
      <c r="J1" s="7" t="s">
        <v>5</v>
      </c>
      <c r="K1" s="7"/>
      <c r="L1" s="7"/>
      <c r="N1" s="7" t="s">
        <v>6</v>
      </c>
      <c r="O1" s="7"/>
      <c r="P1" s="7"/>
      <c r="R1" s="7" t="s">
        <v>7</v>
      </c>
      <c r="S1" s="7"/>
      <c r="T1" s="7"/>
    </row>
    <row r="2" spans="1:20" s="2" customFormat="1" x14ac:dyDescent="0.3">
      <c r="B2" s="2" t="s">
        <v>1</v>
      </c>
      <c r="C2" s="2" t="s">
        <v>2</v>
      </c>
      <c r="D2" s="2" t="s">
        <v>3</v>
      </c>
      <c r="F2" s="2" t="s">
        <v>1</v>
      </c>
      <c r="G2" s="2" t="s">
        <v>2</v>
      </c>
      <c r="H2" s="2" t="s">
        <v>3</v>
      </c>
      <c r="J2" s="2" t="s">
        <v>1</v>
      </c>
      <c r="K2" s="2" t="s">
        <v>2</v>
      </c>
      <c r="L2" s="2" t="s">
        <v>3</v>
      </c>
      <c r="N2" s="2" t="s">
        <v>1</v>
      </c>
      <c r="O2" s="2" t="s">
        <v>2</v>
      </c>
      <c r="P2" s="2" t="s">
        <v>3</v>
      </c>
      <c r="R2" s="2" t="s">
        <v>1</v>
      </c>
      <c r="S2" s="2" t="s">
        <v>2</v>
      </c>
      <c r="T2" s="2" t="s">
        <v>3</v>
      </c>
    </row>
    <row r="3" spans="1:20" x14ac:dyDescent="0.3">
      <c r="B3">
        <v>1.6814</v>
      </c>
      <c r="C3">
        <v>1.6657</v>
      </c>
      <c r="D3">
        <v>1.5699999999999999E-2</v>
      </c>
      <c r="F3">
        <v>1.7145999999999999</v>
      </c>
      <c r="G3">
        <v>1.6997</v>
      </c>
      <c r="H3">
        <v>1.49E-2</v>
      </c>
      <c r="J3">
        <v>1.6573</v>
      </c>
      <c r="K3">
        <v>1.6408</v>
      </c>
      <c r="L3">
        <v>1.6500000000000001E-2</v>
      </c>
      <c r="N3">
        <v>1.6832</v>
      </c>
      <c r="O3">
        <v>1.6588000000000001</v>
      </c>
      <c r="P3">
        <v>2.4400000000000002E-2</v>
      </c>
      <c r="R3">
        <v>1.6826000000000001</v>
      </c>
      <c r="S3">
        <v>1.6584000000000001</v>
      </c>
      <c r="T3">
        <v>2.4199999999999999E-2</v>
      </c>
    </row>
    <row r="4" spans="1:20" x14ac:dyDescent="0.3">
      <c r="B4">
        <v>1.6729000000000001</v>
      </c>
      <c r="C4">
        <v>1.6569</v>
      </c>
      <c r="D4">
        <v>1.6E-2</v>
      </c>
      <c r="F4">
        <v>1.6594</v>
      </c>
      <c r="G4">
        <v>1.6446000000000001</v>
      </c>
      <c r="H4">
        <v>1.4800000000000001E-2</v>
      </c>
      <c r="J4">
        <v>1.5019</v>
      </c>
      <c r="K4">
        <v>1.4854000000000001</v>
      </c>
      <c r="L4">
        <v>1.6500000000000001E-2</v>
      </c>
      <c r="N4">
        <v>1.6950000000000001</v>
      </c>
      <c r="O4">
        <v>1.6709000000000001</v>
      </c>
      <c r="P4">
        <v>2.41E-2</v>
      </c>
      <c r="R4">
        <v>1.6738999999999999</v>
      </c>
      <c r="S4">
        <v>1.65</v>
      </c>
      <c r="T4">
        <v>2.3900000000000001E-2</v>
      </c>
    </row>
    <row r="5" spans="1:20" x14ac:dyDescent="0.3">
      <c r="B5">
        <v>1.6817</v>
      </c>
      <c r="C5">
        <v>1.6657999999999999</v>
      </c>
      <c r="D5">
        <v>1.5900000000000001E-2</v>
      </c>
      <c r="F5">
        <v>1.7144999999999999</v>
      </c>
      <c r="G5">
        <v>1.6998</v>
      </c>
      <c r="H5">
        <v>1.47E-2</v>
      </c>
      <c r="J5">
        <v>1.657</v>
      </c>
      <c r="K5">
        <v>1.6412</v>
      </c>
      <c r="L5">
        <v>1.5800000000000002E-2</v>
      </c>
      <c r="N5">
        <v>1.6834</v>
      </c>
      <c r="O5">
        <v>1.6591</v>
      </c>
      <c r="P5">
        <v>2.4299999999999999E-2</v>
      </c>
      <c r="R5">
        <v>1.6823999999999999</v>
      </c>
      <c r="S5">
        <v>1.6584000000000001</v>
      </c>
      <c r="T5">
        <v>2.4E-2</v>
      </c>
    </row>
    <row r="6" spans="1:20" x14ac:dyDescent="0.3">
      <c r="B6">
        <v>1.6724000000000001</v>
      </c>
      <c r="C6">
        <v>1.6571</v>
      </c>
      <c r="D6">
        <v>1.5299999999999999E-2</v>
      </c>
      <c r="F6">
        <v>1.659</v>
      </c>
      <c r="G6">
        <v>1.6446000000000001</v>
      </c>
      <c r="H6">
        <v>1.44E-2</v>
      </c>
      <c r="J6">
        <v>1.5012000000000001</v>
      </c>
      <c r="K6">
        <v>1.4855</v>
      </c>
      <c r="L6">
        <v>1.5699999999999999E-2</v>
      </c>
      <c r="N6">
        <v>1.6951000000000001</v>
      </c>
      <c r="O6">
        <v>1.6712</v>
      </c>
      <c r="P6">
        <v>2.3900000000000001E-2</v>
      </c>
      <c r="R6">
        <v>1.6738999999999999</v>
      </c>
      <c r="S6">
        <v>1.6500999999999999</v>
      </c>
      <c r="T6">
        <v>2.3800000000000002E-2</v>
      </c>
    </row>
    <row r="7" spans="1:20" x14ac:dyDescent="0.3">
      <c r="B7">
        <v>1.6816</v>
      </c>
      <c r="C7">
        <v>1.6659999999999999</v>
      </c>
      <c r="D7">
        <v>1.5599999999999999E-2</v>
      </c>
      <c r="F7">
        <v>1.7146999999999999</v>
      </c>
      <c r="G7">
        <v>1.7</v>
      </c>
      <c r="H7">
        <v>1.47E-2</v>
      </c>
      <c r="J7">
        <v>1.6575</v>
      </c>
      <c r="K7">
        <v>1.6413</v>
      </c>
      <c r="L7">
        <v>1.6199999999999999E-2</v>
      </c>
      <c r="N7">
        <v>1.6839</v>
      </c>
      <c r="O7">
        <v>1.6592</v>
      </c>
      <c r="P7">
        <v>2.47E-2</v>
      </c>
      <c r="R7">
        <v>1.6817</v>
      </c>
      <c r="S7">
        <v>1.6585000000000001</v>
      </c>
      <c r="T7">
        <v>2.3199999999999998E-2</v>
      </c>
    </row>
    <row r="8" spans="1:20" x14ac:dyDescent="0.3">
      <c r="B8">
        <v>1.6726000000000001</v>
      </c>
      <c r="C8">
        <v>1.6571</v>
      </c>
      <c r="D8">
        <v>1.55E-2</v>
      </c>
      <c r="F8">
        <v>1.6595</v>
      </c>
      <c r="G8">
        <v>1.6448</v>
      </c>
      <c r="H8">
        <v>1.47E-2</v>
      </c>
      <c r="J8">
        <v>1.5017</v>
      </c>
      <c r="K8">
        <v>1.4856</v>
      </c>
      <c r="L8">
        <v>1.61E-2</v>
      </c>
      <c r="N8">
        <v>1.6953</v>
      </c>
      <c r="O8">
        <v>1.6711</v>
      </c>
      <c r="P8">
        <v>2.4199999999999999E-2</v>
      </c>
      <c r="R8">
        <v>1.6739999999999999</v>
      </c>
      <c r="S8">
        <v>1.6500999999999999</v>
      </c>
      <c r="T8">
        <v>2.3900000000000001E-2</v>
      </c>
    </row>
    <row r="9" spans="1:20" x14ac:dyDescent="0.3">
      <c r="B9">
        <v>1.6816</v>
      </c>
      <c r="C9">
        <v>1.6660999999999999</v>
      </c>
      <c r="D9">
        <v>1.55E-2</v>
      </c>
      <c r="F9">
        <v>1.7148000000000001</v>
      </c>
      <c r="G9">
        <v>1.7000999999999999</v>
      </c>
      <c r="H9">
        <v>1.47E-2</v>
      </c>
      <c r="J9">
        <v>1.6572</v>
      </c>
      <c r="K9">
        <v>1.6414</v>
      </c>
      <c r="L9">
        <v>1.5800000000000002E-2</v>
      </c>
      <c r="R9">
        <v>1.6821999999999999</v>
      </c>
      <c r="S9">
        <v>1.6586000000000001</v>
      </c>
      <c r="T9">
        <v>2.3599999999999999E-2</v>
      </c>
    </row>
    <row r="10" spans="1:20" x14ac:dyDescent="0.3">
      <c r="F10">
        <v>1.6592</v>
      </c>
      <c r="G10">
        <v>1.645</v>
      </c>
      <c r="H10">
        <v>1.4200000000000001E-2</v>
      </c>
      <c r="J10">
        <v>1.5012000000000001</v>
      </c>
      <c r="K10">
        <v>1.4856</v>
      </c>
      <c r="L10">
        <v>1.5599999999999999E-2</v>
      </c>
    </row>
    <row r="11" spans="1:20" x14ac:dyDescent="0.3">
      <c r="F11">
        <v>1.7141</v>
      </c>
      <c r="G11">
        <v>1.6999</v>
      </c>
      <c r="H11">
        <v>1.4200000000000001E-2</v>
      </c>
    </row>
    <row r="12" spans="1:20" s="3" customFormat="1" x14ac:dyDescent="0.3">
      <c r="A12" s="2" t="s">
        <v>8</v>
      </c>
      <c r="B12" s="3">
        <f>SUM(B3:B11)</f>
        <v>11.744199999999999</v>
      </c>
      <c r="C12" s="3">
        <f>SUM(C3:C11)</f>
        <v>11.6347</v>
      </c>
      <c r="D12" s="3">
        <f>SUM(D3:D11)</f>
        <v>0.1095</v>
      </c>
      <c r="F12" s="3">
        <f>SUM(F3:F11)</f>
        <v>15.2098</v>
      </c>
      <c r="G12" s="3">
        <f>SUM(G3:G11)</f>
        <v>15.078499999999998</v>
      </c>
      <c r="H12" s="3">
        <f>SUM(H3:H11)</f>
        <v>0.13130000000000003</v>
      </c>
      <c r="J12" s="3">
        <f>SUM(J3:J11)</f>
        <v>12.635</v>
      </c>
      <c r="K12" s="3">
        <f>SUM(K3:K11)</f>
        <v>12.5068</v>
      </c>
      <c r="L12" s="3">
        <f>SUM(L3:L11)</f>
        <v>0.12820000000000001</v>
      </c>
      <c r="N12" s="3">
        <f>SUM(N3:N11)</f>
        <v>10.135899999999999</v>
      </c>
      <c r="O12" s="3">
        <f>SUM(O3:O11)</f>
        <v>9.9902999999999977</v>
      </c>
      <c r="P12" s="3">
        <f>SUM(P3:P11)</f>
        <v>0.14560000000000001</v>
      </c>
      <c r="R12" s="3">
        <f>SUM(R3:R11)</f>
        <v>11.750699999999998</v>
      </c>
      <c r="S12" s="3">
        <f>SUM(S3:S11)</f>
        <v>11.584100000000001</v>
      </c>
      <c r="T12" s="3">
        <f>SUM(T3:T11)</f>
        <v>0.1666</v>
      </c>
    </row>
  </sheetData>
  <mergeCells count="5">
    <mergeCell ref="B1:D1"/>
    <mergeCell ref="F1:H1"/>
    <mergeCell ref="J1:L1"/>
    <mergeCell ref="N1:P1"/>
    <mergeCell ref="R1:T1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workbookViewId="0">
      <selection activeCell="L19" sqref="L19"/>
    </sheetView>
  </sheetViews>
  <sheetFormatPr defaultRowHeight="14.4" x14ac:dyDescent="0.3"/>
  <cols>
    <col min="1" max="1" width="13.6640625" bestFit="1" customWidth="1"/>
    <col min="2" max="2" width="11.33203125" customWidth="1"/>
  </cols>
  <sheetData>
    <row r="1" spans="1:20" s="1" customFormat="1" ht="17.399999999999999" x14ac:dyDescent="0.45">
      <c r="A1" s="1" t="s">
        <v>12</v>
      </c>
      <c r="B1" s="7" t="s">
        <v>0</v>
      </c>
      <c r="C1" s="7"/>
      <c r="D1" s="7"/>
      <c r="F1" s="7" t="s">
        <v>4</v>
      </c>
      <c r="G1" s="7"/>
      <c r="H1" s="7"/>
      <c r="J1" s="7" t="s">
        <v>5</v>
      </c>
      <c r="K1" s="7"/>
      <c r="L1" s="7"/>
      <c r="N1" s="7" t="s">
        <v>6</v>
      </c>
      <c r="O1" s="7"/>
      <c r="P1" s="7"/>
      <c r="R1" s="7" t="s">
        <v>7</v>
      </c>
      <c r="S1" s="7"/>
      <c r="T1" s="7"/>
    </row>
    <row r="2" spans="1:20" s="2" customFormat="1" x14ac:dyDescent="0.3">
      <c r="B2" s="2" t="s">
        <v>1</v>
      </c>
      <c r="C2" s="2" t="s">
        <v>2</v>
      </c>
      <c r="D2" s="2" t="s">
        <v>3</v>
      </c>
      <c r="F2" s="2" t="s">
        <v>1</v>
      </c>
      <c r="G2" s="2" t="s">
        <v>2</v>
      </c>
      <c r="H2" s="2" t="s">
        <v>3</v>
      </c>
      <c r="J2" s="2" t="s">
        <v>1</v>
      </c>
      <c r="K2" s="2" t="s">
        <v>2</v>
      </c>
      <c r="L2" s="2" t="s">
        <v>3</v>
      </c>
      <c r="N2" s="2" t="s">
        <v>1</v>
      </c>
      <c r="O2" s="2" t="s">
        <v>2</v>
      </c>
      <c r="P2" s="2" t="s">
        <v>3</v>
      </c>
      <c r="R2" s="2" t="s">
        <v>1</v>
      </c>
      <c r="S2" s="2" t="s">
        <v>2</v>
      </c>
      <c r="T2" s="2" t="s">
        <v>3</v>
      </c>
    </row>
    <row r="3" spans="1:20" x14ac:dyDescent="0.3">
      <c r="B3">
        <v>1.6921999999999999</v>
      </c>
      <c r="C3">
        <v>1.6661999999999999</v>
      </c>
      <c r="D3">
        <v>2.5999999999999999E-2</v>
      </c>
      <c r="F3">
        <v>1.7248000000000001</v>
      </c>
      <c r="G3">
        <v>1.7000999999999999</v>
      </c>
      <c r="H3">
        <v>2.47E-2</v>
      </c>
      <c r="J3">
        <v>1.6678999999999999</v>
      </c>
      <c r="K3">
        <v>1.6414</v>
      </c>
      <c r="L3">
        <v>2.6499999999999999E-2</v>
      </c>
      <c r="N3">
        <v>1.6966000000000001</v>
      </c>
      <c r="O3">
        <v>1.6592</v>
      </c>
      <c r="P3">
        <v>3.7400000000000003E-2</v>
      </c>
      <c r="R3">
        <v>1.6943999999999999</v>
      </c>
      <c r="S3">
        <v>1.6586000000000001</v>
      </c>
      <c r="T3">
        <v>3.5799999999999998E-2</v>
      </c>
    </row>
    <row r="4" spans="1:20" x14ac:dyDescent="0.3">
      <c r="B4">
        <v>1.6832</v>
      </c>
      <c r="C4">
        <v>1.6572</v>
      </c>
      <c r="D4">
        <v>2.5999999999999999E-2</v>
      </c>
      <c r="F4">
        <v>1.6688000000000001</v>
      </c>
      <c r="G4">
        <v>1.6449</v>
      </c>
      <c r="H4">
        <v>2.3900000000000001E-2</v>
      </c>
      <c r="J4">
        <v>1.512</v>
      </c>
      <c r="K4">
        <v>1.4857</v>
      </c>
      <c r="L4">
        <v>2.63E-2</v>
      </c>
      <c r="N4">
        <v>1.708</v>
      </c>
      <c r="O4">
        <v>1.6711</v>
      </c>
      <c r="P4">
        <v>3.6900000000000002E-2</v>
      </c>
      <c r="R4">
        <v>1.6873</v>
      </c>
      <c r="S4">
        <v>1.6503000000000001</v>
      </c>
      <c r="T4">
        <v>3.6999999999999998E-2</v>
      </c>
    </row>
    <row r="5" spans="1:20" x14ac:dyDescent="0.3">
      <c r="B5">
        <v>1.6909000000000001</v>
      </c>
      <c r="C5">
        <v>1.6661999999999999</v>
      </c>
      <c r="D5">
        <v>2.47E-2</v>
      </c>
      <c r="F5">
        <v>1.7243999999999999</v>
      </c>
      <c r="G5">
        <v>1.7002999999999999</v>
      </c>
      <c r="H5">
        <v>2.41E-2</v>
      </c>
      <c r="J5">
        <v>1.6680999999999999</v>
      </c>
      <c r="K5">
        <v>1.6415999999999999</v>
      </c>
      <c r="L5">
        <v>2.6499999999999999E-2</v>
      </c>
      <c r="N5">
        <v>1.6957</v>
      </c>
      <c r="O5">
        <v>1.6592</v>
      </c>
      <c r="P5">
        <v>3.6499999999999998E-2</v>
      </c>
      <c r="R5">
        <v>1.6950000000000001</v>
      </c>
      <c r="S5">
        <v>1.6587000000000001</v>
      </c>
      <c r="T5">
        <v>3.6299999999999999E-2</v>
      </c>
    </row>
    <row r="6" spans="1:20" x14ac:dyDescent="0.3">
      <c r="B6">
        <v>1.6825000000000001</v>
      </c>
      <c r="C6">
        <v>1.6574</v>
      </c>
      <c r="D6">
        <v>2.5100000000000001E-2</v>
      </c>
      <c r="F6">
        <v>1.6681999999999999</v>
      </c>
      <c r="G6">
        <v>1.6448</v>
      </c>
      <c r="H6">
        <v>2.3400000000000001E-2</v>
      </c>
      <c r="J6">
        <v>1.5113000000000001</v>
      </c>
      <c r="K6">
        <v>1.4859</v>
      </c>
      <c r="L6">
        <v>2.5399999999999999E-2</v>
      </c>
      <c r="N6">
        <v>1.7083999999999999</v>
      </c>
      <c r="O6">
        <v>1.6711</v>
      </c>
      <c r="P6">
        <v>3.73E-2</v>
      </c>
      <c r="R6">
        <v>1.6879</v>
      </c>
      <c r="S6">
        <v>1.6503000000000001</v>
      </c>
      <c r="T6">
        <v>3.7600000000000001E-2</v>
      </c>
    </row>
    <row r="7" spans="1:20" x14ac:dyDescent="0.3">
      <c r="B7">
        <v>1.6916</v>
      </c>
      <c r="C7">
        <v>1.6659999999999999</v>
      </c>
      <c r="D7">
        <v>2.5600000000000001E-2</v>
      </c>
      <c r="F7">
        <v>1.7242</v>
      </c>
      <c r="G7">
        <v>1.7007000000000001</v>
      </c>
      <c r="H7">
        <v>2.35E-2</v>
      </c>
      <c r="J7">
        <v>1.6685000000000001</v>
      </c>
      <c r="K7">
        <v>1.6418999999999999</v>
      </c>
      <c r="L7">
        <v>2.6599999999999999E-2</v>
      </c>
      <c r="N7">
        <v>1.6960999999999999</v>
      </c>
      <c r="O7">
        <v>1.6595</v>
      </c>
      <c r="P7">
        <v>3.6600000000000001E-2</v>
      </c>
      <c r="R7">
        <v>1.6950000000000001</v>
      </c>
      <c r="S7">
        <v>1.6588000000000001</v>
      </c>
      <c r="T7">
        <v>3.6200000000000003E-2</v>
      </c>
    </row>
    <row r="8" spans="1:20" x14ac:dyDescent="0.3">
      <c r="B8">
        <v>1.6823999999999999</v>
      </c>
      <c r="C8">
        <v>1.6575</v>
      </c>
      <c r="D8">
        <v>2.4899999999999999E-2</v>
      </c>
      <c r="F8">
        <v>1.6691</v>
      </c>
      <c r="G8">
        <v>1.6451</v>
      </c>
      <c r="H8">
        <v>2.4E-2</v>
      </c>
      <c r="J8">
        <v>1.5116000000000001</v>
      </c>
      <c r="K8">
        <v>1.4861</v>
      </c>
      <c r="L8">
        <v>2.5499999999999998E-2</v>
      </c>
      <c r="N8">
        <v>1.7075</v>
      </c>
      <c r="O8">
        <v>1.6714</v>
      </c>
      <c r="P8">
        <v>3.61E-2</v>
      </c>
      <c r="R8">
        <v>1.6856</v>
      </c>
      <c r="S8">
        <v>1.6504000000000001</v>
      </c>
      <c r="T8">
        <v>3.5200000000000002E-2</v>
      </c>
    </row>
    <row r="9" spans="1:20" x14ac:dyDescent="0.3">
      <c r="B9">
        <v>1.6909000000000001</v>
      </c>
      <c r="C9">
        <v>1.6665000000000001</v>
      </c>
      <c r="D9">
        <v>2.4400000000000002E-2</v>
      </c>
      <c r="F9">
        <v>1.7236</v>
      </c>
      <c r="G9">
        <v>1.7005999999999999</v>
      </c>
      <c r="H9">
        <v>2.3E-2</v>
      </c>
      <c r="J9">
        <v>1.6664000000000001</v>
      </c>
      <c r="K9">
        <v>1.6418999999999999</v>
      </c>
      <c r="L9">
        <v>2.4500000000000001E-2</v>
      </c>
      <c r="N9">
        <v>1.6967000000000001</v>
      </c>
      <c r="O9">
        <v>1.6597</v>
      </c>
      <c r="P9">
        <v>3.6999999999999998E-2</v>
      </c>
      <c r="R9">
        <v>1.6956</v>
      </c>
      <c r="S9">
        <v>1.659</v>
      </c>
      <c r="T9">
        <v>3.6600000000000001E-2</v>
      </c>
    </row>
    <row r="10" spans="1:20" x14ac:dyDescent="0.3">
      <c r="B10">
        <v>1.6815</v>
      </c>
      <c r="C10">
        <v>1.6575</v>
      </c>
      <c r="D10">
        <v>2.4E-2</v>
      </c>
      <c r="F10">
        <v>1.6677999999999999</v>
      </c>
      <c r="G10">
        <v>1.6454</v>
      </c>
      <c r="H10">
        <v>2.24E-2</v>
      </c>
      <c r="R10">
        <v>1.6877</v>
      </c>
      <c r="S10">
        <v>1.6505000000000001</v>
      </c>
      <c r="T10">
        <v>3.7199999999999997E-2</v>
      </c>
    </row>
    <row r="13" spans="1:20" ht="18.600000000000001" x14ac:dyDescent="0.45">
      <c r="A13" s="4" t="s">
        <v>9</v>
      </c>
      <c r="D13" s="3">
        <f>AVERAGE(D3:D10)</f>
        <v>2.5087499999999999E-2</v>
      </c>
      <c r="H13" s="3">
        <f>AVERAGE(H3:H10)</f>
        <v>2.3625E-2</v>
      </c>
      <c r="L13" s="3">
        <f>AVERAGE(L3:L9)</f>
        <v>2.5899999999999996E-2</v>
      </c>
      <c r="P13" s="3">
        <f>AVERAGE(P3:P9)</f>
        <v>3.6828571428571426E-2</v>
      </c>
      <c r="T13" s="3">
        <f>AVERAGE(T3:T10)</f>
        <v>3.6487500000000006E-2</v>
      </c>
    </row>
    <row r="14" spans="1:20" ht="18.600000000000001" x14ac:dyDescent="0.45">
      <c r="A14" s="4" t="s">
        <v>10</v>
      </c>
      <c r="D14" s="3">
        <f>STDEV(D3:D10)</f>
        <v>7.3375258578273932E-4</v>
      </c>
      <c r="H14" s="3">
        <f>STDEV(H3:H10)</f>
        <v>7.1264096349925245E-4</v>
      </c>
      <c r="L14" s="3">
        <f>STDEV(L3:L9)</f>
        <v>7.8951461882180039E-4</v>
      </c>
      <c r="P14" s="3">
        <f>STDEV(P3:P9)</f>
        <v>4.6084807950229432E-4</v>
      </c>
      <c r="T14" s="3">
        <f>STDEV(T3:T10)</f>
        <v>7.8091064058023144E-4</v>
      </c>
    </row>
    <row r="15" spans="1:20" ht="17.399999999999999" x14ac:dyDescent="0.45">
      <c r="A15" s="5" t="s">
        <v>14</v>
      </c>
      <c r="D15" s="3">
        <v>8</v>
      </c>
      <c r="H15" s="3">
        <v>8</v>
      </c>
      <c r="L15" s="3">
        <v>7</v>
      </c>
      <c r="P15" s="3">
        <v>7</v>
      </c>
      <c r="T15" s="3">
        <v>8</v>
      </c>
    </row>
    <row r="16" spans="1:20" ht="17.399999999999999" x14ac:dyDescent="0.45">
      <c r="A16" s="5" t="s">
        <v>13</v>
      </c>
      <c r="D16" s="3">
        <v>20</v>
      </c>
      <c r="H16" s="3">
        <v>20</v>
      </c>
      <c r="L16" s="3">
        <v>20</v>
      </c>
      <c r="P16" s="3">
        <v>20</v>
      </c>
      <c r="T16" s="3">
        <v>20</v>
      </c>
    </row>
    <row r="19" spans="1:20" s="3" customFormat="1" ht="17.399999999999999" x14ac:dyDescent="0.45">
      <c r="A19" s="5" t="s">
        <v>16</v>
      </c>
      <c r="D19" s="3">
        <v>1.2544</v>
      </c>
      <c r="H19" s="3">
        <v>1.1812</v>
      </c>
      <c r="L19" s="3">
        <v>1.2949999999999999</v>
      </c>
      <c r="P19" s="3">
        <v>1.8413999999999999</v>
      </c>
      <c r="T19" s="3">
        <v>1.8244</v>
      </c>
    </row>
  </sheetData>
  <mergeCells count="5">
    <mergeCell ref="B1:D1"/>
    <mergeCell ref="F1:H1"/>
    <mergeCell ref="J1:L1"/>
    <mergeCell ref="N1:P1"/>
    <mergeCell ref="R1:T1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abSelected="1" workbookViewId="0">
      <selection activeCell="H18" sqref="H18"/>
    </sheetView>
  </sheetViews>
  <sheetFormatPr defaultRowHeight="14.4" x14ac:dyDescent="0.3"/>
  <cols>
    <col min="1" max="1" width="13.6640625" bestFit="1" customWidth="1"/>
    <col min="2" max="2" width="11.33203125" customWidth="1"/>
  </cols>
  <sheetData>
    <row r="1" spans="1:20" s="6" customFormat="1" ht="18.600000000000001" x14ac:dyDescent="0.45">
      <c r="A1" s="6" t="s">
        <v>11</v>
      </c>
      <c r="B1" s="8" t="s">
        <v>0</v>
      </c>
      <c r="C1" s="8"/>
      <c r="D1" s="8"/>
      <c r="F1" s="8" t="s">
        <v>4</v>
      </c>
      <c r="G1" s="8"/>
      <c r="H1" s="8"/>
      <c r="J1" s="8" t="s">
        <v>5</v>
      </c>
      <c r="K1" s="8"/>
      <c r="L1" s="8"/>
      <c r="N1" s="8" t="s">
        <v>6</v>
      </c>
      <c r="O1" s="8"/>
      <c r="P1" s="8"/>
      <c r="R1" s="8" t="s">
        <v>7</v>
      </c>
      <c r="S1" s="8"/>
      <c r="T1" s="8"/>
    </row>
    <row r="2" spans="1:20" s="2" customFormat="1" x14ac:dyDescent="0.3">
      <c r="B2" s="2" t="s">
        <v>1</v>
      </c>
      <c r="C2" s="2" t="s">
        <v>2</v>
      </c>
      <c r="D2" s="2" t="s">
        <v>3</v>
      </c>
      <c r="F2" s="2" t="s">
        <v>1</v>
      </c>
      <c r="G2" s="2" t="s">
        <v>2</v>
      </c>
      <c r="H2" s="2" t="s">
        <v>3</v>
      </c>
      <c r="J2" s="2" t="s">
        <v>1</v>
      </c>
      <c r="K2" s="2" t="s">
        <v>2</v>
      </c>
      <c r="L2" s="2" t="s">
        <v>3</v>
      </c>
      <c r="N2" s="2" t="s">
        <v>1</v>
      </c>
      <c r="O2" s="2" t="s">
        <v>2</v>
      </c>
      <c r="P2" s="2" t="s">
        <v>3</v>
      </c>
      <c r="R2" s="2" t="s">
        <v>1</v>
      </c>
      <c r="S2" s="2" t="s">
        <v>2</v>
      </c>
      <c r="T2" s="2" t="s">
        <v>3</v>
      </c>
    </row>
    <row r="3" spans="1:20" x14ac:dyDescent="0.3">
      <c r="B3">
        <v>1.6814</v>
      </c>
      <c r="C3">
        <v>1.6657</v>
      </c>
      <c r="D3">
        <v>1.5699999999999999E-2</v>
      </c>
      <c r="F3">
        <v>1.7145999999999999</v>
      </c>
      <c r="G3">
        <v>1.6997</v>
      </c>
      <c r="H3">
        <v>1.49E-2</v>
      </c>
      <c r="J3">
        <v>1.6573</v>
      </c>
      <c r="K3">
        <v>1.6408</v>
      </c>
      <c r="L3">
        <v>1.6500000000000001E-2</v>
      </c>
      <c r="N3">
        <v>1.6832</v>
      </c>
      <c r="O3">
        <v>1.6588000000000001</v>
      </c>
      <c r="P3">
        <v>2.4400000000000002E-2</v>
      </c>
      <c r="R3">
        <v>1.6826000000000001</v>
      </c>
      <c r="S3">
        <v>1.6584000000000001</v>
      </c>
      <c r="T3">
        <v>2.4199999999999999E-2</v>
      </c>
    </row>
    <row r="4" spans="1:20" x14ac:dyDescent="0.3">
      <c r="B4">
        <v>1.6729000000000001</v>
      </c>
      <c r="C4">
        <v>1.6569</v>
      </c>
      <c r="D4">
        <v>1.6E-2</v>
      </c>
      <c r="F4">
        <v>1.6594</v>
      </c>
      <c r="G4">
        <v>1.6446000000000001</v>
      </c>
      <c r="H4">
        <v>1.4800000000000001E-2</v>
      </c>
      <c r="J4">
        <v>1.5019</v>
      </c>
      <c r="K4">
        <v>1.4854000000000001</v>
      </c>
      <c r="L4">
        <v>1.6500000000000001E-2</v>
      </c>
      <c r="N4">
        <v>1.6950000000000001</v>
      </c>
      <c r="O4">
        <v>1.6709000000000001</v>
      </c>
      <c r="P4">
        <v>2.41E-2</v>
      </c>
      <c r="R4">
        <v>1.6738999999999999</v>
      </c>
      <c r="S4">
        <v>1.65</v>
      </c>
      <c r="T4">
        <v>2.3900000000000001E-2</v>
      </c>
    </row>
    <row r="5" spans="1:20" x14ac:dyDescent="0.3">
      <c r="B5">
        <v>1.6817</v>
      </c>
      <c r="C5">
        <v>1.6657999999999999</v>
      </c>
      <c r="D5">
        <v>1.5900000000000001E-2</v>
      </c>
      <c r="F5">
        <v>1.7144999999999999</v>
      </c>
      <c r="G5">
        <v>1.6998</v>
      </c>
      <c r="H5">
        <v>1.47E-2</v>
      </c>
      <c r="J5">
        <v>1.657</v>
      </c>
      <c r="K5">
        <v>1.6412</v>
      </c>
      <c r="L5">
        <v>1.5800000000000002E-2</v>
      </c>
      <c r="N5">
        <v>1.6834</v>
      </c>
      <c r="O5">
        <v>1.6591</v>
      </c>
      <c r="P5">
        <v>2.4299999999999999E-2</v>
      </c>
      <c r="R5">
        <v>1.6823999999999999</v>
      </c>
      <c r="S5">
        <v>1.6584000000000001</v>
      </c>
      <c r="T5">
        <v>2.4E-2</v>
      </c>
    </row>
    <row r="6" spans="1:20" x14ac:dyDescent="0.3">
      <c r="B6">
        <v>1.6724000000000001</v>
      </c>
      <c r="C6">
        <v>1.6571</v>
      </c>
      <c r="D6">
        <v>1.5299999999999999E-2</v>
      </c>
      <c r="F6">
        <v>1.659</v>
      </c>
      <c r="G6">
        <v>1.6446000000000001</v>
      </c>
      <c r="H6">
        <v>1.44E-2</v>
      </c>
      <c r="J6">
        <v>1.5012000000000001</v>
      </c>
      <c r="K6">
        <v>1.4855</v>
      </c>
      <c r="L6">
        <v>1.5699999999999999E-2</v>
      </c>
      <c r="N6">
        <v>1.6951000000000001</v>
      </c>
      <c r="O6">
        <v>1.6712</v>
      </c>
      <c r="P6">
        <v>2.3900000000000001E-2</v>
      </c>
      <c r="R6">
        <v>1.6738999999999999</v>
      </c>
      <c r="S6">
        <v>1.6500999999999999</v>
      </c>
      <c r="T6">
        <v>2.3800000000000002E-2</v>
      </c>
    </row>
    <row r="7" spans="1:20" x14ac:dyDescent="0.3">
      <c r="B7">
        <v>1.6816</v>
      </c>
      <c r="C7">
        <v>1.6659999999999999</v>
      </c>
      <c r="D7">
        <v>1.5599999999999999E-2</v>
      </c>
      <c r="F7">
        <v>1.7146999999999999</v>
      </c>
      <c r="G7">
        <v>1.7</v>
      </c>
      <c r="H7">
        <v>1.47E-2</v>
      </c>
      <c r="J7">
        <v>1.6575</v>
      </c>
      <c r="K7">
        <v>1.6413</v>
      </c>
      <c r="L7">
        <v>1.6199999999999999E-2</v>
      </c>
      <c r="N7">
        <v>1.6839</v>
      </c>
      <c r="O7">
        <v>1.6592</v>
      </c>
      <c r="P7">
        <v>2.47E-2</v>
      </c>
      <c r="R7">
        <v>1.6817</v>
      </c>
      <c r="S7">
        <v>1.6585000000000001</v>
      </c>
      <c r="T7">
        <v>2.3199999999999998E-2</v>
      </c>
    </row>
    <row r="8" spans="1:20" x14ac:dyDescent="0.3">
      <c r="B8">
        <v>1.6726000000000001</v>
      </c>
      <c r="C8">
        <v>1.6571</v>
      </c>
      <c r="D8">
        <v>1.55E-2</v>
      </c>
      <c r="F8">
        <v>1.6595</v>
      </c>
      <c r="G8">
        <v>1.6448</v>
      </c>
      <c r="H8">
        <v>1.47E-2</v>
      </c>
      <c r="J8">
        <v>1.5017</v>
      </c>
      <c r="K8">
        <v>1.4856</v>
      </c>
      <c r="L8">
        <v>1.61E-2</v>
      </c>
      <c r="N8">
        <v>1.6953</v>
      </c>
      <c r="O8">
        <v>1.6711</v>
      </c>
      <c r="P8">
        <v>2.4199999999999999E-2</v>
      </c>
      <c r="R8">
        <v>1.6739999999999999</v>
      </c>
      <c r="S8">
        <v>1.6500999999999999</v>
      </c>
      <c r="T8">
        <v>2.3900000000000001E-2</v>
      </c>
    </row>
    <row r="9" spans="1:20" x14ac:dyDescent="0.3">
      <c r="B9">
        <v>1.6816</v>
      </c>
      <c r="C9">
        <v>1.6660999999999999</v>
      </c>
      <c r="D9">
        <v>1.55E-2</v>
      </c>
      <c r="F9">
        <v>1.7148000000000001</v>
      </c>
      <c r="G9">
        <v>1.7000999999999999</v>
      </c>
      <c r="H9">
        <v>1.47E-2</v>
      </c>
      <c r="J9">
        <v>1.6572</v>
      </c>
      <c r="K9">
        <v>1.6414</v>
      </c>
      <c r="L9">
        <v>1.5800000000000002E-2</v>
      </c>
      <c r="R9">
        <v>1.6821999999999999</v>
      </c>
      <c r="S9">
        <v>1.6586000000000001</v>
      </c>
      <c r="T9">
        <v>2.3599999999999999E-2</v>
      </c>
    </row>
    <row r="10" spans="1:20" x14ac:dyDescent="0.3">
      <c r="F10">
        <v>1.6592</v>
      </c>
      <c r="G10">
        <v>1.645</v>
      </c>
      <c r="H10">
        <v>1.4200000000000001E-2</v>
      </c>
      <c r="J10">
        <v>1.5012000000000001</v>
      </c>
      <c r="K10">
        <v>1.4856</v>
      </c>
      <c r="L10">
        <v>1.5599999999999999E-2</v>
      </c>
    </row>
    <row r="11" spans="1:20" x14ac:dyDescent="0.3">
      <c r="F11">
        <v>1.7141</v>
      </c>
      <c r="G11">
        <v>1.6999</v>
      </c>
      <c r="H11">
        <v>1.4200000000000001E-2</v>
      </c>
    </row>
    <row r="13" spans="1:20" ht="18.600000000000001" x14ac:dyDescent="0.45">
      <c r="A13" s="4" t="s">
        <v>15</v>
      </c>
      <c r="B13" s="3"/>
      <c r="C13" s="3"/>
      <c r="D13" s="3">
        <f>AVERAGE(D3:D9)</f>
        <v>1.5642857142857142E-2</v>
      </c>
      <c r="E13" s="3"/>
      <c r="F13" s="3"/>
      <c r="G13" s="3"/>
      <c r="H13" s="3">
        <f>AVERAGE(H3:H11)</f>
        <v>1.4588888888888893E-2</v>
      </c>
      <c r="I13" s="3"/>
      <c r="J13" s="3"/>
      <c r="K13" s="3"/>
      <c r="L13" s="3">
        <f>AVERAGE(L3:L10)</f>
        <v>1.6025000000000001E-2</v>
      </c>
      <c r="M13" s="3"/>
      <c r="N13" s="3"/>
      <c r="O13" s="3"/>
      <c r="P13" s="3">
        <f>AVERAGE(P3:P8)</f>
        <v>2.4266666666666669E-2</v>
      </c>
      <c r="Q13" s="3"/>
      <c r="R13" s="3"/>
      <c r="S13" s="3"/>
      <c r="T13" s="3">
        <f>AVERAGE(T3:T9)</f>
        <v>2.3799999999999998E-2</v>
      </c>
    </row>
    <row r="14" spans="1:20" ht="18.600000000000001" x14ac:dyDescent="0.45">
      <c r="A14" s="4" t="s">
        <v>10</v>
      </c>
      <c r="B14" s="3"/>
      <c r="C14" s="3"/>
      <c r="D14" s="3">
        <f>STDEV(D3:D9)</f>
        <v>2.4397501823713368E-4</v>
      </c>
      <c r="E14" s="3"/>
      <c r="F14" s="3"/>
      <c r="G14" s="3"/>
      <c r="H14" s="3">
        <f>STDEV(H3:H11)</f>
        <v>2.5712081034235827E-4</v>
      </c>
      <c r="I14" s="3"/>
      <c r="J14" s="3"/>
      <c r="K14" s="3"/>
      <c r="L14" s="3">
        <f>STDEV(L3:L10)</f>
        <v>3.5355339059327403E-4</v>
      </c>
      <c r="M14" s="3"/>
      <c r="N14" s="3"/>
      <c r="O14" s="3"/>
      <c r="P14" s="3">
        <f>STDEV(P3:P8)</f>
        <v>2.732520204255891E-4</v>
      </c>
      <c r="Q14" s="3"/>
      <c r="R14" s="3"/>
      <c r="S14" s="3"/>
      <c r="T14" s="3">
        <f>STDEV(T3:T9)</f>
        <v>3.2145502536643243E-4</v>
      </c>
    </row>
    <row r="15" spans="1:20" s="3" customFormat="1" ht="17.399999999999999" x14ac:dyDescent="0.45">
      <c r="A15" s="5" t="s">
        <v>14</v>
      </c>
      <c r="D15" s="3">
        <v>7</v>
      </c>
      <c r="H15" s="3">
        <v>9</v>
      </c>
      <c r="L15" s="3">
        <v>8</v>
      </c>
      <c r="P15" s="3">
        <v>6</v>
      </c>
      <c r="T15" s="3">
        <v>7</v>
      </c>
    </row>
    <row r="16" spans="1:20" s="3" customFormat="1" ht="17.399999999999999" x14ac:dyDescent="0.45">
      <c r="A16" s="5" t="s">
        <v>13</v>
      </c>
      <c r="D16" s="3">
        <v>20</v>
      </c>
      <c r="H16" s="3">
        <v>20</v>
      </c>
      <c r="L16" s="3">
        <v>20</v>
      </c>
      <c r="P16" s="3">
        <v>20</v>
      </c>
      <c r="T16" s="3">
        <v>20</v>
      </c>
    </row>
    <row r="18" spans="1:20" s="3" customFormat="1" ht="17.399999999999999" x14ac:dyDescent="0.45">
      <c r="A18" s="9" t="s">
        <v>16</v>
      </c>
      <c r="D18" s="3">
        <v>0.78210000000000002</v>
      </c>
      <c r="H18" s="3">
        <v>0.72940000000000005</v>
      </c>
      <c r="L18" s="3">
        <v>0.80120000000000002</v>
      </c>
      <c r="P18" s="3">
        <v>1.2133</v>
      </c>
      <c r="T18" s="3">
        <v>1.19</v>
      </c>
    </row>
  </sheetData>
  <mergeCells count="5">
    <mergeCell ref="B1:D1"/>
    <mergeCell ref="F1:H1"/>
    <mergeCell ref="J1:L1"/>
    <mergeCell ref="N1:P1"/>
    <mergeCell ref="R1:T1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FEMALE WEIGHTS</vt:lpstr>
      <vt:lpstr>MALE WEIGHTS</vt:lpstr>
      <vt:lpstr>FEMALE WEIGHT MEANS</vt:lpstr>
      <vt:lpstr>MALE WEIGHT MEANS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NOTfat</dc:creator>
  <cp:lastModifiedBy>Kenneth Weber</cp:lastModifiedBy>
  <dcterms:created xsi:type="dcterms:W3CDTF">2017-06-30T19:06:51Z</dcterms:created>
  <dcterms:modified xsi:type="dcterms:W3CDTF">2018-07-23T20:21:03Z</dcterms:modified>
</cp:coreProperties>
</file>
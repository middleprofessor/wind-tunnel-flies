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wind tunnel calibration/"/>
    </mc:Choice>
  </mc:AlternateContent>
  <xr:revisionPtr revIDLastSave="0" documentId="13_ncr:1_{CD7AE182-6E6A-494F-A390-6A364BF3E175}" xr6:coauthVersionLast="47" xr6:coauthVersionMax="47" xr10:uidLastSave="{00000000-0000-0000-0000-000000000000}"/>
  <bookViews>
    <workbookView xWindow="0" yWindow="600" windowWidth="17200" windowHeight="17400" activeTab="1" xr2:uid="{00000000-000D-0000-FFFF-FFFF00000000}"/>
  </bookViews>
  <sheets>
    <sheet name="flow probe" sheetId="2" r:id="rId1"/>
    <sheet name="smoke w scree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7" i="1"/>
  <c r="K2" i="1"/>
  <c r="E19" i="2"/>
  <c r="E1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I19" i="1"/>
  <c r="I18" i="1"/>
  <c r="I14" i="1"/>
  <c r="I15" i="1"/>
  <c r="I16" i="1"/>
  <c r="I13" i="1"/>
  <c r="I8" i="1"/>
  <c r="I7" i="1"/>
  <c r="I3" i="1"/>
  <c r="I4" i="1"/>
  <c r="I5" i="1"/>
  <c r="I2" i="1"/>
</calcChain>
</file>

<file path=xl/sharedStrings.xml><?xml version="1.0" encoding="utf-8"?>
<sst xmlns="http://schemas.openxmlformats.org/spreadsheetml/2006/main" count="36" uniqueCount="25">
  <si>
    <t>File</t>
  </si>
  <si>
    <t>wind10a</t>
  </si>
  <si>
    <t>wind10b</t>
  </si>
  <si>
    <t>wind15a</t>
  </si>
  <si>
    <t>wind20a</t>
  </si>
  <si>
    <t>Dial</t>
  </si>
  <si>
    <t>start frame</t>
  </si>
  <si>
    <t>end frame</t>
  </si>
  <si>
    <t>start x</t>
  </si>
  <si>
    <t>end x</t>
  </si>
  <si>
    <t>scale (pixels per cm)</t>
  </si>
  <si>
    <t>velocity (cm/s) 2004</t>
  </si>
  <si>
    <t>speed (cm/s) 2026</t>
  </si>
  <si>
    <t>Slope</t>
  </si>
  <si>
    <t>Intercept</t>
  </si>
  <si>
    <t>Filmed smoke at 1000 frames / second</t>
  </si>
  <si>
    <t>scale is pixels per cm</t>
  </si>
  <si>
    <t>dial</t>
  </si>
  <si>
    <t>m/s min</t>
  </si>
  <si>
    <t>m/s max</t>
  </si>
  <si>
    <t>m/s</t>
  </si>
  <si>
    <t>cm/s</t>
  </si>
  <si>
    <t>page 37 of Ken's Selected Drosophila notebook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</si>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</sst>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color indexed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2" fillId="0" borderId="0" xfId="0" applyFont="1"/>
    <xf numFmtId="0" fontId="1" fillId="0" borderId="3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'smoke w screen'!$B$2:$B$16</c:f>
              <c:numCache>
                <c:formatCode>General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xVal>
          <c:yVal>
            <c:numRef>
              <c:f>'smoke w screen'!$H$2:$H$16</c:f>
              <c:numCache>
                <c:formatCode>General</c:formatCode>
                <c:ptCount val="15"/>
                <c:pt idx="0">
                  <c:v>47.412958827025342</c:v>
                </c:pt>
                <c:pt idx="1">
                  <c:v>47.291074614102399</c:v>
                </c:pt>
                <c:pt idx="2">
                  <c:v>48.770211842116431</c:v>
                </c:pt>
                <c:pt idx="3">
                  <c:v>48.002398873128101</c:v>
                </c:pt>
                <c:pt idx="5">
                  <c:v>86.739770728134189</c:v>
                </c:pt>
                <c:pt idx="6">
                  <c:v>84.122267682817579</c:v>
                </c:pt>
                <c:pt idx="11">
                  <c:v>122.23245353129558</c:v>
                </c:pt>
                <c:pt idx="12">
                  <c:v>123.43968764024665</c:v>
                </c:pt>
                <c:pt idx="13">
                  <c:v>123.43968764024665</c:v>
                </c:pt>
                <c:pt idx="14">
                  <c:v>123.19446821186597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1-144F-A2B7-756A0E503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517376"/>
        <c:axId val="1472524096"/>
      </c:scatterChart>
      <c:valAx>
        <c:axId val="147251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524096"/>
        <c:crosses val="autoZero"/>
        <c:crossBetween val="midCat"/>
      </c:valAx>
      <c:valAx>
        <c:axId val="14725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51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20</xdr:row>
      <xdr:rowOff>165100</xdr:rowOff>
    </xdr:from>
    <xdr:to>
      <xdr:col>10</xdr:col>
      <xdr:colOff>120650</xdr:colOff>
      <xdr:row>35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776CB-FEE6-4AB4-05F0-5E46E935B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B374-4297-544F-8D8D-B6AC907D6891}">
  <dimension ref="A1:E23"/>
  <sheetViews>
    <sheetView workbookViewId="0">
      <selection activeCell="C20" sqref="C20"/>
    </sheetView>
  </sheetViews>
  <sheetFormatPr baseColWidth="10" defaultRowHeight="15" x14ac:dyDescent="0.2"/>
  <sheetData>
    <row r="1" spans="1:5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</row>
    <row r="2" spans="1:5" x14ac:dyDescent="0.2">
      <c r="A2">
        <v>10</v>
      </c>
      <c r="B2" s="6">
        <v>0.7</v>
      </c>
      <c r="C2" s="6">
        <v>1.1000000000000001</v>
      </c>
      <c r="D2" s="6">
        <f>AVERAGE(B2,C2)</f>
        <v>0.9</v>
      </c>
      <c r="E2">
        <f>D2*100</f>
        <v>90</v>
      </c>
    </row>
    <row r="3" spans="1:5" x14ac:dyDescent="0.2">
      <c r="A3">
        <v>10</v>
      </c>
      <c r="B3" s="6">
        <v>0.7</v>
      </c>
      <c r="C3" s="6">
        <v>1</v>
      </c>
      <c r="D3" s="6">
        <f t="shared" ref="D3:D16" si="0">AVERAGE(B3,C3)</f>
        <v>0.85</v>
      </c>
      <c r="E3">
        <f t="shared" ref="E3:E16" si="1">D3*100</f>
        <v>85</v>
      </c>
    </row>
    <row r="4" spans="1:5" x14ac:dyDescent="0.2">
      <c r="A4">
        <v>10</v>
      </c>
      <c r="B4" s="6">
        <v>0.7</v>
      </c>
      <c r="C4" s="6">
        <v>1.2</v>
      </c>
      <c r="D4" s="6">
        <f t="shared" si="0"/>
        <v>0.95</v>
      </c>
      <c r="E4">
        <f t="shared" si="1"/>
        <v>95</v>
      </c>
    </row>
    <row r="5" spans="1:5" x14ac:dyDescent="0.2">
      <c r="A5">
        <v>20</v>
      </c>
      <c r="B5" s="6">
        <v>1.9</v>
      </c>
      <c r="C5" s="6">
        <v>2</v>
      </c>
      <c r="D5" s="6">
        <f t="shared" si="0"/>
        <v>1.95</v>
      </c>
      <c r="E5">
        <f t="shared" si="1"/>
        <v>195</v>
      </c>
    </row>
    <row r="6" spans="1:5" x14ac:dyDescent="0.2">
      <c r="A6">
        <v>20</v>
      </c>
      <c r="B6" s="6">
        <v>1.8</v>
      </c>
      <c r="C6" s="6">
        <v>2</v>
      </c>
      <c r="D6" s="6">
        <f t="shared" si="0"/>
        <v>1.9</v>
      </c>
      <c r="E6">
        <f t="shared" si="1"/>
        <v>190</v>
      </c>
    </row>
    <row r="7" spans="1:5" x14ac:dyDescent="0.2">
      <c r="A7">
        <v>20</v>
      </c>
      <c r="B7" s="6">
        <v>1.8</v>
      </c>
      <c r="C7" s="6">
        <v>2</v>
      </c>
      <c r="D7" s="6">
        <f t="shared" si="0"/>
        <v>1.9</v>
      </c>
      <c r="E7">
        <f t="shared" si="1"/>
        <v>190</v>
      </c>
    </row>
    <row r="8" spans="1:5" x14ac:dyDescent="0.2">
      <c r="A8">
        <v>30</v>
      </c>
      <c r="B8" s="6">
        <v>2.9</v>
      </c>
      <c r="C8" s="6">
        <v>3</v>
      </c>
      <c r="D8" s="6">
        <f t="shared" si="0"/>
        <v>2.95</v>
      </c>
      <c r="E8">
        <f t="shared" si="1"/>
        <v>295</v>
      </c>
    </row>
    <row r="9" spans="1:5" x14ac:dyDescent="0.2">
      <c r="A9">
        <v>30</v>
      </c>
      <c r="B9" s="6">
        <v>2.9</v>
      </c>
      <c r="C9" s="6">
        <v>2.9</v>
      </c>
      <c r="D9" s="6">
        <f t="shared" si="0"/>
        <v>2.9</v>
      </c>
      <c r="E9">
        <f t="shared" si="1"/>
        <v>290</v>
      </c>
    </row>
    <row r="10" spans="1:5" x14ac:dyDescent="0.2">
      <c r="A10">
        <v>30</v>
      </c>
      <c r="B10" s="6">
        <v>2.9</v>
      </c>
      <c r="C10" s="6">
        <v>3</v>
      </c>
      <c r="D10" s="6">
        <f t="shared" si="0"/>
        <v>2.95</v>
      </c>
      <c r="E10">
        <f t="shared" si="1"/>
        <v>295</v>
      </c>
    </row>
    <row r="11" spans="1:5" x14ac:dyDescent="0.2">
      <c r="A11">
        <v>40</v>
      </c>
      <c r="B11" s="6">
        <v>4</v>
      </c>
      <c r="C11" s="6">
        <v>4</v>
      </c>
      <c r="D11" s="6">
        <f t="shared" si="0"/>
        <v>4</v>
      </c>
      <c r="E11">
        <f t="shared" si="1"/>
        <v>400</v>
      </c>
    </row>
    <row r="12" spans="1:5" x14ac:dyDescent="0.2">
      <c r="A12">
        <v>40</v>
      </c>
      <c r="B12" s="6">
        <v>3.9</v>
      </c>
      <c r="C12" s="6">
        <v>4</v>
      </c>
      <c r="D12" s="6">
        <f t="shared" si="0"/>
        <v>3.95</v>
      </c>
      <c r="E12">
        <f t="shared" si="1"/>
        <v>395</v>
      </c>
    </row>
    <row r="13" spans="1:5" x14ac:dyDescent="0.2">
      <c r="A13">
        <v>40</v>
      </c>
      <c r="B13" s="6">
        <v>4</v>
      </c>
      <c r="C13" s="6">
        <v>4</v>
      </c>
      <c r="D13" s="6">
        <f t="shared" si="0"/>
        <v>4</v>
      </c>
      <c r="E13">
        <f t="shared" si="1"/>
        <v>400</v>
      </c>
    </row>
    <row r="14" spans="1:5" x14ac:dyDescent="0.2">
      <c r="A14">
        <v>50</v>
      </c>
      <c r="B14" s="6">
        <v>5.0999999999999996</v>
      </c>
      <c r="C14" s="6">
        <v>5.0999999999999996</v>
      </c>
      <c r="D14" s="6">
        <f t="shared" si="0"/>
        <v>5.0999999999999996</v>
      </c>
      <c r="E14">
        <f t="shared" si="1"/>
        <v>509.99999999999994</v>
      </c>
    </row>
    <row r="15" spans="1:5" x14ac:dyDescent="0.2">
      <c r="A15">
        <v>50</v>
      </c>
      <c r="B15" s="6">
        <v>5</v>
      </c>
      <c r="C15" s="6">
        <v>5</v>
      </c>
      <c r="D15" s="6">
        <f t="shared" si="0"/>
        <v>5</v>
      </c>
      <c r="E15">
        <f t="shared" si="1"/>
        <v>500</v>
      </c>
    </row>
    <row r="16" spans="1:5" x14ac:dyDescent="0.2">
      <c r="A16">
        <v>50</v>
      </c>
      <c r="B16" s="6">
        <v>5</v>
      </c>
      <c r="C16" s="6">
        <v>5</v>
      </c>
      <c r="D16" s="6">
        <f t="shared" si="0"/>
        <v>5</v>
      </c>
      <c r="E16">
        <f t="shared" si="1"/>
        <v>500</v>
      </c>
    </row>
    <row r="18" spans="1:5" x14ac:dyDescent="0.2">
      <c r="C18" s="4" t="s">
        <v>23</v>
      </c>
      <c r="E18">
        <f>SLOPE(E2:E16,A2:A16)</f>
        <v>10.333333333333334</v>
      </c>
    </row>
    <row r="19" spans="1:5" x14ac:dyDescent="0.2">
      <c r="C19" s="4" t="s">
        <v>24</v>
      </c>
      <c r="E19">
        <f>INTERCEPT(E2:E16,A2:A16)</f>
        <v>-14.666666666666686</v>
      </c>
    </row>
    <row r="23" spans="1:5" x14ac:dyDescent="0.2">
      <c r="A23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2" workbookViewId="0">
      <selection activeCell="L28" sqref="L28"/>
    </sheetView>
  </sheetViews>
  <sheetFormatPr baseColWidth="10" defaultColWidth="8.83203125" defaultRowHeight="15" x14ac:dyDescent="0.2"/>
  <cols>
    <col min="1" max="1" width="8" bestFit="1" customWidth="1"/>
    <col min="2" max="2" width="4.1640625" bestFit="1" customWidth="1"/>
    <col min="3" max="3" width="9.5" bestFit="1" customWidth="1"/>
    <col min="4" max="4" width="9" bestFit="1" customWidth="1"/>
    <col min="5" max="5" width="5.83203125" bestFit="1" customWidth="1"/>
    <col min="6" max="6" width="5.33203125" bestFit="1" customWidth="1"/>
    <col min="7" max="7" width="16.6640625" bestFit="1" customWidth="1"/>
    <col min="8" max="8" width="17" bestFit="1" customWidth="1"/>
    <col min="9" max="9" width="15.33203125" bestFit="1" customWidth="1"/>
  </cols>
  <sheetData>
    <row r="1" spans="1:11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5" t="s">
        <v>12</v>
      </c>
    </row>
    <row r="2" spans="1:11" x14ac:dyDescent="0.2">
      <c r="A2" s="2" t="s">
        <v>1</v>
      </c>
      <c r="B2" s="3">
        <v>10</v>
      </c>
      <c r="C2" s="3">
        <v>1</v>
      </c>
      <c r="D2" s="3">
        <v>53</v>
      </c>
      <c r="E2" s="3">
        <v>85</v>
      </c>
      <c r="F2" s="3">
        <v>474</v>
      </c>
      <c r="G2" s="3">
        <v>157.779</v>
      </c>
      <c r="H2" s="3">
        <v>47.412958827025342</v>
      </c>
      <c r="I2">
        <f>(F2-E2)/(D2-C2)/G2 *1000</f>
        <v>47.412958827025342</v>
      </c>
      <c r="K2">
        <f>I2/B2</f>
        <v>4.7412958827025342</v>
      </c>
    </row>
    <row r="3" spans="1:11" x14ac:dyDescent="0.2">
      <c r="A3" s="2" t="s">
        <v>2</v>
      </c>
      <c r="B3" s="3">
        <v>10</v>
      </c>
      <c r="C3" s="3">
        <v>1</v>
      </c>
      <c r="D3" s="3">
        <v>53</v>
      </c>
      <c r="E3" s="3">
        <v>79</v>
      </c>
      <c r="F3" s="3">
        <v>467</v>
      </c>
      <c r="G3" s="3">
        <v>157.779</v>
      </c>
      <c r="H3" s="3">
        <v>47.291074614102399</v>
      </c>
      <c r="I3">
        <f t="shared" ref="I3:I8" si="0">(F3-E3)/(D3-C3)/G3 *1000</f>
        <v>47.291074614102399</v>
      </c>
    </row>
    <row r="4" spans="1:11" x14ac:dyDescent="0.2">
      <c r="A4" s="2" t="s">
        <v>2</v>
      </c>
      <c r="B4" s="3">
        <v>10</v>
      </c>
      <c r="C4" s="3">
        <v>81</v>
      </c>
      <c r="D4" s="3">
        <v>140</v>
      </c>
      <c r="E4" s="3">
        <v>16</v>
      </c>
      <c r="F4" s="3">
        <v>470</v>
      </c>
      <c r="G4" s="3">
        <v>157.779</v>
      </c>
      <c r="H4" s="3">
        <v>48.770211842116431</v>
      </c>
      <c r="I4">
        <f t="shared" si="0"/>
        <v>48.770211842116431</v>
      </c>
    </row>
    <row r="5" spans="1:11" x14ac:dyDescent="0.2">
      <c r="A5" s="2" t="s">
        <v>2</v>
      </c>
      <c r="B5" s="3">
        <v>10</v>
      </c>
      <c r="C5" s="3">
        <v>129</v>
      </c>
      <c r="D5" s="3">
        <v>190</v>
      </c>
      <c r="E5" s="3">
        <v>15</v>
      </c>
      <c r="F5" s="3">
        <v>477</v>
      </c>
      <c r="G5" s="3">
        <v>157.779</v>
      </c>
      <c r="H5" s="3">
        <v>48.002398873128101</v>
      </c>
      <c r="I5">
        <f t="shared" si="0"/>
        <v>48.002398873128101</v>
      </c>
    </row>
    <row r="6" spans="1:11" x14ac:dyDescent="0.2">
      <c r="A6" s="2" t="s">
        <v>2</v>
      </c>
      <c r="B6" s="3">
        <v>10</v>
      </c>
      <c r="G6" s="3">
        <v>157.779</v>
      </c>
    </row>
    <row r="7" spans="1:11" x14ac:dyDescent="0.2">
      <c r="A7" s="2" t="s">
        <v>3</v>
      </c>
      <c r="B7" s="3">
        <v>15</v>
      </c>
      <c r="C7" s="3">
        <v>178</v>
      </c>
      <c r="D7" s="3">
        <v>213</v>
      </c>
      <c r="E7" s="3">
        <v>11</v>
      </c>
      <c r="F7" s="3">
        <v>490</v>
      </c>
      <c r="G7" s="3">
        <v>157.779</v>
      </c>
      <c r="H7" s="3">
        <v>86.739770728134189</v>
      </c>
      <c r="I7">
        <f t="shared" si="0"/>
        <v>86.739770728134204</v>
      </c>
      <c r="K7">
        <f>I7/B7</f>
        <v>5.7826513818756133</v>
      </c>
    </row>
    <row r="8" spans="1:11" x14ac:dyDescent="0.2">
      <c r="A8" s="2" t="s">
        <v>3</v>
      </c>
      <c r="B8" s="3">
        <v>15</v>
      </c>
      <c r="C8" s="3">
        <v>180</v>
      </c>
      <c r="D8" s="3">
        <v>202</v>
      </c>
      <c r="E8" s="3">
        <v>20</v>
      </c>
      <c r="F8" s="3">
        <v>312</v>
      </c>
      <c r="G8" s="3">
        <v>157.779</v>
      </c>
      <c r="H8" s="3">
        <v>84.122267682817579</v>
      </c>
      <c r="I8">
        <f t="shared" si="0"/>
        <v>84.122267682817565</v>
      </c>
    </row>
    <row r="9" spans="1:11" x14ac:dyDescent="0.2">
      <c r="A9" s="2" t="s">
        <v>3</v>
      </c>
      <c r="B9" s="3">
        <v>15</v>
      </c>
      <c r="G9" s="3">
        <v>157.779</v>
      </c>
    </row>
    <row r="10" spans="1:11" x14ac:dyDescent="0.2">
      <c r="A10" s="2" t="s">
        <v>3</v>
      </c>
      <c r="B10" s="3">
        <v>15</v>
      </c>
      <c r="G10" s="3">
        <v>157.779</v>
      </c>
    </row>
    <row r="11" spans="1:11" x14ac:dyDescent="0.2">
      <c r="A11" s="2" t="s">
        <v>3</v>
      </c>
      <c r="B11" s="3">
        <v>15</v>
      </c>
      <c r="G11" s="3">
        <v>157.779</v>
      </c>
    </row>
    <row r="12" spans="1:11" x14ac:dyDescent="0.2">
      <c r="A12" s="2" t="s">
        <v>4</v>
      </c>
      <c r="B12" s="3">
        <v>20</v>
      </c>
      <c r="G12" s="3">
        <v>157.779</v>
      </c>
    </row>
    <row r="13" spans="1:11" x14ac:dyDescent="0.2">
      <c r="A13" s="2" t="s">
        <v>4</v>
      </c>
      <c r="B13" s="3">
        <v>20</v>
      </c>
      <c r="C13" s="3">
        <v>18</v>
      </c>
      <c r="D13" s="3">
        <v>39</v>
      </c>
      <c r="E13" s="3">
        <v>17</v>
      </c>
      <c r="F13" s="3">
        <v>422</v>
      </c>
      <c r="G13" s="3">
        <v>157.779</v>
      </c>
      <c r="H13" s="3">
        <v>122.23245353129558</v>
      </c>
      <c r="I13">
        <f t="shared" ref="I13:I16" si="1">(F13-E13)/(D13-C13)/G13 *1000</f>
        <v>122.23245353129558</v>
      </c>
      <c r="K13">
        <f>I13/B13</f>
        <v>6.111622676564779</v>
      </c>
    </row>
    <row r="14" spans="1:11" x14ac:dyDescent="0.2">
      <c r="A14" s="2" t="s">
        <v>4</v>
      </c>
      <c r="B14" s="3">
        <v>20</v>
      </c>
      <c r="C14" s="3">
        <v>40</v>
      </c>
      <c r="D14" s="3">
        <v>61</v>
      </c>
      <c r="E14" s="3">
        <v>15</v>
      </c>
      <c r="F14" s="3">
        <v>424</v>
      </c>
      <c r="G14" s="3">
        <v>157.779</v>
      </c>
      <c r="H14" s="3">
        <v>123.43968764024665</v>
      </c>
      <c r="I14">
        <f t="shared" si="1"/>
        <v>123.43968764024665</v>
      </c>
    </row>
    <row r="15" spans="1:11" x14ac:dyDescent="0.2">
      <c r="A15" s="2" t="s">
        <v>4</v>
      </c>
      <c r="B15" s="3">
        <v>20</v>
      </c>
      <c r="C15" s="3">
        <v>87</v>
      </c>
      <c r="D15" s="3">
        <v>108</v>
      </c>
      <c r="E15" s="3">
        <v>23</v>
      </c>
      <c r="F15" s="3">
        <v>432</v>
      </c>
      <c r="G15" s="3">
        <v>157.779</v>
      </c>
      <c r="H15" s="3">
        <v>123.43968764024665</v>
      </c>
      <c r="I15">
        <f t="shared" si="1"/>
        <v>123.43968764024665</v>
      </c>
    </row>
    <row r="16" spans="1:11" x14ac:dyDescent="0.2">
      <c r="A16" s="2" t="s">
        <v>4</v>
      </c>
      <c r="B16" s="3">
        <v>20</v>
      </c>
      <c r="C16" s="3">
        <v>98</v>
      </c>
      <c r="D16" s="3">
        <v>114</v>
      </c>
      <c r="E16" s="3">
        <v>36</v>
      </c>
      <c r="F16" s="3">
        <v>347</v>
      </c>
      <c r="G16" s="3">
        <v>157.779</v>
      </c>
      <c r="H16" s="3">
        <v>123.19446821186597</v>
      </c>
      <c r="I16">
        <f t="shared" si="1"/>
        <v>123.19446821186597</v>
      </c>
    </row>
    <row r="18" spans="1:9" x14ac:dyDescent="0.2">
      <c r="H18" s="4" t="s">
        <v>13</v>
      </c>
      <c r="I18">
        <f>SLOPE(I2:I16,B2:B16)</f>
        <v>7.520741321682066</v>
      </c>
    </row>
    <row r="19" spans="1:9" x14ac:dyDescent="0.2">
      <c r="H19" s="4" t="s">
        <v>14</v>
      </c>
      <c r="I19">
        <f>INTERCEPT(I2:I16,B2:B16)</f>
        <v>-27.346621866133106</v>
      </c>
    </row>
    <row r="22" spans="1:9" x14ac:dyDescent="0.2">
      <c r="A22" s="4" t="s">
        <v>15</v>
      </c>
    </row>
    <row r="23" spans="1:9" x14ac:dyDescent="0.2">
      <c r="A23" s="4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probe</vt:lpstr>
      <vt:lpstr>smoke w 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A Walker</cp:lastModifiedBy>
  <dcterms:modified xsi:type="dcterms:W3CDTF">2026-07-03T00:39:54Z</dcterms:modified>
</cp:coreProperties>
</file>
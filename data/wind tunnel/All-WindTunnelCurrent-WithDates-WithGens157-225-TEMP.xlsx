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180" activeTab="1"/>
  </bookViews>
  <sheets>
    <sheet name="Chart2" sheetId="1" r:id="rId1"/>
    <sheet name="Sheet1" sheetId="2" r:id="rId2"/>
    <sheet name="Sheet2" sheetId="3" r:id="rId3"/>
    <sheet name="Sheet3" sheetId="4" r:id="rId4"/>
  </sheets>
  <definedNames>
    <definedName name="_xlnm.Print_Titles" localSheetId="1">Sheet1!$1:1</definedName>
  </definedNames>
  <calcPr calcId="144525"/>
</workbook>
</file>

<file path=xl/sharedStrings.xml><?xml version="1.0" encoding="utf-8"?>
<sst xmlns="http://schemas.openxmlformats.org/spreadsheetml/2006/main" count="11">
  <si>
    <t>gen</t>
  </si>
  <si>
    <t>AA1-1</t>
  </si>
  <si>
    <t>AA1-2</t>
  </si>
  <si>
    <t>AA2-1</t>
  </si>
  <si>
    <t>AA2-2</t>
  </si>
  <si>
    <t>AA1</t>
  </si>
  <si>
    <t>AA2=</t>
  </si>
  <si>
    <t>DATE AA1</t>
  </si>
  <si>
    <t>DATE AA2</t>
  </si>
  <si>
    <t xml:space="preserve">Julian AA1 </t>
  </si>
  <si>
    <t>Julian AA2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</si>
</sst>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10">
    <font>
      <sz val="10"/>
      <name val="Arial"/>
      <charset val="134"/>
    </font>
    <font>
      <b/>
      <sz val="14"/>
      <name val="Arial"/>
      <family val="2"/>
      <charset val="134"/>
    </font>
    <font>
      <b/>
      <sz val="12"/>
      <name val="Courier"/>
      <family val="3"/>
      <charset val="134"/>
    </font>
    <font>
      <sz val="10"/>
      <name val="Courier"/>
      <family val="3"/>
      <charset val="134"/>
    </font>
    <font>
      <sz val="10"/>
      <name val="Arial"/>
      <family val="2"/>
      <charset val="134"/>
    </font>
    <font>
      <b/>
      <sz val="14"/>
      <name val="Courier"/>
      <family val="3"/>
      <charset val="134"/>
    </font>
    <font>
      <b/>
      <sz val="10"/>
      <name val="Courier"/>
      <family val="3"/>
      <charset val="134"/>
    </font>
    <font>
      <b/>
      <sz val="10"/>
      <name val="Arial"/>
      <family val="2"/>
      <charset val="134"/>
    </font>
    <font>
      <b/>
      <sz val="12"/>
      <color indexed="10"/>
      <name val="Courier"/>
      <family val="3"/>
      <charset val="134"/>
    </font>
    <font>
      <sz val="10"/>
      <color indexed="8"/>
      <name val="Courier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6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2" borderId="0" xfId="0" applyNumberFormat="1" applyFont="1" applyFill="1" applyAlignment="1">
      <alignment horizontal="center"/>
    </xf>
    <xf numFmtId="58" fontId="4" fillId="0" borderId="0" xfId="0" applyNumberFormat="1" applyFont="1" applyAlignment="1"/>
    <xf numFmtId="0" fontId="5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7" fillId="2" borderId="0" xfId="0" applyNumberFormat="1" applyFont="1" applyFill="1" applyAlignment="1">
      <alignment horizontal="center"/>
    </xf>
    <xf numFmtId="58" fontId="7" fillId="0" borderId="0" xfId="0" applyNumberFormat="1" applyFont="1" applyAlignment="1"/>
    <xf numFmtId="0" fontId="7" fillId="0" borderId="0" xfId="0" applyFont="1" applyAlignment="1"/>
    <xf numFmtId="2" fontId="0" fillId="2" borderId="0" xfId="0" applyNumberFormat="1" applyFill="1" applyAlignment="1">
      <alignment horizontal="center"/>
    </xf>
    <xf numFmtId="0" fontId="4" fillId="0" borderId="0" xfId="0" applyFont="1" applyAlignment="1"/>
    <xf numFmtId="0" fontId="8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58" fontId="4" fillId="0" borderId="0" xfId="0" applyNumberFormat="1" applyFont="1" applyAlignment="1">
      <alignment horizontal="right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 vert="horz"/>
          <a:lstStyle/>
          <a:p>
            <a:pPr algn="ctr">
              <a:defRPr sz="2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zh-CN" altLang="zh-CN"/>
              <a:t>WIND TUNNEL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Sheet1!$F$1</c:f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Sheet1!$A$2:$A$378</c:f>
              <c:numCache>
                <c:ptCount val="37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/>
                </c:pt>
                <c:pt idx="22">
                  <c:v>157</c:v>
                </c:pt>
                <c:pt idx="23">
                  <c:v>158</c:v>
                </c:pt>
                <c:pt idx="24">
                  <c:v/>
                </c:pt>
                <c:pt idx="25">
                  <c:v>163</c:v>
                </c:pt>
                <c:pt idx="26">
                  <c:v>164</c:v>
                </c:pt>
                <c:pt idx="27">
                  <c:v>165</c:v>
                </c:pt>
                <c:pt idx="28">
                  <c:v>166</c:v>
                </c:pt>
                <c:pt idx="29">
                  <c:v>167</c:v>
                </c:pt>
                <c:pt idx="30">
                  <c:v>168</c:v>
                </c:pt>
                <c:pt idx="31">
                  <c:v>169</c:v>
                </c:pt>
                <c:pt idx="32">
                  <c:v>170</c:v>
                </c:pt>
                <c:pt idx="33">
                  <c:v>171</c:v>
                </c:pt>
                <c:pt idx="34">
                  <c:v>172</c:v>
                </c:pt>
                <c:pt idx="35">
                  <c:v>173</c:v>
                </c:pt>
                <c:pt idx="36">
                  <c:v>174</c:v>
                </c:pt>
                <c:pt idx="37">
                  <c:v>175</c:v>
                </c:pt>
                <c:pt idx="38">
                  <c:v>176</c:v>
                </c:pt>
                <c:pt idx="39">
                  <c:v>177</c:v>
                </c:pt>
                <c:pt idx="40">
                  <c:v>178</c:v>
                </c:pt>
                <c:pt idx="41">
                  <c:v>179</c:v>
                </c:pt>
                <c:pt idx="42">
                  <c:v>180</c:v>
                </c:pt>
                <c:pt idx="43">
                  <c:v>181</c:v>
                </c:pt>
                <c:pt idx="44">
                  <c:v>182</c:v>
                </c:pt>
                <c:pt idx="45">
                  <c:v>183</c:v>
                </c:pt>
                <c:pt idx="46">
                  <c:v/>
                </c:pt>
                <c:pt idx="47">
                  <c:v>186</c:v>
                </c:pt>
                <c:pt idx="48">
                  <c:v>187</c:v>
                </c:pt>
                <c:pt idx="49">
                  <c:v>188</c:v>
                </c:pt>
                <c:pt idx="50">
                  <c:v>189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193</c:v>
                </c:pt>
                <c:pt idx="55">
                  <c:v>194</c:v>
                </c:pt>
                <c:pt idx="56">
                  <c:v>195</c:v>
                </c:pt>
                <c:pt idx="57">
                  <c:v>196</c:v>
                </c:pt>
                <c:pt idx="58">
                  <c:v>197</c:v>
                </c:pt>
                <c:pt idx="59">
                  <c:v>198</c:v>
                </c:pt>
                <c:pt idx="60">
                  <c:v>199</c:v>
                </c:pt>
                <c:pt idx="61">
                  <c:v>200</c:v>
                </c:pt>
                <c:pt idx="62">
                  <c:v>201</c:v>
                </c:pt>
                <c:pt idx="63">
                  <c:v>202</c:v>
                </c:pt>
                <c:pt idx="64">
                  <c:v>203</c:v>
                </c:pt>
                <c:pt idx="65">
                  <c:v>204</c:v>
                </c:pt>
                <c:pt idx="66">
                  <c:v/>
                </c:pt>
                <c:pt idx="67">
                  <c:v>206</c:v>
                </c:pt>
                <c:pt idx="68">
                  <c:v>207</c:v>
                </c:pt>
                <c:pt idx="69">
                  <c:v>208</c:v>
                </c:pt>
                <c:pt idx="70">
                  <c:v>209</c:v>
                </c:pt>
                <c:pt idx="71">
                  <c:v>210</c:v>
                </c:pt>
                <c:pt idx="72">
                  <c:v>211</c:v>
                </c:pt>
                <c:pt idx="73">
                  <c:v>212</c:v>
                </c:pt>
                <c:pt idx="74">
                  <c:v>213</c:v>
                </c:pt>
                <c:pt idx="75">
                  <c:v>214</c:v>
                </c:pt>
                <c:pt idx="76">
                  <c:v>215</c:v>
                </c:pt>
                <c:pt idx="77">
                  <c:v>216</c:v>
                </c:pt>
                <c:pt idx="78">
                  <c:v>217</c:v>
                </c:pt>
                <c:pt idx="79">
                  <c:v>218</c:v>
                </c:pt>
                <c:pt idx="80">
                  <c:v>219</c:v>
                </c:pt>
                <c:pt idx="81">
                  <c:v>220</c:v>
                </c:pt>
                <c:pt idx="82">
                  <c:v>221</c:v>
                </c:pt>
                <c:pt idx="83">
                  <c:v>222</c:v>
                </c:pt>
                <c:pt idx="84">
                  <c:v>223</c:v>
                </c:pt>
                <c:pt idx="85">
                  <c:v>224</c:v>
                </c:pt>
                <c:pt idx="86">
                  <c:v>225</c:v>
                </c:pt>
                <c:pt idx="87">
                  <c:v>226</c:v>
                </c:pt>
                <c:pt idx="88">
                  <c:v>227</c:v>
                </c:pt>
                <c:pt idx="89">
                  <c:v>228</c:v>
                </c:pt>
                <c:pt idx="90">
                  <c:v>229</c:v>
                </c:pt>
                <c:pt idx="91">
                  <c:v>230</c:v>
                </c:pt>
                <c:pt idx="92">
                  <c:v>231</c:v>
                </c:pt>
                <c:pt idx="93">
                  <c:v>232</c:v>
                </c:pt>
                <c:pt idx="94">
                  <c:v>233</c:v>
                </c:pt>
                <c:pt idx="95">
                  <c:v>234</c:v>
                </c:pt>
                <c:pt idx="96">
                  <c:v>235</c:v>
                </c:pt>
                <c:pt idx="97">
                  <c:v>236</c:v>
                </c:pt>
                <c:pt idx="98">
                  <c:v>237</c:v>
                </c:pt>
                <c:pt idx="99">
                  <c:v>238</c:v>
                </c:pt>
                <c:pt idx="100">
                  <c:v>239</c:v>
                </c:pt>
                <c:pt idx="101">
                  <c:v>240</c:v>
                </c:pt>
                <c:pt idx="102">
                  <c:v>241</c:v>
                </c:pt>
                <c:pt idx="103">
                  <c:v>242</c:v>
                </c:pt>
                <c:pt idx="104">
                  <c:v>243</c:v>
                </c:pt>
                <c:pt idx="105">
                  <c:v>244</c:v>
                </c:pt>
                <c:pt idx="106">
                  <c:v>245</c:v>
                </c:pt>
                <c:pt idx="107">
                  <c:v>246</c:v>
                </c:pt>
                <c:pt idx="108">
                  <c:v>247</c:v>
                </c:pt>
                <c:pt idx="109">
                  <c:v>248</c:v>
                </c:pt>
                <c:pt idx="110">
                  <c:v>249</c:v>
                </c:pt>
                <c:pt idx="111">
                  <c:v>250</c:v>
                </c:pt>
                <c:pt idx="112">
                  <c:v>251</c:v>
                </c:pt>
                <c:pt idx="113">
                  <c:v>252</c:v>
                </c:pt>
                <c:pt idx="114">
                  <c:v>253</c:v>
                </c:pt>
                <c:pt idx="115">
                  <c:v>254</c:v>
                </c:pt>
                <c:pt idx="116">
                  <c:v>255</c:v>
                </c:pt>
                <c:pt idx="117">
                  <c:v>256</c:v>
                </c:pt>
                <c:pt idx="118">
                  <c:v>257</c:v>
                </c:pt>
                <c:pt idx="119">
                  <c:v>258</c:v>
                </c:pt>
                <c:pt idx="120">
                  <c:v>259</c:v>
                </c:pt>
                <c:pt idx="121">
                  <c:v>260</c:v>
                </c:pt>
                <c:pt idx="122">
                  <c:v>261</c:v>
                </c:pt>
                <c:pt idx="123">
                  <c:v>262</c:v>
                </c:pt>
                <c:pt idx="124">
                  <c:v>263</c:v>
                </c:pt>
                <c:pt idx="125">
                  <c:v>264</c:v>
                </c:pt>
                <c:pt idx="126">
                  <c:v>265</c:v>
                </c:pt>
                <c:pt idx="127">
                  <c:v>266</c:v>
                </c:pt>
                <c:pt idx="128">
                  <c:v>267</c:v>
                </c:pt>
                <c:pt idx="129">
                  <c:v>268</c:v>
                </c:pt>
                <c:pt idx="130">
                  <c:v>269</c:v>
                </c:pt>
                <c:pt idx="131">
                  <c:v>270</c:v>
                </c:pt>
                <c:pt idx="132">
                  <c:v>271</c:v>
                </c:pt>
                <c:pt idx="133">
                  <c:v>272</c:v>
                </c:pt>
                <c:pt idx="134">
                  <c:v>273</c:v>
                </c:pt>
                <c:pt idx="135">
                  <c:v>274</c:v>
                </c:pt>
                <c:pt idx="136">
                  <c:v>275</c:v>
                </c:pt>
                <c:pt idx="137">
                  <c:v>276</c:v>
                </c:pt>
                <c:pt idx="138">
                  <c:v>277</c:v>
                </c:pt>
                <c:pt idx="139">
                  <c:v>278</c:v>
                </c:pt>
                <c:pt idx="140">
                  <c:v>279</c:v>
                </c:pt>
                <c:pt idx="141">
                  <c:v>280</c:v>
                </c:pt>
                <c:pt idx="142">
                  <c:v>281</c:v>
                </c:pt>
                <c:pt idx="143">
                  <c:v>282</c:v>
                </c:pt>
                <c:pt idx="144">
                  <c:v>283</c:v>
                </c:pt>
                <c:pt idx="145">
                  <c:v>284</c:v>
                </c:pt>
                <c:pt idx="146">
                  <c:v>285</c:v>
                </c:pt>
                <c:pt idx="147">
                  <c:v>286</c:v>
                </c:pt>
                <c:pt idx="148">
                  <c:v>287</c:v>
                </c:pt>
                <c:pt idx="149">
                  <c:v>288</c:v>
                </c:pt>
                <c:pt idx="150">
                  <c:v>289</c:v>
                </c:pt>
                <c:pt idx="151">
                  <c:v>290</c:v>
                </c:pt>
                <c:pt idx="152">
                  <c:v>291</c:v>
                </c:pt>
                <c:pt idx="153">
                  <c:v>292</c:v>
                </c:pt>
                <c:pt idx="154">
                  <c:v>293</c:v>
                </c:pt>
                <c:pt idx="155">
                  <c:v>294</c:v>
                </c:pt>
                <c:pt idx="156">
                  <c:v>295</c:v>
                </c:pt>
                <c:pt idx="157">
                  <c:v>296</c:v>
                </c:pt>
                <c:pt idx="158">
                  <c:v>297</c:v>
                </c:pt>
                <c:pt idx="159">
                  <c:v>298</c:v>
                </c:pt>
                <c:pt idx="160">
                  <c:v>299</c:v>
                </c:pt>
                <c:pt idx="161">
                  <c:v>300</c:v>
                </c:pt>
                <c:pt idx="162">
                  <c:v>301</c:v>
                </c:pt>
                <c:pt idx="163">
                  <c:v>304</c:v>
                </c:pt>
                <c:pt idx="164">
                  <c:v>307</c:v>
                </c:pt>
                <c:pt idx="165">
                  <c:v>310</c:v>
                </c:pt>
                <c:pt idx="166">
                  <c:v>313</c:v>
                </c:pt>
                <c:pt idx="167">
                  <c:v>316</c:v>
                </c:pt>
                <c:pt idx="168">
                  <c:v>319</c:v>
                </c:pt>
                <c:pt idx="169">
                  <c:v>322</c:v>
                </c:pt>
                <c:pt idx="170">
                  <c:v/>
                </c:pt>
                <c:pt idx="171">
                  <c:v>325</c:v>
                </c:pt>
                <c:pt idx="172">
                  <c:v/>
                </c:pt>
                <c:pt idx="173">
                  <c:v>328</c:v>
                </c:pt>
                <c:pt idx="174">
                  <c:v/>
                </c:pt>
                <c:pt idx="175">
                  <c:v>331</c:v>
                </c:pt>
                <c:pt idx="176">
                  <c:v/>
                </c:pt>
                <c:pt idx="177">
                  <c:v>334</c:v>
                </c:pt>
                <c:pt idx="178">
                  <c:v/>
                </c:pt>
                <c:pt idx="179">
                  <c:v>337</c:v>
                </c:pt>
                <c:pt idx="180">
                  <c:v>338</c:v>
                </c:pt>
                <c:pt idx="181">
                  <c:v>339</c:v>
                </c:pt>
                <c:pt idx="182">
                  <c:v>340</c:v>
                </c:pt>
                <c:pt idx="183">
                  <c:v>341</c:v>
                </c:pt>
                <c:pt idx="184">
                  <c:v>342</c:v>
                </c:pt>
                <c:pt idx="185">
                  <c:v>343</c:v>
                </c:pt>
                <c:pt idx="186">
                  <c:v>344</c:v>
                </c:pt>
                <c:pt idx="187">
                  <c:v>345</c:v>
                </c:pt>
                <c:pt idx="188">
                  <c:v>346</c:v>
                </c:pt>
                <c:pt idx="189">
                  <c:v>347</c:v>
                </c:pt>
                <c:pt idx="190">
                  <c:v/>
                </c:pt>
                <c:pt idx="191">
                  <c:v>349</c:v>
                </c:pt>
                <c:pt idx="192">
                  <c:v>350</c:v>
                </c:pt>
                <c:pt idx="193">
                  <c:v>351</c:v>
                </c:pt>
                <c:pt idx="194">
                  <c:v>352</c:v>
                </c:pt>
                <c:pt idx="195">
                  <c:v>353</c:v>
                </c:pt>
                <c:pt idx="196">
                  <c:v>354</c:v>
                </c:pt>
                <c:pt idx="197">
                  <c:v>355</c:v>
                </c:pt>
                <c:pt idx="198">
                  <c:v>356</c:v>
                </c:pt>
                <c:pt idx="199">
                  <c:v/>
                </c:pt>
                <c:pt idx="200">
                  <c:v>358</c:v>
                </c:pt>
                <c:pt idx="201">
                  <c:v>359</c:v>
                </c:pt>
                <c:pt idx="202">
                  <c:v/>
                </c:pt>
                <c:pt idx="203">
                  <c:v>383</c:v>
                </c:pt>
                <c:pt idx="204">
                  <c:v>384</c:v>
                </c:pt>
                <c:pt idx="205">
                  <c:v>385</c:v>
                </c:pt>
                <c:pt idx="206">
                  <c:v>386</c:v>
                </c:pt>
                <c:pt idx="207">
                  <c:v>387</c:v>
                </c:pt>
                <c:pt idx="208">
                  <c:v>388</c:v>
                </c:pt>
                <c:pt idx="209">
                  <c:v>389</c:v>
                </c:pt>
                <c:pt idx="210">
                  <c:v>390</c:v>
                </c:pt>
                <c:pt idx="211">
                  <c:v>391</c:v>
                </c:pt>
                <c:pt idx="212">
                  <c:v>392</c:v>
                </c:pt>
                <c:pt idx="213">
                  <c:v>393</c:v>
                </c:pt>
                <c:pt idx="214">
                  <c:v>394</c:v>
                </c:pt>
                <c:pt idx="215">
                  <c:v>395</c:v>
                </c:pt>
                <c:pt idx="216">
                  <c:v>396</c:v>
                </c:pt>
                <c:pt idx="217">
                  <c:v>397</c:v>
                </c:pt>
                <c:pt idx="218">
                  <c:v>398</c:v>
                </c:pt>
                <c:pt idx="219">
                  <c:v>399</c:v>
                </c:pt>
                <c:pt idx="220">
                  <c:v>400</c:v>
                </c:pt>
                <c:pt idx="221">
                  <c:v>401</c:v>
                </c:pt>
                <c:pt idx="222">
                  <c:v>402</c:v>
                </c:pt>
                <c:pt idx="223">
                  <c:v>403</c:v>
                </c:pt>
                <c:pt idx="224">
                  <c:v>404</c:v>
                </c:pt>
                <c:pt idx="225">
                  <c:v>405</c:v>
                </c:pt>
                <c:pt idx="226">
                  <c:v>406</c:v>
                </c:pt>
                <c:pt idx="227">
                  <c:v>407</c:v>
                </c:pt>
                <c:pt idx="228">
                  <c:v>408</c:v>
                </c:pt>
                <c:pt idx="229">
                  <c:v>409</c:v>
                </c:pt>
                <c:pt idx="230">
                  <c:v>410</c:v>
                </c:pt>
                <c:pt idx="231">
                  <c:v>411</c:v>
                </c:pt>
                <c:pt idx="232">
                  <c:v>412</c:v>
                </c:pt>
                <c:pt idx="233">
                  <c:v>413</c:v>
                </c:pt>
                <c:pt idx="234">
                  <c:v>414</c:v>
                </c:pt>
                <c:pt idx="235">
                  <c:v>415</c:v>
                </c:pt>
                <c:pt idx="236">
                  <c:v>416</c:v>
                </c:pt>
                <c:pt idx="237">
                  <c:v>417</c:v>
                </c:pt>
                <c:pt idx="238">
                  <c:v>418</c:v>
                </c:pt>
                <c:pt idx="239">
                  <c:v>419</c:v>
                </c:pt>
                <c:pt idx="240">
                  <c:v>420</c:v>
                </c:pt>
                <c:pt idx="241">
                  <c:v>421</c:v>
                </c:pt>
                <c:pt idx="242">
                  <c:v>422</c:v>
                </c:pt>
                <c:pt idx="243">
                  <c:v>423</c:v>
                </c:pt>
                <c:pt idx="244">
                  <c:v>424</c:v>
                </c:pt>
                <c:pt idx="245">
                  <c:v>425</c:v>
                </c:pt>
                <c:pt idx="246">
                  <c:v>426</c:v>
                </c:pt>
                <c:pt idx="247">
                  <c:v>427</c:v>
                </c:pt>
                <c:pt idx="248">
                  <c:v>428</c:v>
                </c:pt>
                <c:pt idx="249">
                  <c:v>429</c:v>
                </c:pt>
                <c:pt idx="250">
                  <c:v>430</c:v>
                </c:pt>
                <c:pt idx="251">
                  <c:v>431</c:v>
                </c:pt>
                <c:pt idx="252">
                  <c:v>432</c:v>
                </c:pt>
                <c:pt idx="253">
                  <c:v>433</c:v>
                </c:pt>
                <c:pt idx="254">
                  <c:v>434</c:v>
                </c:pt>
                <c:pt idx="255">
                  <c:v>435</c:v>
                </c:pt>
                <c:pt idx="256">
                  <c:v>436</c:v>
                </c:pt>
                <c:pt idx="257">
                  <c:v>437</c:v>
                </c:pt>
                <c:pt idx="258">
                  <c:v>438</c:v>
                </c:pt>
                <c:pt idx="259">
                  <c:v>439</c:v>
                </c:pt>
                <c:pt idx="260">
                  <c:v>440</c:v>
                </c:pt>
                <c:pt idx="261">
                  <c:v>441</c:v>
                </c:pt>
                <c:pt idx="262">
                  <c:v>442</c:v>
                </c:pt>
                <c:pt idx="263">
                  <c:v>443</c:v>
                </c:pt>
                <c:pt idx="264">
                  <c:v>444</c:v>
                </c:pt>
                <c:pt idx="265">
                  <c:v>445</c:v>
                </c:pt>
                <c:pt idx="266">
                  <c:v>446</c:v>
                </c:pt>
                <c:pt idx="267">
                  <c:v>447</c:v>
                </c:pt>
                <c:pt idx="268">
                  <c:v>448</c:v>
                </c:pt>
                <c:pt idx="269">
                  <c:v>449</c:v>
                </c:pt>
                <c:pt idx="270">
                  <c:v>450</c:v>
                </c:pt>
                <c:pt idx="271">
                  <c:v>451</c:v>
                </c:pt>
                <c:pt idx="272">
                  <c:v>452</c:v>
                </c:pt>
                <c:pt idx="273">
                  <c:v>453</c:v>
                </c:pt>
                <c:pt idx="274">
                  <c:v>454</c:v>
                </c:pt>
                <c:pt idx="275">
                  <c:v>455</c:v>
                </c:pt>
                <c:pt idx="276">
                  <c:v>456</c:v>
                </c:pt>
                <c:pt idx="277">
                  <c:v>457</c:v>
                </c:pt>
                <c:pt idx="278">
                  <c:v>458</c:v>
                </c:pt>
                <c:pt idx="279">
                  <c:v>459</c:v>
                </c:pt>
                <c:pt idx="280">
                  <c:v>460</c:v>
                </c:pt>
                <c:pt idx="281">
                  <c:v>461</c:v>
                </c:pt>
                <c:pt idx="282">
                  <c:v>462</c:v>
                </c:pt>
                <c:pt idx="283">
                  <c:v>463</c:v>
                </c:pt>
                <c:pt idx="284">
                  <c:v>464</c:v>
                </c:pt>
                <c:pt idx="285">
                  <c:v>465</c:v>
                </c:pt>
                <c:pt idx="286">
                  <c:v>466</c:v>
                </c:pt>
                <c:pt idx="287">
                  <c:v>467</c:v>
                </c:pt>
                <c:pt idx="288">
                  <c:v>468</c:v>
                </c:pt>
                <c:pt idx="289">
                  <c:v>469</c:v>
                </c:pt>
                <c:pt idx="290">
                  <c:v>470</c:v>
                </c:pt>
                <c:pt idx="291">
                  <c:v>471</c:v>
                </c:pt>
                <c:pt idx="292">
                  <c:v>472</c:v>
                </c:pt>
                <c:pt idx="293">
                  <c:v>473</c:v>
                </c:pt>
                <c:pt idx="294">
                  <c:v>474</c:v>
                </c:pt>
                <c:pt idx="295">
                  <c:v>475</c:v>
                </c:pt>
                <c:pt idx="296">
                  <c:v>476</c:v>
                </c:pt>
                <c:pt idx="297">
                  <c:v>477</c:v>
                </c:pt>
                <c:pt idx="298">
                  <c:v>478</c:v>
                </c:pt>
                <c:pt idx="299">
                  <c:v>479</c:v>
                </c:pt>
                <c:pt idx="300">
                  <c:v>480</c:v>
                </c:pt>
                <c:pt idx="301">
                  <c:v>481</c:v>
                </c:pt>
                <c:pt idx="302">
                  <c:v>482</c:v>
                </c:pt>
                <c:pt idx="303">
                  <c:v>483</c:v>
                </c:pt>
                <c:pt idx="304">
                  <c:v>484</c:v>
                </c:pt>
                <c:pt idx="305">
                  <c:v>485</c:v>
                </c:pt>
                <c:pt idx="306">
                  <c:v>486</c:v>
                </c:pt>
                <c:pt idx="307">
                  <c:v>487</c:v>
                </c:pt>
                <c:pt idx="308">
                  <c:v>488</c:v>
                </c:pt>
                <c:pt idx="309">
                  <c:v>489</c:v>
                </c:pt>
                <c:pt idx="310">
                  <c:v>490</c:v>
                </c:pt>
                <c:pt idx="311">
                  <c:v>491</c:v>
                </c:pt>
                <c:pt idx="312">
                  <c:v>492</c:v>
                </c:pt>
                <c:pt idx="313">
                  <c:v>493</c:v>
                </c:pt>
                <c:pt idx="314">
                  <c:v>494</c:v>
                </c:pt>
                <c:pt idx="315">
                  <c:v>495</c:v>
                </c:pt>
                <c:pt idx="316">
                  <c:v>496</c:v>
                </c:pt>
                <c:pt idx="317">
                  <c:v>497</c:v>
                </c:pt>
                <c:pt idx="318">
                  <c:v>498</c:v>
                </c:pt>
                <c:pt idx="319">
                  <c:v>499</c:v>
                </c:pt>
                <c:pt idx="320">
                  <c:v>500</c:v>
                </c:pt>
                <c:pt idx="321">
                  <c:v>501</c:v>
                </c:pt>
                <c:pt idx="322">
                  <c:v>502</c:v>
                </c:pt>
                <c:pt idx="323">
                  <c:v>503</c:v>
                </c:pt>
                <c:pt idx="324">
                  <c:v>504</c:v>
                </c:pt>
                <c:pt idx="325">
                  <c:v>505</c:v>
                </c:pt>
                <c:pt idx="326">
                  <c:v>506</c:v>
                </c:pt>
                <c:pt idx="327">
                  <c:v>507</c:v>
                </c:pt>
                <c:pt idx="328">
                  <c:v>508</c:v>
                </c:pt>
                <c:pt idx="329">
                  <c:v/>
                </c:pt>
                <c:pt idx="330">
                  <c:v>538</c:v>
                </c:pt>
                <c:pt idx="331">
                  <c:v>539</c:v>
                </c:pt>
                <c:pt idx="332">
                  <c:v>540</c:v>
                </c:pt>
                <c:pt idx="333">
                  <c:v>541</c:v>
                </c:pt>
                <c:pt idx="334">
                  <c:v>544</c:v>
                </c:pt>
                <c:pt idx="335">
                  <c:v>545</c:v>
                </c:pt>
                <c:pt idx="336">
                  <c:v>546</c:v>
                </c:pt>
                <c:pt idx="337">
                  <c:v>547</c:v>
                </c:pt>
                <c:pt idx="338">
                  <c:v>548</c:v>
                </c:pt>
                <c:pt idx="339">
                  <c:v>549</c:v>
                </c:pt>
                <c:pt idx="340">
                  <c:v>550</c:v>
                </c:pt>
                <c:pt idx="341">
                  <c:v>551</c:v>
                </c:pt>
                <c:pt idx="342">
                  <c:v>552</c:v>
                </c:pt>
                <c:pt idx="343">
                  <c:v>553</c:v>
                </c:pt>
                <c:pt idx="344">
                  <c:v>554</c:v>
                </c:pt>
                <c:pt idx="345">
                  <c:v>555</c:v>
                </c:pt>
                <c:pt idx="346">
                  <c:v>556</c:v>
                </c:pt>
                <c:pt idx="347">
                  <c:v>557</c:v>
                </c:pt>
                <c:pt idx="348">
                  <c:v>558</c:v>
                </c:pt>
                <c:pt idx="349">
                  <c:v>559</c:v>
                </c:pt>
                <c:pt idx="350">
                  <c:v>560</c:v>
                </c:pt>
                <c:pt idx="351">
                  <c:v>563</c:v>
                </c:pt>
                <c:pt idx="352">
                  <c:v>564</c:v>
                </c:pt>
                <c:pt idx="353">
                  <c:v>565</c:v>
                </c:pt>
                <c:pt idx="354">
                  <c:v>566</c:v>
                </c:pt>
                <c:pt idx="355">
                  <c:v>567</c:v>
                </c:pt>
                <c:pt idx="356">
                  <c:v>568</c:v>
                </c:pt>
                <c:pt idx="357">
                  <c:v>569</c:v>
                </c:pt>
                <c:pt idx="358">
                  <c:v>570</c:v>
                </c:pt>
                <c:pt idx="359">
                  <c:v>573</c:v>
                </c:pt>
                <c:pt idx="360">
                  <c:v>574</c:v>
                </c:pt>
                <c:pt idx="361">
                  <c:v>575</c:v>
                </c:pt>
                <c:pt idx="362">
                  <c:v>576</c:v>
                </c:pt>
                <c:pt idx="363">
                  <c:v>577</c:v>
                </c:pt>
                <c:pt idx="364">
                  <c:v>578</c:v>
                </c:pt>
                <c:pt idx="365">
                  <c:v>579</c:v>
                </c:pt>
                <c:pt idx="366">
                  <c:v>580</c:v>
                </c:pt>
                <c:pt idx="367">
                  <c:v>581</c:v>
                </c:pt>
                <c:pt idx="368">
                  <c:v>582</c:v>
                </c:pt>
                <c:pt idx="369">
                  <c:v>583</c:v>
                </c:pt>
                <c:pt idx="370">
                  <c:v>584</c:v>
                </c:pt>
                <c:pt idx="371">
                  <c:v>585</c:v>
                </c:pt>
                <c:pt idx="372">
                  <c:v>586</c:v>
                </c:pt>
                <c:pt idx="373">
                  <c:v>587</c:v>
                </c:pt>
                <c:pt idx="374">
                  <c:v>588</c:v>
                </c:pt>
                <c:pt idx="375">
                  <c:v>589</c:v>
                </c:pt>
                <c:pt idx="376">
                  <c:v>590</c:v>
                </c:pt>
              </c:numCache>
            </c:numRef>
          </c:xVal>
          <c:yVal>
            <c:numRef>
              <c:f>Sheet1!$F$2:$F$378</c:f>
              <c:numCache>
                <c:ptCount val="377"/>
                <c:pt idx="0">
                  <c:v>2.39</c:v>
                </c:pt>
                <c:pt idx="1">
                  <c:v>10.09</c:v>
                </c:pt>
                <c:pt idx="2">
                  <c:v>44.24</c:v>
                </c:pt>
                <c:pt idx="3">
                  <c:v>44.48</c:v>
                </c:pt>
                <c:pt idx="4">
                  <c:v>61.57</c:v>
                </c:pt>
                <c:pt idx="5">
                  <c:v>64.38</c:v>
                </c:pt>
                <c:pt idx="6">
                  <c:v>87.73</c:v>
                </c:pt>
                <c:pt idx="7">
                  <c:v>99.7</c:v>
                </c:pt>
                <c:pt idx="8">
                  <c:v>124.02</c:v>
                </c:pt>
                <c:pt idx="9">
                  <c:v>107</c:v>
                </c:pt>
                <c:pt idx="10">
                  <c:v>107.22</c:v>
                </c:pt>
                <c:pt idx="11">
                  <c:v>137.22</c:v>
                </c:pt>
                <c:pt idx="12">
                  <c:v>115.15</c:v>
                </c:pt>
                <c:pt idx="13">
                  <c:v>126.94</c:v>
                </c:pt>
                <c:pt idx="14">
                  <c:v>134.68</c:v>
                </c:pt>
                <c:pt idx="15">
                  <c:v>121.42</c:v>
                </c:pt>
                <c:pt idx="16">
                  <c:v>169.43</c:v>
                </c:pt>
                <c:pt idx="17">
                  <c:v>171.52</c:v>
                </c:pt>
                <c:pt idx="18">
                  <c:v>172.46</c:v>
                </c:pt>
                <c:pt idx="19">
                  <c:v>178.75</c:v>
                </c:pt>
                <c:pt idx="20">
                  <c:v>156.87</c:v>
                </c:pt>
                <c:pt idx="21">
                  <c:v/>
                </c:pt>
                <c:pt idx="22">
                  <c:v/>
                </c:pt>
                <c:pt idx="23">
                  <c:v>193.77</c:v>
                </c:pt>
                <c:pt idx="24">
                  <c:v/>
                </c:pt>
                <c:pt idx="25">
                  <c:v>217.46</c:v>
                </c:pt>
                <c:pt idx="26">
                  <c:v>215.21</c:v>
                </c:pt>
                <c:pt idx="27">
                  <c:v>216.21</c:v>
                </c:pt>
                <c:pt idx="28">
                  <c:v>150.61</c:v>
                </c:pt>
                <c:pt idx="29">
                  <c:v>214.14</c:v>
                </c:pt>
                <c:pt idx="30">
                  <c:v>199.5</c:v>
                </c:pt>
                <c:pt idx="31">
                  <c:v>221.69</c:v>
                </c:pt>
                <c:pt idx="32">
                  <c:v>242.88</c:v>
                </c:pt>
                <c:pt idx="33">
                  <c:v>203.87</c:v>
                </c:pt>
                <c:pt idx="34">
                  <c:v>218.37</c:v>
                </c:pt>
                <c:pt idx="35">
                  <c:v>211.16</c:v>
                </c:pt>
                <c:pt idx="36">
                  <c:v>214.1</c:v>
                </c:pt>
                <c:pt idx="37">
                  <c:v>205.63</c:v>
                </c:pt>
                <c:pt idx="38">
                  <c:v>227.32</c:v>
                </c:pt>
                <c:pt idx="39">
                  <c:v>118.62</c:v>
                </c:pt>
                <c:pt idx="40">
                  <c:v>119.17</c:v>
                </c:pt>
                <c:pt idx="41">
                  <c:v>126.81</c:v>
                </c:pt>
                <c:pt idx="42">
                  <c:v/>
                </c:pt>
                <c:pt idx="43">
                  <c:v>172.51</c:v>
                </c:pt>
                <c:pt idx="44">
                  <c:v>181.1</c:v>
                </c:pt>
                <c:pt idx="45">
                  <c:v>194.84</c:v>
                </c:pt>
                <c:pt idx="46">
                  <c:v/>
                </c:pt>
                <c:pt idx="47">
                  <c:v>225.34</c:v>
                </c:pt>
                <c:pt idx="48">
                  <c:v>222.35</c:v>
                </c:pt>
                <c:pt idx="49">
                  <c:v>113.87</c:v>
                </c:pt>
                <c:pt idx="50">
                  <c:v>148.36</c:v>
                </c:pt>
                <c:pt idx="51">
                  <c:v>126.46</c:v>
                </c:pt>
                <c:pt idx="52">
                  <c:v/>
                </c:pt>
                <c:pt idx="53">
                  <c:v>147.95</c:v>
                </c:pt>
                <c:pt idx="54">
                  <c:v>138.64</c:v>
                </c:pt>
                <c:pt idx="55">
                  <c:v>171.31</c:v>
                </c:pt>
                <c:pt idx="56">
                  <c:v/>
                </c:pt>
                <c:pt idx="57">
                  <c:v>170.37</c:v>
                </c:pt>
                <c:pt idx="58">
                  <c:v/>
                </c:pt>
                <c:pt idx="59">
                  <c:v/>
                </c:pt>
                <c:pt idx="60">
                  <c:v>176.01</c:v>
                </c:pt>
                <c:pt idx="61">
                  <c:v>248.96</c:v>
                </c:pt>
                <c:pt idx="62">
                  <c:v>220.69</c:v>
                </c:pt>
                <c:pt idx="63">
                  <c:v>170.39</c:v>
                </c:pt>
                <c:pt idx="64">
                  <c:v>147.6</c:v>
                </c:pt>
                <c:pt idx="65">
                  <c:v>155.61</c:v>
                </c:pt>
                <c:pt idx="66">
                  <c:v/>
                </c:pt>
                <c:pt idx="67">
                  <c:v/>
                </c:pt>
                <c:pt idx="68">
                  <c:v>167.5</c:v>
                </c:pt>
                <c:pt idx="69">
                  <c:v>202.14</c:v>
                </c:pt>
                <c:pt idx="70">
                  <c:v>209.9</c:v>
                </c:pt>
                <c:pt idx="71">
                  <c:v>231.65</c:v>
                </c:pt>
                <c:pt idx="72">
                  <c:v>245.25</c:v>
                </c:pt>
                <c:pt idx="73">
                  <c:v/>
                </c:pt>
                <c:pt idx="74">
                  <c:v>163.25</c:v>
                </c:pt>
                <c:pt idx="75">
                  <c:v/>
                </c:pt>
                <c:pt idx="76">
                  <c:v>171.89</c:v>
                </c:pt>
                <c:pt idx="77">
                  <c:v>184.54</c:v>
                </c:pt>
                <c:pt idx="78">
                  <c:v>187.62</c:v>
                </c:pt>
                <c:pt idx="79">
                  <c:v>180.81</c:v>
                </c:pt>
                <c:pt idx="80">
                  <c:v>187.11</c:v>
                </c:pt>
                <c:pt idx="81">
                  <c:v/>
                </c:pt>
                <c:pt idx="82">
                  <c:v>197.8</c:v>
                </c:pt>
                <c:pt idx="83">
                  <c:v>196.24</c:v>
                </c:pt>
                <c:pt idx="84">
                  <c:v>214.69</c:v>
                </c:pt>
                <c:pt idx="85">
                  <c:v/>
                </c:pt>
                <c:pt idx="86">
                  <c:v>205.63</c:v>
                </c:pt>
                <c:pt idx="87">
                  <c:v>200.78</c:v>
                </c:pt>
                <c:pt idx="88">
                  <c:v>202.68</c:v>
                </c:pt>
                <c:pt idx="89">
                  <c:v>201.63</c:v>
                </c:pt>
                <c:pt idx="90">
                  <c:v>210.96</c:v>
                </c:pt>
                <c:pt idx="91">
                  <c:v>197.96</c:v>
                </c:pt>
                <c:pt idx="92">
                  <c:v>181.35</c:v>
                </c:pt>
                <c:pt idx="93">
                  <c:v>185.94</c:v>
                </c:pt>
                <c:pt idx="94">
                  <c:v>182.23</c:v>
                </c:pt>
                <c:pt idx="95">
                  <c:v>186.97</c:v>
                </c:pt>
                <c:pt idx="96">
                  <c:v/>
                </c:pt>
                <c:pt idx="97">
                  <c:v/>
                </c:pt>
                <c:pt idx="98">
                  <c:v>173.5</c:v>
                </c:pt>
                <c:pt idx="99">
                  <c:v/>
                </c:pt>
                <c:pt idx="100">
                  <c:v>166.5</c:v>
                </c:pt>
                <c:pt idx="101">
                  <c:v>194.74</c:v>
                </c:pt>
                <c:pt idx="102">
                  <c:v>206.62</c:v>
                </c:pt>
                <c:pt idx="103">
                  <c:v>206.67</c:v>
                </c:pt>
                <c:pt idx="104">
                  <c:v>199.43</c:v>
                </c:pt>
                <c:pt idx="105">
                  <c:v>197.18</c:v>
                </c:pt>
                <c:pt idx="106">
                  <c:v>196.58</c:v>
                </c:pt>
                <c:pt idx="107">
                  <c:v>203.74</c:v>
                </c:pt>
                <c:pt idx="108">
                  <c:v>198.52</c:v>
                </c:pt>
                <c:pt idx="109">
                  <c:v>203.98</c:v>
                </c:pt>
                <c:pt idx="110">
                  <c:v>199.47</c:v>
                </c:pt>
                <c:pt idx="111">
                  <c:v>207.16</c:v>
                </c:pt>
                <c:pt idx="112">
                  <c:v>207.09</c:v>
                </c:pt>
                <c:pt idx="113">
                  <c:v>202.61</c:v>
                </c:pt>
                <c:pt idx="114">
                  <c:v>202.92</c:v>
                </c:pt>
                <c:pt idx="115">
                  <c:v>198.7</c:v>
                </c:pt>
                <c:pt idx="116">
                  <c:v/>
                </c:pt>
                <c:pt idx="117">
                  <c:v/>
                </c:pt>
                <c:pt idx="118">
                  <c:v>211.14</c:v>
                </c:pt>
                <c:pt idx="119">
                  <c:v/>
                </c:pt>
                <c:pt idx="120">
                  <c:v>184.82</c:v>
                </c:pt>
                <c:pt idx="121">
                  <c:v>199.15</c:v>
                </c:pt>
                <c:pt idx="122">
                  <c:v>209.09</c:v>
                </c:pt>
                <c:pt idx="123">
                  <c:v>205.17</c:v>
                </c:pt>
                <c:pt idx="124">
                  <c:v/>
                </c:pt>
                <c:pt idx="125">
                  <c:v>195.25</c:v>
                </c:pt>
                <c:pt idx="126">
                  <c:v>192.13</c:v>
                </c:pt>
                <c:pt idx="127">
                  <c:v>197.73</c:v>
                </c:pt>
                <c:pt idx="128">
                  <c:v>217.77</c:v>
                </c:pt>
                <c:pt idx="129">
                  <c:v/>
                </c:pt>
                <c:pt idx="130">
                  <c:v>190.2</c:v>
                </c:pt>
                <c:pt idx="131">
                  <c:v>194.11</c:v>
                </c:pt>
                <c:pt idx="132">
                  <c:v>182.68</c:v>
                </c:pt>
                <c:pt idx="133">
                  <c:v>199.72</c:v>
                </c:pt>
                <c:pt idx="134">
                  <c:v>194.38</c:v>
                </c:pt>
                <c:pt idx="135">
                  <c:v>197.52</c:v>
                </c:pt>
                <c:pt idx="136">
                  <c:v>203.15</c:v>
                </c:pt>
                <c:pt idx="137">
                  <c:v>210.37</c:v>
                </c:pt>
                <c:pt idx="138">
                  <c:v>199.77</c:v>
                </c:pt>
                <c:pt idx="139">
                  <c:v>194.28</c:v>
                </c:pt>
                <c:pt idx="140">
                  <c:v>208.13</c:v>
                </c:pt>
                <c:pt idx="141">
                  <c:v>178.42</c:v>
                </c:pt>
                <c:pt idx="142">
                  <c:v>206.5</c:v>
                </c:pt>
                <c:pt idx="143">
                  <c:v>217.26</c:v>
                </c:pt>
                <c:pt idx="144">
                  <c:v>219.81</c:v>
                </c:pt>
                <c:pt idx="145">
                  <c:v>229.52</c:v>
                </c:pt>
                <c:pt idx="146">
                  <c:v>229.88</c:v>
                </c:pt>
                <c:pt idx="147">
                  <c:v>200.61</c:v>
                </c:pt>
                <c:pt idx="148">
                  <c:v>225.7</c:v>
                </c:pt>
                <c:pt idx="149">
                  <c:v>207.45</c:v>
                </c:pt>
                <c:pt idx="150">
                  <c:v>208.9</c:v>
                </c:pt>
                <c:pt idx="151">
                  <c:v>224.04</c:v>
                </c:pt>
                <c:pt idx="152">
                  <c:v>189.51</c:v>
                </c:pt>
                <c:pt idx="153">
                  <c:v>214.88</c:v>
                </c:pt>
                <c:pt idx="154">
                  <c:v/>
                </c:pt>
                <c:pt idx="155">
                  <c:v>213.77</c:v>
                </c:pt>
                <c:pt idx="156">
                  <c:v>225.97</c:v>
                </c:pt>
                <c:pt idx="157">
                  <c:v>225.71</c:v>
                </c:pt>
                <c:pt idx="158">
                  <c:v>221.43</c:v>
                </c:pt>
                <c:pt idx="159">
                  <c:v>215.39</c:v>
                </c:pt>
                <c:pt idx="160">
                  <c:v>211.22</c:v>
                </c:pt>
                <c:pt idx="161">
                  <c:v>233.35</c:v>
                </c:pt>
                <c:pt idx="162">
                  <c:v>185.87</c:v>
                </c:pt>
                <c:pt idx="163">
                  <c:v>203.59</c:v>
                </c:pt>
                <c:pt idx="164">
                  <c:v>224.14</c:v>
                </c:pt>
                <c:pt idx="165">
                  <c:v>213.11</c:v>
                </c:pt>
                <c:pt idx="166">
                  <c:v>198.27</c:v>
                </c:pt>
                <c:pt idx="167">
                  <c:v>186.58</c:v>
                </c:pt>
                <c:pt idx="168">
                  <c:v>186.59</c:v>
                </c:pt>
                <c:pt idx="169">
                  <c:v>203.68</c:v>
                </c:pt>
                <c:pt idx="170">
                  <c:v/>
                </c:pt>
                <c:pt idx="171">
                  <c:v>193.275</c:v>
                </c:pt>
                <c:pt idx="172">
                  <c:v/>
                </c:pt>
                <c:pt idx="173">
                  <c:v>195.715</c:v>
                </c:pt>
                <c:pt idx="174">
                  <c:v/>
                </c:pt>
                <c:pt idx="175">
                  <c:v>210.65</c:v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>187.27</c:v>
                </c:pt>
                <c:pt idx="180">
                  <c:v>160.985</c:v>
                </c:pt>
                <c:pt idx="181">
                  <c:v>167.435</c:v>
                </c:pt>
                <c:pt idx="182">
                  <c:v>207.38</c:v>
                </c:pt>
                <c:pt idx="183">
                  <c:v>178.185</c:v>
                </c:pt>
                <c:pt idx="184">
                  <c:v>212.27</c:v>
                </c:pt>
                <c:pt idx="185">
                  <c:v>233.34</c:v>
                </c:pt>
                <c:pt idx="186">
                  <c:v>214.76</c:v>
                </c:pt>
                <c:pt idx="187">
                  <c:v/>
                </c:pt>
                <c:pt idx="188">
                  <c:v>219.04</c:v>
                </c:pt>
                <c:pt idx="189">
                  <c:v>215.04</c:v>
                </c:pt>
                <c:pt idx="190">
                  <c:v/>
                </c:pt>
                <c:pt idx="191">
                  <c:v/>
                </c:pt>
                <c:pt idx="192">
                  <c:v>212.12</c:v>
                </c:pt>
                <c:pt idx="193">
                  <c:v>209.86</c:v>
                </c:pt>
                <c:pt idx="194">
                  <c:v>200.53</c:v>
                </c:pt>
                <c:pt idx="195">
                  <c:v/>
                </c:pt>
                <c:pt idx="196">
                  <c:v>192.08</c:v>
                </c:pt>
                <c:pt idx="197">
                  <c:v/>
                </c:pt>
                <c:pt idx="198">
                  <c:v>197.18</c:v>
                </c:pt>
                <c:pt idx="199">
                  <c:v/>
                </c:pt>
                <c:pt idx="200">
                  <c:v/>
                </c:pt>
                <c:pt idx="201">
                  <c:v>213.935</c:v>
                </c:pt>
                <c:pt idx="202">
                  <c:v/>
                </c:pt>
                <c:pt idx="203">
                  <c:v>214.65</c:v>
                </c:pt>
                <c:pt idx="204">
                  <c:v>218.8</c:v>
                </c:pt>
                <c:pt idx="205">
                  <c:v/>
                </c:pt>
                <c:pt idx="206">
                  <c:v>213.93</c:v>
                </c:pt>
                <c:pt idx="207">
                  <c:v>217.61</c:v>
                </c:pt>
                <c:pt idx="208">
                  <c:v>225.41</c:v>
                </c:pt>
                <c:pt idx="209">
                  <c:v>202.99</c:v>
                </c:pt>
                <c:pt idx="210">
                  <c:v/>
                </c:pt>
                <c:pt idx="211">
                  <c:v/>
                </c:pt>
                <c:pt idx="212">
                  <c:v>196.71</c:v>
                </c:pt>
                <c:pt idx="213">
                  <c:v>198.79</c:v>
                </c:pt>
                <c:pt idx="214">
                  <c:v>187.32</c:v>
                </c:pt>
                <c:pt idx="215">
                  <c:v>189.02</c:v>
                </c:pt>
                <c:pt idx="216">
                  <c:v>166.41</c:v>
                </c:pt>
                <c:pt idx="217">
                  <c:v>182.75</c:v>
                </c:pt>
                <c:pt idx="218">
                  <c:v>197.83</c:v>
                </c:pt>
                <c:pt idx="219">
                  <c:v>200.01</c:v>
                </c:pt>
                <c:pt idx="220">
                  <c:v>184.21</c:v>
                </c:pt>
                <c:pt idx="221">
                  <c:v>165.99</c:v>
                </c:pt>
                <c:pt idx="222">
                  <c:v>229.39</c:v>
                </c:pt>
                <c:pt idx="223">
                  <c:v>214.795</c:v>
                </c:pt>
                <c:pt idx="224">
                  <c:v>202.25</c:v>
                </c:pt>
                <c:pt idx="225">
                  <c:v>206.56</c:v>
                </c:pt>
                <c:pt idx="226">
                  <c:v>216.91</c:v>
                </c:pt>
                <c:pt idx="227">
                  <c:v>179.945</c:v>
                </c:pt>
                <c:pt idx="228">
                  <c:v>200.71</c:v>
                </c:pt>
                <c:pt idx="229">
                  <c:v>199.415</c:v>
                </c:pt>
                <c:pt idx="230">
                  <c:v>167.665</c:v>
                </c:pt>
                <c:pt idx="231">
                  <c:v>242.46</c:v>
                </c:pt>
                <c:pt idx="232">
                  <c:v/>
                </c:pt>
                <c:pt idx="233">
                  <c:v>205.45</c:v>
                </c:pt>
                <c:pt idx="234">
                  <c:v>197.385</c:v>
                </c:pt>
                <c:pt idx="235">
                  <c:v>216.74</c:v>
                </c:pt>
                <c:pt idx="236">
                  <c:v>192.065</c:v>
                </c:pt>
                <c:pt idx="237">
                  <c:v/>
                </c:pt>
                <c:pt idx="238">
                  <c:v>213.78</c:v>
                </c:pt>
                <c:pt idx="239">
                  <c:v/>
                </c:pt>
                <c:pt idx="240">
                  <c:v>186.165</c:v>
                </c:pt>
                <c:pt idx="241">
                  <c:v>149.89</c:v>
                </c:pt>
                <c:pt idx="242">
                  <c:v>164.15</c:v>
                </c:pt>
                <c:pt idx="243">
                  <c:v>163.885</c:v>
                </c:pt>
                <c:pt idx="244">
                  <c:v>170.285</c:v>
                </c:pt>
                <c:pt idx="245">
                  <c:v/>
                </c:pt>
                <c:pt idx="246">
                  <c:v>188.605</c:v>
                </c:pt>
                <c:pt idx="247">
                  <c:v>153.05</c:v>
                </c:pt>
                <c:pt idx="248">
                  <c:v>232.57</c:v>
                </c:pt>
                <c:pt idx="249">
                  <c:v>192.46</c:v>
                </c:pt>
                <c:pt idx="250">
                  <c:v>178.205</c:v>
                </c:pt>
                <c:pt idx="251">
                  <c:v>194.74</c:v>
                </c:pt>
                <c:pt idx="252">
                  <c:v>214.885</c:v>
                </c:pt>
                <c:pt idx="253">
                  <c:v>191.26</c:v>
                </c:pt>
                <c:pt idx="254">
                  <c:v>204.445</c:v>
                </c:pt>
                <c:pt idx="255">
                  <c:v>228.21</c:v>
                </c:pt>
                <c:pt idx="256">
                  <c:v>212.575</c:v>
                </c:pt>
                <c:pt idx="257">
                  <c:v>172.615</c:v>
                </c:pt>
                <c:pt idx="258">
                  <c:v>224.065</c:v>
                </c:pt>
                <c:pt idx="259">
                  <c:v>198.09</c:v>
                </c:pt>
                <c:pt idx="260">
                  <c:v>222.955</c:v>
                </c:pt>
                <c:pt idx="261">
                  <c:v>212.565</c:v>
                </c:pt>
                <c:pt idx="262">
                  <c:v>210.525</c:v>
                </c:pt>
                <c:pt idx="263">
                  <c:v>222.015</c:v>
                </c:pt>
                <c:pt idx="264">
                  <c:v>223.745</c:v>
                </c:pt>
                <c:pt idx="265">
                  <c:v>222.525</c:v>
                </c:pt>
                <c:pt idx="266">
                  <c:v>211.615</c:v>
                </c:pt>
                <c:pt idx="267">
                  <c:v>213.595</c:v>
                </c:pt>
                <c:pt idx="268">
                  <c:v>225.575</c:v>
                </c:pt>
                <c:pt idx="269">
                  <c:v>206.9</c:v>
                </c:pt>
                <c:pt idx="270">
                  <c:v/>
                </c:pt>
                <c:pt idx="271">
                  <c:v>259.47</c:v>
                </c:pt>
                <c:pt idx="272">
                  <c:v>180.89</c:v>
                </c:pt>
                <c:pt idx="273">
                  <c:v>152.955</c:v>
                </c:pt>
                <c:pt idx="274">
                  <c:v>200.64</c:v>
                </c:pt>
                <c:pt idx="275">
                  <c:v/>
                </c:pt>
                <c:pt idx="276">
                  <c:v/>
                </c:pt>
                <c:pt idx="277">
                  <c:v>223.15</c:v>
                </c:pt>
                <c:pt idx="278">
                  <c:v/>
                </c:pt>
                <c:pt idx="279">
                  <c:v>246.85</c:v>
                </c:pt>
                <c:pt idx="280">
                  <c:v>224.485</c:v>
                </c:pt>
                <c:pt idx="281">
                  <c:v>207.355</c:v>
                </c:pt>
                <c:pt idx="282">
                  <c:v>247.79</c:v>
                </c:pt>
                <c:pt idx="283">
                  <c:v>221.455</c:v>
                </c:pt>
                <c:pt idx="284">
                  <c:v>218.055</c:v>
                </c:pt>
                <c:pt idx="285">
                  <c:v/>
                </c:pt>
                <c:pt idx="286">
                  <c:v>232.015</c:v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>224.84</c:v>
                </c:pt>
                <c:pt idx="292">
                  <c:v/>
                </c:pt>
                <c:pt idx="293">
                  <c:v/>
                </c:pt>
                <c:pt idx="294">
                  <c:v>215.105</c:v>
                </c:pt>
                <c:pt idx="295">
                  <c:v/>
                </c:pt>
                <c:pt idx="296">
                  <c:v>234.105</c:v>
                </c:pt>
                <c:pt idx="297">
                  <c:v/>
                </c:pt>
                <c:pt idx="298">
                  <c:v>249.335</c:v>
                </c:pt>
                <c:pt idx="299">
                  <c:v>239.655</c:v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>240.035</c:v>
                </c:pt>
                <c:pt idx="308">
                  <c:v>245.135</c:v>
                </c:pt>
                <c:pt idx="309">
                  <c:v>254.085</c:v>
                </c:pt>
                <c:pt idx="310">
                  <c:v>244.445</c:v>
                </c:pt>
                <c:pt idx="311">
                  <c:v>272.725</c:v>
                </c:pt>
                <c:pt idx="312">
                  <c:v>269.645</c:v>
                </c:pt>
                <c:pt idx="313">
                  <c:v>259.385</c:v>
                </c:pt>
                <c:pt idx="314">
                  <c:v>260.95</c:v>
                </c:pt>
                <c:pt idx="315">
                  <c:v>239.34</c:v>
                </c:pt>
                <c:pt idx="316">
                  <c:v/>
                </c:pt>
                <c:pt idx="317">
                  <c:v>231.865</c:v>
                </c:pt>
                <c:pt idx="318">
                  <c:v>223.355</c:v>
                </c:pt>
                <c:pt idx="319">
                  <c:v>228.29</c:v>
                </c:pt>
                <c:pt idx="320">
                  <c:v>257.36</c:v>
                </c:pt>
                <c:pt idx="321">
                  <c:v>212.515</c:v>
                </c:pt>
                <c:pt idx="322">
                  <c:v>221.31</c:v>
                </c:pt>
                <c:pt idx="323">
                  <c:v/>
                </c:pt>
                <c:pt idx="324">
                  <c:v>248.48</c:v>
                </c:pt>
                <c:pt idx="325">
                  <c:v>231.6</c:v>
                </c:pt>
                <c:pt idx="326">
                  <c:v>255.69</c:v>
                </c:pt>
                <c:pt idx="327">
                  <c:v>257.085</c:v>
                </c:pt>
                <c:pt idx="328">
                  <c:v>274.055</c:v>
                </c:pt>
                <c:pt idx="329">
                  <c:v/>
                </c:pt>
                <c:pt idx="330">
                  <c:v>240.67</c:v>
                </c:pt>
                <c:pt idx="331">
                  <c:v>237.425</c:v>
                </c:pt>
                <c:pt idx="332">
                  <c:v>252.065</c:v>
                </c:pt>
                <c:pt idx="333">
                  <c:v>258.765</c:v>
                </c:pt>
                <c:pt idx="334">
                  <c:v>233.665</c:v>
                </c:pt>
                <c:pt idx="335">
                  <c:v>219.595</c:v>
                </c:pt>
                <c:pt idx="336">
                  <c:v>198.325</c:v>
                </c:pt>
                <c:pt idx="337">
                  <c:v>169.045</c:v>
                </c:pt>
                <c:pt idx="338">
                  <c:v>222.495</c:v>
                </c:pt>
                <c:pt idx="339">
                  <c:v>222.12</c:v>
                </c:pt>
                <c:pt idx="340">
                  <c:v>227.53</c:v>
                </c:pt>
                <c:pt idx="341">
                  <c:v>242.615</c:v>
                </c:pt>
                <c:pt idx="342">
                  <c:v>227.285</c:v>
                </c:pt>
                <c:pt idx="343">
                  <c:v>230.115</c:v>
                </c:pt>
                <c:pt idx="344">
                  <c:v>254.325</c:v>
                </c:pt>
                <c:pt idx="345">
                  <c:v>286.13</c:v>
                </c:pt>
                <c:pt idx="346">
                  <c:v>247.06</c:v>
                </c:pt>
                <c:pt idx="347">
                  <c:v>261.82</c:v>
                </c:pt>
                <c:pt idx="348">
                  <c:v>263.555</c:v>
                </c:pt>
                <c:pt idx="349">
                  <c:v>260.41</c:v>
                </c:pt>
                <c:pt idx="350">
                  <c:v>253.17</c:v>
                </c:pt>
                <c:pt idx="351">
                  <c:v>269.08</c:v>
                </c:pt>
                <c:pt idx="352">
                  <c:v/>
                </c:pt>
                <c:pt idx="353">
                  <c:v>280.915</c:v>
                </c:pt>
                <c:pt idx="354">
                  <c:v>268.47</c:v>
                </c:pt>
                <c:pt idx="355">
                  <c:v>273.525</c:v>
                </c:pt>
                <c:pt idx="356">
                  <c:v>274.87</c:v>
                </c:pt>
                <c:pt idx="357">
                  <c:v>270.615</c:v>
                </c:pt>
                <c:pt idx="358">
                  <c:v>272.39</c:v>
                </c:pt>
                <c:pt idx="359">
                  <c:v/>
                </c:pt>
                <c:pt idx="360">
                  <c:v/>
                </c:pt>
                <c:pt idx="361">
                  <c:v>237.25</c:v>
                </c:pt>
                <c:pt idx="362">
                  <c:v>235.735</c:v>
                </c:pt>
                <c:pt idx="363">
                  <c:v>229.13</c:v>
                </c:pt>
                <c:pt idx="364">
                  <c:v>229.84</c:v>
                </c:pt>
                <c:pt idx="365">
                  <c:v>241.47</c:v>
                </c:pt>
                <c:pt idx="366">
                  <c:v>248.75</c:v>
                </c:pt>
                <c:pt idx="367">
                  <c:v>253.075</c:v>
                </c:pt>
                <c:pt idx="368">
                  <c:v>256.61</c:v>
                </c:pt>
                <c:pt idx="369">
                  <c:v>259.79</c:v>
                </c:pt>
                <c:pt idx="370">
                  <c:v>236.69</c:v>
                </c:pt>
                <c:pt idx="371">
                  <c:v>245.815</c:v>
                </c:pt>
                <c:pt idx="372">
                  <c:v>250.785</c:v>
                </c:pt>
                <c:pt idx="373">
                  <c:v>270.75</c:v>
                </c:pt>
                <c:pt idx="374">
                  <c:v>264.045</c:v>
                </c:pt>
                <c:pt idx="375">
                  <c:v>269.395</c:v>
                </c:pt>
                <c:pt idx="376">
                  <c:v>264.935</c:v>
                </c:pt>
              </c:numCache>
            </c:numRef>
          </c:yVal>
          <c:smooth val="0"/>
        </c:ser>
        <c:ser>
          <c:idx val="5"/>
          <c:order val="1"/>
          <c:tx>
            <c:strRef>
              <c:f>Sheet1!$G$1</c:f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Sheet1!$A$2:$A$378</c:f>
              <c:numCache>
                <c:ptCount val="37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/>
                </c:pt>
                <c:pt idx="22">
                  <c:v>157</c:v>
                </c:pt>
                <c:pt idx="23">
                  <c:v>158</c:v>
                </c:pt>
                <c:pt idx="24">
                  <c:v/>
                </c:pt>
                <c:pt idx="25">
                  <c:v>163</c:v>
                </c:pt>
                <c:pt idx="26">
                  <c:v>164</c:v>
                </c:pt>
                <c:pt idx="27">
                  <c:v>165</c:v>
                </c:pt>
                <c:pt idx="28">
                  <c:v>166</c:v>
                </c:pt>
                <c:pt idx="29">
                  <c:v>167</c:v>
                </c:pt>
                <c:pt idx="30">
                  <c:v>168</c:v>
                </c:pt>
                <c:pt idx="31">
                  <c:v>169</c:v>
                </c:pt>
                <c:pt idx="32">
                  <c:v>170</c:v>
                </c:pt>
                <c:pt idx="33">
                  <c:v>171</c:v>
                </c:pt>
                <c:pt idx="34">
                  <c:v>172</c:v>
                </c:pt>
                <c:pt idx="35">
                  <c:v>173</c:v>
                </c:pt>
                <c:pt idx="36">
                  <c:v>174</c:v>
                </c:pt>
                <c:pt idx="37">
                  <c:v>175</c:v>
                </c:pt>
                <c:pt idx="38">
                  <c:v>176</c:v>
                </c:pt>
                <c:pt idx="39">
                  <c:v>177</c:v>
                </c:pt>
                <c:pt idx="40">
                  <c:v>178</c:v>
                </c:pt>
                <c:pt idx="41">
                  <c:v>179</c:v>
                </c:pt>
                <c:pt idx="42">
                  <c:v>180</c:v>
                </c:pt>
                <c:pt idx="43">
                  <c:v>181</c:v>
                </c:pt>
                <c:pt idx="44">
                  <c:v>182</c:v>
                </c:pt>
                <c:pt idx="45">
                  <c:v>183</c:v>
                </c:pt>
                <c:pt idx="46">
                  <c:v/>
                </c:pt>
                <c:pt idx="47">
                  <c:v>186</c:v>
                </c:pt>
                <c:pt idx="48">
                  <c:v>187</c:v>
                </c:pt>
                <c:pt idx="49">
                  <c:v>188</c:v>
                </c:pt>
                <c:pt idx="50">
                  <c:v>189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193</c:v>
                </c:pt>
                <c:pt idx="55">
                  <c:v>194</c:v>
                </c:pt>
                <c:pt idx="56">
                  <c:v>195</c:v>
                </c:pt>
                <c:pt idx="57">
                  <c:v>196</c:v>
                </c:pt>
                <c:pt idx="58">
                  <c:v>197</c:v>
                </c:pt>
                <c:pt idx="59">
                  <c:v>198</c:v>
                </c:pt>
                <c:pt idx="60">
                  <c:v>199</c:v>
                </c:pt>
                <c:pt idx="61">
                  <c:v>200</c:v>
                </c:pt>
                <c:pt idx="62">
                  <c:v>201</c:v>
                </c:pt>
                <c:pt idx="63">
                  <c:v>202</c:v>
                </c:pt>
                <c:pt idx="64">
                  <c:v>203</c:v>
                </c:pt>
                <c:pt idx="65">
                  <c:v>204</c:v>
                </c:pt>
                <c:pt idx="66">
                  <c:v/>
                </c:pt>
                <c:pt idx="67">
                  <c:v>206</c:v>
                </c:pt>
                <c:pt idx="68">
                  <c:v>207</c:v>
                </c:pt>
                <c:pt idx="69">
                  <c:v>208</c:v>
                </c:pt>
                <c:pt idx="70">
                  <c:v>209</c:v>
                </c:pt>
                <c:pt idx="71">
                  <c:v>210</c:v>
                </c:pt>
                <c:pt idx="72">
                  <c:v>211</c:v>
                </c:pt>
                <c:pt idx="73">
                  <c:v>212</c:v>
                </c:pt>
                <c:pt idx="74">
                  <c:v>213</c:v>
                </c:pt>
                <c:pt idx="75">
                  <c:v>214</c:v>
                </c:pt>
                <c:pt idx="76">
                  <c:v>215</c:v>
                </c:pt>
                <c:pt idx="77">
                  <c:v>216</c:v>
                </c:pt>
                <c:pt idx="78">
                  <c:v>217</c:v>
                </c:pt>
                <c:pt idx="79">
                  <c:v>218</c:v>
                </c:pt>
                <c:pt idx="80">
                  <c:v>219</c:v>
                </c:pt>
                <c:pt idx="81">
                  <c:v>220</c:v>
                </c:pt>
                <c:pt idx="82">
                  <c:v>221</c:v>
                </c:pt>
                <c:pt idx="83">
                  <c:v>222</c:v>
                </c:pt>
                <c:pt idx="84">
                  <c:v>223</c:v>
                </c:pt>
                <c:pt idx="85">
                  <c:v>224</c:v>
                </c:pt>
                <c:pt idx="86">
                  <c:v>225</c:v>
                </c:pt>
                <c:pt idx="87">
                  <c:v>226</c:v>
                </c:pt>
                <c:pt idx="88">
                  <c:v>227</c:v>
                </c:pt>
                <c:pt idx="89">
                  <c:v>228</c:v>
                </c:pt>
                <c:pt idx="90">
                  <c:v>229</c:v>
                </c:pt>
                <c:pt idx="91">
                  <c:v>230</c:v>
                </c:pt>
                <c:pt idx="92">
                  <c:v>231</c:v>
                </c:pt>
                <c:pt idx="93">
                  <c:v>232</c:v>
                </c:pt>
                <c:pt idx="94">
                  <c:v>233</c:v>
                </c:pt>
                <c:pt idx="95">
                  <c:v>234</c:v>
                </c:pt>
                <c:pt idx="96">
                  <c:v>235</c:v>
                </c:pt>
                <c:pt idx="97">
                  <c:v>236</c:v>
                </c:pt>
                <c:pt idx="98">
                  <c:v>237</c:v>
                </c:pt>
                <c:pt idx="99">
                  <c:v>238</c:v>
                </c:pt>
                <c:pt idx="100">
                  <c:v>239</c:v>
                </c:pt>
                <c:pt idx="101">
                  <c:v>240</c:v>
                </c:pt>
                <c:pt idx="102">
                  <c:v>241</c:v>
                </c:pt>
                <c:pt idx="103">
                  <c:v>242</c:v>
                </c:pt>
                <c:pt idx="104">
                  <c:v>243</c:v>
                </c:pt>
                <c:pt idx="105">
                  <c:v>244</c:v>
                </c:pt>
                <c:pt idx="106">
                  <c:v>245</c:v>
                </c:pt>
                <c:pt idx="107">
                  <c:v>246</c:v>
                </c:pt>
                <c:pt idx="108">
                  <c:v>247</c:v>
                </c:pt>
                <c:pt idx="109">
                  <c:v>248</c:v>
                </c:pt>
                <c:pt idx="110">
                  <c:v>249</c:v>
                </c:pt>
                <c:pt idx="111">
                  <c:v>250</c:v>
                </c:pt>
                <c:pt idx="112">
                  <c:v>251</c:v>
                </c:pt>
                <c:pt idx="113">
                  <c:v>252</c:v>
                </c:pt>
                <c:pt idx="114">
                  <c:v>253</c:v>
                </c:pt>
                <c:pt idx="115">
                  <c:v>254</c:v>
                </c:pt>
                <c:pt idx="116">
                  <c:v>255</c:v>
                </c:pt>
                <c:pt idx="117">
                  <c:v>256</c:v>
                </c:pt>
                <c:pt idx="118">
                  <c:v>257</c:v>
                </c:pt>
                <c:pt idx="119">
                  <c:v>258</c:v>
                </c:pt>
                <c:pt idx="120">
                  <c:v>259</c:v>
                </c:pt>
                <c:pt idx="121">
                  <c:v>260</c:v>
                </c:pt>
                <c:pt idx="122">
                  <c:v>261</c:v>
                </c:pt>
                <c:pt idx="123">
                  <c:v>262</c:v>
                </c:pt>
                <c:pt idx="124">
                  <c:v>263</c:v>
                </c:pt>
                <c:pt idx="125">
                  <c:v>264</c:v>
                </c:pt>
                <c:pt idx="126">
                  <c:v>265</c:v>
                </c:pt>
                <c:pt idx="127">
                  <c:v>266</c:v>
                </c:pt>
                <c:pt idx="128">
                  <c:v>267</c:v>
                </c:pt>
                <c:pt idx="129">
                  <c:v>268</c:v>
                </c:pt>
                <c:pt idx="130">
                  <c:v>269</c:v>
                </c:pt>
                <c:pt idx="131">
                  <c:v>270</c:v>
                </c:pt>
                <c:pt idx="132">
                  <c:v>271</c:v>
                </c:pt>
                <c:pt idx="133">
                  <c:v>272</c:v>
                </c:pt>
                <c:pt idx="134">
                  <c:v>273</c:v>
                </c:pt>
                <c:pt idx="135">
                  <c:v>274</c:v>
                </c:pt>
                <c:pt idx="136">
                  <c:v>275</c:v>
                </c:pt>
                <c:pt idx="137">
                  <c:v>276</c:v>
                </c:pt>
                <c:pt idx="138">
                  <c:v>277</c:v>
                </c:pt>
                <c:pt idx="139">
                  <c:v>278</c:v>
                </c:pt>
                <c:pt idx="140">
                  <c:v>279</c:v>
                </c:pt>
                <c:pt idx="141">
                  <c:v>280</c:v>
                </c:pt>
                <c:pt idx="142">
                  <c:v>281</c:v>
                </c:pt>
                <c:pt idx="143">
                  <c:v>282</c:v>
                </c:pt>
                <c:pt idx="144">
                  <c:v>283</c:v>
                </c:pt>
                <c:pt idx="145">
                  <c:v>284</c:v>
                </c:pt>
                <c:pt idx="146">
                  <c:v>285</c:v>
                </c:pt>
                <c:pt idx="147">
                  <c:v>286</c:v>
                </c:pt>
                <c:pt idx="148">
                  <c:v>287</c:v>
                </c:pt>
                <c:pt idx="149">
                  <c:v>288</c:v>
                </c:pt>
                <c:pt idx="150">
                  <c:v>289</c:v>
                </c:pt>
                <c:pt idx="151">
                  <c:v>290</c:v>
                </c:pt>
                <c:pt idx="152">
                  <c:v>291</c:v>
                </c:pt>
                <c:pt idx="153">
                  <c:v>292</c:v>
                </c:pt>
                <c:pt idx="154">
                  <c:v>293</c:v>
                </c:pt>
                <c:pt idx="155">
                  <c:v>294</c:v>
                </c:pt>
                <c:pt idx="156">
                  <c:v>295</c:v>
                </c:pt>
                <c:pt idx="157">
                  <c:v>296</c:v>
                </c:pt>
                <c:pt idx="158">
                  <c:v>297</c:v>
                </c:pt>
                <c:pt idx="159">
                  <c:v>298</c:v>
                </c:pt>
                <c:pt idx="160">
                  <c:v>299</c:v>
                </c:pt>
                <c:pt idx="161">
                  <c:v>300</c:v>
                </c:pt>
                <c:pt idx="162">
                  <c:v>301</c:v>
                </c:pt>
                <c:pt idx="163">
                  <c:v>304</c:v>
                </c:pt>
                <c:pt idx="164">
                  <c:v>307</c:v>
                </c:pt>
                <c:pt idx="165">
                  <c:v>310</c:v>
                </c:pt>
                <c:pt idx="166">
                  <c:v>313</c:v>
                </c:pt>
                <c:pt idx="167">
                  <c:v>316</c:v>
                </c:pt>
                <c:pt idx="168">
                  <c:v>319</c:v>
                </c:pt>
                <c:pt idx="169">
                  <c:v>322</c:v>
                </c:pt>
                <c:pt idx="170">
                  <c:v/>
                </c:pt>
                <c:pt idx="171">
                  <c:v>325</c:v>
                </c:pt>
                <c:pt idx="172">
                  <c:v/>
                </c:pt>
                <c:pt idx="173">
                  <c:v>328</c:v>
                </c:pt>
                <c:pt idx="174">
                  <c:v/>
                </c:pt>
                <c:pt idx="175">
                  <c:v>331</c:v>
                </c:pt>
                <c:pt idx="176">
                  <c:v/>
                </c:pt>
                <c:pt idx="177">
                  <c:v>334</c:v>
                </c:pt>
                <c:pt idx="178">
                  <c:v/>
                </c:pt>
                <c:pt idx="179">
                  <c:v>337</c:v>
                </c:pt>
                <c:pt idx="180">
                  <c:v>338</c:v>
                </c:pt>
                <c:pt idx="181">
                  <c:v>339</c:v>
                </c:pt>
                <c:pt idx="182">
                  <c:v>340</c:v>
                </c:pt>
                <c:pt idx="183">
                  <c:v>341</c:v>
                </c:pt>
                <c:pt idx="184">
                  <c:v>342</c:v>
                </c:pt>
                <c:pt idx="185">
                  <c:v>343</c:v>
                </c:pt>
                <c:pt idx="186">
                  <c:v>344</c:v>
                </c:pt>
                <c:pt idx="187">
                  <c:v>345</c:v>
                </c:pt>
                <c:pt idx="188">
                  <c:v>346</c:v>
                </c:pt>
                <c:pt idx="189">
                  <c:v>347</c:v>
                </c:pt>
                <c:pt idx="190">
                  <c:v/>
                </c:pt>
                <c:pt idx="191">
                  <c:v>349</c:v>
                </c:pt>
                <c:pt idx="192">
                  <c:v>350</c:v>
                </c:pt>
                <c:pt idx="193">
                  <c:v>351</c:v>
                </c:pt>
                <c:pt idx="194">
                  <c:v>352</c:v>
                </c:pt>
                <c:pt idx="195">
                  <c:v>353</c:v>
                </c:pt>
                <c:pt idx="196">
                  <c:v>354</c:v>
                </c:pt>
                <c:pt idx="197">
                  <c:v>355</c:v>
                </c:pt>
                <c:pt idx="198">
                  <c:v>356</c:v>
                </c:pt>
                <c:pt idx="199">
                  <c:v/>
                </c:pt>
                <c:pt idx="200">
                  <c:v>358</c:v>
                </c:pt>
                <c:pt idx="201">
                  <c:v>359</c:v>
                </c:pt>
                <c:pt idx="202">
                  <c:v/>
                </c:pt>
                <c:pt idx="203">
                  <c:v>383</c:v>
                </c:pt>
                <c:pt idx="204">
                  <c:v>384</c:v>
                </c:pt>
                <c:pt idx="205">
                  <c:v>385</c:v>
                </c:pt>
                <c:pt idx="206">
                  <c:v>386</c:v>
                </c:pt>
                <c:pt idx="207">
                  <c:v>387</c:v>
                </c:pt>
                <c:pt idx="208">
                  <c:v>388</c:v>
                </c:pt>
                <c:pt idx="209">
                  <c:v>389</c:v>
                </c:pt>
                <c:pt idx="210">
                  <c:v>390</c:v>
                </c:pt>
                <c:pt idx="211">
                  <c:v>391</c:v>
                </c:pt>
                <c:pt idx="212">
                  <c:v>392</c:v>
                </c:pt>
                <c:pt idx="213">
                  <c:v>393</c:v>
                </c:pt>
                <c:pt idx="214">
                  <c:v>394</c:v>
                </c:pt>
                <c:pt idx="215">
                  <c:v>395</c:v>
                </c:pt>
                <c:pt idx="216">
                  <c:v>396</c:v>
                </c:pt>
                <c:pt idx="217">
                  <c:v>397</c:v>
                </c:pt>
                <c:pt idx="218">
                  <c:v>398</c:v>
                </c:pt>
                <c:pt idx="219">
                  <c:v>399</c:v>
                </c:pt>
                <c:pt idx="220">
                  <c:v>400</c:v>
                </c:pt>
                <c:pt idx="221">
                  <c:v>401</c:v>
                </c:pt>
                <c:pt idx="222">
                  <c:v>402</c:v>
                </c:pt>
                <c:pt idx="223">
                  <c:v>403</c:v>
                </c:pt>
                <c:pt idx="224">
                  <c:v>404</c:v>
                </c:pt>
                <c:pt idx="225">
                  <c:v>405</c:v>
                </c:pt>
                <c:pt idx="226">
                  <c:v>406</c:v>
                </c:pt>
                <c:pt idx="227">
                  <c:v>407</c:v>
                </c:pt>
                <c:pt idx="228">
                  <c:v>408</c:v>
                </c:pt>
                <c:pt idx="229">
                  <c:v>409</c:v>
                </c:pt>
                <c:pt idx="230">
                  <c:v>410</c:v>
                </c:pt>
                <c:pt idx="231">
                  <c:v>411</c:v>
                </c:pt>
                <c:pt idx="232">
                  <c:v>412</c:v>
                </c:pt>
                <c:pt idx="233">
                  <c:v>413</c:v>
                </c:pt>
                <c:pt idx="234">
                  <c:v>414</c:v>
                </c:pt>
                <c:pt idx="235">
                  <c:v>415</c:v>
                </c:pt>
                <c:pt idx="236">
                  <c:v>416</c:v>
                </c:pt>
                <c:pt idx="237">
                  <c:v>417</c:v>
                </c:pt>
                <c:pt idx="238">
                  <c:v>418</c:v>
                </c:pt>
                <c:pt idx="239">
                  <c:v>419</c:v>
                </c:pt>
                <c:pt idx="240">
                  <c:v>420</c:v>
                </c:pt>
                <c:pt idx="241">
                  <c:v>421</c:v>
                </c:pt>
                <c:pt idx="242">
                  <c:v>422</c:v>
                </c:pt>
                <c:pt idx="243">
                  <c:v>423</c:v>
                </c:pt>
                <c:pt idx="244">
                  <c:v>424</c:v>
                </c:pt>
                <c:pt idx="245">
                  <c:v>425</c:v>
                </c:pt>
                <c:pt idx="246">
                  <c:v>426</c:v>
                </c:pt>
                <c:pt idx="247">
                  <c:v>427</c:v>
                </c:pt>
                <c:pt idx="248">
                  <c:v>428</c:v>
                </c:pt>
                <c:pt idx="249">
                  <c:v>429</c:v>
                </c:pt>
                <c:pt idx="250">
                  <c:v>430</c:v>
                </c:pt>
                <c:pt idx="251">
                  <c:v>431</c:v>
                </c:pt>
                <c:pt idx="252">
                  <c:v>432</c:v>
                </c:pt>
                <c:pt idx="253">
                  <c:v>433</c:v>
                </c:pt>
                <c:pt idx="254">
                  <c:v>434</c:v>
                </c:pt>
                <c:pt idx="255">
                  <c:v>435</c:v>
                </c:pt>
                <c:pt idx="256">
                  <c:v>436</c:v>
                </c:pt>
                <c:pt idx="257">
                  <c:v>437</c:v>
                </c:pt>
                <c:pt idx="258">
                  <c:v>438</c:v>
                </c:pt>
                <c:pt idx="259">
                  <c:v>439</c:v>
                </c:pt>
                <c:pt idx="260">
                  <c:v>440</c:v>
                </c:pt>
                <c:pt idx="261">
                  <c:v>441</c:v>
                </c:pt>
                <c:pt idx="262">
                  <c:v>442</c:v>
                </c:pt>
                <c:pt idx="263">
                  <c:v>443</c:v>
                </c:pt>
                <c:pt idx="264">
                  <c:v>444</c:v>
                </c:pt>
                <c:pt idx="265">
                  <c:v>445</c:v>
                </c:pt>
                <c:pt idx="266">
                  <c:v>446</c:v>
                </c:pt>
                <c:pt idx="267">
                  <c:v>447</c:v>
                </c:pt>
                <c:pt idx="268">
                  <c:v>448</c:v>
                </c:pt>
                <c:pt idx="269">
                  <c:v>449</c:v>
                </c:pt>
                <c:pt idx="270">
                  <c:v>450</c:v>
                </c:pt>
                <c:pt idx="271">
                  <c:v>451</c:v>
                </c:pt>
                <c:pt idx="272">
                  <c:v>452</c:v>
                </c:pt>
                <c:pt idx="273">
                  <c:v>453</c:v>
                </c:pt>
                <c:pt idx="274">
                  <c:v>454</c:v>
                </c:pt>
                <c:pt idx="275">
                  <c:v>455</c:v>
                </c:pt>
                <c:pt idx="276">
                  <c:v>456</c:v>
                </c:pt>
                <c:pt idx="277">
                  <c:v>457</c:v>
                </c:pt>
                <c:pt idx="278">
                  <c:v>458</c:v>
                </c:pt>
                <c:pt idx="279">
                  <c:v>459</c:v>
                </c:pt>
                <c:pt idx="280">
                  <c:v>460</c:v>
                </c:pt>
                <c:pt idx="281">
                  <c:v>461</c:v>
                </c:pt>
                <c:pt idx="282">
                  <c:v>462</c:v>
                </c:pt>
                <c:pt idx="283">
                  <c:v>463</c:v>
                </c:pt>
                <c:pt idx="284">
                  <c:v>464</c:v>
                </c:pt>
                <c:pt idx="285">
                  <c:v>465</c:v>
                </c:pt>
                <c:pt idx="286">
                  <c:v>466</c:v>
                </c:pt>
                <c:pt idx="287">
                  <c:v>467</c:v>
                </c:pt>
                <c:pt idx="288">
                  <c:v>468</c:v>
                </c:pt>
                <c:pt idx="289">
                  <c:v>469</c:v>
                </c:pt>
                <c:pt idx="290">
                  <c:v>470</c:v>
                </c:pt>
                <c:pt idx="291">
                  <c:v>471</c:v>
                </c:pt>
                <c:pt idx="292">
                  <c:v>472</c:v>
                </c:pt>
                <c:pt idx="293">
                  <c:v>473</c:v>
                </c:pt>
                <c:pt idx="294">
                  <c:v>474</c:v>
                </c:pt>
                <c:pt idx="295">
                  <c:v>475</c:v>
                </c:pt>
                <c:pt idx="296">
                  <c:v>476</c:v>
                </c:pt>
                <c:pt idx="297">
                  <c:v>477</c:v>
                </c:pt>
                <c:pt idx="298">
                  <c:v>478</c:v>
                </c:pt>
                <c:pt idx="299">
                  <c:v>479</c:v>
                </c:pt>
                <c:pt idx="300">
                  <c:v>480</c:v>
                </c:pt>
                <c:pt idx="301">
                  <c:v>481</c:v>
                </c:pt>
                <c:pt idx="302">
                  <c:v>482</c:v>
                </c:pt>
                <c:pt idx="303">
                  <c:v>483</c:v>
                </c:pt>
                <c:pt idx="304">
                  <c:v>484</c:v>
                </c:pt>
                <c:pt idx="305">
                  <c:v>485</c:v>
                </c:pt>
                <c:pt idx="306">
                  <c:v>486</c:v>
                </c:pt>
                <c:pt idx="307">
                  <c:v>487</c:v>
                </c:pt>
                <c:pt idx="308">
                  <c:v>488</c:v>
                </c:pt>
                <c:pt idx="309">
                  <c:v>489</c:v>
                </c:pt>
                <c:pt idx="310">
                  <c:v>490</c:v>
                </c:pt>
                <c:pt idx="311">
                  <c:v>491</c:v>
                </c:pt>
                <c:pt idx="312">
                  <c:v>492</c:v>
                </c:pt>
                <c:pt idx="313">
                  <c:v>493</c:v>
                </c:pt>
                <c:pt idx="314">
                  <c:v>494</c:v>
                </c:pt>
                <c:pt idx="315">
                  <c:v>495</c:v>
                </c:pt>
                <c:pt idx="316">
                  <c:v>496</c:v>
                </c:pt>
                <c:pt idx="317">
                  <c:v>497</c:v>
                </c:pt>
                <c:pt idx="318">
                  <c:v>498</c:v>
                </c:pt>
                <c:pt idx="319">
                  <c:v>499</c:v>
                </c:pt>
                <c:pt idx="320">
                  <c:v>500</c:v>
                </c:pt>
                <c:pt idx="321">
                  <c:v>501</c:v>
                </c:pt>
                <c:pt idx="322">
                  <c:v>502</c:v>
                </c:pt>
                <c:pt idx="323">
                  <c:v>503</c:v>
                </c:pt>
                <c:pt idx="324">
                  <c:v>504</c:v>
                </c:pt>
                <c:pt idx="325">
                  <c:v>505</c:v>
                </c:pt>
                <c:pt idx="326">
                  <c:v>506</c:v>
                </c:pt>
                <c:pt idx="327">
                  <c:v>507</c:v>
                </c:pt>
                <c:pt idx="328">
                  <c:v>508</c:v>
                </c:pt>
                <c:pt idx="329">
                  <c:v/>
                </c:pt>
                <c:pt idx="330">
                  <c:v>538</c:v>
                </c:pt>
                <c:pt idx="331">
                  <c:v>539</c:v>
                </c:pt>
                <c:pt idx="332">
                  <c:v>540</c:v>
                </c:pt>
                <c:pt idx="333">
                  <c:v>541</c:v>
                </c:pt>
                <c:pt idx="334">
                  <c:v>544</c:v>
                </c:pt>
                <c:pt idx="335">
                  <c:v>545</c:v>
                </c:pt>
                <c:pt idx="336">
                  <c:v>546</c:v>
                </c:pt>
                <c:pt idx="337">
                  <c:v>547</c:v>
                </c:pt>
                <c:pt idx="338">
                  <c:v>548</c:v>
                </c:pt>
                <c:pt idx="339">
                  <c:v>549</c:v>
                </c:pt>
                <c:pt idx="340">
                  <c:v>550</c:v>
                </c:pt>
                <c:pt idx="341">
                  <c:v>551</c:v>
                </c:pt>
                <c:pt idx="342">
                  <c:v>552</c:v>
                </c:pt>
                <c:pt idx="343">
                  <c:v>553</c:v>
                </c:pt>
                <c:pt idx="344">
                  <c:v>554</c:v>
                </c:pt>
                <c:pt idx="345">
                  <c:v>555</c:v>
                </c:pt>
                <c:pt idx="346">
                  <c:v>556</c:v>
                </c:pt>
                <c:pt idx="347">
                  <c:v>557</c:v>
                </c:pt>
                <c:pt idx="348">
                  <c:v>558</c:v>
                </c:pt>
                <c:pt idx="349">
                  <c:v>559</c:v>
                </c:pt>
                <c:pt idx="350">
                  <c:v>560</c:v>
                </c:pt>
                <c:pt idx="351">
                  <c:v>563</c:v>
                </c:pt>
                <c:pt idx="352">
                  <c:v>564</c:v>
                </c:pt>
                <c:pt idx="353">
                  <c:v>565</c:v>
                </c:pt>
                <c:pt idx="354">
                  <c:v>566</c:v>
                </c:pt>
                <c:pt idx="355">
                  <c:v>567</c:v>
                </c:pt>
                <c:pt idx="356">
                  <c:v>568</c:v>
                </c:pt>
                <c:pt idx="357">
                  <c:v>569</c:v>
                </c:pt>
                <c:pt idx="358">
                  <c:v>570</c:v>
                </c:pt>
                <c:pt idx="359">
                  <c:v>573</c:v>
                </c:pt>
                <c:pt idx="360">
                  <c:v>574</c:v>
                </c:pt>
                <c:pt idx="361">
                  <c:v>575</c:v>
                </c:pt>
                <c:pt idx="362">
                  <c:v>576</c:v>
                </c:pt>
                <c:pt idx="363">
                  <c:v>577</c:v>
                </c:pt>
                <c:pt idx="364">
                  <c:v>578</c:v>
                </c:pt>
                <c:pt idx="365">
                  <c:v>579</c:v>
                </c:pt>
                <c:pt idx="366">
                  <c:v>580</c:v>
                </c:pt>
                <c:pt idx="367">
                  <c:v>581</c:v>
                </c:pt>
                <c:pt idx="368">
                  <c:v>582</c:v>
                </c:pt>
                <c:pt idx="369">
                  <c:v>583</c:v>
                </c:pt>
                <c:pt idx="370">
                  <c:v>584</c:v>
                </c:pt>
                <c:pt idx="371">
                  <c:v>585</c:v>
                </c:pt>
                <c:pt idx="372">
                  <c:v>586</c:v>
                </c:pt>
                <c:pt idx="373">
                  <c:v>587</c:v>
                </c:pt>
                <c:pt idx="374">
                  <c:v>588</c:v>
                </c:pt>
                <c:pt idx="375">
                  <c:v>589</c:v>
                </c:pt>
                <c:pt idx="376">
                  <c:v>590</c:v>
                </c:pt>
              </c:numCache>
            </c:numRef>
          </c:xVal>
          <c:yVal>
            <c:numRef>
              <c:f>Sheet1!$G$2:$G$378</c:f>
              <c:numCache>
                <c:ptCount val="377"/>
                <c:pt idx="0">
                  <c:v>2.39</c:v>
                </c:pt>
                <c:pt idx="1">
                  <c:v>12.64</c:v>
                </c:pt>
                <c:pt idx="2">
                  <c:v>32.08</c:v>
                </c:pt>
                <c:pt idx="3">
                  <c:v>59.85</c:v>
                </c:pt>
                <c:pt idx="4">
                  <c:v>80.08</c:v>
                </c:pt>
                <c:pt idx="5">
                  <c:v>48.69</c:v>
                </c:pt>
                <c:pt idx="6">
                  <c:v>65.88</c:v>
                </c:pt>
                <c:pt idx="7">
                  <c:v>95.51</c:v>
                </c:pt>
                <c:pt idx="8">
                  <c:v>113.46</c:v>
                </c:pt>
                <c:pt idx="9">
                  <c:v>104.96</c:v>
                </c:pt>
                <c:pt idx="10">
                  <c:v>108.7</c:v>
                </c:pt>
                <c:pt idx="11">
                  <c:v>100.23</c:v>
                </c:pt>
                <c:pt idx="12">
                  <c:v>124.18</c:v>
                </c:pt>
                <c:pt idx="13">
                  <c:v>123.44</c:v>
                </c:pt>
                <c:pt idx="14">
                  <c:v>140.74</c:v>
                </c:pt>
                <c:pt idx="15">
                  <c:v>103.61</c:v>
                </c:pt>
                <c:pt idx="16">
                  <c:v>173.86</c:v>
                </c:pt>
                <c:pt idx="17">
                  <c:v>180.45</c:v>
                </c:pt>
                <c:pt idx="18">
                  <c:v>153.95</c:v>
                </c:pt>
                <c:pt idx="19">
                  <c:v>172.41</c:v>
                </c:pt>
                <c:pt idx="20">
                  <c:v>142.71</c:v>
                </c:pt>
                <c:pt idx="21">
                  <c:v/>
                </c:pt>
                <c:pt idx="22">
                  <c:v>229.79</c:v>
                </c:pt>
                <c:pt idx="23">
                  <c:v/>
                </c:pt>
                <c:pt idx="24">
                  <c:v/>
                </c:pt>
                <c:pt idx="25">
                  <c:v>236.05</c:v>
                </c:pt>
                <c:pt idx="26">
                  <c:v>239.47</c:v>
                </c:pt>
                <c:pt idx="27">
                  <c:v>205.72</c:v>
                </c:pt>
                <c:pt idx="28">
                  <c:v>232.56</c:v>
                </c:pt>
                <c:pt idx="29">
                  <c:v>218.93</c:v>
                </c:pt>
                <c:pt idx="30">
                  <c:v>226.55</c:v>
                </c:pt>
                <c:pt idx="31">
                  <c:v>240.11</c:v>
                </c:pt>
                <c:pt idx="32">
                  <c:v>171.2</c:v>
                </c:pt>
                <c:pt idx="33">
                  <c:v/>
                </c:pt>
                <c:pt idx="34">
                  <c:v/>
                </c:pt>
                <c:pt idx="35">
                  <c:v>186.86</c:v>
                </c:pt>
                <c:pt idx="36">
                  <c:v>228.49</c:v>
                </c:pt>
                <c:pt idx="37">
                  <c:v>244.46</c:v>
                </c:pt>
                <c:pt idx="38">
                  <c:v>133.35</c:v>
                </c:pt>
                <c:pt idx="39">
                  <c:v>123.69</c:v>
                </c:pt>
                <c:pt idx="40">
                  <c:v>127.31</c:v>
                </c:pt>
                <c:pt idx="41">
                  <c:v>132.5</c:v>
                </c:pt>
                <c:pt idx="42">
                  <c:v>166.26</c:v>
                </c:pt>
                <c:pt idx="43">
                  <c:v>176.67</c:v>
                </c:pt>
                <c:pt idx="44">
                  <c:v>183.52</c:v>
                </c:pt>
                <c:pt idx="45">
                  <c:v>213.11</c:v>
                </c:pt>
                <c:pt idx="46">
                  <c:v/>
                </c:pt>
                <c:pt idx="47">
                  <c:v>207.74</c:v>
                </c:pt>
                <c:pt idx="48">
                  <c:v>225.66</c:v>
                </c:pt>
                <c:pt idx="49">
                  <c:v>127.42</c:v>
                </c:pt>
                <c:pt idx="50">
                  <c:v>139.94</c:v>
                </c:pt>
                <c:pt idx="51">
                  <c:v>161.61</c:v>
                </c:pt>
                <c:pt idx="52">
                  <c:v>130.75</c:v>
                </c:pt>
                <c:pt idx="53">
                  <c:v>158.97</c:v>
                </c:pt>
                <c:pt idx="54">
                  <c:v/>
                </c:pt>
                <c:pt idx="55">
                  <c:v>176.2</c:v>
                </c:pt>
                <c:pt idx="56">
                  <c:v>187.41</c:v>
                </c:pt>
                <c:pt idx="57">
                  <c:v/>
                </c:pt>
                <c:pt idx="58">
                  <c:v>192.63</c:v>
                </c:pt>
                <c:pt idx="59">
                  <c:v>170.84</c:v>
                </c:pt>
                <c:pt idx="60">
                  <c:v>204.29</c:v>
                </c:pt>
                <c:pt idx="61">
                  <c:v>179.33</c:v>
                </c:pt>
                <c:pt idx="62">
                  <c:v>174.85</c:v>
                </c:pt>
                <c:pt idx="63">
                  <c:v>163.19</c:v>
                </c:pt>
                <c:pt idx="64">
                  <c:v>159.67</c:v>
                </c:pt>
                <c:pt idx="65">
                  <c:v/>
                </c:pt>
                <c:pt idx="66">
                  <c:v/>
                </c:pt>
                <c:pt idx="67">
                  <c:v>178.84</c:v>
                </c:pt>
                <c:pt idx="68">
                  <c:v>211.93</c:v>
                </c:pt>
                <c:pt idx="69">
                  <c:v>206.44</c:v>
                </c:pt>
                <c:pt idx="70">
                  <c:v>204.32</c:v>
                </c:pt>
                <c:pt idx="71">
                  <c:v>233.66</c:v>
                </c:pt>
                <c:pt idx="72">
                  <c:v>247.36</c:v>
                </c:pt>
                <c:pt idx="73">
                  <c:v>175.03</c:v>
                </c:pt>
                <c:pt idx="74">
                  <c:v/>
                </c:pt>
                <c:pt idx="75">
                  <c:v>164.8</c:v>
                </c:pt>
                <c:pt idx="76">
                  <c:v>183.71</c:v>
                </c:pt>
                <c:pt idx="77">
                  <c:v>192.81</c:v>
                </c:pt>
                <c:pt idx="78">
                  <c:v>160.16</c:v>
                </c:pt>
                <c:pt idx="79">
                  <c:v/>
                </c:pt>
                <c:pt idx="80">
                  <c:v>181.58</c:v>
                </c:pt>
                <c:pt idx="81">
                  <c:v>201.88</c:v>
                </c:pt>
                <c:pt idx="82">
                  <c:v>182.99</c:v>
                </c:pt>
                <c:pt idx="83">
                  <c:v>179.02</c:v>
                </c:pt>
                <c:pt idx="84">
                  <c:v>171.03</c:v>
                </c:pt>
                <c:pt idx="85">
                  <c:v>189.1</c:v>
                </c:pt>
                <c:pt idx="86">
                  <c:v>190.59</c:v>
                </c:pt>
                <c:pt idx="87">
                  <c:v>165.32</c:v>
                </c:pt>
                <c:pt idx="88">
                  <c:v>194.8</c:v>
                </c:pt>
                <c:pt idx="89">
                  <c:v>197.7</c:v>
                </c:pt>
                <c:pt idx="90">
                  <c:v>191.79</c:v>
                </c:pt>
                <c:pt idx="91">
                  <c:v>180.17</c:v>
                </c:pt>
                <c:pt idx="92">
                  <c:v>198.1</c:v>
                </c:pt>
                <c:pt idx="93">
                  <c:v>183.41</c:v>
                </c:pt>
                <c:pt idx="94">
                  <c:v>190.8</c:v>
                </c:pt>
                <c:pt idx="95">
                  <c:v>166.16</c:v>
                </c:pt>
                <c:pt idx="96">
                  <c:v>221.39</c:v>
                </c:pt>
                <c:pt idx="97">
                  <c:v>167.04</c:v>
                </c:pt>
                <c:pt idx="98">
                  <c:v/>
                </c:pt>
                <c:pt idx="99">
                  <c:v>152.57</c:v>
                </c:pt>
                <c:pt idx="100">
                  <c:v>183.07</c:v>
                </c:pt>
                <c:pt idx="101">
                  <c:v>212.78</c:v>
                </c:pt>
                <c:pt idx="102">
                  <c:v>208.47</c:v>
                </c:pt>
                <c:pt idx="103">
                  <c:v>216.26</c:v>
                </c:pt>
                <c:pt idx="104">
                  <c:v>209.71</c:v>
                </c:pt>
                <c:pt idx="105">
                  <c:v>220.64</c:v>
                </c:pt>
                <c:pt idx="106">
                  <c:v>198.06</c:v>
                </c:pt>
                <c:pt idx="107">
                  <c:v>194.98</c:v>
                </c:pt>
                <c:pt idx="108">
                  <c:v>208.87</c:v>
                </c:pt>
                <c:pt idx="109">
                  <c:v>180.92</c:v>
                </c:pt>
                <c:pt idx="110">
                  <c:v/>
                </c:pt>
                <c:pt idx="111">
                  <c:v>216.81</c:v>
                </c:pt>
                <c:pt idx="112">
                  <c:v>212.8</c:v>
                </c:pt>
                <c:pt idx="113">
                  <c:v>211.33</c:v>
                </c:pt>
                <c:pt idx="114">
                  <c:v>216.19</c:v>
                </c:pt>
                <c:pt idx="115">
                  <c:v>207.46</c:v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218.06</c:v>
                </c:pt>
                <c:pt idx="121">
                  <c:v>215.82</c:v>
                </c:pt>
                <c:pt idx="122">
                  <c:v/>
                </c:pt>
                <c:pt idx="123">
                  <c:v/>
                </c:pt>
                <c:pt idx="124">
                  <c:v>216.96</c:v>
                </c:pt>
                <c:pt idx="125">
                  <c:v>219.71</c:v>
                </c:pt>
                <c:pt idx="126">
                  <c:v>189.99</c:v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>192.57</c:v>
                </c:pt>
                <c:pt idx="131">
                  <c:v>185.52</c:v>
                </c:pt>
                <c:pt idx="132">
                  <c:v>206.09</c:v>
                </c:pt>
                <c:pt idx="133">
                  <c:v>188.54</c:v>
                </c:pt>
                <c:pt idx="134">
                  <c:v>206.22</c:v>
                </c:pt>
                <c:pt idx="135">
                  <c:v>198.25</c:v>
                </c:pt>
                <c:pt idx="136">
                  <c:v>179.77</c:v>
                </c:pt>
                <c:pt idx="137">
                  <c:v>195.55</c:v>
                </c:pt>
                <c:pt idx="138">
                  <c:v>198.37</c:v>
                </c:pt>
                <c:pt idx="139">
                  <c:v>197.97</c:v>
                </c:pt>
                <c:pt idx="140">
                  <c:v>204.13</c:v>
                </c:pt>
                <c:pt idx="141">
                  <c:v/>
                </c:pt>
                <c:pt idx="142">
                  <c:v>238.69</c:v>
                </c:pt>
                <c:pt idx="143">
                  <c:v>180.78</c:v>
                </c:pt>
                <c:pt idx="144">
                  <c:v>223.16</c:v>
                </c:pt>
                <c:pt idx="145">
                  <c:v/>
                </c:pt>
                <c:pt idx="146">
                  <c:v>205.21</c:v>
                </c:pt>
                <c:pt idx="147">
                  <c:v>206.65</c:v>
                </c:pt>
                <c:pt idx="148">
                  <c:v>220.67</c:v>
                </c:pt>
                <c:pt idx="149">
                  <c:v>200.55</c:v>
                </c:pt>
                <c:pt idx="150">
                  <c:v>213.61</c:v>
                </c:pt>
                <c:pt idx="151">
                  <c:v>216.91</c:v>
                </c:pt>
                <c:pt idx="152">
                  <c:v/>
                </c:pt>
                <c:pt idx="153">
                  <c:v>209.41</c:v>
                </c:pt>
                <c:pt idx="154">
                  <c:v>193.48</c:v>
                </c:pt>
                <c:pt idx="155">
                  <c:v>199.82</c:v>
                </c:pt>
                <c:pt idx="156">
                  <c:v>196.42</c:v>
                </c:pt>
                <c:pt idx="157">
                  <c:v>219.84</c:v>
                </c:pt>
                <c:pt idx="158">
                  <c:v>218.11</c:v>
                </c:pt>
                <c:pt idx="159">
                  <c:v>212.08</c:v>
                </c:pt>
                <c:pt idx="160">
                  <c:v>223.97</c:v>
                </c:pt>
                <c:pt idx="161">
                  <c:v>212.4</c:v>
                </c:pt>
                <c:pt idx="162">
                  <c:v>208.12</c:v>
                </c:pt>
                <c:pt idx="163">
                  <c:v>225.32</c:v>
                </c:pt>
                <c:pt idx="164">
                  <c:v>197.25</c:v>
                </c:pt>
                <c:pt idx="165">
                  <c:v>187.37</c:v>
                </c:pt>
                <c:pt idx="166">
                  <c:v>195.17</c:v>
                </c:pt>
                <c:pt idx="167">
                  <c:v/>
                </c:pt>
                <c:pt idx="168">
                  <c:v>206.42</c:v>
                </c:pt>
                <c:pt idx="169">
                  <c:v>192.01</c:v>
                </c:pt>
                <c:pt idx="170">
                  <c:v/>
                </c:pt>
                <c:pt idx="171">
                  <c:v>193.015</c:v>
                </c:pt>
                <c:pt idx="172">
                  <c:v/>
                </c:pt>
                <c:pt idx="173">
                  <c:v>197.23</c:v>
                </c:pt>
                <c:pt idx="174">
                  <c:v/>
                </c:pt>
                <c:pt idx="175">
                  <c:v>198.655</c:v>
                </c:pt>
                <c:pt idx="176">
                  <c:v/>
                </c:pt>
                <c:pt idx="177">
                  <c:v>143.29</c:v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>201.725</c:v>
                </c:pt>
                <c:pt idx="185">
                  <c:v>193.87</c:v>
                </c:pt>
                <c:pt idx="186">
                  <c:v>217.11</c:v>
                </c:pt>
                <c:pt idx="187">
                  <c:v>218.26</c:v>
                </c:pt>
                <c:pt idx="188">
                  <c:v>215.895</c:v>
                </c:pt>
                <c:pt idx="189">
                  <c:v>223.52</c:v>
                </c:pt>
                <c:pt idx="190">
                  <c:v/>
                </c:pt>
                <c:pt idx="191">
                  <c:v>182.82</c:v>
                </c:pt>
                <c:pt idx="192">
                  <c:v>203.66</c:v>
                </c:pt>
                <c:pt idx="193">
                  <c:v>228.9</c:v>
                </c:pt>
                <c:pt idx="194">
                  <c:v>196.59</c:v>
                </c:pt>
                <c:pt idx="195">
                  <c:v>210.07</c:v>
                </c:pt>
                <c:pt idx="196">
                  <c:v/>
                </c:pt>
                <c:pt idx="197">
                  <c:v>203.745</c:v>
                </c:pt>
                <c:pt idx="198">
                  <c:v/>
                </c:pt>
                <c:pt idx="199">
                  <c:v/>
                </c:pt>
                <c:pt idx="200">
                  <c:v>208.12</c:v>
                </c:pt>
                <c:pt idx="201">
                  <c:v>205.075</c:v>
                </c:pt>
                <c:pt idx="202">
                  <c:v/>
                </c:pt>
                <c:pt idx="203">
                  <c:v>213.915</c:v>
                </c:pt>
                <c:pt idx="204">
                  <c:v>183.77</c:v>
                </c:pt>
                <c:pt idx="205">
                  <c:v>194.74</c:v>
                </c:pt>
                <c:pt idx="206">
                  <c:v>215.71</c:v>
                </c:pt>
                <c:pt idx="207">
                  <c:v>205.33</c:v>
                </c:pt>
                <c:pt idx="208">
                  <c:v>213.49</c:v>
                </c:pt>
                <c:pt idx="209">
                  <c:v>216.53</c:v>
                </c:pt>
                <c:pt idx="210">
                  <c:v/>
                </c:pt>
                <c:pt idx="211">
                  <c:v>210.9</c:v>
                </c:pt>
                <c:pt idx="212">
                  <c:v>192.84</c:v>
                </c:pt>
                <c:pt idx="213">
                  <c:v>193.93</c:v>
                </c:pt>
                <c:pt idx="214">
                  <c:v>196.39</c:v>
                </c:pt>
                <c:pt idx="215">
                  <c:v>196.42</c:v>
                </c:pt>
                <c:pt idx="216">
                  <c:v>162.83</c:v>
                </c:pt>
                <c:pt idx="217">
                  <c:v>173.26</c:v>
                </c:pt>
                <c:pt idx="218">
                  <c:v>212.64</c:v>
                </c:pt>
                <c:pt idx="219">
                  <c:v>205.05</c:v>
                </c:pt>
                <c:pt idx="220">
                  <c:v>190.18</c:v>
                </c:pt>
                <c:pt idx="221">
                  <c:v>209.72</c:v>
                </c:pt>
                <c:pt idx="222">
                  <c:v>201.19</c:v>
                </c:pt>
                <c:pt idx="223">
                  <c:v>207.4</c:v>
                </c:pt>
                <c:pt idx="224">
                  <c:v>200.07</c:v>
                </c:pt>
                <c:pt idx="225">
                  <c:v>232.16</c:v>
                </c:pt>
                <c:pt idx="226">
                  <c:v>196.65</c:v>
                </c:pt>
                <c:pt idx="227">
                  <c:v>212.575</c:v>
                </c:pt>
                <c:pt idx="228">
                  <c:v>190.405</c:v>
                </c:pt>
                <c:pt idx="229">
                  <c:v>210.865</c:v>
                </c:pt>
                <c:pt idx="230">
                  <c:v>178.12</c:v>
                </c:pt>
                <c:pt idx="231">
                  <c:v>189.175</c:v>
                </c:pt>
                <c:pt idx="232">
                  <c:v>197.73</c:v>
                </c:pt>
                <c:pt idx="233">
                  <c:v>191.69</c:v>
                </c:pt>
                <c:pt idx="234">
                  <c:v/>
                </c:pt>
                <c:pt idx="235">
                  <c:v>172.82</c:v>
                </c:pt>
                <c:pt idx="236">
                  <c:v>180.8</c:v>
                </c:pt>
                <c:pt idx="237">
                  <c:v>180.04</c:v>
                </c:pt>
                <c:pt idx="238">
                  <c:v>212.015</c:v>
                </c:pt>
                <c:pt idx="239">
                  <c:v>206.625</c:v>
                </c:pt>
                <c:pt idx="240">
                  <c:v>139.36</c:v>
                </c:pt>
                <c:pt idx="241">
                  <c:v>185.49</c:v>
                </c:pt>
                <c:pt idx="242">
                  <c:v>148.765</c:v>
                </c:pt>
                <c:pt idx="243">
                  <c:v>171.81</c:v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>194.435</c:v>
                </c:pt>
                <c:pt idx="248">
                  <c:v>199.595</c:v>
                </c:pt>
                <c:pt idx="249">
                  <c:v/>
                </c:pt>
                <c:pt idx="250">
                  <c:v>194.235</c:v>
                </c:pt>
                <c:pt idx="251">
                  <c:v>198.375</c:v>
                </c:pt>
                <c:pt idx="252">
                  <c:v>213.295</c:v>
                </c:pt>
                <c:pt idx="253">
                  <c:v>199.185</c:v>
                </c:pt>
                <c:pt idx="254">
                  <c:v>208.505</c:v>
                </c:pt>
                <c:pt idx="255">
                  <c:v>215.165</c:v>
                </c:pt>
                <c:pt idx="256">
                  <c:v>210.055</c:v>
                </c:pt>
                <c:pt idx="257">
                  <c:v>203.115</c:v>
                </c:pt>
                <c:pt idx="258">
                  <c:v>219.61</c:v>
                </c:pt>
                <c:pt idx="259">
                  <c:v>206.76</c:v>
                </c:pt>
                <c:pt idx="260">
                  <c:v>223.235</c:v>
                </c:pt>
                <c:pt idx="261">
                  <c:v>179.42</c:v>
                </c:pt>
                <c:pt idx="262">
                  <c:v/>
                </c:pt>
                <c:pt idx="263">
                  <c:v>224.105</c:v>
                </c:pt>
                <c:pt idx="264">
                  <c:v>255.25</c:v>
                </c:pt>
                <c:pt idx="265">
                  <c:v>190.155</c:v>
                </c:pt>
                <c:pt idx="266">
                  <c:v>186.28</c:v>
                </c:pt>
                <c:pt idx="267">
                  <c:v>199.815</c:v>
                </c:pt>
                <c:pt idx="268">
                  <c:v>167.75</c:v>
                </c:pt>
                <c:pt idx="269">
                  <c:v>184.38</c:v>
                </c:pt>
                <c:pt idx="270">
                  <c:v/>
                </c:pt>
                <c:pt idx="271">
                  <c:v>220.38</c:v>
                </c:pt>
                <c:pt idx="272">
                  <c:v>172.92</c:v>
                </c:pt>
                <c:pt idx="273">
                  <c:v>195.63</c:v>
                </c:pt>
                <c:pt idx="274">
                  <c:v/>
                </c:pt>
                <c:pt idx="275">
                  <c:v>219.6</c:v>
                </c:pt>
                <c:pt idx="276">
                  <c:v>213.405</c:v>
                </c:pt>
                <c:pt idx="277">
                  <c:v>215.995</c:v>
                </c:pt>
                <c:pt idx="278">
                  <c:v>228.93</c:v>
                </c:pt>
                <c:pt idx="279">
                  <c:v>231.44</c:v>
                </c:pt>
                <c:pt idx="280">
                  <c:v>213.425</c:v>
                </c:pt>
                <c:pt idx="281">
                  <c:v>213.13</c:v>
                </c:pt>
                <c:pt idx="282">
                  <c:v>223.975</c:v>
                </c:pt>
                <c:pt idx="283">
                  <c:v>245.835</c:v>
                </c:pt>
                <c:pt idx="284">
                  <c:v>234.94</c:v>
                </c:pt>
                <c:pt idx="285">
                  <c:v>215.855</c:v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>252.2</c:v>
                </c:pt>
                <c:pt idx="291">
                  <c:v>238.715</c:v>
                </c:pt>
                <c:pt idx="292">
                  <c:v/>
                </c:pt>
                <c:pt idx="293">
                  <c:v/>
                </c:pt>
                <c:pt idx="294">
                  <c:v>233.445</c:v>
                </c:pt>
                <c:pt idx="295">
                  <c:v>246.78</c:v>
                </c:pt>
                <c:pt idx="296">
                  <c:v/>
                </c:pt>
                <c:pt idx="297">
                  <c:v/>
                </c:pt>
                <c:pt idx="298">
                  <c:v>182.795</c:v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>261.215</c:v>
                </c:pt>
                <c:pt idx="303">
                  <c:v/>
                </c:pt>
                <c:pt idx="304">
                  <c:v>252.335</c:v>
                </c:pt>
                <c:pt idx="305">
                  <c:v/>
                </c:pt>
                <c:pt idx="306">
                  <c:v>248.795</c:v>
                </c:pt>
                <c:pt idx="307">
                  <c:v>242.72</c:v>
                </c:pt>
                <c:pt idx="308">
                  <c:v>240.65</c:v>
                </c:pt>
                <c:pt idx="309">
                  <c:v/>
                </c:pt>
                <c:pt idx="310">
                  <c:v>261.87</c:v>
                </c:pt>
                <c:pt idx="311">
                  <c:v>256.58</c:v>
                </c:pt>
                <c:pt idx="312">
                  <c:v>252.555</c:v>
                </c:pt>
                <c:pt idx="313">
                  <c:v>251.295</c:v>
                </c:pt>
                <c:pt idx="314">
                  <c:v/>
                </c:pt>
                <c:pt idx="315">
                  <c:v>276.585</c:v>
                </c:pt>
                <c:pt idx="316">
                  <c:v>187.22</c:v>
                </c:pt>
                <c:pt idx="317">
                  <c:v/>
                </c:pt>
                <c:pt idx="318">
                  <c:v>202.06</c:v>
                </c:pt>
                <c:pt idx="319">
                  <c:v>229.665</c:v>
                </c:pt>
                <c:pt idx="320">
                  <c:v>236.47</c:v>
                </c:pt>
                <c:pt idx="321">
                  <c:v>234.61</c:v>
                </c:pt>
                <c:pt idx="322">
                  <c:v>237.87</c:v>
                </c:pt>
                <c:pt idx="323">
                  <c:v>249.57</c:v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>269.785</c:v>
                </c:pt>
                <c:pt idx="328">
                  <c:v>274.28</c:v>
                </c:pt>
                <c:pt idx="329">
                  <c:v/>
                </c:pt>
                <c:pt idx="330">
                  <c:v/>
                </c:pt>
                <c:pt idx="331">
                  <c:v>235.26</c:v>
                </c:pt>
                <c:pt idx="332">
                  <c:v>237.345</c:v>
                </c:pt>
                <c:pt idx="333">
                  <c:v>236.9</c:v>
                </c:pt>
                <c:pt idx="334">
                  <c:v/>
                </c:pt>
                <c:pt idx="335">
                  <c:v>220.89</c:v>
                </c:pt>
                <c:pt idx="336">
                  <c:v>215.51</c:v>
                </c:pt>
                <c:pt idx="337">
                  <c:v>203.73</c:v>
                </c:pt>
                <c:pt idx="338">
                  <c:v>213.705</c:v>
                </c:pt>
                <c:pt idx="339">
                  <c:v/>
                </c:pt>
                <c:pt idx="340">
                  <c:v>225.28</c:v>
                </c:pt>
                <c:pt idx="341">
                  <c:v>229.16</c:v>
                </c:pt>
                <c:pt idx="342">
                  <c:v>231.1</c:v>
                </c:pt>
                <c:pt idx="343">
                  <c:v>237.69</c:v>
                </c:pt>
                <c:pt idx="344">
                  <c:v>251.445</c:v>
                </c:pt>
                <c:pt idx="345">
                  <c:v>264.695</c:v>
                </c:pt>
                <c:pt idx="346">
                  <c:v>248.395</c:v>
                </c:pt>
                <c:pt idx="347">
                  <c:v>213.84</c:v>
                </c:pt>
                <c:pt idx="348">
                  <c:v>245.775</c:v>
                </c:pt>
                <c:pt idx="349">
                  <c:v>247.24</c:v>
                </c:pt>
                <c:pt idx="350">
                  <c:v>253.505</c:v>
                </c:pt>
                <c:pt idx="351">
                  <c:v>256.26</c:v>
                </c:pt>
                <c:pt idx="352">
                  <c:v>254.85</c:v>
                </c:pt>
                <c:pt idx="353">
                  <c:v>266.54</c:v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>250.94</c:v>
                </c:pt>
                <c:pt idx="358">
                  <c:v>249.72</c:v>
                </c:pt>
                <c:pt idx="359">
                  <c:v>213.68</c:v>
                </c:pt>
                <c:pt idx="360">
                  <c:v>230.04</c:v>
                </c:pt>
                <c:pt idx="361">
                  <c:v>237.715</c:v>
                </c:pt>
                <c:pt idx="362">
                  <c:v/>
                </c:pt>
                <c:pt idx="363">
                  <c:v>211.09</c:v>
                </c:pt>
                <c:pt idx="364">
                  <c:v>201.655</c:v>
                </c:pt>
                <c:pt idx="365">
                  <c:v>246.065</c:v>
                </c:pt>
                <c:pt idx="366">
                  <c:v>237.925</c:v>
                </c:pt>
                <c:pt idx="367">
                  <c:v>249.415</c:v>
                </c:pt>
                <c:pt idx="368">
                  <c:v/>
                </c:pt>
                <c:pt idx="369">
                  <c:v>243.845</c:v>
                </c:pt>
                <c:pt idx="370">
                  <c:v/>
                </c:pt>
                <c:pt idx="371">
                  <c:v>248.43</c:v>
                </c:pt>
                <c:pt idx="372">
                  <c:v/>
                </c:pt>
                <c:pt idx="373">
                  <c:v/>
                </c:pt>
                <c:pt idx="374">
                  <c:v>254.435</c:v>
                </c:pt>
                <c:pt idx="375">
                  <c:v/>
                </c:pt>
                <c:pt idx="376">
                  <c:v>257.11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0"/>
        <c:axId val="1"/>
      </c:scatterChart>
      <c:valAx>
        <c:axId val="0"/>
        <c:scaling>
          <c:orientation val="minMax"/>
          <c:max val="610"/>
          <c:min val="0"/>
        </c:scaling>
        <c:delete val="0"/>
        <c:axPos val="b"/>
        <c:title>
          <c:tx>
            <c:rich>
              <a:bodyPr rot="0" vert="horz"/>
              <a:lstStyle/>
              <a:p>
                <a:pPr algn="ctr">
                  <a:defRPr sz="1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zh-CN" altLang="zh-CN"/>
                  <a:t>GENERATION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midCat"/>
        <c:majorUnit val="25"/>
        <c:minorUnit val="5"/>
      </c:valAx>
      <c:valAx>
        <c:axId val="1"/>
        <c:scaling>
          <c:orientation val="minMax"/>
          <c:max val="32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zh-CN" altLang="zh-CN"/>
                  <a:t>SPEED (CM/SEC)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0"/>
        <c:crosses val="autoZero"/>
        <c:crossBetween val="between"/>
        <c:majorUnit val="50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</a:p>
  </c:txPr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0</xdr:col>
      <xdr:colOff>0</xdr:colOff>
      <xdr:row>0</xdr:row>
      <xdr:rowOff>0</xdr:rowOff>
    </xdr:from>
    <xdr:to>
      <xdr:col>16</xdr:col>
      <xdr:colOff>76200</xdr:colOff>
      <xdr:row>44</xdr:row>
      <xdr:rowOff>85725</xdr:rowOff>
    </xdr:to>
    <xdr:graphicFrame>
      <xdr:nvGraphicFramePr>
        <xdr:cNvPr id="1025" name="Chart 1"/>
        <xdr:cNvGraphicFramePr>
          <a:graphicFrameLocks noGrp="1"/>
        </xdr:cNvGraphicFramePr>
      </xdr:nvGraphicFramePr>
      <xdr:xfrm>
        <a:off x="0" y="0"/>
        <a:ext cx="9677400" cy="7210425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showGridLines="0" showRowColHeaders="0" topLeftCell="A9" workbookViewId="0">
      <selection activeCell="T29" sqref="T29"/>
    </sheetView>
  </sheetViews>
  <sheetFormatPr defaultColWidth="9" defaultRowHeight="12.75"/>
  <sheetData/>
  <pageMargins left="0.25" right="0.25" top="0.25" bottom="0.25" header="0.5" footer="0.5"/>
  <pageSetup paperSize="1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20"/>
  <sheetViews>
    <sheetView tabSelected="1" workbookViewId="0">
      <pane ySplit="1" topLeftCell="A397" activePane="bottomLeft" state="frozen"/>
      <selection/>
      <selection pane="bottomLeft" activeCell="C421" sqref="C421"/>
    </sheetView>
  </sheetViews>
  <sheetFormatPr defaultColWidth="9" defaultRowHeight="15.75"/>
  <cols>
    <col min="1" max="1" width="6.28571428571429" style="2" customWidth="1"/>
    <col min="2" max="5" width="9" style="3" customWidth="1"/>
    <col min="6" max="6" width="7" style="4" customWidth="1"/>
    <col min="7" max="7" width="8.42857142857143" style="4" customWidth="1"/>
    <col min="8" max="8" width="10.5714285714286" style="5" customWidth="1"/>
    <col min="9" max="9" width="10.4285714285714" style="5" customWidth="1"/>
    <col min="10" max="10" width="10.7142857142857" customWidth="1"/>
    <col min="11" max="11" width="10.5714285714286" customWidth="1"/>
  </cols>
  <sheetData>
    <row r="1" s="1" customFormat="1" ht="18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  <c r="K1" s="10" t="s">
        <v>10</v>
      </c>
    </row>
    <row r="2" s="1" customFormat="1" ht="18" spans="1:9">
      <c r="A2" s="6">
        <v>0</v>
      </c>
      <c r="B2" s="3">
        <v>2.39</v>
      </c>
      <c r="C2" s="3"/>
      <c r="D2" s="3">
        <v>2.39</v>
      </c>
      <c r="E2" s="3"/>
      <c r="F2" s="4">
        <f t="shared" ref="F2:F22" si="0">AVERAGE(B2:C2)</f>
        <v>2.39</v>
      </c>
      <c r="G2" s="4">
        <f>AVERAGE(D2:E2)</f>
        <v>2.39</v>
      </c>
      <c r="H2" s="5"/>
      <c r="I2" s="5"/>
    </row>
    <row r="3" s="1" customFormat="1" ht="18" spans="1:9">
      <c r="A3" s="6">
        <v>5</v>
      </c>
      <c r="B3" s="3">
        <v>10.09</v>
      </c>
      <c r="C3" s="3"/>
      <c r="D3" s="3">
        <v>12.64</v>
      </c>
      <c r="E3" s="3"/>
      <c r="F3" s="4">
        <f t="shared" ref="F3:F130" si="1">AVERAGE(B3:C3)</f>
        <v>10.09</v>
      </c>
      <c r="G3" s="4">
        <f t="shared" ref="G3:G128" si="2">AVERAGE(D3:E3)</f>
        <v>12.64</v>
      </c>
      <c r="H3" s="5"/>
      <c r="I3" s="5"/>
    </row>
    <row r="4" s="1" customFormat="1" ht="18" spans="1:9">
      <c r="A4" s="6">
        <v>10</v>
      </c>
      <c r="B4" s="3">
        <v>44.24</v>
      </c>
      <c r="C4" s="3"/>
      <c r="D4" s="3">
        <v>32.08</v>
      </c>
      <c r="E4" s="3"/>
      <c r="F4" s="4">
        <f t="shared" ref="F4:F22" si="3">AVERAGE(B4:C4)</f>
        <v>44.24</v>
      </c>
      <c r="G4" s="4">
        <f>AVERAGE(D4:E4)</f>
        <v>32.08</v>
      </c>
      <c r="H4" s="5"/>
      <c r="I4" s="5"/>
    </row>
    <row r="5" s="1" customFormat="1" ht="18" spans="1:9">
      <c r="A5" s="6">
        <v>15</v>
      </c>
      <c r="B5" s="3">
        <v>44.48</v>
      </c>
      <c r="C5" s="3"/>
      <c r="D5" s="3">
        <v>59.85</v>
      </c>
      <c r="E5" s="3"/>
      <c r="F5" s="4">
        <f>AVERAGE(B5:C5)</f>
        <v>44.48</v>
      </c>
      <c r="G5" s="4">
        <f>AVERAGE(D5:E5)</f>
        <v>59.85</v>
      </c>
      <c r="H5" s="5"/>
      <c r="I5" s="5"/>
    </row>
    <row r="6" s="1" customFormat="1" ht="18" spans="1:9">
      <c r="A6" s="6">
        <v>20</v>
      </c>
      <c r="B6" s="3">
        <v>61.57</v>
      </c>
      <c r="C6" s="3"/>
      <c r="D6" s="3">
        <v>80.08</v>
      </c>
      <c r="E6" s="3"/>
      <c r="F6" s="4">
        <f>AVERAGE(B6:C6)</f>
        <v>61.57</v>
      </c>
      <c r="G6" s="4">
        <f>AVERAGE(D6:E6)</f>
        <v>80.08</v>
      </c>
      <c r="H6" s="5"/>
      <c r="I6" s="5"/>
    </row>
    <row r="7" s="1" customFormat="1" ht="18" spans="1:9">
      <c r="A7" s="6">
        <v>25</v>
      </c>
      <c r="B7" s="3">
        <v>64.38</v>
      </c>
      <c r="C7" s="3"/>
      <c r="D7" s="3">
        <v>48.69</v>
      </c>
      <c r="E7" s="3"/>
      <c r="F7" s="4">
        <f>AVERAGE(B7:C7)</f>
        <v>64.38</v>
      </c>
      <c r="G7" s="4">
        <f>AVERAGE(D7:E7)</f>
        <v>48.69</v>
      </c>
      <c r="H7" s="5"/>
      <c r="I7" s="5"/>
    </row>
    <row r="8" s="1" customFormat="1" ht="18" spans="1:9">
      <c r="A8" s="6">
        <v>30</v>
      </c>
      <c r="B8" s="3">
        <v>87.73</v>
      </c>
      <c r="C8" s="3"/>
      <c r="D8" s="3">
        <v>65.88</v>
      </c>
      <c r="E8" s="3"/>
      <c r="F8" s="4">
        <f>AVERAGE(B8:C8)</f>
        <v>87.73</v>
      </c>
      <c r="G8" s="4">
        <f>AVERAGE(D8:E8)</f>
        <v>65.88</v>
      </c>
      <c r="H8" s="5"/>
      <c r="I8" s="5"/>
    </row>
    <row r="9" s="1" customFormat="1" ht="18" spans="1:9">
      <c r="A9" s="6">
        <v>35</v>
      </c>
      <c r="B9" s="3">
        <v>99.7</v>
      </c>
      <c r="C9" s="3"/>
      <c r="D9" s="3">
        <v>95.51</v>
      </c>
      <c r="E9" s="3"/>
      <c r="F9" s="4">
        <f>AVERAGE(B9:C9)</f>
        <v>99.7</v>
      </c>
      <c r="G9" s="4">
        <f>AVERAGE(D9:E9)</f>
        <v>95.51</v>
      </c>
      <c r="H9" s="5"/>
      <c r="I9" s="5"/>
    </row>
    <row r="10" s="1" customFormat="1" ht="18" spans="1:9">
      <c r="A10" s="6">
        <v>40</v>
      </c>
      <c r="B10" s="3">
        <v>124.02</v>
      </c>
      <c r="C10" s="3"/>
      <c r="D10" s="3">
        <v>113.46</v>
      </c>
      <c r="E10" s="3"/>
      <c r="F10" s="4">
        <f>AVERAGE(B10:C10)</f>
        <v>124.02</v>
      </c>
      <c r="G10" s="4">
        <f>AVERAGE(D10:E10)</f>
        <v>113.46</v>
      </c>
      <c r="H10" s="5"/>
      <c r="I10" s="5"/>
    </row>
    <row r="11" s="1" customFormat="1" ht="18" spans="1:9">
      <c r="A11" s="6">
        <v>45</v>
      </c>
      <c r="B11" s="3">
        <v>107</v>
      </c>
      <c r="C11" s="3"/>
      <c r="D11" s="3">
        <v>104.96</v>
      </c>
      <c r="E11" s="3"/>
      <c r="F11" s="4">
        <f>AVERAGE(B11:C11)</f>
        <v>107</v>
      </c>
      <c r="G11" s="4">
        <f>AVERAGE(D11:E11)</f>
        <v>104.96</v>
      </c>
      <c r="H11" s="5"/>
      <c r="I11" s="5"/>
    </row>
    <row r="12" s="1" customFormat="1" ht="18" spans="1:9">
      <c r="A12" s="6">
        <v>50</v>
      </c>
      <c r="B12" s="3">
        <v>107.22</v>
      </c>
      <c r="C12" s="3"/>
      <c r="D12" s="3">
        <v>108.7</v>
      </c>
      <c r="E12" s="3"/>
      <c r="F12" s="4">
        <f>AVERAGE(B12:C12)</f>
        <v>107.22</v>
      </c>
      <c r="G12" s="4">
        <f>AVERAGE(D12:E12)</f>
        <v>108.7</v>
      </c>
      <c r="H12" s="5"/>
      <c r="I12" s="5"/>
    </row>
    <row r="13" s="1" customFormat="1" ht="18" spans="1:9">
      <c r="A13" s="6">
        <v>55</v>
      </c>
      <c r="B13" s="3">
        <v>137.22</v>
      </c>
      <c r="C13" s="3"/>
      <c r="D13" s="3">
        <v>100.23</v>
      </c>
      <c r="E13" s="3"/>
      <c r="F13" s="4">
        <f>AVERAGE(B13:C13)</f>
        <v>137.22</v>
      </c>
      <c r="G13" s="4">
        <f>AVERAGE(D13:E13)</f>
        <v>100.23</v>
      </c>
      <c r="H13" s="5"/>
      <c r="I13" s="5"/>
    </row>
    <row r="14" s="1" customFormat="1" ht="18" spans="1:9">
      <c r="A14" s="6">
        <v>60</v>
      </c>
      <c r="B14" s="3">
        <v>115.15</v>
      </c>
      <c r="C14" s="3"/>
      <c r="D14" s="3">
        <v>124.18</v>
      </c>
      <c r="E14" s="3"/>
      <c r="F14" s="4">
        <f>AVERAGE(B14:C14)</f>
        <v>115.15</v>
      </c>
      <c r="G14" s="4">
        <f>AVERAGE(D14:E14)</f>
        <v>124.18</v>
      </c>
      <c r="H14" s="5"/>
      <c r="I14" s="5"/>
    </row>
    <row r="15" s="1" customFormat="1" ht="18" spans="1:9">
      <c r="A15" s="6">
        <v>65</v>
      </c>
      <c r="B15" s="3">
        <v>126.94</v>
      </c>
      <c r="C15" s="3"/>
      <c r="D15" s="3">
        <v>123.44</v>
      </c>
      <c r="E15" s="3"/>
      <c r="F15" s="4">
        <f>AVERAGE(B15:C15)</f>
        <v>126.94</v>
      </c>
      <c r="G15" s="4">
        <f>AVERAGE(D15:E15)</f>
        <v>123.44</v>
      </c>
      <c r="H15" s="5"/>
      <c r="I15" s="5"/>
    </row>
    <row r="16" s="1" customFormat="1" ht="18" spans="1:9">
      <c r="A16" s="6">
        <v>70</v>
      </c>
      <c r="B16" s="3">
        <v>134.68</v>
      </c>
      <c r="C16" s="3"/>
      <c r="D16" s="3">
        <v>140.74</v>
      </c>
      <c r="E16" s="3"/>
      <c r="F16" s="4">
        <f>AVERAGE(B16:C16)</f>
        <v>134.68</v>
      </c>
      <c r="G16" s="4">
        <f>AVERAGE(D16:E16)</f>
        <v>140.74</v>
      </c>
      <c r="H16" s="5"/>
      <c r="I16" s="5"/>
    </row>
    <row r="17" s="1" customFormat="1" ht="18" spans="1:9">
      <c r="A17" s="6">
        <v>75</v>
      </c>
      <c r="B17" s="3">
        <v>121.42</v>
      </c>
      <c r="C17" s="3"/>
      <c r="D17" s="3">
        <v>103.61</v>
      </c>
      <c r="E17" s="3"/>
      <c r="F17" s="4">
        <f>AVERAGE(B17:C17)</f>
        <v>121.42</v>
      </c>
      <c r="G17" s="4">
        <f>AVERAGE(D17:E17)</f>
        <v>103.61</v>
      </c>
      <c r="H17" s="5"/>
      <c r="I17" s="5"/>
    </row>
    <row r="18" s="1" customFormat="1" ht="18" spans="1:9">
      <c r="A18" s="6">
        <v>80</v>
      </c>
      <c r="B18" s="3">
        <v>169.43</v>
      </c>
      <c r="C18" s="3"/>
      <c r="D18" s="3">
        <v>173.86</v>
      </c>
      <c r="E18" s="3"/>
      <c r="F18" s="4">
        <f>AVERAGE(B18:C18)</f>
        <v>169.43</v>
      </c>
      <c r="G18" s="4">
        <f>AVERAGE(D18:E18)</f>
        <v>173.86</v>
      </c>
      <c r="H18" s="5"/>
      <c r="I18" s="5"/>
    </row>
    <row r="19" s="1" customFormat="1" ht="18" spans="1:9">
      <c r="A19" s="6">
        <v>85</v>
      </c>
      <c r="B19" s="3">
        <v>171.52</v>
      </c>
      <c r="C19" s="3"/>
      <c r="D19" s="3">
        <v>180.45</v>
      </c>
      <c r="E19" s="3"/>
      <c r="F19" s="4">
        <f>AVERAGE(B19:C19)</f>
        <v>171.52</v>
      </c>
      <c r="G19" s="4">
        <f>AVERAGE(D19:E19)</f>
        <v>180.45</v>
      </c>
      <c r="H19" s="5"/>
      <c r="I19" s="5"/>
    </row>
    <row r="20" s="1" customFormat="1" ht="18" spans="1:9">
      <c r="A20" s="6">
        <v>90</v>
      </c>
      <c r="B20" s="3">
        <v>172.46</v>
      </c>
      <c r="C20" s="3"/>
      <c r="D20" s="3">
        <v>153.95</v>
      </c>
      <c r="E20" s="3"/>
      <c r="F20" s="4">
        <f>AVERAGE(B20:C20)</f>
        <v>172.46</v>
      </c>
      <c r="G20" s="4">
        <f>AVERAGE(D20:E20)</f>
        <v>153.95</v>
      </c>
      <c r="H20" s="5"/>
      <c r="I20" s="5"/>
    </row>
    <row r="21" s="1" customFormat="1" ht="18" spans="1:9">
      <c r="A21" s="6">
        <v>95</v>
      </c>
      <c r="B21" s="3">
        <v>178.75</v>
      </c>
      <c r="C21" s="3"/>
      <c r="D21" s="3">
        <v>172.41</v>
      </c>
      <c r="E21" s="3"/>
      <c r="F21" s="4">
        <f>AVERAGE(B21:C21)</f>
        <v>178.75</v>
      </c>
      <c r="G21" s="4">
        <f>AVERAGE(D21:E21)</f>
        <v>172.41</v>
      </c>
      <c r="H21" s="5"/>
      <c r="I21" s="5"/>
    </row>
    <row r="22" s="1" customFormat="1" ht="18" spans="1:9">
      <c r="A22" s="6">
        <v>100</v>
      </c>
      <c r="B22" s="3">
        <v>156.87</v>
      </c>
      <c r="C22" s="3"/>
      <c r="D22" s="3">
        <v>142.71</v>
      </c>
      <c r="E22" s="3"/>
      <c r="F22" s="4">
        <f>AVERAGE(B22:C22)</f>
        <v>156.87</v>
      </c>
      <c r="G22" s="4">
        <f>AVERAGE(D22:E22)</f>
        <v>142.71</v>
      </c>
      <c r="H22" s="5"/>
      <c r="I22" s="5"/>
    </row>
    <row r="23" s="1" customFormat="1" ht="18" spans="1:9">
      <c r="A23" s="6"/>
      <c r="B23" s="3"/>
      <c r="C23" s="3"/>
      <c r="D23" s="3"/>
      <c r="E23" s="3"/>
      <c r="F23" s="4"/>
      <c r="G23" s="4"/>
      <c r="H23" s="5"/>
      <c r="I23" s="5"/>
    </row>
    <row r="24" s="1" customFormat="1" ht="18" spans="1:9">
      <c r="A24" s="6">
        <v>157</v>
      </c>
      <c r="B24" s="3"/>
      <c r="C24" s="3"/>
      <c r="D24" s="3">
        <v>229.79</v>
      </c>
      <c r="E24" s="3"/>
      <c r="F24" s="4"/>
      <c r="G24" s="4">
        <v>229.79</v>
      </c>
      <c r="H24" s="5"/>
      <c r="I24" s="5"/>
    </row>
    <row r="25" s="1" customFormat="1" ht="18" spans="1:9">
      <c r="A25" s="6">
        <v>158</v>
      </c>
      <c r="B25" s="3">
        <v>193.24</v>
      </c>
      <c r="C25" s="3">
        <v>194.3</v>
      </c>
      <c r="D25" s="3"/>
      <c r="E25" s="3"/>
      <c r="F25" s="4">
        <v>193.77</v>
      </c>
      <c r="G25" s="4"/>
      <c r="H25" s="5"/>
      <c r="I25" s="5"/>
    </row>
    <row r="26" s="1" customFormat="1" ht="18" spans="1:9">
      <c r="A26" s="6"/>
      <c r="B26" s="3"/>
      <c r="C26" s="3"/>
      <c r="D26" s="3"/>
      <c r="E26" s="3"/>
      <c r="F26" s="4"/>
      <c r="G26" s="4"/>
      <c r="H26" s="5"/>
      <c r="I26" s="5"/>
    </row>
    <row r="27" s="1" customFormat="1" ht="18" spans="1:9">
      <c r="A27" s="6">
        <v>163</v>
      </c>
      <c r="B27" s="3">
        <v>230.24</v>
      </c>
      <c r="C27" s="3">
        <v>204.67</v>
      </c>
      <c r="D27" s="3">
        <v>233.52</v>
      </c>
      <c r="E27" s="3">
        <v>238.57</v>
      </c>
      <c r="F27" s="4">
        <v>217.46</v>
      </c>
      <c r="G27" s="4">
        <v>236.05</v>
      </c>
      <c r="H27" s="5"/>
      <c r="I27" s="5"/>
    </row>
    <row r="28" s="1" customFormat="1" ht="18" spans="1:9">
      <c r="A28" s="6">
        <v>164</v>
      </c>
      <c r="B28" s="3">
        <v>225.08</v>
      </c>
      <c r="C28" s="3">
        <v>205.34</v>
      </c>
      <c r="D28" s="3">
        <v>250.55</v>
      </c>
      <c r="E28" s="3">
        <v>228.39</v>
      </c>
      <c r="F28" s="4">
        <v>215.21</v>
      </c>
      <c r="G28" s="4">
        <v>239.47</v>
      </c>
      <c r="H28" s="5"/>
      <c r="I28" s="5"/>
    </row>
    <row r="29" s="1" customFormat="1" ht="18" spans="1:9">
      <c r="A29" s="6">
        <v>165</v>
      </c>
      <c r="B29" s="3">
        <v>244.79</v>
      </c>
      <c r="C29" s="3">
        <v>187.62</v>
      </c>
      <c r="D29" s="3">
        <v>214.64</v>
      </c>
      <c r="E29" s="3">
        <v>196.79</v>
      </c>
      <c r="F29" s="4">
        <v>216.21</v>
      </c>
      <c r="G29" s="4">
        <v>205.72</v>
      </c>
      <c r="H29" s="5"/>
      <c r="I29" s="5"/>
    </row>
    <row r="30" s="1" customFormat="1" ht="18" spans="1:9">
      <c r="A30" s="6">
        <v>166</v>
      </c>
      <c r="B30" s="3">
        <v>83.4</v>
      </c>
      <c r="C30" s="3">
        <v>217.82</v>
      </c>
      <c r="D30" s="3">
        <v>230.85</v>
      </c>
      <c r="E30" s="3">
        <v>234.26</v>
      </c>
      <c r="F30" s="4">
        <v>150.61</v>
      </c>
      <c r="G30" s="4">
        <v>232.56</v>
      </c>
      <c r="H30" s="5"/>
      <c r="I30" s="5"/>
    </row>
    <row r="31" s="1" customFormat="1" ht="18" spans="1:9">
      <c r="A31" s="6">
        <v>167</v>
      </c>
      <c r="B31" s="3">
        <v>210.55</v>
      </c>
      <c r="C31" s="3">
        <v>217.72</v>
      </c>
      <c r="D31" s="3">
        <v>232.89</v>
      </c>
      <c r="E31" s="3">
        <v>204.96</v>
      </c>
      <c r="F31" s="4">
        <v>214.14</v>
      </c>
      <c r="G31" s="4">
        <v>218.93</v>
      </c>
      <c r="H31" s="5"/>
      <c r="I31" s="5"/>
    </row>
    <row r="32" s="1" customFormat="1" ht="18" spans="1:9">
      <c r="A32" s="6">
        <v>168</v>
      </c>
      <c r="B32" s="3">
        <v>202.13</v>
      </c>
      <c r="C32" s="3">
        <v>196.86</v>
      </c>
      <c r="D32" s="3">
        <v>221.2</v>
      </c>
      <c r="E32" s="3">
        <v>231.9</v>
      </c>
      <c r="F32" s="4">
        <v>199.5</v>
      </c>
      <c r="G32" s="4">
        <v>226.55</v>
      </c>
      <c r="H32" s="5"/>
      <c r="I32" s="5"/>
    </row>
    <row r="33" s="1" customFormat="1" ht="18" spans="1:9">
      <c r="A33" s="6">
        <v>169</v>
      </c>
      <c r="B33" s="3">
        <v>222.84</v>
      </c>
      <c r="C33" s="3">
        <v>220.53</v>
      </c>
      <c r="D33" s="3">
        <v>246.83</v>
      </c>
      <c r="E33" s="3">
        <v>233.39</v>
      </c>
      <c r="F33" s="4">
        <v>221.69</v>
      </c>
      <c r="G33" s="4">
        <v>240.11</v>
      </c>
      <c r="H33" s="5"/>
      <c r="I33" s="5"/>
    </row>
    <row r="34" s="1" customFormat="1" ht="18" spans="1:9">
      <c r="A34" s="6">
        <v>170</v>
      </c>
      <c r="B34" s="3">
        <v>231.08</v>
      </c>
      <c r="C34" s="3">
        <v>254.68</v>
      </c>
      <c r="D34" s="3">
        <v>158.53</v>
      </c>
      <c r="E34" s="3">
        <v>183.86</v>
      </c>
      <c r="F34" s="4">
        <v>242.88</v>
      </c>
      <c r="G34" s="4">
        <v>171.2</v>
      </c>
      <c r="H34" s="5"/>
      <c r="I34" s="5"/>
    </row>
    <row r="35" s="1" customFormat="1" ht="18" spans="1:9">
      <c r="A35" s="6">
        <v>171</v>
      </c>
      <c r="B35" s="3">
        <v>203.87</v>
      </c>
      <c r="C35" s="3"/>
      <c r="D35" s="3"/>
      <c r="E35" s="3"/>
      <c r="F35" s="4">
        <v>203.87</v>
      </c>
      <c r="G35" s="4"/>
      <c r="H35" s="5"/>
      <c r="I35" s="5"/>
    </row>
    <row r="36" s="1" customFormat="1" ht="18" spans="1:9">
      <c r="A36" s="6">
        <v>172</v>
      </c>
      <c r="B36" s="3">
        <v>218.47</v>
      </c>
      <c r="C36" s="3">
        <v>218.27</v>
      </c>
      <c r="D36" s="3"/>
      <c r="E36" s="3"/>
      <c r="F36" s="4">
        <v>218.37</v>
      </c>
      <c r="G36" s="4"/>
      <c r="H36" s="5"/>
      <c r="I36" s="5"/>
    </row>
    <row r="37" s="1" customFormat="1" ht="18" spans="1:9">
      <c r="A37" s="6">
        <v>173</v>
      </c>
      <c r="B37" s="3">
        <v>207.84</v>
      </c>
      <c r="C37" s="3">
        <v>214.47</v>
      </c>
      <c r="D37" s="3">
        <v>186.86</v>
      </c>
      <c r="E37" s="3"/>
      <c r="F37" s="4">
        <v>211.16</v>
      </c>
      <c r="G37" s="4">
        <v>186.86</v>
      </c>
      <c r="H37" s="5"/>
      <c r="I37" s="5"/>
    </row>
    <row r="38" s="1" customFormat="1" ht="18" spans="1:9">
      <c r="A38" s="6">
        <v>174</v>
      </c>
      <c r="B38" s="3">
        <v>214.66</v>
      </c>
      <c r="C38" s="3">
        <v>213.54</v>
      </c>
      <c r="D38" s="3">
        <v>239.3</v>
      </c>
      <c r="E38" s="3">
        <v>217.68</v>
      </c>
      <c r="F38" s="4">
        <v>214.1</v>
      </c>
      <c r="G38" s="4">
        <v>228.49</v>
      </c>
      <c r="H38" s="5"/>
      <c r="I38" s="5"/>
    </row>
    <row r="39" s="1" customFormat="1" ht="18" spans="1:9">
      <c r="A39" s="6">
        <v>175</v>
      </c>
      <c r="B39" s="3">
        <v>207.34</v>
      </c>
      <c r="C39" s="3">
        <v>203.92</v>
      </c>
      <c r="D39" s="3">
        <v>270.86</v>
      </c>
      <c r="E39" s="3">
        <v>218.06</v>
      </c>
      <c r="F39" s="4">
        <v>205.63</v>
      </c>
      <c r="G39" s="4">
        <v>244.46</v>
      </c>
      <c r="H39" s="5"/>
      <c r="I39" s="5"/>
    </row>
    <row r="40" s="1" customFormat="1" ht="18" spans="1:9">
      <c r="A40" s="6">
        <v>176</v>
      </c>
      <c r="B40" s="3">
        <v>224.17</v>
      </c>
      <c r="C40" s="3">
        <v>230.47</v>
      </c>
      <c r="D40" s="3">
        <v>141.34</v>
      </c>
      <c r="E40" s="3">
        <v>125.36</v>
      </c>
      <c r="F40" s="4">
        <v>227.32</v>
      </c>
      <c r="G40" s="4">
        <v>133.35</v>
      </c>
      <c r="H40" s="5"/>
      <c r="I40" s="5"/>
    </row>
    <row r="41" s="1" customFormat="1" ht="18" spans="1:9">
      <c r="A41" s="6">
        <v>177</v>
      </c>
      <c r="B41" s="3">
        <v>117.87</v>
      </c>
      <c r="C41" s="3">
        <v>119.36</v>
      </c>
      <c r="D41" s="3">
        <v>127.13</v>
      </c>
      <c r="E41" s="3">
        <v>120.25</v>
      </c>
      <c r="F41" s="4">
        <v>118.62</v>
      </c>
      <c r="G41" s="4">
        <v>123.69</v>
      </c>
      <c r="H41" s="5"/>
      <c r="I41" s="5"/>
    </row>
    <row r="42" s="1" customFormat="1" ht="18" spans="1:9">
      <c r="A42" s="6">
        <v>178</v>
      </c>
      <c r="B42" s="3">
        <v>111.98</v>
      </c>
      <c r="C42" s="3">
        <v>126.36</v>
      </c>
      <c r="D42" s="3">
        <v>126.36</v>
      </c>
      <c r="E42" s="3">
        <v>128.25</v>
      </c>
      <c r="F42" s="4">
        <v>119.17</v>
      </c>
      <c r="G42" s="4">
        <v>127.31</v>
      </c>
      <c r="H42" s="5"/>
      <c r="I42" s="5"/>
    </row>
    <row r="43" s="1" customFormat="1" ht="18" spans="1:9">
      <c r="A43" s="6">
        <v>179</v>
      </c>
      <c r="B43" s="3">
        <v>113.56</v>
      </c>
      <c r="C43" s="3">
        <v>140.06</v>
      </c>
      <c r="D43" s="3">
        <v>133.83</v>
      </c>
      <c r="E43" s="3">
        <v>131.17</v>
      </c>
      <c r="F43" s="4">
        <v>126.81</v>
      </c>
      <c r="G43" s="4">
        <v>132.5</v>
      </c>
      <c r="H43" s="5"/>
      <c r="I43" s="5"/>
    </row>
    <row r="44" s="1" customFormat="1" ht="18" spans="1:9">
      <c r="A44" s="6">
        <v>180</v>
      </c>
      <c r="B44" s="3"/>
      <c r="C44" s="3"/>
      <c r="D44" s="3">
        <v>170.94</v>
      </c>
      <c r="E44" s="3">
        <v>161.57</v>
      </c>
      <c r="F44" s="4"/>
      <c r="G44" s="4">
        <v>166.26</v>
      </c>
      <c r="H44" s="5"/>
      <c r="I44" s="5"/>
    </row>
    <row r="45" s="1" customFormat="1" ht="18" spans="1:9">
      <c r="A45" s="6">
        <v>181</v>
      </c>
      <c r="B45" s="3">
        <v>174.63</v>
      </c>
      <c r="C45" s="3">
        <v>170.38</v>
      </c>
      <c r="D45" s="3">
        <v>178.55</v>
      </c>
      <c r="E45" s="3">
        <v>174.79</v>
      </c>
      <c r="F45" s="4">
        <v>172.51</v>
      </c>
      <c r="G45" s="4">
        <v>176.67</v>
      </c>
      <c r="H45" s="5"/>
      <c r="I45" s="5"/>
    </row>
    <row r="46" s="1" customFormat="1" ht="18" spans="1:9">
      <c r="A46" s="6">
        <v>182</v>
      </c>
      <c r="B46" s="3">
        <v>178.68</v>
      </c>
      <c r="C46" s="3">
        <v>183.51</v>
      </c>
      <c r="D46" s="3">
        <v>179.19</v>
      </c>
      <c r="E46" s="3">
        <v>187.85</v>
      </c>
      <c r="F46" s="4">
        <v>181.1</v>
      </c>
      <c r="G46" s="4">
        <v>183.52</v>
      </c>
      <c r="H46" s="5"/>
      <c r="I46" s="5"/>
    </row>
    <row r="47" s="1" customFormat="1" ht="18" spans="1:9">
      <c r="A47" s="6">
        <v>183</v>
      </c>
      <c r="B47" s="3">
        <v>188.71</v>
      </c>
      <c r="C47" s="3">
        <v>200.97</v>
      </c>
      <c r="D47" s="3">
        <v>206.59</v>
      </c>
      <c r="E47" s="3">
        <v>219.62</v>
      </c>
      <c r="F47" s="4">
        <v>194.84</v>
      </c>
      <c r="G47" s="4">
        <v>213.11</v>
      </c>
      <c r="H47" s="5"/>
      <c r="I47" s="5"/>
    </row>
    <row r="48" s="1" customFormat="1" ht="18" spans="1:9">
      <c r="A48" s="6"/>
      <c r="B48" s="3"/>
      <c r="C48" s="3"/>
      <c r="D48" s="3"/>
      <c r="E48" s="3"/>
      <c r="F48" s="4"/>
      <c r="G48" s="4"/>
      <c r="H48" s="5"/>
      <c r="I48" s="5"/>
    </row>
    <row r="49" s="1" customFormat="1" ht="18" spans="1:9">
      <c r="A49" s="6">
        <v>186</v>
      </c>
      <c r="B49" s="3">
        <v>225.34</v>
      </c>
      <c r="C49" s="3"/>
      <c r="D49" s="3">
        <v>205.53</v>
      </c>
      <c r="E49" s="3">
        <v>209.94</v>
      </c>
      <c r="F49" s="4">
        <v>225.34</v>
      </c>
      <c r="G49" s="4">
        <v>207.74</v>
      </c>
      <c r="H49" s="5"/>
      <c r="I49" s="5"/>
    </row>
    <row r="50" s="1" customFormat="1" ht="18" spans="1:9">
      <c r="A50" s="6">
        <v>187</v>
      </c>
      <c r="B50" s="3">
        <v>222.82</v>
      </c>
      <c r="C50" s="3">
        <v>221.87</v>
      </c>
      <c r="D50" s="3">
        <v>219.27</v>
      </c>
      <c r="E50" s="3">
        <v>232.04</v>
      </c>
      <c r="F50" s="4">
        <v>222.35</v>
      </c>
      <c r="G50" s="4">
        <v>225.66</v>
      </c>
      <c r="H50" s="5"/>
      <c r="I50" s="5"/>
    </row>
    <row r="51" s="1" customFormat="1" ht="18" spans="1:9">
      <c r="A51" s="6">
        <v>188</v>
      </c>
      <c r="B51" s="3">
        <v>116.34</v>
      </c>
      <c r="C51" s="3">
        <v>111.39</v>
      </c>
      <c r="D51" s="3">
        <v>151.36</v>
      </c>
      <c r="E51" s="3">
        <v>103.47</v>
      </c>
      <c r="F51" s="4">
        <v>113.87</v>
      </c>
      <c r="G51" s="4">
        <v>127.42</v>
      </c>
      <c r="H51" s="5"/>
      <c r="I51" s="5"/>
    </row>
    <row r="52" s="1" customFormat="1" ht="18" spans="1:9">
      <c r="A52" s="6">
        <v>189</v>
      </c>
      <c r="B52" s="3">
        <v>149.04</v>
      </c>
      <c r="C52" s="3">
        <v>147.68</v>
      </c>
      <c r="D52" s="3">
        <v>141.62</v>
      </c>
      <c r="E52" s="3">
        <v>138.26</v>
      </c>
      <c r="F52" s="4">
        <v>148.36</v>
      </c>
      <c r="G52" s="4">
        <v>139.94</v>
      </c>
      <c r="H52" s="5"/>
      <c r="I52" s="5"/>
    </row>
    <row r="53" s="1" customFormat="1" ht="18" spans="1:9">
      <c r="A53" s="6">
        <v>190</v>
      </c>
      <c r="B53" s="3">
        <v>125.14</v>
      </c>
      <c r="C53" s="3">
        <v>127.77</v>
      </c>
      <c r="D53" s="3">
        <v>246.59</v>
      </c>
      <c r="E53" s="3">
        <v>136.62</v>
      </c>
      <c r="F53" s="4">
        <v>126.46</v>
      </c>
      <c r="G53" s="4">
        <v>161.61</v>
      </c>
      <c r="H53" s="5"/>
      <c r="I53" s="5"/>
    </row>
    <row r="54" s="1" customFormat="1" ht="18" spans="1:9">
      <c r="A54" s="6">
        <v>191</v>
      </c>
      <c r="B54" s="3"/>
      <c r="C54" s="3"/>
      <c r="D54" s="3">
        <v>128.93</v>
      </c>
      <c r="E54" s="3">
        <v>132.57</v>
      </c>
      <c r="F54" s="4"/>
      <c r="G54" s="4">
        <v>130.75</v>
      </c>
      <c r="H54" s="5"/>
      <c r="I54" s="5"/>
    </row>
    <row r="55" s="1" customFormat="1" ht="18" spans="1:9">
      <c r="A55" s="6">
        <v>192</v>
      </c>
      <c r="B55" s="3">
        <v>147.69</v>
      </c>
      <c r="C55" s="3">
        <v>148.2</v>
      </c>
      <c r="D55" s="3">
        <v>154.96</v>
      </c>
      <c r="E55" s="3">
        <v>162.98</v>
      </c>
      <c r="F55" s="4">
        <v>147.95</v>
      </c>
      <c r="G55" s="4">
        <v>158.97</v>
      </c>
      <c r="H55" s="5"/>
      <c r="I55" s="5"/>
    </row>
    <row r="56" s="1" customFormat="1" ht="18" spans="1:9">
      <c r="A56" s="6">
        <v>193</v>
      </c>
      <c r="B56" s="3">
        <v>136.12</v>
      </c>
      <c r="C56" s="3">
        <v>141.15</v>
      </c>
      <c r="D56" s="3"/>
      <c r="E56" s="3"/>
      <c r="F56" s="4">
        <v>138.64</v>
      </c>
      <c r="G56" s="4"/>
      <c r="H56" s="5"/>
      <c r="I56" s="5"/>
    </row>
    <row r="57" s="1" customFormat="1" ht="18" spans="1:9">
      <c r="A57" s="6">
        <v>194</v>
      </c>
      <c r="B57" s="3">
        <v>171.31</v>
      </c>
      <c r="C57" s="3"/>
      <c r="D57" s="3">
        <v>176.2</v>
      </c>
      <c r="E57" s="3"/>
      <c r="F57" s="4">
        <v>171.31</v>
      </c>
      <c r="G57" s="4">
        <v>176.2</v>
      </c>
      <c r="H57" s="5"/>
      <c r="I57" s="5"/>
    </row>
    <row r="58" s="1" customFormat="1" ht="18" spans="1:9">
      <c r="A58" s="6">
        <v>195</v>
      </c>
      <c r="B58" s="3"/>
      <c r="C58" s="3"/>
      <c r="D58" s="3">
        <v>187.41</v>
      </c>
      <c r="E58" s="3"/>
      <c r="F58" s="4"/>
      <c r="G58" s="4">
        <v>187.41</v>
      </c>
      <c r="H58" s="5"/>
      <c r="I58" s="5"/>
    </row>
    <row r="59" s="1" customFormat="1" ht="18" spans="1:9">
      <c r="A59" s="6">
        <v>196</v>
      </c>
      <c r="B59" s="3">
        <v>173.44</v>
      </c>
      <c r="C59" s="3">
        <v>167.3</v>
      </c>
      <c r="D59" s="3"/>
      <c r="E59" s="3"/>
      <c r="F59" s="4">
        <v>170.37</v>
      </c>
      <c r="G59" s="4"/>
      <c r="H59" s="5"/>
      <c r="I59" s="5"/>
    </row>
    <row r="60" s="1" customFormat="1" ht="18" spans="1:9">
      <c r="A60" s="6">
        <v>197</v>
      </c>
      <c r="B60" s="3"/>
      <c r="C60" s="3"/>
      <c r="D60" s="3">
        <v>191.11</v>
      </c>
      <c r="E60" s="3">
        <v>194.14</v>
      </c>
      <c r="F60" s="4"/>
      <c r="G60" s="4">
        <v>192.63</v>
      </c>
      <c r="H60" s="5"/>
      <c r="I60" s="5"/>
    </row>
    <row r="61" s="1" customFormat="1" ht="18" spans="1:9">
      <c r="A61" s="6">
        <v>198</v>
      </c>
      <c r="B61" s="3"/>
      <c r="C61" s="3"/>
      <c r="D61" s="3">
        <v>161.79</v>
      </c>
      <c r="E61" s="3">
        <v>179.88</v>
      </c>
      <c r="F61" s="4"/>
      <c r="G61" s="4">
        <v>170.84</v>
      </c>
      <c r="H61" s="5"/>
      <c r="I61" s="5"/>
    </row>
    <row r="62" s="1" customFormat="1" ht="18" spans="1:9">
      <c r="A62" s="6">
        <v>199</v>
      </c>
      <c r="B62" s="3">
        <v>172.56</v>
      </c>
      <c r="C62" s="3">
        <v>179.45</v>
      </c>
      <c r="D62" s="3">
        <v>203.9</v>
      </c>
      <c r="E62" s="3">
        <v>204.68</v>
      </c>
      <c r="F62" s="4">
        <v>176.01</v>
      </c>
      <c r="G62" s="4">
        <v>204.29</v>
      </c>
      <c r="H62" s="5"/>
      <c r="I62" s="5"/>
    </row>
    <row r="63" s="1" customFormat="1" ht="18" spans="1:9">
      <c r="A63" s="6">
        <v>200</v>
      </c>
      <c r="B63" s="3"/>
      <c r="C63" s="3"/>
      <c r="D63" s="3"/>
      <c r="E63" s="3"/>
      <c r="F63" s="4">
        <v>248.96</v>
      </c>
      <c r="G63" s="4">
        <v>179.33</v>
      </c>
      <c r="H63" s="5"/>
      <c r="I63" s="5"/>
    </row>
    <row r="64" s="1" customFormat="1" ht="18" spans="1:9">
      <c r="A64" s="6">
        <v>201</v>
      </c>
      <c r="B64" s="3"/>
      <c r="C64" s="3"/>
      <c r="D64" s="3"/>
      <c r="E64" s="3"/>
      <c r="F64" s="4">
        <v>220.69</v>
      </c>
      <c r="G64" s="4">
        <v>174.85</v>
      </c>
      <c r="H64" s="5"/>
      <c r="I64" s="5"/>
    </row>
    <row r="65" s="1" customFormat="1" ht="18" spans="1:9">
      <c r="A65" s="6">
        <v>202</v>
      </c>
      <c r="B65" s="3"/>
      <c r="C65" s="3"/>
      <c r="D65" s="3"/>
      <c r="E65" s="3"/>
      <c r="F65" s="4">
        <v>170.39</v>
      </c>
      <c r="G65" s="11">
        <v>163.19</v>
      </c>
      <c r="H65" s="5"/>
      <c r="I65" s="5"/>
    </row>
    <row r="66" s="1" customFormat="1" ht="18" spans="1:9">
      <c r="A66" s="6">
        <v>203</v>
      </c>
      <c r="B66" s="3"/>
      <c r="C66" s="3"/>
      <c r="D66" s="3"/>
      <c r="E66" s="3"/>
      <c r="F66" s="4">
        <v>147.6</v>
      </c>
      <c r="G66" s="4">
        <v>159.67</v>
      </c>
      <c r="H66" s="5"/>
      <c r="I66" s="5"/>
    </row>
    <row r="67" s="1" customFormat="1" ht="18" spans="1:9">
      <c r="A67" s="6">
        <v>204</v>
      </c>
      <c r="B67" s="3"/>
      <c r="C67" s="3"/>
      <c r="D67" s="3"/>
      <c r="E67" s="3"/>
      <c r="F67" s="4">
        <v>155.61</v>
      </c>
      <c r="G67" s="4"/>
      <c r="H67" s="5"/>
      <c r="I67" s="5"/>
    </row>
    <row r="68" s="1" customFormat="1" ht="18" spans="1:9">
      <c r="A68" s="6"/>
      <c r="B68" s="3"/>
      <c r="C68" s="3"/>
      <c r="D68" s="3"/>
      <c r="E68" s="3"/>
      <c r="F68" s="4"/>
      <c r="G68" s="4"/>
      <c r="H68" s="5"/>
      <c r="I68" s="5"/>
    </row>
    <row r="69" s="1" customFormat="1" ht="18" spans="1:9">
      <c r="A69" s="6">
        <v>206</v>
      </c>
      <c r="B69" s="3"/>
      <c r="C69" s="3"/>
      <c r="D69" s="3"/>
      <c r="E69" s="3"/>
      <c r="F69" s="4"/>
      <c r="G69" s="4">
        <v>178.84</v>
      </c>
      <c r="H69" s="5"/>
      <c r="I69" s="5"/>
    </row>
    <row r="70" s="1" customFormat="1" ht="18" spans="1:9">
      <c r="A70" s="6">
        <v>207</v>
      </c>
      <c r="B70" s="3"/>
      <c r="C70" s="3"/>
      <c r="D70" s="3"/>
      <c r="E70" s="3"/>
      <c r="F70" s="4">
        <v>167.5</v>
      </c>
      <c r="G70" s="4">
        <v>211.93</v>
      </c>
      <c r="H70" s="5"/>
      <c r="I70" s="5"/>
    </row>
    <row r="71" s="1" customFormat="1" ht="18" spans="1:9">
      <c r="A71" s="6">
        <v>208</v>
      </c>
      <c r="B71" s="3"/>
      <c r="C71" s="3"/>
      <c r="D71" s="3"/>
      <c r="E71" s="3"/>
      <c r="F71" s="4">
        <v>202.14</v>
      </c>
      <c r="G71" s="4">
        <v>206.44</v>
      </c>
      <c r="H71" s="5"/>
      <c r="I71" s="5"/>
    </row>
    <row r="72" s="1" customFormat="1" ht="18" spans="1:9">
      <c r="A72" s="6">
        <v>209</v>
      </c>
      <c r="B72" s="3"/>
      <c r="C72" s="3"/>
      <c r="D72" s="3"/>
      <c r="E72" s="3"/>
      <c r="F72" s="4">
        <v>209.9</v>
      </c>
      <c r="G72" s="4">
        <v>204.32</v>
      </c>
      <c r="H72" s="5"/>
      <c r="I72" s="5"/>
    </row>
    <row r="73" s="1" customFormat="1" ht="18" spans="1:9">
      <c r="A73" s="6">
        <v>210</v>
      </c>
      <c r="B73" s="3"/>
      <c r="C73" s="3"/>
      <c r="D73" s="3"/>
      <c r="E73" s="3"/>
      <c r="F73" s="4">
        <v>231.65</v>
      </c>
      <c r="G73" s="4">
        <v>233.66</v>
      </c>
      <c r="H73" s="5"/>
      <c r="I73" s="5"/>
    </row>
    <row r="74" s="1" customFormat="1" ht="18" spans="1:9">
      <c r="A74" s="6">
        <v>211</v>
      </c>
      <c r="B74" s="3"/>
      <c r="C74" s="3"/>
      <c r="D74" s="3"/>
      <c r="E74" s="3"/>
      <c r="F74" s="4">
        <v>245.25</v>
      </c>
      <c r="G74" s="4">
        <v>247.36</v>
      </c>
      <c r="H74" s="5"/>
      <c r="I74" s="5"/>
    </row>
    <row r="75" s="1" customFormat="1" ht="18" spans="1:9">
      <c r="A75" s="6">
        <v>212</v>
      </c>
      <c r="B75" s="3"/>
      <c r="C75" s="3"/>
      <c r="D75" s="3"/>
      <c r="E75" s="3"/>
      <c r="F75" s="4"/>
      <c r="G75" s="4">
        <v>175.03</v>
      </c>
      <c r="H75" s="5"/>
      <c r="I75" s="5"/>
    </row>
    <row r="76" s="1" customFormat="1" ht="18" spans="1:9">
      <c r="A76" s="6">
        <v>213</v>
      </c>
      <c r="B76" s="3"/>
      <c r="C76" s="3"/>
      <c r="D76" s="3"/>
      <c r="E76" s="3"/>
      <c r="F76" s="4">
        <v>163.25</v>
      </c>
      <c r="G76" s="4"/>
      <c r="H76" s="5"/>
      <c r="I76" s="5"/>
    </row>
    <row r="77" s="1" customFormat="1" ht="18" spans="1:9">
      <c r="A77" s="6">
        <v>214</v>
      </c>
      <c r="B77" s="3"/>
      <c r="C77" s="3"/>
      <c r="D77" s="3"/>
      <c r="E77" s="3"/>
      <c r="F77" s="4"/>
      <c r="G77" s="4">
        <v>164.8</v>
      </c>
      <c r="H77" s="5"/>
      <c r="I77" s="5"/>
    </row>
    <row r="78" s="1" customFormat="1" ht="18" spans="1:9">
      <c r="A78" s="6">
        <v>215</v>
      </c>
      <c r="B78" s="3"/>
      <c r="C78" s="3"/>
      <c r="D78" s="3"/>
      <c r="E78" s="3"/>
      <c r="F78" s="4">
        <v>171.89</v>
      </c>
      <c r="G78" s="4">
        <v>183.71</v>
      </c>
      <c r="H78" s="5"/>
      <c r="I78" s="5"/>
    </row>
    <row r="79" s="1" customFormat="1" ht="18" spans="1:9">
      <c r="A79" s="6">
        <v>216</v>
      </c>
      <c r="B79" s="3"/>
      <c r="C79" s="3"/>
      <c r="D79" s="3"/>
      <c r="E79" s="3"/>
      <c r="F79" s="4">
        <v>184.54</v>
      </c>
      <c r="G79" s="4">
        <v>192.81</v>
      </c>
      <c r="H79" s="5"/>
      <c r="I79" s="5"/>
    </row>
    <row r="80" s="1" customFormat="1" ht="18" spans="1:9">
      <c r="A80" s="6">
        <v>217</v>
      </c>
      <c r="B80" s="3"/>
      <c r="C80" s="3"/>
      <c r="D80" s="3"/>
      <c r="E80" s="3"/>
      <c r="F80" s="4">
        <v>187.62</v>
      </c>
      <c r="G80" s="4">
        <v>160.16</v>
      </c>
      <c r="H80" s="5"/>
      <c r="I80" s="5"/>
    </row>
    <row r="81" s="1" customFormat="1" ht="18" spans="1:9">
      <c r="A81" s="6">
        <v>218</v>
      </c>
      <c r="B81" s="3"/>
      <c r="C81" s="3"/>
      <c r="D81" s="3"/>
      <c r="E81" s="3"/>
      <c r="F81" s="4">
        <v>180.81</v>
      </c>
      <c r="G81" s="4"/>
      <c r="H81" s="5"/>
      <c r="I81" s="5"/>
    </row>
    <row r="82" s="1" customFormat="1" ht="18" spans="1:9">
      <c r="A82" s="6">
        <v>219</v>
      </c>
      <c r="B82" s="3"/>
      <c r="C82" s="3"/>
      <c r="D82" s="3"/>
      <c r="E82" s="3"/>
      <c r="F82" s="4">
        <v>187.11</v>
      </c>
      <c r="G82" s="4">
        <v>181.58</v>
      </c>
      <c r="H82" s="5"/>
      <c r="I82" s="5"/>
    </row>
    <row r="83" s="1" customFormat="1" ht="18" spans="1:9">
      <c r="A83" s="6">
        <v>220</v>
      </c>
      <c r="B83" s="3"/>
      <c r="C83" s="3"/>
      <c r="D83" s="3"/>
      <c r="E83" s="3"/>
      <c r="F83" s="4"/>
      <c r="G83" s="4">
        <v>201.88</v>
      </c>
      <c r="H83" s="5"/>
      <c r="I83" s="5"/>
    </row>
    <row r="84" s="1" customFormat="1" ht="18" spans="1:9">
      <c r="A84" s="6">
        <v>221</v>
      </c>
      <c r="B84" s="3"/>
      <c r="C84" s="3"/>
      <c r="D84" s="3"/>
      <c r="E84" s="3"/>
      <c r="F84" s="4">
        <v>197.8</v>
      </c>
      <c r="G84" s="4">
        <v>182.99</v>
      </c>
      <c r="H84" s="5"/>
      <c r="I84" s="5"/>
    </row>
    <row r="85" s="1" customFormat="1" ht="18" spans="1:9">
      <c r="A85" s="6">
        <v>222</v>
      </c>
      <c r="B85" s="3"/>
      <c r="C85" s="3"/>
      <c r="D85" s="3"/>
      <c r="E85" s="3"/>
      <c r="F85" s="4">
        <v>196.24</v>
      </c>
      <c r="G85" s="4">
        <v>179.02</v>
      </c>
      <c r="H85" s="5"/>
      <c r="I85" s="5"/>
    </row>
    <row r="86" s="1" customFormat="1" ht="18" spans="1:9">
      <c r="A86" s="6">
        <v>223</v>
      </c>
      <c r="B86" s="3"/>
      <c r="C86" s="3"/>
      <c r="D86" s="3"/>
      <c r="E86" s="3"/>
      <c r="F86" s="4">
        <v>214.69</v>
      </c>
      <c r="G86" s="4">
        <v>171.03</v>
      </c>
      <c r="H86" s="5"/>
      <c r="I86" s="5"/>
    </row>
    <row r="87" s="1" customFormat="1" ht="18" spans="1:9">
      <c r="A87" s="6">
        <v>224</v>
      </c>
      <c r="B87" s="3"/>
      <c r="C87" s="3"/>
      <c r="D87" s="3"/>
      <c r="E87" s="3"/>
      <c r="F87" s="4"/>
      <c r="G87" s="4">
        <v>189.1</v>
      </c>
      <c r="H87" s="5"/>
      <c r="I87" s="5"/>
    </row>
    <row r="88" s="1" customFormat="1" ht="18" spans="1:12">
      <c r="A88" s="6">
        <v>225</v>
      </c>
      <c r="B88" s="3">
        <v>205.63</v>
      </c>
      <c r="C88" s="3"/>
      <c r="D88" s="3">
        <v>190.59</v>
      </c>
      <c r="E88" s="3"/>
      <c r="F88" s="4">
        <f t="shared" ref="F88:F97" si="4">AVERAGE(B88:C88)</f>
        <v>205.63</v>
      </c>
      <c r="G88" s="4">
        <f t="shared" ref="G88:G99" si="5">AVERAGE(D88:E88)</f>
        <v>190.59</v>
      </c>
      <c r="H88" s="5">
        <v>35589</v>
      </c>
      <c r="I88" s="5">
        <v>35596</v>
      </c>
      <c r="J88" s="12" t="str">
        <f>TEXT((H88-DATEVALUE("1/1/"&amp;TEXT(H88,"yy"))+1),"000")</f>
        <v>159</v>
      </c>
      <c r="K88" s="12" t="str">
        <f>TEXT((I88-DATEVALUE("1/1/"&amp;TEXT(I88,"yy"))+1),"000")</f>
        <v>166</v>
      </c>
      <c r="L88" t="str">
        <f t="shared" ref="L88:L151" si="6">J88</f>
        <v>159</v>
      </c>
    </row>
    <row r="89" s="1" customFormat="1" ht="18" spans="1:12">
      <c r="A89" s="6">
        <v>226</v>
      </c>
      <c r="B89" s="3">
        <v>200.78</v>
      </c>
      <c r="C89" s="3"/>
      <c r="D89" s="3">
        <v>165.32</v>
      </c>
      <c r="E89" s="3"/>
      <c r="F89" s="4">
        <f>AVERAGE(B89:C89)</f>
        <v>200.78</v>
      </c>
      <c r="G89" s="4">
        <f>AVERAGE(D89:E89)</f>
        <v>165.32</v>
      </c>
      <c r="H89" s="5">
        <v>35603</v>
      </c>
      <c r="I89" s="5">
        <v>35610</v>
      </c>
      <c r="J89" s="12" t="str">
        <f t="shared" ref="J89:J97" si="7">TEXT((H89-DATEVALUE("1/1/"&amp;TEXT(H89,"yy"))+1),"000")</f>
        <v>173</v>
      </c>
      <c r="K89" s="12" t="str">
        <f t="shared" ref="K89:K99" si="8">TEXT((I89-DATEVALUE("1/1/"&amp;TEXT(I89,"yy"))+1),"000")</f>
        <v>180</v>
      </c>
      <c r="L89" t="str">
        <f>J89</f>
        <v>173</v>
      </c>
    </row>
    <row r="90" s="1" customFormat="1" ht="18" spans="1:12">
      <c r="A90" s="6">
        <v>227</v>
      </c>
      <c r="B90" s="3">
        <v>202.68</v>
      </c>
      <c r="C90" s="3"/>
      <c r="D90" s="3">
        <v>194.8</v>
      </c>
      <c r="E90" s="3"/>
      <c r="F90" s="4">
        <f>AVERAGE(B90:C90)</f>
        <v>202.68</v>
      </c>
      <c r="G90" s="4">
        <f>AVERAGE(D90:E90)</f>
        <v>194.8</v>
      </c>
      <c r="H90" s="5">
        <v>35617</v>
      </c>
      <c r="I90" s="5">
        <v>35624</v>
      </c>
      <c r="J90" s="12" t="str">
        <f>TEXT((H90-DATEVALUE("1/1/"&amp;TEXT(H90,"yy"))+1),"000")</f>
        <v>187</v>
      </c>
      <c r="K90" s="12" t="str">
        <f>TEXT((I90-DATEVALUE("1/1/"&amp;TEXT(I90,"yy"))+1),"000")</f>
        <v>194</v>
      </c>
      <c r="L90" t="str">
        <f>J90</f>
        <v>187</v>
      </c>
    </row>
    <row r="91" s="1" customFormat="1" ht="18" spans="1:12">
      <c r="A91" s="6">
        <v>228</v>
      </c>
      <c r="B91" s="3">
        <v>201.63</v>
      </c>
      <c r="C91" s="3"/>
      <c r="D91" s="3">
        <v>197.7</v>
      </c>
      <c r="E91" s="3"/>
      <c r="F91" s="4">
        <f>AVERAGE(B91:C91)</f>
        <v>201.63</v>
      </c>
      <c r="G91" s="4">
        <f>AVERAGE(D91:E91)</f>
        <v>197.7</v>
      </c>
      <c r="H91" s="5">
        <v>35631</v>
      </c>
      <c r="I91" s="5">
        <v>35638</v>
      </c>
      <c r="J91" s="12" t="str">
        <f>TEXT((H91-DATEVALUE("1/1/"&amp;TEXT(H91,"yy"))+1),"000")</f>
        <v>201</v>
      </c>
      <c r="K91" s="12" t="str">
        <f>TEXT((I91-DATEVALUE("1/1/"&amp;TEXT(I91,"yy"))+1),"000")</f>
        <v>208</v>
      </c>
      <c r="L91" t="str">
        <f>J91</f>
        <v>201</v>
      </c>
    </row>
    <row r="92" s="1" customFormat="1" ht="18" spans="1:12">
      <c r="A92" s="6">
        <v>229</v>
      </c>
      <c r="B92" s="3">
        <v>210.96</v>
      </c>
      <c r="C92" s="3"/>
      <c r="D92" s="3">
        <v>191.79</v>
      </c>
      <c r="E92" s="3"/>
      <c r="F92" s="4">
        <f>AVERAGE(B92:C92)</f>
        <v>210.96</v>
      </c>
      <c r="G92" s="4">
        <f>AVERAGE(D92:E92)</f>
        <v>191.79</v>
      </c>
      <c r="H92" s="5">
        <v>35645</v>
      </c>
      <c r="I92" s="5">
        <v>35652</v>
      </c>
      <c r="J92" s="12" t="str">
        <f>TEXT((H92-DATEVALUE("1/1/"&amp;TEXT(H92,"yy"))+1),"000")</f>
        <v>215</v>
      </c>
      <c r="K92" s="12" t="str">
        <f>TEXT((I92-DATEVALUE("1/1/"&amp;TEXT(I92,"yy"))+1),"000")</f>
        <v>222</v>
      </c>
      <c r="L92" t="str">
        <f>J92</f>
        <v>215</v>
      </c>
    </row>
    <row r="93" s="1" customFormat="1" ht="18" spans="1:12">
      <c r="A93" s="6">
        <v>230</v>
      </c>
      <c r="B93" s="3">
        <v>197.96</v>
      </c>
      <c r="C93" s="3"/>
      <c r="D93" s="3">
        <v>180.17</v>
      </c>
      <c r="E93" s="3"/>
      <c r="F93" s="4">
        <f>AVERAGE(B93:C93)</f>
        <v>197.96</v>
      </c>
      <c r="G93" s="4">
        <f>AVERAGE(D93:E93)</f>
        <v>180.17</v>
      </c>
      <c r="H93" s="5">
        <v>35659</v>
      </c>
      <c r="I93" s="5">
        <v>35666</v>
      </c>
      <c r="J93" s="12" t="str">
        <f>TEXT((H93-DATEVALUE("1/1/"&amp;TEXT(H93,"yy"))+1),"000")</f>
        <v>229</v>
      </c>
      <c r="K93" s="12" t="str">
        <f>TEXT((I93-DATEVALUE("1/1/"&amp;TEXT(I93,"yy"))+1),"000")</f>
        <v>236</v>
      </c>
      <c r="L93" t="str">
        <f>J93</f>
        <v>229</v>
      </c>
    </row>
    <row r="94" s="1" customFormat="1" ht="18" spans="1:12">
      <c r="A94" s="6">
        <v>231</v>
      </c>
      <c r="B94" s="3">
        <v>181.35</v>
      </c>
      <c r="C94" s="3"/>
      <c r="D94" s="3">
        <v>198.1</v>
      </c>
      <c r="E94" s="3"/>
      <c r="F94" s="4">
        <f>AVERAGE(B94:C94)</f>
        <v>181.35</v>
      </c>
      <c r="G94" s="4">
        <f>AVERAGE(D94:E94)</f>
        <v>198.1</v>
      </c>
      <c r="H94" s="5">
        <v>35673</v>
      </c>
      <c r="I94" s="5">
        <v>35680</v>
      </c>
      <c r="J94" s="12" t="str">
        <f>TEXT((H94-DATEVALUE("1/1/"&amp;TEXT(H94,"yy"))+1),"000")</f>
        <v>243</v>
      </c>
      <c r="K94" s="12" t="str">
        <f>TEXT((I94-DATEVALUE("1/1/"&amp;TEXT(I94,"yy"))+1),"000")</f>
        <v>250</v>
      </c>
      <c r="L94" t="str">
        <f>J94</f>
        <v>243</v>
      </c>
    </row>
    <row r="95" s="1" customFormat="1" ht="18" spans="1:12">
      <c r="A95" s="6">
        <v>232</v>
      </c>
      <c r="B95" s="3">
        <v>185.94</v>
      </c>
      <c r="C95" s="3"/>
      <c r="D95" s="3">
        <v>183.41</v>
      </c>
      <c r="E95" s="3"/>
      <c r="F95" s="4">
        <f>AVERAGE(B95:C95)</f>
        <v>185.94</v>
      </c>
      <c r="G95" s="4">
        <f>AVERAGE(D95:E95)</f>
        <v>183.41</v>
      </c>
      <c r="H95" s="5">
        <v>35687</v>
      </c>
      <c r="I95" s="5">
        <v>35694</v>
      </c>
      <c r="J95" s="12" t="str">
        <f>TEXT((H95-DATEVALUE("1/1/"&amp;TEXT(H95,"yy"))+1),"000")</f>
        <v>257</v>
      </c>
      <c r="K95" s="12" t="str">
        <f>TEXT((I95-DATEVALUE("1/1/"&amp;TEXT(I95,"yy"))+1),"000")</f>
        <v>264</v>
      </c>
      <c r="L95" t="str">
        <f>J95</f>
        <v>257</v>
      </c>
    </row>
    <row r="96" s="1" customFormat="1" ht="18" spans="1:12">
      <c r="A96" s="6">
        <v>233</v>
      </c>
      <c r="B96" s="3">
        <v>182.23</v>
      </c>
      <c r="C96" s="3"/>
      <c r="D96" s="3">
        <v>190.8</v>
      </c>
      <c r="E96" s="3"/>
      <c r="F96" s="4">
        <f>AVERAGE(B96:C96)</f>
        <v>182.23</v>
      </c>
      <c r="G96" s="4">
        <f>AVERAGE(D96:E96)</f>
        <v>190.8</v>
      </c>
      <c r="H96" s="5">
        <v>35701</v>
      </c>
      <c r="I96" s="5">
        <v>35708</v>
      </c>
      <c r="J96" s="12" t="str">
        <f>TEXT((H96-DATEVALUE("1/1/"&amp;TEXT(H96,"yy"))+1),"000")</f>
        <v>271</v>
      </c>
      <c r="K96" s="12" t="str">
        <f>TEXT((I96-DATEVALUE("1/1/"&amp;TEXT(I96,"yy"))+1),"000")</f>
        <v>278</v>
      </c>
      <c r="L96" t="str">
        <f>J96</f>
        <v>271</v>
      </c>
    </row>
    <row r="97" s="1" customFormat="1" ht="18" spans="1:12">
      <c r="A97" s="6">
        <v>234</v>
      </c>
      <c r="B97" s="3">
        <v>186.97</v>
      </c>
      <c r="C97" s="3"/>
      <c r="D97" s="3">
        <v>166.16</v>
      </c>
      <c r="E97" s="3"/>
      <c r="F97" s="4">
        <f>AVERAGE(B97:C97)</f>
        <v>186.97</v>
      </c>
      <c r="G97" s="4">
        <f>AVERAGE(D97:E97)</f>
        <v>166.16</v>
      </c>
      <c r="H97" s="5">
        <v>35715</v>
      </c>
      <c r="I97" s="5">
        <v>35722</v>
      </c>
      <c r="J97" s="12" t="str">
        <f>TEXT((H97-DATEVALUE("1/1/"&amp;TEXT(H97,"yy"))+1),"000")</f>
        <v>285</v>
      </c>
      <c r="K97" s="12" t="str">
        <f>TEXT((I97-DATEVALUE("1/1/"&amp;TEXT(I97,"yy"))+1),"000")</f>
        <v>292</v>
      </c>
      <c r="L97" t="str">
        <f>J97</f>
        <v>285</v>
      </c>
    </row>
    <row r="98" s="1" customFormat="1" ht="18" spans="1:12">
      <c r="A98" s="6">
        <v>235</v>
      </c>
      <c r="B98" s="3"/>
      <c r="C98" s="3"/>
      <c r="D98" s="3">
        <v>221.39</v>
      </c>
      <c r="E98" s="3"/>
      <c r="F98" s="4"/>
      <c r="G98" s="4">
        <f>AVERAGE(D98:E98)</f>
        <v>221.39</v>
      </c>
      <c r="H98" s="5"/>
      <c r="I98" s="5">
        <v>35736</v>
      </c>
      <c r="J98" s="12"/>
      <c r="K98" s="12" t="str">
        <f>TEXT((I98-DATEVALUE("1/1/"&amp;TEXT(I98,"yy"))+1),"000")</f>
        <v>306</v>
      </c>
      <c r="L98">
        <f>J98</f>
        <v>0</v>
      </c>
    </row>
    <row r="99" s="1" customFormat="1" ht="18" spans="1:12">
      <c r="A99" s="6">
        <v>236</v>
      </c>
      <c r="B99" s="3"/>
      <c r="C99" s="3"/>
      <c r="D99" s="3">
        <v>167.04</v>
      </c>
      <c r="E99" s="3"/>
      <c r="F99" s="4"/>
      <c r="G99" s="4">
        <f>AVERAGE(D99:E99)</f>
        <v>167.04</v>
      </c>
      <c r="H99" s="5"/>
      <c r="I99" s="5">
        <v>35750</v>
      </c>
      <c r="K99" s="12" t="str">
        <f>TEXT((I99-DATEVALUE("1/1/"&amp;TEXT(I99,"yy"))+1),"000")</f>
        <v>320</v>
      </c>
      <c r="L99">
        <f>J99</f>
        <v>0</v>
      </c>
    </row>
    <row r="100" s="1" customFormat="1" ht="18" spans="1:12">
      <c r="A100" s="6">
        <v>237</v>
      </c>
      <c r="B100" s="3">
        <v>173.5</v>
      </c>
      <c r="C100" s="3"/>
      <c r="D100" s="3"/>
      <c r="E100" s="3"/>
      <c r="F100" s="4">
        <f t="shared" ref="F100:F117" si="9">AVERAGE(B100:C100)</f>
        <v>173.5</v>
      </c>
      <c r="G100" s="4"/>
      <c r="H100" s="5">
        <v>35757</v>
      </c>
      <c r="I100" s="5"/>
      <c r="J100" s="12" t="str">
        <f>TEXT((H100-DATEVALUE("1/1/"&amp;TEXT(H100,"yy"))+1),"000")</f>
        <v>327</v>
      </c>
      <c r="L100" t="str">
        <f>J100</f>
        <v>327</v>
      </c>
    </row>
    <row r="101" s="1" customFormat="1" ht="18" spans="1:12">
      <c r="A101" s="6">
        <v>238</v>
      </c>
      <c r="B101" s="3"/>
      <c r="C101" s="3"/>
      <c r="D101" s="3">
        <v>152.57</v>
      </c>
      <c r="E101" s="3"/>
      <c r="F101" s="4"/>
      <c r="G101" s="4">
        <f t="shared" ref="G101:G111" si="10">AVERAGE(D101:E101)</f>
        <v>152.57</v>
      </c>
      <c r="H101" s="5"/>
      <c r="I101" s="5">
        <v>35778</v>
      </c>
      <c r="K101" s="12" t="str">
        <f t="shared" ref="K101:K111" si="11">TEXT((I101-DATEVALUE("1/1/"&amp;TEXT(I101,"yy"))+1),"000")</f>
        <v>348</v>
      </c>
      <c r="L101">
        <f>J101</f>
        <v>0</v>
      </c>
    </row>
    <row r="102" s="1" customFormat="1" ht="18" spans="1:12">
      <c r="A102" s="6">
        <v>239</v>
      </c>
      <c r="B102" s="3">
        <v>166.5</v>
      </c>
      <c r="C102" s="3"/>
      <c r="D102" s="3">
        <v>183.07</v>
      </c>
      <c r="E102" s="3"/>
      <c r="F102" s="4">
        <f t="shared" ref="F102:F117" si="12">AVERAGE(B102:C102)</f>
        <v>166.5</v>
      </c>
      <c r="G102" s="4">
        <f>AVERAGE(D102:E102)</f>
        <v>183.07</v>
      </c>
      <c r="H102" s="5">
        <v>35785</v>
      </c>
      <c r="I102" s="5">
        <v>35792</v>
      </c>
      <c r="J102" s="12" t="str">
        <f t="shared" ref="J102:J117" si="13">TEXT((H102-DATEVALUE("1/1/"&amp;TEXT(H102,"yy"))+1),"000")</f>
        <v>355</v>
      </c>
      <c r="K102" s="12" t="str">
        <f>TEXT((I102-DATEVALUE("1/1/"&amp;TEXT(I102,"yy"))+1),"000")</f>
        <v>362</v>
      </c>
      <c r="L102" t="str">
        <f>J102</f>
        <v>355</v>
      </c>
    </row>
    <row r="103" s="1" customFormat="1" ht="18" spans="1:12">
      <c r="A103" s="6">
        <v>240</v>
      </c>
      <c r="B103" s="3">
        <v>194.74</v>
      </c>
      <c r="C103" s="3"/>
      <c r="D103" s="3">
        <v>212.78</v>
      </c>
      <c r="E103" s="3"/>
      <c r="F103" s="4">
        <f>AVERAGE(B103:C103)</f>
        <v>194.74</v>
      </c>
      <c r="G103" s="4">
        <f>AVERAGE(D103:E103)</f>
        <v>212.78</v>
      </c>
      <c r="H103" s="5">
        <v>35799</v>
      </c>
      <c r="I103" s="5">
        <v>35806</v>
      </c>
      <c r="J103" s="12" t="str">
        <f>TEXT((H103-DATEVALUE("1/1/"&amp;TEXT(H103,"yy"))+1),"000")</f>
        <v>004</v>
      </c>
      <c r="K103" s="12" t="str">
        <f>TEXT((I103-DATEVALUE("1/1/"&amp;TEXT(I103,"yy"))+1),"000")</f>
        <v>011</v>
      </c>
      <c r="L103" t="str">
        <f>J103</f>
        <v>004</v>
      </c>
    </row>
    <row r="104" s="1" customFormat="1" ht="18" spans="1:12">
      <c r="A104" s="6">
        <v>241</v>
      </c>
      <c r="B104" s="3">
        <v>206.62</v>
      </c>
      <c r="C104" s="3"/>
      <c r="D104" s="3">
        <v>208.47</v>
      </c>
      <c r="E104" s="3"/>
      <c r="F104" s="4">
        <f>AVERAGE(B104:C104)</f>
        <v>206.62</v>
      </c>
      <c r="G104" s="4">
        <f>AVERAGE(D104:E104)</f>
        <v>208.47</v>
      </c>
      <c r="H104" s="5">
        <v>35813</v>
      </c>
      <c r="I104" s="5">
        <v>35820</v>
      </c>
      <c r="J104" s="12" t="str">
        <f>TEXT((H104-DATEVALUE("1/1/"&amp;TEXT(H104,"yy"))+1),"000")</f>
        <v>018</v>
      </c>
      <c r="K104" s="12" t="str">
        <f>TEXT((I104-DATEVALUE("1/1/"&amp;TEXT(I104,"yy"))+1),"000")</f>
        <v>025</v>
      </c>
      <c r="L104" t="str">
        <f>J104</f>
        <v>018</v>
      </c>
    </row>
    <row r="105" s="1" customFormat="1" ht="18" spans="1:12">
      <c r="A105" s="6">
        <v>242</v>
      </c>
      <c r="B105" s="3">
        <v>206.67</v>
      </c>
      <c r="C105" s="3"/>
      <c r="D105" s="3">
        <v>216.26</v>
      </c>
      <c r="E105" s="3"/>
      <c r="F105" s="4">
        <f>AVERAGE(B105:C105)</f>
        <v>206.67</v>
      </c>
      <c r="G105" s="4">
        <f>AVERAGE(D105:E105)</f>
        <v>216.26</v>
      </c>
      <c r="H105" s="5">
        <v>35827</v>
      </c>
      <c r="I105" s="5">
        <v>35834</v>
      </c>
      <c r="J105" s="12" t="str">
        <f>TEXT((H105-DATEVALUE("1/1/"&amp;TEXT(H105,"yy"))+1),"000")</f>
        <v>032</v>
      </c>
      <c r="K105" s="12" t="str">
        <f>TEXT((I105-DATEVALUE("1/1/"&amp;TEXT(I105,"yy"))+1),"000")</f>
        <v>039</v>
      </c>
      <c r="L105" t="str">
        <f>J105</f>
        <v>032</v>
      </c>
    </row>
    <row r="106" s="1" customFormat="1" ht="18" spans="1:12">
      <c r="A106" s="6">
        <v>243</v>
      </c>
      <c r="B106" s="3">
        <v>199.43</v>
      </c>
      <c r="C106" s="3"/>
      <c r="D106" s="3">
        <v>209.71</v>
      </c>
      <c r="E106" s="3"/>
      <c r="F106" s="4">
        <f>AVERAGE(B106:C106)</f>
        <v>199.43</v>
      </c>
      <c r="G106" s="4">
        <f>AVERAGE(D106:E106)</f>
        <v>209.71</v>
      </c>
      <c r="H106" s="5">
        <v>35841</v>
      </c>
      <c r="I106" s="5">
        <v>35848</v>
      </c>
      <c r="J106" s="12" t="str">
        <f>TEXT((H106-DATEVALUE("1/1/"&amp;TEXT(H106,"yy"))+1),"000")</f>
        <v>046</v>
      </c>
      <c r="K106" s="12" t="str">
        <f>TEXT((I106-DATEVALUE("1/1/"&amp;TEXT(I106,"yy"))+1),"000")</f>
        <v>053</v>
      </c>
      <c r="L106" t="str">
        <f>J106</f>
        <v>046</v>
      </c>
    </row>
    <row r="107" s="1" customFormat="1" ht="18" spans="1:12">
      <c r="A107" s="6">
        <v>244</v>
      </c>
      <c r="B107" s="3">
        <v>197.18</v>
      </c>
      <c r="C107" s="3"/>
      <c r="D107" s="3">
        <v>220.64</v>
      </c>
      <c r="E107" s="3"/>
      <c r="F107" s="4">
        <f>AVERAGE(B107:C107)</f>
        <v>197.18</v>
      </c>
      <c r="G107" s="4">
        <f>AVERAGE(D107:E107)</f>
        <v>220.64</v>
      </c>
      <c r="H107" s="5">
        <v>35855</v>
      </c>
      <c r="I107" s="5">
        <v>35862</v>
      </c>
      <c r="J107" s="12" t="str">
        <f>TEXT((H107-DATEVALUE("1/1/"&amp;TEXT(H107,"yy"))+1),"000")</f>
        <v>060</v>
      </c>
      <c r="K107" s="12" t="str">
        <f>TEXT((I107-DATEVALUE("1/1/"&amp;TEXT(I107,"yy"))+1),"000")</f>
        <v>067</v>
      </c>
      <c r="L107" t="str">
        <f>J107</f>
        <v>060</v>
      </c>
    </row>
    <row r="108" s="1" customFormat="1" ht="18" spans="1:12">
      <c r="A108" s="6">
        <v>245</v>
      </c>
      <c r="B108" s="3">
        <v>196.58</v>
      </c>
      <c r="C108" s="3"/>
      <c r="D108" s="3">
        <v>198.06</v>
      </c>
      <c r="E108" s="3"/>
      <c r="F108" s="4">
        <f>AVERAGE(B108:C108)</f>
        <v>196.58</v>
      </c>
      <c r="G108" s="4">
        <f>AVERAGE(D108:E108)</f>
        <v>198.06</v>
      </c>
      <c r="H108" s="5">
        <v>35869</v>
      </c>
      <c r="I108" s="5">
        <v>35876</v>
      </c>
      <c r="J108" s="12" t="str">
        <f>TEXT((H108-DATEVALUE("1/1/"&amp;TEXT(H108,"yy"))+1),"000")</f>
        <v>074</v>
      </c>
      <c r="K108" s="12" t="str">
        <f>TEXT((I108-DATEVALUE("1/1/"&amp;TEXT(I108,"yy"))+1),"000")</f>
        <v>081</v>
      </c>
      <c r="L108" t="str">
        <f>J108</f>
        <v>074</v>
      </c>
    </row>
    <row r="109" s="1" customFormat="1" ht="18" spans="1:12">
      <c r="A109" s="6">
        <v>246</v>
      </c>
      <c r="B109" s="3">
        <v>203.74</v>
      </c>
      <c r="C109" s="3"/>
      <c r="D109" s="3">
        <v>194.98</v>
      </c>
      <c r="E109" s="3"/>
      <c r="F109" s="4">
        <f>AVERAGE(B109:C109)</f>
        <v>203.74</v>
      </c>
      <c r="G109" s="4">
        <f>AVERAGE(D109:E109)</f>
        <v>194.98</v>
      </c>
      <c r="H109" s="5">
        <v>35883</v>
      </c>
      <c r="I109" s="5">
        <v>35890</v>
      </c>
      <c r="J109" s="12" t="str">
        <f>TEXT((H109-DATEVALUE("1/1/"&amp;TEXT(H109,"yy"))+1),"000")</f>
        <v>088</v>
      </c>
      <c r="K109" s="12" t="str">
        <f>TEXT((I109-DATEVALUE("1/1/"&amp;TEXT(I109,"yy"))+1),"000")</f>
        <v>095</v>
      </c>
      <c r="L109" t="str">
        <f>J109</f>
        <v>088</v>
      </c>
    </row>
    <row r="110" s="1" customFormat="1" ht="18" spans="1:12">
      <c r="A110" s="6">
        <v>247</v>
      </c>
      <c r="B110" s="3">
        <v>198.52</v>
      </c>
      <c r="C110" s="3"/>
      <c r="D110" s="3">
        <v>208.87</v>
      </c>
      <c r="E110" s="3"/>
      <c r="F110" s="4">
        <f>AVERAGE(B110:C110)</f>
        <v>198.52</v>
      </c>
      <c r="G110" s="4">
        <f>AVERAGE(D110:E110)</f>
        <v>208.87</v>
      </c>
      <c r="H110" s="5">
        <v>35897</v>
      </c>
      <c r="I110" s="5">
        <v>35904</v>
      </c>
      <c r="J110" s="12" t="str">
        <f>TEXT((H110-DATEVALUE("1/1/"&amp;TEXT(H110,"yy"))+1),"000")</f>
        <v>102</v>
      </c>
      <c r="K110" s="12" t="str">
        <f>TEXT((I110-DATEVALUE("1/1/"&amp;TEXT(I110,"yy"))+1),"000")</f>
        <v>109</v>
      </c>
      <c r="L110" t="str">
        <f>J110</f>
        <v>102</v>
      </c>
    </row>
    <row r="111" s="1" customFormat="1" ht="18" spans="1:12">
      <c r="A111" s="6">
        <v>248</v>
      </c>
      <c r="B111" s="3">
        <v>203.98</v>
      </c>
      <c r="C111" s="3"/>
      <c r="D111" s="3">
        <v>180.92</v>
      </c>
      <c r="E111" s="3"/>
      <c r="F111" s="4">
        <f>AVERAGE(B111:C111)</f>
        <v>203.98</v>
      </c>
      <c r="G111" s="4">
        <f>AVERAGE(D111:E111)</f>
        <v>180.92</v>
      </c>
      <c r="H111" s="5">
        <v>35911</v>
      </c>
      <c r="I111" s="5">
        <v>35918</v>
      </c>
      <c r="J111" s="12" t="str">
        <f>TEXT((H111-DATEVALUE("1/1/"&amp;TEXT(H111,"yy"))+1),"000")</f>
        <v>116</v>
      </c>
      <c r="K111" s="12" t="str">
        <f>TEXT((I111-DATEVALUE("1/1/"&amp;TEXT(I111,"yy"))+1),"000")</f>
        <v>123</v>
      </c>
      <c r="L111" t="str">
        <f>J111</f>
        <v>116</v>
      </c>
    </row>
    <row r="112" s="1" customFormat="1" ht="18" spans="1:12">
      <c r="A112" s="6">
        <v>249</v>
      </c>
      <c r="B112" s="3">
        <v>199.47</v>
      </c>
      <c r="C112" s="3"/>
      <c r="D112" s="3"/>
      <c r="E112" s="3"/>
      <c r="F112" s="4">
        <f>AVERAGE(B112:C112)</f>
        <v>199.47</v>
      </c>
      <c r="G112" s="4"/>
      <c r="H112" s="5">
        <v>35925</v>
      </c>
      <c r="I112" s="5"/>
      <c r="J112" s="12" t="str">
        <f>TEXT((H112-DATEVALUE("1/1/"&amp;TEXT(H112,"yy"))+1),"000")</f>
        <v>130</v>
      </c>
      <c r="L112" t="str">
        <f>J112</f>
        <v>130</v>
      </c>
    </row>
    <row r="113" s="1" customFormat="1" ht="18" spans="1:12">
      <c r="A113" s="6">
        <v>250</v>
      </c>
      <c r="B113" s="3">
        <v>207.16</v>
      </c>
      <c r="C113" s="3"/>
      <c r="D113" s="3">
        <v>216.81</v>
      </c>
      <c r="E113" s="3"/>
      <c r="F113" s="4">
        <f>AVERAGE(B113:C113)</f>
        <v>207.16</v>
      </c>
      <c r="G113" s="4">
        <f t="shared" ref="G113:G117" si="14">AVERAGE(D113:E113)</f>
        <v>216.81</v>
      </c>
      <c r="H113" s="5">
        <v>35939</v>
      </c>
      <c r="I113" s="5">
        <v>35946</v>
      </c>
      <c r="J113" s="12" t="str">
        <f>TEXT((H113-DATEVALUE("1/1/"&amp;TEXT(H113,"yy"))+1),"000")</f>
        <v>144</v>
      </c>
      <c r="K113" s="12" t="str">
        <f t="shared" ref="K113:K117" si="15">TEXT((I113-DATEVALUE("1/1/"&amp;TEXT(I113,"yy"))+1),"000")</f>
        <v>151</v>
      </c>
      <c r="L113" t="str">
        <f>J113</f>
        <v>144</v>
      </c>
    </row>
    <row r="114" s="1" customFormat="1" ht="18" spans="1:12">
      <c r="A114" s="6">
        <v>251</v>
      </c>
      <c r="B114" s="3">
        <v>207.09</v>
      </c>
      <c r="C114" s="3"/>
      <c r="D114" s="3">
        <v>212.8</v>
      </c>
      <c r="E114" s="3"/>
      <c r="F114" s="4">
        <f>AVERAGE(B114:C114)</f>
        <v>207.09</v>
      </c>
      <c r="G114" s="4">
        <f>AVERAGE(D114:E114)</f>
        <v>212.8</v>
      </c>
      <c r="H114" s="5">
        <v>35953</v>
      </c>
      <c r="I114" s="5">
        <v>35960</v>
      </c>
      <c r="J114" s="12" t="str">
        <f>TEXT((H114-DATEVALUE("1/1/"&amp;TEXT(H114,"yy"))+1),"000")</f>
        <v>158</v>
      </c>
      <c r="K114" s="12" t="str">
        <f>TEXT((I114-DATEVALUE("1/1/"&amp;TEXT(I114,"yy"))+1),"000")</f>
        <v>165</v>
      </c>
      <c r="L114" t="str">
        <f>J114</f>
        <v>158</v>
      </c>
    </row>
    <row r="115" s="1" customFormat="1" ht="18" spans="1:12">
      <c r="A115" s="6">
        <v>252</v>
      </c>
      <c r="B115" s="3">
        <v>202.61</v>
      </c>
      <c r="C115" s="3"/>
      <c r="D115" s="3">
        <v>211.33</v>
      </c>
      <c r="E115" s="3"/>
      <c r="F115" s="4">
        <f>AVERAGE(B115:C115)</f>
        <v>202.61</v>
      </c>
      <c r="G115" s="4">
        <f>AVERAGE(D115:E115)</f>
        <v>211.33</v>
      </c>
      <c r="H115" s="5">
        <v>35967</v>
      </c>
      <c r="I115" s="5">
        <v>35974</v>
      </c>
      <c r="J115" s="12" t="str">
        <f>TEXT((H115-DATEVALUE("1/1/"&amp;TEXT(H115,"yy"))+1),"000")</f>
        <v>172</v>
      </c>
      <c r="K115" s="12" t="str">
        <f>TEXT((I115-DATEVALUE("1/1/"&amp;TEXT(I115,"yy"))+1),"000")</f>
        <v>179</v>
      </c>
      <c r="L115" t="str">
        <f>J115</f>
        <v>172</v>
      </c>
    </row>
    <row r="116" s="1" customFormat="1" ht="18" spans="1:12">
      <c r="A116" s="6">
        <v>253</v>
      </c>
      <c r="B116" s="3">
        <v>202.92</v>
      </c>
      <c r="C116" s="3"/>
      <c r="D116" s="3">
        <v>216.19</v>
      </c>
      <c r="E116" s="3"/>
      <c r="F116" s="4">
        <f>AVERAGE(B116:C116)</f>
        <v>202.92</v>
      </c>
      <c r="G116" s="4">
        <f>AVERAGE(D116:E116)</f>
        <v>216.19</v>
      </c>
      <c r="H116" s="5">
        <v>35981</v>
      </c>
      <c r="I116" s="5">
        <v>35988</v>
      </c>
      <c r="J116" s="12" t="str">
        <f>TEXT((H116-DATEVALUE("1/1/"&amp;TEXT(H116,"yy"))+1),"000")</f>
        <v>186</v>
      </c>
      <c r="K116" s="12" t="str">
        <f>TEXT((I116-DATEVALUE("1/1/"&amp;TEXT(I116,"yy"))+1),"000")</f>
        <v>193</v>
      </c>
      <c r="L116" t="str">
        <f>J116</f>
        <v>186</v>
      </c>
    </row>
    <row r="117" s="1" customFormat="1" ht="18" spans="1:12">
      <c r="A117" s="6">
        <v>254</v>
      </c>
      <c r="B117" s="3">
        <v>198.7</v>
      </c>
      <c r="C117" s="3"/>
      <c r="D117" s="3">
        <v>207.46</v>
      </c>
      <c r="E117" s="3"/>
      <c r="F117" s="4">
        <f>AVERAGE(B117:C117)</f>
        <v>198.7</v>
      </c>
      <c r="G117" s="4">
        <f>AVERAGE(D117:E117)</f>
        <v>207.46</v>
      </c>
      <c r="H117" s="5">
        <v>35995</v>
      </c>
      <c r="I117" s="5">
        <v>36002</v>
      </c>
      <c r="J117" s="12" t="str">
        <f>TEXT((H117-DATEVALUE("1/1/"&amp;TEXT(H117,"yy"))+1),"000")</f>
        <v>200</v>
      </c>
      <c r="K117" s="12" t="str">
        <f>TEXT((I117-DATEVALUE("1/1/"&amp;TEXT(I117,"yy"))+1),"000")</f>
        <v>207</v>
      </c>
      <c r="L117" t="str">
        <f>J117</f>
        <v>200</v>
      </c>
    </row>
    <row r="118" s="1" customFormat="1" ht="18" spans="1:12">
      <c r="A118" s="6">
        <v>255</v>
      </c>
      <c r="B118" s="3"/>
      <c r="C118" s="3"/>
      <c r="D118" s="3"/>
      <c r="E118" s="3"/>
      <c r="F118" s="4"/>
      <c r="G118" s="4"/>
      <c r="H118" s="5"/>
      <c r="I118" s="5"/>
      <c r="L118">
        <f>J118</f>
        <v>0</v>
      </c>
    </row>
    <row r="119" s="1" customFormat="1" ht="18" spans="1:12">
      <c r="A119" s="6">
        <v>256</v>
      </c>
      <c r="B119" s="3"/>
      <c r="C119" s="3"/>
      <c r="D119" s="3"/>
      <c r="E119" s="3"/>
      <c r="F119" s="4"/>
      <c r="G119" s="4"/>
      <c r="H119" s="5"/>
      <c r="I119" s="5"/>
      <c r="L119">
        <f>J119</f>
        <v>0</v>
      </c>
    </row>
    <row r="120" s="1" customFormat="1" ht="18" spans="1:12">
      <c r="A120" s="6">
        <v>257</v>
      </c>
      <c r="B120" s="3">
        <v>211.14</v>
      </c>
      <c r="C120" s="3"/>
      <c r="D120" s="3"/>
      <c r="E120" s="3"/>
      <c r="F120" s="4">
        <f t="shared" ref="F120:F125" si="16">AVERAGE(B120:C120)</f>
        <v>211.14</v>
      </c>
      <c r="G120" s="4"/>
      <c r="H120" s="5">
        <v>36037</v>
      </c>
      <c r="I120" s="5"/>
      <c r="J120" s="12" t="str">
        <f>TEXT((H120-DATEVALUE("1/1/"&amp;TEXT(H120,"yy"))+1),"000")</f>
        <v>242</v>
      </c>
      <c r="L120" t="str">
        <f>J120</f>
        <v>242</v>
      </c>
    </row>
    <row r="121" s="1" customFormat="1" ht="18" spans="1:12">
      <c r="A121" s="6">
        <v>258</v>
      </c>
      <c r="B121" s="3"/>
      <c r="C121" s="3"/>
      <c r="D121" s="3"/>
      <c r="E121" s="3"/>
      <c r="F121" s="4"/>
      <c r="G121" s="4"/>
      <c r="H121" s="5"/>
      <c r="I121" s="5"/>
      <c r="L121">
        <f>J121</f>
        <v>0</v>
      </c>
    </row>
    <row r="122" s="1" customFormat="1" ht="18" spans="1:12">
      <c r="A122" s="6">
        <v>259</v>
      </c>
      <c r="B122" s="3">
        <v>184.82</v>
      </c>
      <c r="C122" s="3"/>
      <c r="D122" s="3">
        <v>218.06</v>
      </c>
      <c r="E122" s="3"/>
      <c r="F122" s="4">
        <f t="shared" ref="F122:F125" si="17">AVERAGE(B122:C122)</f>
        <v>184.82</v>
      </c>
      <c r="G122" s="4">
        <f t="shared" ref="G122:G128" si="18">AVERAGE(D122:E122)</f>
        <v>218.06</v>
      </c>
      <c r="H122" s="5">
        <v>36065</v>
      </c>
      <c r="I122" s="5">
        <v>36072</v>
      </c>
      <c r="J122" s="12" t="str">
        <f t="shared" ref="J122:J125" si="19">TEXT((H122-DATEVALUE("1/1/"&amp;TEXT(H122,"yy"))+1),"000")</f>
        <v>270</v>
      </c>
      <c r="K122" s="12" t="str">
        <f t="shared" ref="K122:K123" si="20">TEXT((I122-DATEVALUE("1/1/"&amp;TEXT(I122,"yy"))+1),"000")</f>
        <v>277</v>
      </c>
      <c r="L122" t="str">
        <f>J122</f>
        <v>270</v>
      </c>
    </row>
    <row r="123" s="1" customFormat="1" ht="18" spans="1:12">
      <c r="A123" s="6">
        <v>260</v>
      </c>
      <c r="B123" s="3">
        <v>199.15</v>
      </c>
      <c r="C123" s="3"/>
      <c r="D123" s="3">
        <v>215.82</v>
      </c>
      <c r="E123" s="3"/>
      <c r="F123" s="4">
        <f>AVERAGE(B123:C123)</f>
        <v>199.15</v>
      </c>
      <c r="G123" s="4">
        <f>AVERAGE(D123:E123)</f>
        <v>215.82</v>
      </c>
      <c r="H123" s="5">
        <v>36079</v>
      </c>
      <c r="I123" s="5">
        <v>36086</v>
      </c>
      <c r="J123" s="12" t="str">
        <f>TEXT((H123-DATEVALUE("1/1/"&amp;TEXT(H123,"yy"))+1),"000")</f>
        <v>284</v>
      </c>
      <c r="K123" s="12" t="str">
        <f>TEXT((I123-DATEVALUE("1/1/"&amp;TEXT(I123,"yy"))+1),"000")</f>
        <v>291</v>
      </c>
      <c r="L123" t="str">
        <f>J123</f>
        <v>284</v>
      </c>
    </row>
    <row r="124" s="1" customFormat="1" ht="18" spans="1:12">
      <c r="A124" s="6">
        <v>261</v>
      </c>
      <c r="B124" s="3">
        <v>209.09</v>
      </c>
      <c r="C124" s="3"/>
      <c r="D124" s="3"/>
      <c r="E124" s="3"/>
      <c r="F124" s="4">
        <f>AVERAGE(B124:C124)</f>
        <v>209.09</v>
      </c>
      <c r="G124" s="4"/>
      <c r="H124" s="5">
        <v>36093</v>
      </c>
      <c r="I124" s="5"/>
      <c r="J124" s="12" t="str">
        <f>TEXT((H124-DATEVALUE("1/1/"&amp;TEXT(H124,"yy"))+1),"000")</f>
        <v>298</v>
      </c>
      <c r="L124" t="str">
        <f>J124</f>
        <v>298</v>
      </c>
    </row>
    <row r="125" s="1" customFormat="1" ht="18" spans="1:12">
      <c r="A125" s="6">
        <v>262</v>
      </c>
      <c r="B125" s="3">
        <v>205.17</v>
      </c>
      <c r="C125" s="3"/>
      <c r="D125" s="3"/>
      <c r="E125" s="3"/>
      <c r="F125" s="4">
        <f>AVERAGE(B125:C125)</f>
        <v>205.17</v>
      </c>
      <c r="G125" s="4"/>
      <c r="H125" s="5">
        <v>36107</v>
      </c>
      <c r="I125" s="5"/>
      <c r="J125" s="12" t="str">
        <f>TEXT((H125-DATEVALUE("1/1/"&amp;TEXT(H125,"yy"))+1),"000")</f>
        <v>312</v>
      </c>
      <c r="L125" t="str">
        <f>J125</f>
        <v>312</v>
      </c>
    </row>
    <row r="126" s="1" customFormat="1" ht="18" spans="1:12">
      <c r="A126" s="6">
        <v>263</v>
      </c>
      <c r="B126" s="3"/>
      <c r="C126" s="3"/>
      <c r="D126" s="3">
        <v>216.96</v>
      </c>
      <c r="E126" s="3"/>
      <c r="F126" s="4"/>
      <c r="G126" s="4">
        <f t="shared" ref="G126:G128" si="21">AVERAGE(D126:E126)</f>
        <v>216.96</v>
      </c>
      <c r="H126" s="5"/>
      <c r="I126" s="5">
        <v>36128</v>
      </c>
      <c r="K126" s="12" t="str">
        <f t="shared" ref="K126:K128" si="22">TEXT((I126-DATEVALUE("1/1/"&amp;TEXT(I126,"yy"))+1),"000")</f>
        <v>333</v>
      </c>
      <c r="L126">
        <f>J126</f>
        <v>0</v>
      </c>
    </row>
    <row r="127" s="1" customFormat="1" ht="18" spans="1:12">
      <c r="A127" s="6">
        <v>264</v>
      </c>
      <c r="B127" s="3">
        <v>195.25</v>
      </c>
      <c r="C127" s="3"/>
      <c r="D127" s="3">
        <v>219.71</v>
      </c>
      <c r="E127" s="3"/>
      <c r="F127" s="4">
        <f t="shared" ref="F127:F130" si="23">AVERAGE(B127:C127)</f>
        <v>195.25</v>
      </c>
      <c r="G127" s="4">
        <f>AVERAGE(D127:E127)</f>
        <v>219.71</v>
      </c>
      <c r="H127" s="5">
        <v>36135</v>
      </c>
      <c r="I127" s="5">
        <v>36142</v>
      </c>
      <c r="J127" s="12" t="str">
        <f t="shared" ref="J127:J130" si="24">TEXT((H127-DATEVALUE("1/1/"&amp;TEXT(H127,"yy"))+1),"000")</f>
        <v>340</v>
      </c>
      <c r="K127" s="12" t="str">
        <f>TEXT((I127-DATEVALUE("1/1/"&amp;TEXT(I127,"yy"))+1),"000")</f>
        <v>347</v>
      </c>
      <c r="L127" t="str">
        <f>J127</f>
        <v>340</v>
      </c>
    </row>
    <row r="128" s="1" customFormat="1" ht="18" spans="1:12">
      <c r="A128" s="6">
        <v>265</v>
      </c>
      <c r="B128" s="3">
        <v>192.13</v>
      </c>
      <c r="C128" s="3"/>
      <c r="D128" s="3">
        <v>189.99</v>
      </c>
      <c r="E128" s="3"/>
      <c r="F128" s="4">
        <f>AVERAGE(B128:C128)</f>
        <v>192.13</v>
      </c>
      <c r="G128" s="4">
        <f>AVERAGE(D128:E128)</f>
        <v>189.99</v>
      </c>
      <c r="H128" s="5">
        <v>36149</v>
      </c>
      <c r="I128" s="5">
        <v>36156</v>
      </c>
      <c r="J128" s="12" t="str">
        <f>TEXT((H128-DATEVALUE("1/1/"&amp;TEXT(H128,"yy"))+1),"000")</f>
        <v>354</v>
      </c>
      <c r="K128" s="12" t="str">
        <f>TEXT((I128-DATEVALUE("1/1/"&amp;TEXT(I128,"yy"))+1),"000")</f>
        <v>361</v>
      </c>
      <c r="L128" t="str">
        <f>J128</f>
        <v>354</v>
      </c>
    </row>
    <row r="129" s="1" customFormat="1" ht="18" spans="1:12">
      <c r="A129" s="6">
        <v>266</v>
      </c>
      <c r="B129" s="3">
        <v>197.73</v>
      </c>
      <c r="C129" s="3"/>
      <c r="D129" s="3"/>
      <c r="E129" s="3"/>
      <c r="F129" s="4">
        <f>AVERAGE(B129:C129)</f>
        <v>197.73</v>
      </c>
      <c r="G129" s="4"/>
      <c r="H129" s="5">
        <v>36163</v>
      </c>
      <c r="I129" s="5"/>
      <c r="J129" s="12" t="str">
        <f>TEXT((H129-DATEVALUE("1/1/"&amp;TEXT(H129,"yy"))+1),"000")</f>
        <v>003</v>
      </c>
      <c r="L129" t="str">
        <f>J129</f>
        <v>003</v>
      </c>
    </row>
    <row r="130" s="1" customFormat="1" ht="18" spans="1:12">
      <c r="A130" s="6">
        <v>267</v>
      </c>
      <c r="B130" s="3">
        <v>217.77</v>
      </c>
      <c r="C130" s="3"/>
      <c r="D130" s="3"/>
      <c r="E130" s="3"/>
      <c r="F130" s="4">
        <f>AVERAGE(B130:C130)</f>
        <v>217.77</v>
      </c>
      <c r="G130" s="4"/>
      <c r="H130" s="5">
        <v>36177</v>
      </c>
      <c r="I130" s="5"/>
      <c r="J130" s="12" t="str">
        <f>TEXT((H130-DATEVALUE("1/1/"&amp;TEXT(H130,"yy"))+1),"000")</f>
        <v>017</v>
      </c>
      <c r="L130" t="str">
        <f>J130</f>
        <v>017</v>
      </c>
    </row>
    <row r="131" s="1" customFormat="1" ht="18" spans="1:12">
      <c r="A131" s="6">
        <v>268</v>
      </c>
      <c r="B131" s="3"/>
      <c r="C131" s="3"/>
      <c r="D131" s="3"/>
      <c r="E131" s="3"/>
      <c r="F131" s="4"/>
      <c r="G131" s="4"/>
      <c r="H131" s="5"/>
      <c r="I131" s="5"/>
      <c r="L131">
        <f>J131</f>
        <v>0</v>
      </c>
    </row>
    <row r="132" s="1" customFormat="1" ht="18" spans="1:12">
      <c r="A132" s="6">
        <v>269</v>
      </c>
      <c r="B132" s="3">
        <v>190.2</v>
      </c>
      <c r="C132" s="3"/>
      <c r="D132" s="3">
        <v>192.57</v>
      </c>
      <c r="E132" s="3"/>
      <c r="F132" s="4">
        <f t="shared" ref="F132:F203" si="25">AVERAGE(B132:C132)</f>
        <v>190.2</v>
      </c>
      <c r="G132" s="4">
        <f t="shared" ref="G132:G205" si="26">AVERAGE(D132:E132)</f>
        <v>192.57</v>
      </c>
      <c r="H132" s="5">
        <v>36205</v>
      </c>
      <c r="I132" s="5">
        <v>36212</v>
      </c>
      <c r="J132" s="12" t="str">
        <f t="shared" ref="J132:J155" si="27">TEXT((H132-DATEVALUE("1/1/"&amp;TEXT(H132,"yy"))+1),"000")</f>
        <v>045</v>
      </c>
      <c r="K132" s="12" t="str">
        <f t="shared" ref="K132:K142" si="28">TEXT((I132-DATEVALUE("1/1/"&amp;TEXT(I132,"yy"))+1),"000")</f>
        <v>052</v>
      </c>
      <c r="L132" t="str">
        <f>J132</f>
        <v>045</v>
      </c>
    </row>
    <row r="133" s="1" customFormat="1" ht="18" spans="1:12">
      <c r="A133" s="6">
        <v>270</v>
      </c>
      <c r="B133" s="3">
        <v>194.11</v>
      </c>
      <c r="C133" s="3"/>
      <c r="D133" s="3">
        <v>185.52</v>
      </c>
      <c r="E133" s="3"/>
      <c r="F133" s="4">
        <f>AVERAGE(B133:C133)</f>
        <v>194.11</v>
      </c>
      <c r="G133" s="4">
        <f>AVERAGE(D133:E133)</f>
        <v>185.52</v>
      </c>
      <c r="H133" s="5">
        <v>36219</v>
      </c>
      <c r="I133" s="5">
        <v>36226</v>
      </c>
      <c r="J133" s="12" t="str">
        <f>TEXT((H133-DATEVALUE("1/1/"&amp;TEXT(H133,"yy"))+1),"000")</f>
        <v>059</v>
      </c>
      <c r="K133" s="12" t="str">
        <f>TEXT((I133-DATEVALUE("1/1/"&amp;TEXT(I133,"yy"))+1),"000")</f>
        <v>066</v>
      </c>
      <c r="L133" t="str">
        <f>J133</f>
        <v>059</v>
      </c>
    </row>
    <row r="134" s="1" customFormat="1" ht="18" spans="1:12">
      <c r="A134" s="6">
        <v>271</v>
      </c>
      <c r="B134" s="3">
        <v>182.68</v>
      </c>
      <c r="C134" s="3"/>
      <c r="D134" s="3">
        <v>206.09</v>
      </c>
      <c r="E134" s="3"/>
      <c r="F134" s="4">
        <f>AVERAGE(B134:C134)</f>
        <v>182.68</v>
      </c>
      <c r="G134" s="4">
        <f>AVERAGE(D134:E134)</f>
        <v>206.09</v>
      </c>
      <c r="H134" s="5">
        <v>36233</v>
      </c>
      <c r="I134" s="5">
        <v>36240</v>
      </c>
      <c r="J134" s="12" t="str">
        <f>TEXT((H134-DATEVALUE("1/1/"&amp;TEXT(H134,"yy"))+1),"000")</f>
        <v>073</v>
      </c>
      <c r="K134" s="12" t="str">
        <f>TEXT((I134-DATEVALUE("1/1/"&amp;TEXT(I134,"yy"))+1),"000")</f>
        <v>080</v>
      </c>
      <c r="L134" t="str">
        <f>J134</f>
        <v>073</v>
      </c>
    </row>
    <row r="135" s="1" customFormat="1" ht="18" spans="1:12">
      <c r="A135" s="6">
        <v>272</v>
      </c>
      <c r="B135" s="3">
        <v>199.72</v>
      </c>
      <c r="C135" s="3"/>
      <c r="D135" s="3">
        <v>188.54</v>
      </c>
      <c r="E135" s="3"/>
      <c r="F135" s="4">
        <f>AVERAGE(B135:C135)</f>
        <v>199.72</v>
      </c>
      <c r="G135" s="4">
        <f>AVERAGE(D135:E135)</f>
        <v>188.54</v>
      </c>
      <c r="H135" s="5">
        <v>36247</v>
      </c>
      <c r="I135" s="5">
        <v>36254</v>
      </c>
      <c r="J135" s="12" t="str">
        <f>TEXT((H135-DATEVALUE("1/1/"&amp;TEXT(H135,"yy"))+1),"000")</f>
        <v>087</v>
      </c>
      <c r="K135" s="12" t="str">
        <f>TEXT((I135-DATEVALUE("1/1/"&amp;TEXT(I135,"yy"))+1),"000")</f>
        <v>094</v>
      </c>
      <c r="L135" t="str">
        <f>J135</f>
        <v>087</v>
      </c>
    </row>
    <row r="136" s="1" customFormat="1" ht="18" spans="1:12">
      <c r="A136" s="6">
        <v>273</v>
      </c>
      <c r="B136" s="3">
        <v>194.38</v>
      </c>
      <c r="C136" s="3"/>
      <c r="D136" s="3">
        <v>206.22</v>
      </c>
      <c r="E136" s="3"/>
      <c r="F136" s="4">
        <f>AVERAGE(B136:C136)</f>
        <v>194.38</v>
      </c>
      <c r="G136" s="4">
        <f>AVERAGE(D136:E136)</f>
        <v>206.22</v>
      </c>
      <c r="H136" s="5">
        <v>36261</v>
      </c>
      <c r="I136" s="5">
        <v>36268</v>
      </c>
      <c r="J136" s="12" t="str">
        <f>TEXT((H136-DATEVALUE("1/1/"&amp;TEXT(H136,"yy"))+1),"000")</f>
        <v>101</v>
      </c>
      <c r="K136" s="12" t="str">
        <f>TEXT((I136-DATEVALUE("1/1/"&amp;TEXT(I136,"yy"))+1),"000")</f>
        <v>108</v>
      </c>
      <c r="L136" t="str">
        <f>J136</f>
        <v>101</v>
      </c>
    </row>
    <row r="137" s="1" customFormat="1" ht="18" spans="1:12">
      <c r="A137" s="6">
        <v>274</v>
      </c>
      <c r="B137" s="3">
        <v>197.52</v>
      </c>
      <c r="C137" s="3"/>
      <c r="D137" s="3">
        <v>198.25</v>
      </c>
      <c r="E137" s="3"/>
      <c r="F137" s="4">
        <f>AVERAGE(B137:C137)</f>
        <v>197.52</v>
      </c>
      <c r="G137" s="4">
        <f>AVERAGE(D137:E137)</f>
        <v>198.25</v>
      </c>
      <c r="H137" s="5">
        <v>36275</v>
      </c>
      <c r="I137" s="5">
        <v>36282</v>
      </c>
      <c r="J137" s="12" t="str">
        <f>TEXT((H137-DATEVALUE("1/1/"&amp;TEXT(H137,"yy"))+1),"000")</f>
        <v>115</v>
      </c>
      <c r="K137" s="12" t="str">
        <f>TEXT((I137-DATEVALUE("1/1/"&amp;TEXT(I137,"yy"))+1),"000")</f>
        <v>122</v>
      </c>
      <c r="L137" t="str">
        <f>J137</f>
        <v>115</v>
      </c>
    </row>
    <row r="138" s="1" customFormat="1" ht="18" spans="1:12">
      <c r="A138" s="6">
        <v>275</v>
      </c>
      <c r="B138" s="3">
        <v>203.15</v>
      </c>
      <c r="C138" s="3"/>
      <c r="D138" s="3">
        <v>179.77</v>
      </c>
      <c r="E138" s="3"/>
      <c r="F138" s="4">
        <f>AVERAGE(B138:C138)</f>
        <v>203.15</v>
      </c>
      <c r="G138" s="4">
        <f>AVERAGE(D138:E138)</f>
        <v>179.77</v>
      </c>
      <c r="H138" s="5">
        <v>36289</v>
      </c>
      <c r="I138" s="5">
        <v>36296</v>
      </c>
      <c r="J138" s="12" t="str">
        <f>TEXT((H138-DATEVALUE("1/1/"&amp;TEXT(H138,"yy"))+1),"000")</f>
        <v>129</v>
      </c>
      <c r="K138" s="12" t="str">
        <f>TEXT((I138-DATEVALUE("1/1/"&amp;TEXT(I138,"yy"))+1),"000")</f>
        <v>136</v>
      </c>
      <c r="L138" t="str">
        <f>J138</f>
        <v>129</v>
      </c>
    </row>
    <row r="139" s="1" customFormat="1" ht="18" spans="1:12">
      <c r="A139" s="6">
        <v>276</v>
      </c>
      <c r="B139" s="3">
        <v>210.37</v>
      </c>
      <c r="C139" s="3"/>
      <c r="D139" s="3">
        <v>195.55</v>
      </c>
      <c r="E139" s="3"/>
      <c r="F139" s="4">
        <f>AVERAGE(B139:C139)</f>
        <v>210.37</v>
      </c>
      <c r="G139" s="4">
        <f>AVERAGE(D139:E139)</f>
        <v>195.55</v>
      </c>
      <c r="H139" s="5">
        <v>36303</v>
      </c>
      <c r="I139" s="5">
        <v>36310</v>
      </c>
      <c r="J139" s="12" t="str">
        <f>TEXT((H139-DATEVALUE("1/1/"&amp;TEXT(H139,"yy"))+1),"000")</f>
        <v>143</v>
      </c>
      <c r="K139" s="12" t="str">
        <f>TEXT((I139-DATEVALUE("1/1/"&amp;TEXT(I139,"yy"))+1),"000")</f>
        <v>150</v>
      </c>
      <c r="L139" t="str">
        <f>J139</f>
        <v>143</v>
      </c>
    </row>
    <row r="140" s="1" customFormat="1" ht="18" spans="1:12">
      <c r="A140" s="6">
        <v>277</v>
      </c>
      <c r="B140" s="3">
        <v>199.77</v>
      </c>
      <c r="C140" s="3"/>
      <c r="D140" s="3">
        <v>198.37</v>
      </c>
      <c r="E140" s="3"/>
      <c r="F140" s="4">
        <f>AVERAGE(B140:C140)</f>
        <v>199.77</v>
      </c>
      <c r="G140" s="4">
        <f>AVERAGE(D140:E140)</f>
        <v>198.37</v>
      </c>
      <c r="H140" s="5">
        <v>36317</v>
      </c>
      <c r="I140" s="5">
        <v>36324</v>
      </c>
      <c r="J140" s="12" t="str">
        <f>TEXT((H140-DATEVALUE("1/1/"&amp;TEXT(H140,"yy"))+1),"000")</f>
        <v>157</v>
      </c>
      <c r="K140" s="12" t="str">
        <f>TEXT((I140-DATEVALUE("1/1/"&amp;TEXT(I140,"yy"))+1),"000")</f>
        <v>164</v>
      </c>
      <c r="L140" t="str">
        <f>J140</f>
        <v>157</v>
      </c>
    </row>
    <row r="141" s="1" customFormat="1" ht="18" spans="1:12">
      <c r="A141" s="6">
        <v>278</v>
      </c>
      <c r="B141" s="3">
        <v>194.28</v>
      </c>
      <c r="C141" s="3"/>
      <c r="D141" s="3">
        <v>197.97</v>
      </c>
      <c r="E141" s="3"/>
      <c r="F141" s="4">
        <f>AVERAGE(B141:C141)</f>
        <v>194.28</v>
      </c>
      <c r="G141" s="4">
        <f>AVERAGE(D141:E141)</f>
        <v>197.97</v>
      </c>
      <c r="H141" s="5">
        <v>36331</v>
      </c>
      <c r="I141" s="5">
        <v>36337</v>
      </c>
      <c r="J141" s="12" t="str">
        <f>TEXT((H141-DATEVALUE("1/1/"&amp;TEXT(H141,"yy"))+1),"000")</f>
        <v>171</v>
      </c>
      <c r="K141" s="12" t="str">
        <f>TEXT((I141-DATEVALUE("1/1/"&amp;TEXT(I141,"yy"))+1),"000")</f>
        <v>177</v>
      </c>
      <c r="L141" t="str">
        <f>J141</f>
        <v>171</v>
      </c>
    </row>
    <row r="142" s="1" customFormat="1" ht="18" spans="1:12">
      <c r="A142" s="6">
        <v>279</v>
      </c>
      <c r="B142" s="3">
        <v>208.13</v>
      </c>
      <c r="C142" s="3"/>
      <c r="D142" s="3">
        <v>204.13</v>
      </c>
      <c r="E142" s="3"/>
      <c r="F142" s="4">
        <f>AVERAGE(B142:C142)</f>
        <v>208.13</v>
      </c>
      <c r="G142" s="4">
        <f>AVERAGE(D142:E142)</f>
        <v>204.13</v>
      </c>
      <c r="H142" s="5">
        <v>36345</v>
      </c>
      <c r="I142" s="5">
        <v>36352</v>
      </c>
      <c r="J142" s="12" t="str">
        <f>TEXT((H142-DATEVALUE("1/1/"&amp;TEXT(H142,"yy"))+1),"000")</f>
        <v>185</v>
      </c>
      <c r="K142" s="12" t="str">
        <f>TEXT((I142-DATEVALUE("1/1/"&amp;TEXT(I142,"yy"))+1),"000")</f>
        <v>192</v>
      </c>
      <c r="L142" t="str">
        <f>J142</f>
        <v>185</v>
      </c>
    </row>
    <row r="143" s="1" customFormat="1" ht="18" spans="1:12">
      <c r="A143" s="6">
        <v>280</v>
      </c>
      <c r="B143" s="3">
        <v>178.42</v>
      </c>
      <c r="C143" s="3"/>
      <c r="D143" s="3"/>
      <c r="E143" s="3"/>
      <c r="F143" s="4">
        <f>AVERAGE(B143:C143)</f>
        <v>178.42</v>
      </c>
      <c r="G143" s="4"/>
      <c r="H143" s="5">
        <v>36359</v>
      </c>
      <c r="I143" s="5"/>
      <c r="J143" s="12" t="str">
        <f>TEXT((H143-DATEVALUE("1/1/"&amp;TEXT(H143,"yy"))+1),"000")</f>
        <v>199</v>
      </c>
      <c r="L143" t="str">
        <f>J143</f>
        <v>199</v>
      </c>
    </row>
    <row r="144" s="1" customFormat="1" ht="18" spans="1:12">
      <c r="A144" s="6">
        <v>281</v>
      </c>
      <c r="B144" s="3">
        <v>206.5</v>
      </c>
      <c r="C144" s="3"/>
      <c r="D144" s="3">
        <v>238.69</v>
      </c>
      <c r="E144" s="3"/>
      <c r="F144" s="4">
        <f>AVERAGE(B144:C144)</f>
        <v>206.5</v>
      </c>
      <c r="G144" s="4">
        <f t="shared" ref="G144:G146" si="29">AVERAGE(D144:E144)</f>
        <v>238.69</v>
      </c>
      <c r="H144" s="5">
        <v>36373</v>
      </c>
      <c r="I144" s="5">
        <v>36380</v>
      </c>
      <c r="J144" s="12" t="str">
        <f>TEXT((H144-DATEVALUE("1/1/"&amp;TEXT(H144,"yy"))+1),"000")</f>
        <v>213</v>
      </c>
      <c r="K144" s="12" t="str">
        <f t="shared" ref="K144:K146" si="30">TEXT((I144-DATEVALUE("1/1/"&amp;TEXT(I144,"yy"))+1),"000")</f>
        <v>220</v>
      </c>
      <c r="L144" t="str">
        <f>J144</f>
        <v>213</v>
      </c>
    </row>
    <row r="145" s="1" customFormat="1" ht="18" spans="1:12">
      <c r="A145" s="6">
        <v>282</v>
      </c>
      <c r="B145" s="3">
        <v>217.26</v>
      </c>
      <c r="C145" s="3"/>
      <c r="D145" s="3">
        <v>180.78</v>
      </c>
      <c r="E145" s="3"/>
      <c r="F145" s="4">
        <f>AVERAGE(B145:C145)</f>
        <v>217.26</v>
      </c>
      <c r="G145" s="4">
        <f>AVERAGE(D145:E145)</f>
        <v>180.78</v>
      </c>
      <c r="H145" s="5">
        <v>36387</v>
      </c>
      <c r="I145" s="5">
        <v>36394</v>
      </c>
      <c r="J145" s="12" t="str">
        <f>TEXT((H145-DATEVALUE("1/1/"&amp;TEXT(H145,"yy"))+1),"000")</f>
        <v>227</v>
      </c>
      <c r="K145" s="12" t="str">
        <f>TEXT((I145-DATEVALUE("1/1/"&amp;TEXT(I145,"yy"))+1),"000")</f>
        <v>234</v>
      </c>
      <c r="L145" t="str">
        <f>J145</f>
        <v>227</v>
      </c>
    </row>
    <row r="146" s="1" customFormat="1" ht="18" spans="1:12">
      <c r="A146" s="6">
        <v>283</v>
      </c>
      <c r="B146" s="3">
        <v>219.81</v>
      </c>
      <c r="C146" s="3"/>
      <c r="D146" s="3">
        <v>223.16</v>
      </c>
      <c r="E146" s="3"/>
      <c r="F146" s="4">
        <f>AVERAGE(B146:C146)</f>
        <v>219.81</v>
      </c>
      <c r="G146" s="4">
        <f>AVERAGE(D146:E146)</f>
        <v>223.16</v>
      </c>
      <c r="H146" s="5">
        <v>36401</v>
      </c>
      <c r="I146" s="5">
        <v>36408</v>
      </c>
      <c r="J146" s="12" t="str">
        <f>TEXT((H146-DATEVALUE("1/1/"&amp;TEXT(H146,"yy"))+1),"000")</f>
        <v>241</v>
      </c>
      <c r="K146" s="12" t="str">
        <f>TEXT((I146-DATEVALUE("1/1/"&amp;TEXT(I146,"yy"))+1),"000")</f>
        <v>248</v>
      </c>
      <c r="L146" t="str">
        <f>J146</f>
        <v>241</v>
      </c>
    </row>
    <row r="147" s="1" customFormat="1" ht="18" spans="1:12">
      <c r="A147" s="6">
        <v>284</v>
      </c>
      <c r="B147" s="3">
        <v>229.52</v>
      </c>
      <c r="C147" s="3"/>
      <c r="D147" s="3"/>
      <c r="E147" s="3"/>
      <c r="F147" s="4">
        <f>AVERAGE(B147:C147)</f>
        <v>229.52</v>
      </c>
      <c r="G147" s="4"/>
      <c r="H147" s="5">
        <v>36415</v>
      </c>
      <c r="I147" s="5"/>
      <c r="J147" s="12" t="str">
        <f>TEXT((H147-DATEVALUE("1/1/"&amp;TEXT(H147,"yy"))+1),"000")</f>
        <v>255</v>
      </c>
      <c r="L147" t="str">
        <f>J147</f>
        <v>255</v>
      </c>
    </row>
    <row r="148" s="1" customFormat="1" ht="18" spans="1:12">
      <c r="A148" s="6">
        <v>285</v>
      </c>
      <c r="B148" s="3">
        <v>229.88</v>
      </c>
      <c r="C148" s="3"/>
      <c r="D148" s="3">
        <v>205.21</v>
      </c>
      <c r="E148" s="3"/>
      <c r="F148" s="4">
        <f>AVERAGE(B148:C148)</f>
        <v>229.88</v>
      </c>
      <c r="G148" s="4">
        <f t="shared" ref="G148:G153" si="31">AVERAGE(D148:E148)</f>
        <v>205.21</v>
      </c>
      <c r="H148" s="5">
        <v>36426</v>
      </c>
      <c r="I148" s="5">
        <v>36436</v>
      </c>
      <c r="J148" s="12" t="str">
        <f>TEXT((H148-DATEVALUE("1/1/"&amp;TEXT(H148,"yy"))+1),"000")</f>
        <v>266</v>
      </c>
      <c r="K148" s="12" t="str">
        <f t="shared" ref="K148:K153" si="32">TEXT((I148-DATEVALUE("1/1/"&amp;TEXT(I148,"yy"))+1),"000")</f>
        <v>276</v>
      </c>
      <c r="L148" t="str">
        <f>J148</f>
        <v>266</v>
      </c>
    </row>
    <row r="149" s="1" customFormat="1" ht="18" spans="1:12">
      <c r="A149" s="6">
        <v>286</v>
      </c>
      <c r="B149" s="3">
        <v>200.61</v>
      </c>
      <c r="C149" s="3"/>
      <c r="D149" s="3">
        <v>206.65</v>
      </c>
      <c r="E149" s="3"/>
      <c r="F149" s="4">
        <f>AVERAGE(B149:C149)</f>
        <v>200.61</v>
      </c>
      <c r="G149" s="4">
        <f>AVERAGE(D149:E149)</f>
        <v>206.65</v>
      </c>
      <c r="H149" s="5">
        <v>36443</v>
      </c>
      <c r="I149" s="5">
        <v>36450</v>
      </c>
      <c r="J149" s="12" t="str">
        <f>TEXT((H149-DATEVALUE("1/1/"&amp;TEXT(H149,"yy"))+1),"000")</f>
        <v>283</v>
      </c>
      <c r="K149" s="12" t="str">
        <f>TEXT((I149-DATEVALUE("1/1/"&amp;TEXT(I149,"yy"))+1),"000")</f>
        <v>290</v>
      </c>
      <c r="L149" t="str">
        <f>J149</f>
        <v>283</v>
      </c>
    </row>
    <row r="150" s="1" customFormat="1" ht="18" spans="1:12">
      <c r="A150" s="6">
        <v>287</v>
      </c>
      <c r="B150" s="3">
        <v>225.7</v>
      </c>
      <c r="C150" s="3"/>
      <c r="D150" s="3">
        <v>220.67</v>
      </c>
      <c r="E150" s="3"/>
      <c r="F150" s="4">
        <f>AVERAGE(B150:C150)</f>
        <v>225.7</v>
      </c>
      <c r="G150" s="4">
        <f>AVERAGE(D150:E150)</f>
        <v>220.67</v>
      </c>
      <c r="H150" s="5">
        <v>36457</v>
      </c>
      <c r="I150" s="5">
        <v>36464</v>
      </c>
      <c r="J150" s="12" t="str">
        <f>TEXT((H150-DATEVALUE("1/1/"&amp;TEXT(H150,"yy"))+1),"000")</f>
        <v>297</v>
      </c>
      <c r="K150" s="12" t="str">
        <f>TEXT((I150-DATEVALUE("1/1/"&amp;TEXT(I150,"yy"))+1),"000")</f>
        <v>304</v>
      </c>
      <c r="L150" t="str">
        <f>J150</f>
        <v>297</v>
      </c>
    </row>
    <row r="151" s="1" customFormat="1" ht="18" spans="1:12">
      <c r="A151" s="6">
        <v>288</v>
      </c>
      <c r="B151" s="3">
        <v>207.45</v>
      </c>
      <c r="C151" s="3"/>
      <c r="D151" s="3">
        <v>200.55</v>
      </c>
      <c r="E151" s="3"/>
      <c r="F151" s="4">
        <f>AVERAGE(B151:C151)</f>
        <v>207.45</v>
      </c>
      <c r="G151" s="4">
        <f>AVERAGE(D151:E151)</f>
        <v>200.55</v>
      </c>
      <c r="H151" s="5">
        <v>36471</v>
      </c>
      <c r="I151" s="5">
        <v>36478</v>
      </c>
      <c r="J151" s="12" t="str">
        <f>TEXT((H151-DATEVALUE("1/1/"&amp;TEXT(H151,"yy"))+1),"000")</f>
        <v>311</v>
      </c>
      <c r="K151" s="12" t="str">
        <f>TEXT((I151-DATEVALUE("1/1/"&amp;TEXT(I151,"yy"))+1),"000")</f>
        <v>318</v>
      </c>
      <c r="L151" t="str">
        <f>J151</f>
        <v>311</v>
      </c>
    </row>
    <row r="152" s="1" customFormat="1" ht="18" spans="1:12">
      <c r="A152" s="6">
        <v>289</v>
      </c>
      <c r="B152" s="3">
        <v>208.9</v>
      </c>
      <c r="C152" s="3"/>
      <c r="D152" s="3">
        <v>213.61</v>
      </c>
      <c r="E152" s="3"/>
      <c r="F152" s="4">
        <f>AVERAGE(B152:C152)</f>
        <v>208.9</v>
      </c>
      <c r="G152" s="4">
        <f>AVERAGE(D152:E152)</f>
        <v>213.61</v>
      </c>
      <c r="H152" s="5">
        <v>36485</v>
      </c>
      <c r="I152" s="5">
        <v>36492</v>
      </c>
      <c r="J152" s="12" t="str">
        <f>TEXT((H152-DATEVALUE("1/1/"&amp;TEXT(H152,"yy"))+1),"000")</f>
        <v>325</v>
      </c>
      <c r="K152" s="12" t="str">
        <f>TEXT((I152-DATEVALUE("1/1/"&amp;TEXT(I152,"yy"))+1),"000")</f>
        <v>332</v>
      </c>
      <c r="L152" t="str">
        <f t="shared" ref="L152:L215" si="33">J152</f>
        <v>325</v>
      </c>
    </row>
    <row r="153" s="1" customFormat="1" ht="18" spans="1:12">
      <c r="A153" s="6">
        <v>290</v>
      </c>
      <c r="B153" s="3">
        <v>224.04</v>
      </c>
      <c r="C153" s="3"/>
      <c r="D153" s="3">
        <v>216.91</v>
      </c>
      <c r="E153" s="3"/>
      <c r="F153" s="4">
        <f>AVERAGE(B153:C153)</f>
        <v>224.04</v>
      </c>
      <c r="G153" s="4">
        <f>AVERAGE(D153:E153)</f>
        <v>216.91</v>
      </c>
      <c r="H153" s="5">
        <v>36499</v>
      </c>
      <c r="I153" s="5">
        <v>36506</v>
      </c>
      <c r="J153" s="12" t="str">
        <f>TEXT((H153-DATEVALUE("1/1/"&amp;TEXT(H153,"yy"))+1),"000")</f>
        <v>339</v>
      </c>
      <c r="K153" s="12" t="str">
        <f>TEXT((I153-DATEVALUE("1/1/"&amp;TEXT(I153,"yy"))+1),"000")</f>
        <v>346</v>
      </c>
      <c r="L153" t="str">
        <f>J153</f>
        <v>339</v>
      </c>
    </row>
    <row r="154" s="1" customFormat="1" ht="18" spans="1:12">
      <c r="A154" s="6">
        <v>291</v>
      </c>
      <c r="B154" s="3">
        <v>189.51</v>
      </c>
      <c r="C154" s="3"/>
      <c r="D154" s="3"/>
      <c r="E154" s="3"/>
      <c r="F154" s="4">
        <f>AVERAGE(B154:C154)</f>
        <v>189.51</v>
      </c>
      <c r="G154" s="4"/>
      <c r="H154" s="5">
        <v>36513</v>
      </c>
      <c r="I154" s="5"/>
      <c r="J154" s="12" t="str">
        <f>TEXT((H154-DATEVALUE("1/1/"&amp;TEXT(H154,"yy"))+1),"000")</f>
        <v>353</v>
      </c>
      <c r="L154" t="str">
        <f>J154</f>
        <v>353</v>
      </c>
    </row>
    <row r="155" s="1" customFormat="1" ht="18" spans="1:12">
      <c r="A155" s="6">
        <v>292</v>
      </c>
      <c r="B155" s="3">
        <v>214.88</v>
      </c>
      <c r="C155" s="3"/>
      <c r="D155" s="3">
        <v>209.41</v>
      </c>
      <c r="E155" s="3"/>
      <c r="F155" s="4">
        <f>AVERAGE(B155:C155)</f>
        <v>214.88</v>
      </c>
      <c r="G155" s="4">
        <f t="shared" ref="G155:G168" si="34">AVERAGE(D155:E155)</f>
        <v>209.41</v>
      </c>
      <c r="H155" s="5">
        <v>36527</v>
      </c>
      <c r="I155" s="5">
        <v>36534</v>
      </c>
      <c r="J155" s="12" t="str">
        <f>TEXT((H155-DATEVALUE("1/1/"&amp;TEXT(H155,"yy"))+1),"000")</f>
        <v>002</v>
      </c>
      <c r="K155" s="12" t="str">
        <f t="shared" ref="K155:K171" si="35">TEXT((I155-DATEVALUE("1/1/"&amp;TEXT(I155,"yy"))+1),"000")</f>
        <v>009</v>
      </c>
      <c r="L155" t="str">
        <f>J155</f>
        <v>002</v>
      </c>
    </row>
    <row r="156" s="1" customFormat="1" ht="18" spans="1:12">
      <c r="A156" s="6">
        <v>293</v>
      </c>
      <c r="B156" s="3"/>
      <c r="C156" s="3"/>
      <c r="D156" s="3">
        <v>193.48</v>
      </c>
      <c r="E156" s="3"/>
      <c r="F156" s="4"/>
      <c r="G156" s="4">
        <f>AVERAGE(D156:E156)</f>
        <v>193.48</v>
      </c>
      <c r="H156" s="5"/>
      <c r="I156" s="5">
        <v>36548</v>
      </c>
      <c r="K156" s="12" t="str">
        <f>TEXT((I156-DATEVALUE("1/1/"&amp;TEXT(I156,"yy"))+1),"000")</f>
        <v>023</v>
      </c>
      <c r="L156">
        <f>J156</f>
        <v>0</v>
      </c>
    </row>
    <row r="157" s="1" customFormat="1" ht="18" spans="1:12">
      <c r="A157" s="6">
        <v>294</v>
      </c>
      <c r="B157" s="3">
        <v>213.77</v>
      </c>
      <c r="C157" s="3"/>
      <c r="D157" s="3">
        <v>199.82</v>
      </c>
      <c r="E157" s="3"/>
      <c r="F157" s="4">
        <f t="shared" ref="F157:F171" si="36">AVERAGE(B157:C157)</f>
        <v>213.77</v>
      </c>
      <c r="G157" s="4">
        <f>AVERAGE(D157:E157)</f>
        <v>199.82</v>
      </c>
      <c r="H157" s="5">
        <v>36555</v>
      </c>
      <c r="I157" s="5">
        <v>36562</v>
      </c>
      <c r="J157" s="12" t="str">
        <f t="shared" ref="J157:J171" si="37">TEXT((H157-DATEVALUE("1/1/"&amp;TEXT(H157,"yy"))+1),"000")</f>
        <v>030</v>
      </c>
      <c r="K157" s="12" t="str">
        <f>TEXT((I157-DATEVALUE("1/1/"&amp;TEXT(I157,"yy"))+1),"000")</f>
        <v>037</v>
      </c>
      <c r="L157" t="str">
        <f>J157</f>
        <v>030</v>
      </c>
    </row>
    <row r="158" s="1" customFormat="1" ht="18" spans="1:12">
      <c r="A158" s="6">
        <v>295</v>
      </c>
      <c r="B158" s="3">
        <v>225.97</v>
      </c>
      <c r="C158" s="3"/>
      <c r="D158" s="3">
        <v>196.42</v>
      </c>
      <c r="E158" s="3"/>
      <c r="F158" s="4">
        <f>AVERAGE(B158:C158)</f>
        <v>225.97</v>
      </c>
      <c r="G158" s="4">
        <f>AVERAGE(D158:E158)</f>
        <v>196.42</v>
      </c>
      <c r="H158" s="5">
        <v>36569</v>
      </c>
      <c r="I158" s="5">
        <v>36576</v>
      </c>
      <c r="J158" s="12" t="str">
        <f>TEXT((H158-DATEVALUE("1/1/"&amp;TEXT(H158,"yy"))+1),"000")</f>
        <v>044</v>
      </c>
      <c r="K158" s="12" t="str">
        <f>TEXT((I158-DATEVALUE("1/1/"&amp;TEXT(I158,"yy"))+1),"000")</f>
        <v>051</v>
      </c>
      <c r="L158" t="str">
        <f>J158</f>
        <v>044</v>
      </c>
    </row>
    <row r="159" s="1" customFormat="1" ht="18" spans="1:12">
      <c r="A159" s="6">
        <v>296</v>
      </c>
      <c r="B159" s="3">
        <v>225.71</v>
      </c>
      <c r="C159" s="3"/>
      <c r="D159" s="3">
        <v>219.84</v>
      </c>
      <c r="E159" s="3"/>
      <c r="F159" s="4">
        <f>AVERAGE(B159:C159)</f>
        <v>225.71</v>
      </c>
      <c r="G159" s="4">
        <f>AVERAGE(D159:E159)</f>
        <v>219.84</v>
      </c>
      <c r="H159" s="5">
        <v>36583</v>
      </c>
      <c r="I159" s="5">
        <v>36590</v>
      </c>
      <c r="J159" s="12" t="str">
        <f>TEXT((H159-DATEVALUE("1/1/"&amp;TEXT(H159,"yy"))+1),"000")</f>
        <v>058</v>
      </c>
      <c r="K159" s="12" t="str">
        <f>TEXT((I159-DATEVALUE("1/1/"&amp;TEXT(I159,"yy"))+1),"000")</f>
        <v>065</v>
      </c>
      <c r="L159" t="str">
        <f>J159</f>
        <v>058</v>
      </c>
    </row>
    <row r="160" s="1" customFormat="1" ht="18" spans="1:12">
      <c r="A160" s="6">
        <v>297</v>
      </c>
      <c r="B160" s="3">
        <v>221.43</v>
      </c>
      <c r="C160" s="3"/>
      <c r="D160" s="3">
        <v>218.11</v>
      </c>
      <c r="E160" s="3"/>
      <c r="F160" s="4">
        <f>AVERAGE(B160:C160)</f>
        <v>221.43</v>
      </c>
      <c r="G160" s="4">
        <f>AVERAGE(D160:E160)</f>
        <v>218.11</v>
      </c>
      <c r="H160" s="5">
        <v>36597</v>
      </c>
      <c r="I160" s="5">
        <v>36604</v>
      </c>
      <c r="J160" s="12" t="str">
        <f>TEXT((H160-DATEVALUE("1/1/"&amp;TEXT(H160,"yy"))+1),"000")</f>
        <v>072</v>
      </c>
      <c r="K160" s="12" t="str">
        <f>TEXT((I160-DATEVALUE("1/1/"&amp;TEXT(I160,"yy"))+1),"000")</f>
        <v>079</v>
      </c>
      <c r="L160" t="str">
        <f>J160</f>
        <v>072</v>
      </c>
    </row>
    <row r="161" s="1" customFormat="1" ht="18" spans="1:12">
      <c r="A161" s="6">
        <v>298</v>
      </c>
      <c r="B161" s="3">
        <v>215.39</v>
      </c>
      <c r="C161" s="3"/>
      <c r="D161" s="3">
        <v>212.08</v>
      </c>
      <c r="E161" s="3"/>
      <c r="F161" s="4">
        <f>AVERAGE(B161:C161)</f>
        <v>215.39</v>
      </c>
      <c r="G161" s="4">
        <f>AVERAGE(D161:E161)</f>
        <v>212.08</v>
      </c>
      <c r="H161" s="5">
        <v>36611</v>
      </c>
      <c r="I161" s="5">
        <v>36618</v>
      </c>
      <c r="J161" s="12" t="str">
        <f>TEXT((H161-DATEVALUE("1/1/"&amp;TEXT(H161,"yy"))+1),"000")</f>
        <v>086</v>
      </c>
      <c r="K161" s="12" t="str">
        <f>TEXT((I161-DATEVALUE("1/1/"&amp;TEXT(I161,"yy"))+1),"000")</f>
        <v>093</v>
      </c>
      <c r="L161" t="str">
        <f>J161</f>
        <v>086</v>
      </c>
    </row>
    <row r="162" s="1" customFormat="1" ht="18" spans="1:12">
      <c r="A162" s="6">
        <v>299</v>
      </c>
      <c r="B162" s="3">
        <v>211.22</v>
      </c>
      <c r="C162" s="3"/>
      <c r="D162" s="3">
        <v>223.97</v>
      </c>
      <c r="E162" s="3"/>
      <c r="F162" s="4">
        <f>AVERAGE(B162:C162)</f>
        <v>211.22</v>
      </c>
      <c r="G162" s="4">
        <f>AVERAGE(D162:E162)</f>
        <v>223.97</v>
      </c>
      <c r="H162" s="5">
        <v>36625</v>
      </c>
      <c r="I162" s="5">
        <v>36632</v>
      </c>
      <c r="J162" s="12" t="str">
        <f>TEXT((H162-DATEVALUE("1/1/"&amp;TEXT(H162,"yy"))+1),"000")</f>
        <v>100</v>
      </c>
      <c r="K162" s="12" t="str">
        <f>TEXT((I162-DATEVALUE("1/1/"&amp;TEXT(I162,"yy"))+1),"000")</f>
        <v>107</v>
      </c>
      <c r="L162" t="str">
        <f>J162</f>
        <v>100</v>
      </c>
    </row>
    <row r="163" s="1" customFormat="1" ht="18" spans="1:12">
      <c r="A163" s="6">
        <v>300</v>
      </c>
      <c r="B163" s="3">
        <v>233.35</v>
      </c>
      <c r="C163" s="3"/>
      <c r="D163" s="3">
        <v>212.4</v>
      </c>
      <c r="E163" s="3"/>
      <c r="F163" s="4">
        <f>AVERAGE(B163:C163)</f>
        <v>233.35</v>
      </c>
      <c r="G163" s="4">
        <f>AVERAGE(D163:E163)</f>
        <v>212.4</v>
      </c>
      <c r="H163" s="5">
        <v>36639</v>
      </c>
      <c r="I163" s="5">
        <v>36646</v>
      </c>
      <c r="J163" s="12" t="str">
        <f>TEXT((H163-DATEVALUE("1/1/"&amp;TEXT(H163,"yy"))+1),"000")</f>
        <v>114</v>
      </c>
      <c r="K163" s="12" t="str">
        <f>TEXT((I163-DATEVALUE("1/1/"&amp;TEXT(I163,"yy"))+1),"000")</f>
        <v>121</v>
      </c>
      <c r="L163" t="str">
        <f>J163</f>
        <v>114</v>
      </c>
    </row>
    <row r="164" s="1" customFormat="1" ht="18" spans="1:12">
      <c r="A164" s="6">
        <v>301</v>
      </c>
      <c r="B164" s="3">
        <v>185.87</v>
      </c>
      <c r="C164" s="3"/>
      <c r="D164" s="3">
        <v>208.12</v>
      </c>
      <c r="E164" s="3"/>
      <c r="F164" s="4">
        <f>AVERAGE(B164:C164)</f>
        <v>185.87</v>
      </c>
      <c r="G164" s="4">
        <f>AVERAGE(D164:E164)</f>
        <v>208.12</v>
      </c>
      <c r="H164" s="5">
        <v>36653</v>
      </c>
      <c r="I164" s="5">
        <v>36660</v>
      </c>
      <c r="J164" s="12" t="str">
        <f>TEXT((H164-DATEVALUE("1/1/"&amp;TEXT(H164,"yy"))+1),"000")</f>
        <v>128</v>
      </c>
      <c r="K164" s="12" t="str">
        <f>TEXT((I164-DATEVALUE("1/1/"&amp;TEXT(I164,"yy"))+1),"000")</f>
        <v>135</v>
      </c>
      <c r="L164" t="str">
        <f>J164</f>
        <v>128</v>
      </c>
    </row>
    <row r="165" s="1" customFormat="1" ht="18" spans="1:12">
      <c r="A165" s="6">
        <v>304</v>
      </c>
      <c r="B165" s="3">
        <v>203.59</v>
      </c>
      <c r="C165" s="3"/>
      <c r="D165" s="3">
        <v>225.32</v>
      </c>
      <c r="E165" s="3"/>
      <c r="F165" s="4">
        <f>AVERAGE(B165:C165)</f>
        <v>203.59</v>
      </c>
      <c r="G165" s="4">
        <f>AVERAGE(D165:E165)</f>
        <v>225.32</v>
      </c>
      <c r="H165" s="5">
        <v>36695</v>
      </c>
      <c r="I165" s="5">
        <v>36702</v>
      </c>
      <c r="J165" s="12" t="str">
        <f>TEXT((H165-DATEVALUE("1/1/"&amp;TEXT(H165,"yy"))+1),"000")</f>
        <v>170</v>
      </c>
      <c r="K165" s="12" t="str">
        <f>TEXT((I165-DATEVALUE("1/1/"&amp;TEXT(I165,"yy"))+1),"000")</f>
        <v>177</v>
      </c>
      <c r="L165" t="str">
        <f>J165</f>
        <v>170</v>
      </c>
    </row>
    <row r="166" s="1" customFormat="1" ht="18" spans="1:12">
      <c r="A166" s="6">
        <v>307</v>
      </c>
      <c r="B166" s="3">
        <v>224.14</v>
      </c>
      <c r="C166" s="3"/>
      <c r="D166" s="3">
        <v>197.25</v>
      </c>
      <c r="E166" s="3"/>
      <c r="F166" s="4">
        <f>AVERAGE(B166:C166)</f>
        <v>224.14</v>
      </c>
      <c r="G166" s="4">
        <f>AVERAGE(D166:E166)</f>
        <v>197.25</v>
      </c>
      <c r="H166" s="5">
        <v>36737</v>
      </c>
      <c r="I166" s="5">
        <v>36744</v>
      </c>
      <c r="J166" s="12" t="str">
        <f>TEXT((H166-DATEVALUE("1/1/"&amp;TEXT(H166,"yy"))+1),"000")</f>
        <v>212</v>
      </c>
      <c r="K166" s="12" t="str">
        <f>TEXT((I166-DATEVALUE("1/1/"&amp;TEXT(I166,"yy"))+1),"000")</f>
        <v>219</v>
      </c>
      <c r="L166" t="str">
        <f>J166</f>
        <v>212</v>
      </c>
    </row>
    <row r="167" s="1" customFormat="1" ht="18" spans="1:12">
      <c r="A167" s="6">
        <v>310</v>
      </c>
      <c r="B167" s="3">
        <v>213.11</v>
      </c>
      <c r="C167" s="3"/>
      <c r="D167" s="3">
        <v>187.37</v>
      </c>
      <c r="E167" s="3"/>
      <c r="F167" s="4">
        <f>AVERAGE(B167:C167)</f>
        <v>213.11</v>
      </c>
      <c r="G167" s="4">
        <f>AVERAGE(D167:E167)</f>
        <v>187.37</v>
      </c>
      <c r="H167" s="5">
        <v>36779</v>
      </c>
      <c r="I167" s="5">
        <v>36786</v>
      </c>
      <c r="J167" s="12" t="str">
        <f>TEXT((H167-DATEVALUE("1/1/"&amp;TEXT(H167,"yy"))+1),"000")</f>
        <v>254</v>
      </c>
      <c r="K167" s="12" t="str">
        <f>TEXT((I167-DATEVALUE("1/1/"&amp;TEXT(I167,"yy"))+1),"000")</f>
        <v>261</v>
      </c>
      <c r="L167" t="str">
        <f>J167</f>
        <v>254</v>
      </c>
    </row>
    <row r="168" s="1" customFormat="1" ht="18" spans="1:12">
      <c r="A168" s="6">
        <v>313</v>
      </c>
      <c r="B168" s="3">
        <v>198.27</v>
      </c>
      <c r="C168" s="3"/>
      <c r="D168" s="3">
        <v>195.17</v>
      </c>
      <c r="E168" s="3"/>
      <c r="F168" s="4">
        <f>AVERAGE(B168:C168)</f>
        <v>198.27</v>
      </c>
      <c r="G168" s="4">
        <f>AVERAGE(D168:E168)</f>
        <v>195.17</v>
      </c>
      <c r="H168" s="5">
        <v>36821</v>
      </c>
      <c r="I168" s="5">
        <v>36828</v>
      </c>
      <c r="J168" s="12" t="str">
        <f>TEXT((H168-DATEVALUE("1/1/"&amp;TEXT(H168,"yy"))+1),"000")</f>
        <v>296</v>
      </c>
      <c r="K168" s="12" t="str">
        <f>TEXT((I168-DATEVALUE("1/1/"&amp;TEXT(I168,"yy"))+1),"000")</f>
        <v>303</v>
      </c>
      <c r="L168" t="str">
        <f>J168</f>
        <v>296</v>
      </c>
    </row>
    <row r="169" s="1" customFormat="1" ht="18" spans="1:12">
      <c r="A169" s="6">
        <v>316</v>
      </c>
      <c r="B169" s="3">
        <v>186.58</v>
      </c>
      <c r="C169" s="3"/>
      <c r="D169" s="3"/>
      <c r="E169" s="3"/>
      <c r="F169" s="4">
        <f>AVERAGE(B169:C169)</f>
        <v>186.58</v>
      </c>
      <c r="G169" s="4"/>
      <c r="H169" s="5">
        <v>36863</v>
      </c>
      <c r="I169" s="5">
        <v>36870</v>
      </c>
      <c r="J169" s="12" t="str">
        <f>TEXT((H169-DATEVALUE("1/1/"&amp;TEXT(H169,"yy"))+1),"000")</f>
        <v>338</v>
      </c>
      <c r="K169" s="12" t="str">
        <f>TEXT((I169-DATEVALUE("1/1/"&amp;TEXT(I169,"yy"))+1),"000")</f>
        <v>345</v>
      </c>
      <c r="L169" t="str">
        <f>J169</f>
        <v>338</v>
      </c>
    </row>
    <row r="170" s="1" customFormat="1" ht="18" spans="1:12">
      <c r="A170" s="6">
        <v>319</v>
      </c>
      <c r="B170" s="3">
        <v>186.59</v>
      </c>
      <c r="C170" s="3"/>
      <c r="D170" s="3">
        <v>206.42</v>
      </c>
      <c r="E170" s="3"/>
      <c r="F170" s="4">
        <f>AVERAGE(B170:C170)</f>
        <v>186.59</v>
      </c>
      <c r="G170" s="4">
        <f t="shared" ref="G170:G173" si="38">AVERAGE(D170:E170)</f>
        <v>206.42</v>
      </c>
      <c r="H170" s="5">
        <v>36905</v>
      </c>
      <c r="I170" s="5">
        <v>36912</v>
      </c>
      <c r="J170" s="12" t="str">
        <f>TEXT((H170-DATEVALUE("1/1/"&amp;TEXT(H170,"yy"))+1),"000")</f>
        <v>014</v>
      </c>
      <c r="K170" s="12" t="str">
        <f>TEXT((I170-DATEVALUE("1/1/"&amp;TEXT(I170,"yy"))+1),"000")</f>
        <v>021</v>
      </c>
      <c r="L170" t="str">
        <f>J170</f>
        <v>014</v>
      </c>
    </row>
    <row r="171" s="1" customFormat="1" ht="18" spans="1:12">
      <c r="A171" s="6">
        <v>322</v>
      </c>
      <c r="B171" s="3">
        <v>203.68</v>
      </c>
      <c r="C171" s="3"/>
      <c r="D171" s="3">
        <v>192.01</v>
      </c>
      <c r="E171" s="3"/>
      <c r="F171" s="4">
        <f>AVERAGE(B171:C171)</f>
        <v>203.68</v>
      </c>
      <c r="G171" s="4">
        <f>AVERAGE(D171:E171)</f>
        <v>192.01</v>
      </c>
      <c r="H171" s="5">
        <v>36947</v>
      </c>
      <c r="I171" s="5">
        <v>36954</v>
      </c>
      <c r="J171" s="12" t="str">
        <f>TEXT((H171-DATEVALUE("1/1/"&amp;TEXT(H171,"yy"))+1),"000")</f>
        <v>056</v>
      </c>
      <c r="K171" s="12" t="str">
        <f>TEXT((I171-DATEVALUE("1/1/"&amp;TEXT(I171,"yy"))+1),"000")</f>
        <v>063</v>
      </c>
      <c r="L171" t="str">
        <f>J171</f>
        <v>056</v>
      </c>
    </row>
    <row r="172" s="1" customFormat="1" ht="18" spans="1:12">
      <c r="A172" s="6"/>
      <c r="B172" s="3"/>
      <c r="C172" s="3"/>
      <c r="D172" s="3"/>
      <c r="E172" s="3"/>
      <c r="F172" s="4"/>
      <c r="G172" s="4"/>
      <c r="H172" s="5"/>
      <c r="I172" s="5"/>
      <c r="L172">
        <f>J172</f>
        <v>0</v>
      </c>
    </row>
    <row r="173" s="1" customFormat="1" ht="18" spans="1:12">
      <c r="A173" s="6">
        <v>325</v>
      </c>
      <c r="B173" s="3">
        <v>197.77</v>
      </c>
      <c r="C173" s="3">
        <v>188.78</v>
      </c>
      <c r="D173" s="3">
        <v>196.35</v>
      </c>
      <c r="E173" s="3">
        <v>189.68</v>
      </c>
      <c r="F173" s="4">
        <f t="shared" ref="F173:F177" si="39">AVERAGE(B173:C173)</f>
        <v>193.275</v>
      </c>
      <c r="G173" s="4">
        <f>AVERAGE(D173:E173)</f>
        <v>193.015</v>
      </c>
      <c r="H173" s="5">
        <v>36989</v>
      </c>
      <c r="I173" s="5">
        <v>36996</v>
      </c>
      <c r="J173" s="12" t="str">
        <f t="shared" ref="J173:J177" si="40">TEXT((H173-DATEVALUE("1/1/"&amp;TEXT(H173,"yy"))+1),"000")</f>
        <v>098</v>
      </c>
      <c r="K173" s="12" t="str">
        <f t="shared" ref="K173:K177" si="41">TEXT((I173-DATEVALUE("1/1/"&amp;TEXT(I173,"yy"))+1),"000")</f>
        <v>105</v>
      </c>
      <c r="L173" t="str">
        <f>J173</f>
        <v>098</v>
      </c>
    </row>
    <row r="174" s="1" customFormat="1" ht="18" spans="1:12">
      <c r="A174" s="6"/>
      <c r="B174" s="3"/>
      <c r="C174" s="3"/>
      <c r="D174" s="3"/>
      <c r="E174" s="3"/>
      <c r="F174" s="4"/>
      <c r="G174" s="4"/>
      <c r="H174" s="5"/>
      <c r="I174" s="5"/>
      <c r="L174">
        <f>J174</f>
        <v>0</v>
      </c>
    </row>
    <row r="175" s="1" customFormat="1" ht="18" spans="1:12">
      <c r="A175" s="6">
        <v>328</v>
      </c>
      <c r="B175" s="3">
        <v>204.18</v>
      </c>
      <c r="C175" s="3">
        <v>187.25</v>
      </c>
      <c r="D175" s="3">
        <v>202.14</v>
      </c>
      <c r="E175" s="3">
        <v>192.32</v>
      </c>
      <c r="F175" s="4">
        <f>AVERAGE(B175:C175)</f>
        <v>195.715</v>
      </c>
      <c r="G175" s="4">
        <f t="shared" ref="G175:G179" si="42">AVERAGE(D175:E175)</f>
        <v>197.23</v>
      </c>
      <c r="H175" s="5">
        <v>37031</v>
      </c>
      <c r="I175" s="5">
        <v>37038</v>
      </c>
      <c r="J175" s="12" t="str">
        <f>TEXT((H175-DATEVALUE("1/1/"&amp;TEXT(H175,"yy"))+1),"000")</f>
        <v>140</v>
      </c>
      <c r="K175" s="12" t="str">
        <f t="shared" ref="K175:K179" si="43">TEXT((I175-DATEVALUE("1/1/"&amp;TEXT(I175,"yy"))+1),"000")</f>
        <v>147</v>
      </c>
      <c r="L175" t="str">
        <f>J175</f>
        <v>140</v>
      </c>
    </row>
    <row r="176" s="1" customFormat="1" ht="18" spans="1:12">
      <c r="A176" s="6"/>
      <c r="B176" s="3"/>
      <c r="C176" s="3"/>
      <c r="D176" s="3"/>
      <c r="E176" s="3"/>
      <c r="F176" s="4"/>
      <c r="G176" s="4"/>
      <c r="H176" s="5"/>
      <c r="I176" s="5"/>
      <c r="L176">
        <f>J176</f>
        <v>0</v>
      </c>
    </row>
    <row r="177" s="1" customFormat="1" ht="18" spans="1:12">
      <c r="A177" s="6">
        <v>331</v>
      </c>
      <c r="B177" s="3">
        <v>210.72</v>
      </c>
      <c r="C177" s="3">
        <v>210.58</v>
      </c>
      <c r="D177" s="3">
        <v>194.7</v>
      </c>
      <c r="E177" s="3">
        <v>202.61</v>
      </c>
      <c r="F177" s="4">
        <f>AVERAGE(B177:C177)</f>
        <v>210.65</v>
      </c>
      <c r="G177" s="4">
        <f>AVERAGE(D177:E177)</f>
        <v>198.655</v>
      </c>
      <c r="H177" s="5">
        <v>37073</v>
      </c>
      <c r="I177" s="5">
        <v>37080</v>
      </c>
      <c r="J177" s="12" t="str">
        <f>TEXT((H177-DATEVALUE("1/1/"&amp;TEXT(H177,"yy"))+1),"000")</f>
        <v>182</v>
      </c>
      <c r="K177" s="12" t="str">
        <f>TEXT((I177-DATEVALUE("1/1/"&amp;TEXT(I177,"yy"))+1),"000")</f>
        <v>189</v>
      </c>
      <c r="L177" t="str">
        <f>J177</f>
        <v>182</v>
      </c>
    </row>
    <row r="178" s="1" customFormat="1" ht="18" spans="1:12">
      <c r="A178" s="6"/>
      <c r="B178" s="3"/>
      <c r="C178" s="3"/>
      <c r="D178" s="3"/>
      <c r="E178" s="3"/>
      <c r="F178" s="4"/>
      <c r="G178" s="4"/>
      <c r="H178" s="5"/>
      <c r="I178" s="5"/>
      <c r="L178">
        <f>J178</f>
        <v>0</v>
      </c>
    </row>
    <row r="179" s="1" customFormat="1" ht="18" spans="1:12">
      <c r="A179" s="6">
        <v>334</v>
      </c>
      <c r="B179" s="3"/>
      <c r="C179" s="3"/>
      <c r="D179" s="3">
        <v>156.31</v>
      </c>
      <c r="E179" s="3">
        <v>130.27</v>
      </c>
      <c r="F179" s="4"/>
      <c r="G179" s="4">
        <f>AVERAGE(D179:E179)</f>
        <v>143.29</v>
      </c>
      <c r="H179" s="5"/>
      <c r="I179" s="5">
        <v>37122</v>
      </c>
      <c r="K179" s="12" t="str">
        <f>TEXT((I179-DATEVALUE("1/1/"&amp;TEXT(I179,"yy"))+1),"000")</f>
        <v>231</v>
      </c>
      <c r="L179">
        <f>J179</f>
        <v>0</v>
      </c>
    </row>
    <row r="180" s="1" customFormat="1" ht="18" spans="1:12">
      <c r="A180" s="6"/>
      <c r="B180" s="3"/>
      <c r="C180" s="3"/>
      <c r="D180" s="3"/>
      <c r="E180" s="3"/>
      <c r="F180" s="4"/>
      <c r="G180" s="4"/>
      <c r="H180" s="5"/>
      <c r="I180" s="5"/>
      <c r="L180">
        <f>J180</f>
        <v>0</v>
      </c>
    </row>
    <row r="181" s="1" customFormat="1" ht="18" spans="1:12">
      <c r="A181" s="6">
        <v>337</v>
      </c>
      <c r="B181" s="3">
        <v>174.46</v>
      </c>
      <c r="C181" s="3">
        <v>200.08</v>
      </c>
      <c r="D181" s="3"/>
      <c r="E181" s="3"/>
      <c r="F181" s="4">
        <f t="shared" ref="F181:F188" si="44">AVERAGE(B181:C181)</f>
        <v>187.27</v>
      </c>
      <c r="G181" s="4"/>
      <c r="H181" s="5">
        <v>37157</v>
      </c>
      <c r="I181" s="5"/>
      <c r="J181" s="12" t="str">
        <f t="shared" ref="J181:J188" si="45">TEXT((H181-DATEVALUE("1/1/"&amp;TEXT(H181,"yy"))+1),"000")</f>
        <v>266</v>
      </c>
      <c r="L181" t="str">
        <f>J181</f>
        <v>266</v>
      </c>
    </row>
    <row r="182" s="1" customFormat="1" ht="18" spans="1:12">
      <c r="A182" s="6">
        <v>338</v>
      </c>
      <c r="B182" s="3">
        <v>158.33</v>
      </c>
      <c r="C182" s="3">
        <v>163.64</v>
      </c>
      <c r="D182" s="3"/>
      <c r="E182" s="3"/>
      <c r="F182" s="4">
        <f>AVERAGE(B182:C182)</f>
        <v>160.985</v>
      </c>
      <c r="G182" s="4"/>
      <c r="H182" s="5">
        <v>37171</v>
      </c>
      <c r="I182" s="5"/>
      <c r="J182" s="12" t="str">
        <f>TEXT((H182-DATEVALUE("1/1/"&amp;TEXT(H182,"yy"))+1),"000")</f>
        <v>280</v>
      </c>
      <c r="L182" t="str">
        <f>J182</f>
        <v>280</v>
      </c>
    </row>
    <row r="183" s="1" customFormat="1" ht="18" spans="1:12">
      <c r="A183" s="6">
        <v>339</v>
      </c>
      <c r="B183" s="3">
        <v>150.68</v>
      </c>
      <c r="C183" s="3">
        <v>184.19</v>
      </c>
      <c r="D183" s="3"/>
      <c r="E183" s="3"/>
      <c r="F183" s="4">
        <f>AVERAGE(B183:C183)</f>
        <v>167.435</v>
      </c>
      <c r="G183" s="4"/>
      <c r="H183" s="5">
        <v>37185</v>
      </c>
      <c r="I183" s="5"/>
      <c r="J183" s="12" t="str">
        <f>TEXT((H183-DATEVALUE("1/1/"&amp;TEXT(H183,"yy"))+1),"000")</f>
        <v>294</v>
      </c>
      <c r="L183" t="str">
        <f>J183</f>
        <v>294</v>
      </c>
    </row>
    <row r="184" s="1" customFormat="1" ht="18" spans="1:12">
      <c r="A184" s="6">
        <v>340</v>
      </c>
      <c r="B184" s="3">
        <v>210.16</v>
      </c>
      <c r="C184" s="3">
        <v>204.6</v>
      </c>
      <c r="D184" s="3"/>
      <c r="E184" s="3"/>
      <c r="F184" s="4">
        <f>AVERAGE(B184:C184)</f>
        <v>207.38</v>
      </c>
      <c r="G184" s="4"/>
      <c r="H184" s="5">
        <v>37199</v>
      </c>
      <c r="I184" s="5"/>
      <c r="J184" s="12" t="str">
        <f>TEXT((H184-DATEVALUE("1/1/"&amp;TEXT(H184,"yy"))+1),"000")</f>
        <v>308</v>
      </c>
      <c r="L184" t="str">
        <f>J184</f>
        <v>308</v>
      </c>
    </row>
    <row r="185" s="1" customFormat="1" ht="18" spans="1:12">
      <c r="A185" s="6">
        <v>341</v>
      </c>
      <c r="B185" s="3">
        <v>181.58</v>
      </c>
      <c r="C185" s="3">
        <v>174.79</v>
      </c>
      <c r="D185" s="3"/>
      <c r="E185" s="3"/>
      <c r="F185" s="4">
        <f>AVERAGE(B185:C185)</f>
        <v>178.185</v>
      </c>
      <c r="G185" s="4"/>
      <c r="H185" s="5">
        <v>37213</v>
      </c>
      <c r="I185" s="5"/>
      <c r="J185" s="12" t="str">
        <f>TEXT((H185-DATEVALUE("1/1/"&amp;TEXT(H185,"yy"))+1),"000")</f>
        <v>322</v>
      </c>
      <c r="L185" t="str">
        <f>J185</f>
        <v>322</v>
      </c>
    </row>
    <row r="186" s="1" customFormat="1" ht="18" spans="1:12">
      <c r="A186" s="6">
        <v>342</v>
      </c>
      <c r="B186" s="3">
        <v>213.96</v>
      </c>
      <c r="C186" s="3">
        <v>210.58</v>
      </c>
      <c r="D186" s="3">
        <v>197.33</v>
      </c>
      <c r="E186" s="3">
        <v>206.12</v>
      </c>
      <c r="F186" s="4">
        <f>AVERAGE(B186:C186)</f>
        <v>212.27</v>
      </c>
      <c r="G186" s="4">
        <f t="shared" ref="G186:G191" si="46">AVERAGE(D186:E186)</f>
        <v>201.725</v>
      </c>
      <c r="H186" s="5">
        <v>37227</v>
      </c>
      <c r="I186" s="5">
        <v>37234</v>
      </c>
      <c r="J186" s="12" t="str">
        <f>TEXT((H186-DATEVALUE("1/1/"&amp;TEXT(H186,"yy"))+1),"000")</f>
        <v>336</v>
      </c>
      <c r="K186" s="12" t="str">
        <f t="shared" ref="K186:K191" si="47">TEXT((I186-DATEVALUE("1/1/"&amp;TEXT(I186,"yy"))+1),"000")</f>
        <v>343</v>
      </c>
      <c r="L186" t="str">
        <f>J186</f>
        <v>336</v>
      </c>
    </row>
    <row r="187" s="1" customFormat="1" ht="18" spans="1:12">
      <c r="A187" s="6">
        <v>343</v>
      </c>
      <c r="B187" s="3">
        <v>233.34</v>
      </c>
      <c r="C187" s="3"/>
      <c r="D187" s="3">
        <v>196.33</v>
      </c>
      <c r="E187" s="3">
        <v>191.41</v>
      </c>
      <c r="F187" s="4">
        <f>AVERAGE(B187:C187)</f>
        <v>233.34</v>
      </c>
      <c r="G187" s="4">
        <f>AVERAGE(D187:E187)</f>
        <v>193.87</v>
      </c>
      <c r="H187" s="5">
        <v>37241</v>
      </c>
      <c r="I187" s="5">
        <v>37248</v>
      </c>
      <c r="J187" s="12" t="str">
        <f>TEXT((H187-DATEVALUE("1/1/"&amp;TEXT(H187,"yy"))+1),"000")</f>
        <v>350</v>
      </c>
      <c r="K187" s="12" t="str">
        <f>TEXT((I187-DATEVALUE("1/1/"&amp;TEXT(I187,"yy"))+1),"000")</f>
        <v>357</v>
      </c>
      <c r="L187" t="str">
        <f>J187</f>
        <v>350</v>
      </c>
    </row>
    <row r="188" s="1" customFormat="1" ht="18" spans="1:12">
      <c r="A188" s="6">
        <v>344</v>
      </c>
      <c r="B188" s="3">
        <v>214.76</v>
      </c>
      <c r="C188" s="3"/>
      <c r="D188" s="3">
        <v>217.11</v>
      </c>
      <c r="E188" s="3"/>
      <c r="F188" s="4">
        <f>AVERAGE(B188:C188)</f>
        <v>214.76</v>
      </c>
      <c r="G188" s="4">
        <f>AVERAGE(D188:E188)</f>
        <v>217.11</v>
      </c>
      <c r="H188" s="5">
        <v>37255</v>
      </c>
      <c r="I188" s="5">
        <v>37262</v>
      </c>
      <c r="J188" s="12" t="str">
        <f>TEXT((H188-DATEVALUE("1/1/"&amp;TEXT(H188,"yy"))+1),"000")</f>
        <v>364</v>
      </c>
      <c r="K188" s="12" t="str">
        <f>TEXT((I188-DATEVALUE("1/1/"&amp;TEXT(I188,"yy"))+1),"000")</f>
        <v>006</v>
      </c>
      <c r="L188" t="str">
        <f>J188</f>
        <v>364</v>
      </c>
    </row>
    <row r="189" s="1" customFormat="1" ht="18" spans="1:12">
      <c r="A189" s="6">
        <v>345</v>
      </c>
      <c r="B189" s="3"/>
      <c r="C189" s="3"/>
      <c r="D189" s="3">
        <v>218.26</v>
      </c>
      <c r="E189" s="3"/>
      <c r="F189" s="4"/>
      <c r="G189" s="4">
        <f>AVERAGE(D189:E189)</f>
        <v>218.26</v>
      </c>
      <c r="H189" s="5"/>
      <c r="I189" s="5">
        <v>37276</v>
      </c>
      <c r="K189" s="12" t="str">
        <f>TEXT((I189-DATEVALUE("1/1/"&amp;TEXT(I189,"yy"))+1),"000")</f>
        <v>020</v>
      </c>
      <c r="L189">
        <f>J189</f>
        <v>0</v>
      </c>
    </row>
    <row r="190" s="1" customFormat="1" ht="18" spans="1:12">
      <c r="A190" s="6">
        <v>346</v>
      </c>
      <c r="B190" s="3">
        <v>219.04</v>
      </c>
      <c r="C190" s="3"/>
      <c r="D190" s="3">
        <v>214.6</v>
      </c>
      <c r="E190" s="3">
        <v>217.19</v>
      </c>
      <c r="F190" s="4">
        <f t="shared" ref="F190:F196" si="48">AVERAGE(B190:C190)</f>
        <v>219.04</v>
      </c>
      <c r="G190" s="4">
        <f>AVERAGE(D190:E190)</f>
        <v>215.895</v>
      </c>
      <c r="H190" s="5">
        <v>37283</v>
      </c>
      <c r="I190" s="5">
        <v>37290</v>
      </c>
      <c r="J190" s="12" t="str">
        <f t="shared" ref="J190:J191" si="49">TEXT((H190-DATEVALUE("1/1/"&amp;TEXT(H190,"yy"))+1),"000")</f>
        <v>027</v>
      </c>
      <c r="K190" s="12" t="str">
        <f>TEXT((I190-DATEVALUE("1/1/"&amp;TEXT(I190,"yy"))+1),"000")</f>
        <v>034</v>
      </c>
      <c r="L190" t="str">
        <f>J190</f>
        <v>027</v>
      </c>
    </row>
    <row r="191" s="1" customFormat="1" ht="18" spans="1:12">
      <c r="A191" s="6">
        <v>347</v>
      </c>
      <c r="B191" s="3">
        <v>215.04</v>
      </c>
      <c r="C191" s="3"/>
      <c r="D191" s="3">
        <v>223.52</v>
      </c>
      <c r="E191" s="3"/>
      <c r="F191" s="4">
        <f>AVERAGE(B191:C191)</f>
        <v>215.04</v>
      </c>
      <c r="G191" s="4">
        <f>AVERAGE(D191:E191)</f>
        <v>223.52</v>
      </c>
      <c r="H191" s="5">
        <v>37297</v>
      </c>
      <c r="I191" s="5">
        <v>37304</v>
      </c>
      <c r="J191" s="12" t="str">
        <f>TEXT((H191-DATEVALUE("1/1/"&amp;TEXT(H191,"yy"))+1),"000")</f>
        <v>041</v>
      </c>
      <c r="K191" s="12" t="str">
        <f>TEXT((I191-DATEVALUE("1/1/"&amp;TEXT(I191,"yy"))+1),"000")</f>
        <v>048</v>
      </c>
      <c r="L191" t="str">
        <f>J191</f>
        <v>041</v>
      </c>
    </row>
    <row r="192" s="1" customFormat="1" ht="18" spans="1:12">
      <c r="A192" s="6"/>
      <c r="B192" s="3"/>
      <c r="C192" s="3"/>
      <c r="D192" s="3"/>
      <c r="E192" s="3"/>
      <c r="F192" s="4"/>
      <c r="G192" s="4"/>
      <c r="H192" s="5"/>
      <c r="I192" s="5"/>
      <c r="L192">
        <f>J192</f>
        <v>0</v>
      </c>
    </row>
    <row r="193" s="1" customFormat="1" ht="18" spans="1:12">
      <c r="A193" s="6">
        <v>349</v>
      </c>
      <c r="B193" s="3"/>
      <c r="C193" s="3"/>
      <c r="D193" s="3">
        <v>182.82</v>
      </c>
      <c r="E193" s="3"/>
      <c r="F193" s="4"/>
      <c r="G193" s="4">
        <f t="shared" ref="G193:G197" si="50">AVERAGE(D193:E193)</f>
        <v>182.82</v>
      </c>
      <c r="H193" s="5">
        <v>37324</v>
      </c>
      <c r="I193" s="5">
        <v>37332</v>
      </c>
      <c r="J193" s="12" t="str">
        <f t="shared" ref="J193:J196" si="51">TEXT((H193-DATEVALUE("1/1/"&amp;TEXT(H193,"yy"))+1),"000")</f>
        <v>068</v>
      </c>
      <c r="K193" s="12" t="str">
        <f t="shared" ref="K193:K197" si="52">TEXT((I193-DATEVALUE("1/1/"&amp;TEXT(I193,"yy"))+1),"000")</f>
        <v>076</v>
      </c>
      <c r="L193" t="str">
        <f>J193</f>
        <v>068</v>
      </c>
    </row>
    <row r="194" s="1" customFormat="1" ht="18" spans="1:12">
      <c r="A194" s="6">
        <v>350</v>
      </c>
      <c r="B194" s="3">
        <v>212.12</v>
      </c>
      <c r="C194" s="3"/>
      <c r="D194" s="3">
        <v>203.66</v>
      </c>
      <c r="E194" s="3"/>
      <c r="F194" s="4">
        <f t="shared" ref="F194:F196" si="53">AVERAGE(B194:C194)</f>
        <v>212.12</v>
      </c>
      <c r="G194" s="4">
        <f>AVERAGE(D194:E194)</f>
        <v>203.66</v>
      </c>
      <c r="H194" s="5">
        <v>37339</v>
      </c>
      <c r="I194" s="5">
        <v>37346</v>
      </c>
      <c r="J194" s="12" t="str">
        <f>TEXT((H194-DATEVALUE("1/1/"&amp;TEXT(H194,"yy"))+1),"000")</f>
        <v>083</v>
      </c>
      <c r="K194" s="12" t="str">
        <f>TEXT((I194-DATEVALUE("1/1/"&amp;TEXT(I194,"yy"))+1),"000")</f>
        <v>090</v>
      </c>
      <c r="L194" t="str">
        <f>J194</f>
        <v>083</v>
      </c>
    </row>
    <row r="195" s="1" customFormat="1" ht="18" spans="1:12">
      <c r="A195" s="6">
        <v>351</v>
      </c>
      <c r="B195" s="3">
        <v>209.86</v>
      </c>
      <c r="C195" s="3"/>
      <c r="D195" s="3">
        <v>228.9</v>
      </c>
      <c r="E195" s="3"/>
      <c r="F195" s="4">
        <f>AVERAGE(B195:C195)</f>
        <v>209.86</v>
      </c>
      <c r="G195" s="4">
        <f>AVERAGE(D195:E195)</f>
        <v>228.9</v>
      </c>
      <c r="H195" s="5">
        <v>37353</v>
      </c>
      <c r="I195" s="5">
        <v>37360</v>
      </c>
      <c r="J195" s="12" t="str">
        <f>TEXT((H195-DATEVALUE("1/1/"&amp;TEXT(H195,"yy"))+1),"000")</f>
        <v>097</v>
      </c>
      <c r="K195" s="12" t="str">
        <f>TEXT((I195-DATEVALUE("1/1/"&amp;TEXT(I195,"yy"))+1),"000")</f>
        <v>104</v>
      </c>
      <c r="L195" t="str">
        <f>J195</f>
        <v>097</v>
      </c>
    </row>
    <row r="196" s="1" customFormat="1" ht="18" spans="1:12">
      <c r="A196" s="6">
        <v>352</v>
      </c>
      <c r="B196" s="3">
        <v>200.53</v>
      </c>
      <c r="C196" s="3"/>
      <c r="D196" s="3">
        <v>196.59</v>
      </c>
      <c r="E196" s="3"/>
      <c r="F196" s="4">
        <f>AVERAGE(B196:C196)</f>
        <v>200.53</v>
      </c>
      <c r="G196" s="4">
        <f>AVERAGE(D196:E196)</f>
        <v>196.59</v>
      </c>
      <c r="H196" s="5">
        <v>37367</v>
      </c>
      <c r="I196" s="5">
        <v>37374</v>
      </c>
      <c r="J196" s="12" t="str">
        <f>TEXT((H196-DATEVALUE("1/1/"&amp;TEXT(H196,"yy"))+1),"000")</f>
        <v>111</v>
      </c>
      <c r="K196" s="12" t="str">
        <f>TEXT((I196-DATEVALUE("1/1/"&amp;TEXT(I196,"yy"))+1),"000")</f>
        <v>118</v>
      </c>
      <c r="L196" t="str">
        <f>J196</f>
        <v>111</v>
      </c>
    </row>
    <row r="197" s="1" customFormat="1" ht="18" spans="1:12">
      <c r="A197" s="6">
        <v>353</v>
      </c>
      <c r="B197" s="3"/>
      <c r="C197" s="3"/>
      <c r="D197" s="3">
        <v>210.07</v>
      </c>
      <c r="E197" s="3"/>
      <c r="F197" s="4"/>
      <c r="G197" s="4">
        <f>AVERAGE(D197:E197)</f>
        <v>210.07</v>
      </c>
      <c r="H197" s="5"/>
      <c r="I197" s="5">
        <v>37388</v>
      </c>
      <c r="K197" s="12" t="str">
        <f>TEXT((I197-DATEVALUE("1/1/"&amp;TEXT(I197,"yy"))+1),"000")</f>
        <v>132</v>
      </c>
      <c r="L197">
        <f>J197</f>
        <v>0</v>
      </c>
    </row>
    <row r="198" s="1" customFormat="1" ht="18" spans="1:12">
      <c r="A198" s="6">
        <v>354</v>
      </c>
      <c r="B198" s="3">
        <v>192.08</v>
      </c>
      <c r="C198" s="3"/>
      <c r="D198" s="3"/>
      <c r="E198" s="3"/>
      <c r="F198" s="4">
        <f t="shared" ref="F198:F203" si="54">AVERAGE(B198:C198)</f>
        <v>192.08</v>
      </c>
      <c r="G198" s="4"/>
      <c r="H198" s="5">
        <v>37395</v>
      </c>
      <c r="I198" s="5"/>
      <c r="J198" s="12" t="str">
        <f t="shared" ref="J198:J203" si="55">TEXT((H198-DATEVALUE("1/1/"&amp;TEXT(H198,"yy"))+1),"000")</f>
        <v>139</v>
      </c>
      <c r="L198" t="str">
        <f>J198</f>
        <v>139</v>
      </c>
    </row>
    <row r="199" s="1" customFormat="1" ht="18" spans="1:12">
      <c r="A199" s="6">
        <v>355</v>
      </c>
      <c r="B199" s="3"/>
      <c r="C199" s="3"/>
      <c r="D199" s="3">
        <v>204.59</v>
      </c>
      <c r="E199" s="3">
        <v>202.9</v>
      </c>
      <c r="F199" s="4"/>
      <c r="G199" s="4">
        <f t="shared" ref="G199:G203" si="56">AVERAGE(D199:E199)</f>
        <v>203.745</v>
      </c>
      <c r="H199" s="5"/>
      <c r="I199" s="5">
        <v>37416</v>
      </c>
      <c r="K199" s="12" t="str">
        <f>TEXT((I199-DATEVALUE("1/1/"&amp;TEXT(I199,"yy"))+1),"000")</f>
        <v>160</v>
      </c>
      <c r="L199">
        <f>J199</f>
        <v>0</v>
      </c>
    </row>
    <row r="200" s="1" customFormat="1" ht="18" spans="1:12">
      <c r="A200" s="6">
        <v>356</v>
      </c>
      <c r="B200" s="3">
        <v>197.18</v>
      </c>
      <c r="C200" s="3"/>
      <c r="D200" s="3"/>
      <c r="E200" s="3"/>
      <c r="F200" s="4">
        <f>AVERAGE(B200:C200)</f>
        <v>197.18</v>
      </c>
      <c r="G200" s="4"/>
      <c r="H200" s="5">
        <v>37423</v>
      </c>
      <c r="I200" s="5"/>
      <c r="J200" s="12" t="str">
        <f>TEXT((H200-DATEVALUE("1/1/"&amp;TEXT(H200,"yy"))+1),"000")</f>
        <v>167</v>
      </c>
      <c r="L200" t="str">
        <f>J200</f>
        <v>167</v>
      </c>
    </row>
    <row r="201" s="1" customFormat="1" ht="18" spans="1:12">
      <c r="A201" s="6"/>
      <c r="B201" s="3"/>
      <c r="C201" s="3"/>
      <c r="D201" s="3"/>
      <c r="E201" s="3"/>
      <c r="F201" s="4"/>
      <c r="G201" s="4"/>
      <c r="H201" s="5"/>
      <c r="I201" s="5"/>
      <c r="L201">
        <f>J201</f>
        <v>0</v>
      </c>
    </row>
    <row r="202" s="1" customFormat="1" ht="18" spans="1:12">
      <c r="A202" s="6">
        <v>358</v>
      </c>
      <c r="B202" s="3"/>
      <c r="C202" s="3"/>
      <c r="D202" s="3">
        <v>208.12</v>
      </c>
      <c r="E202" s="3"/>
      <c r="F202" s="4"/>
      <c r="G202" s="4">
        <f t="shared" ref="G202:G205" si="57">AVERAGE(D202:E202)</f>
        <v>208.12</v>
      </c>
      <c r="H202" s="5"/>
      <c r="I202" s="5">
        <v>37458</v>
      </c>
      <c r="K202" s="12" t="str">
        <f t="shared" ref="K202:K203" si="58">TEXT((I202-DATEVALUE("1/1/"&amp;TEXT(I202,"yy"))+1),"000")</f>
        <v>202</v>
      </c>
      <c r="L202">
        <f>J202</f>
        <v>0</v>
      </c>
    </row>
    <row r="203" s="1" customFormat="1" ht="18" spans="1:12">
      <c r="A203" s="6">
        <v>359</v>
      </c>
      <c r="B203" s="3">
        <v>218.16</v>
      </c>
      <c r="C203" s="3">
        <v>209.71</v>
      </c>
      <c r="D203" s="3">
        <v>207.64</v>
      </c>
      <c r="E203" s="3">
        <v>202.51</v>
      </c>
      <c r="F203" s="4">
        <f>AVERAGE(B203:C203)</f>
        <v>213.935</v>
      </c>
      <c r="G203" s="4">
        <f>AVERAGE(D203:E203)</f>
        <v>205.075</v>
      </c>
      <c r="H203" s="5">
        <v>37465</v>
      </c>
      <c r="I203" s="5">
        <v>37472</v>
      </c>
      <c r="J203" s="12" t="str">
        <f>TEXT((H203-DATEVALUE("1/1/"&amp;TEXT(H203,"yy"))+1),"000")</f>
        <v>209</v>
      </c>
      <c r="K203" s="12" t="str">
        <f>TEXT((I203-DATEVALUE("1/1/"&amp;TEXT(I203,"yy"))+1),"000")</f>
        <v>216</v>
      </c>
      <c r="L203" t="str">
        <f>J203</f>
        <v>209</v>
      </c>
    </row>
    <row r="204" s="1" customFormat="1" ht="18" spans="1:12">
      <c r="A204" s="6"/>
      <c r="B204" s="3"/>
      <c r="C204" s="3"/>
      <c r="D204" s="3"/>
      <c r="E204" s="3"/>
      <c r="F204" s="4"/>
      <c r="G204" s="4"/>
      <c r="H204" s="5"/>
      <c r="I204" s="5"/>
      <c r="L204">
        <f>J204</f>
        <v>0</v>
      </c>
    </row>
    <row r="205" spans="1:12">
      <c r="A205" s="2">
        <v>383</v>
      </c>
      <c r="B205" s="3">
        <v>207.42</v>
      </c>
      <c r="C205" s="3">
        <v>221.88</v>
      </c>
      <c r="D205" s="3">
        <v>214.08</v>
      </c>
      <c r="E205" s="3">
        <v>213.75</v>
      </c>
      <c r="F205" s="4">
        <f t="shared" ref="F205:F211" si="59">AVERAGE(B205:C205)</f>
        <v>214.65</v>
      </c>
      <c r="G205" s="4">
        <f>AVERAGE(D205:E205)</f>
        <v>213.915</v>
      </c>
      <c r="H205" s="5">
        <v>38123</v>
      </c>
      <c r="I205" s="5">
        <v>38130</v>
      </c>
      <c r="J205" s="12" t="str">
        <f t="shared" ref="J205:J206" si="60">TEXT((H205-DATEVALUE("1/1/"&amp;TEXT(H205,"yy"))+1),"000")</f>
        <v>137</v>
      </c>
      <c r="K205" s="12" t="str">
        <f t="shared" ref="K205:K211" si="61">TEXT((I205-DATEVALUE("1/1/"&amp;TEXT(I205,"yy"))+1),"000")</f>
        <v>144</v>
      </c>
      <c r="L205" t="str">
        <f>J205</f>
        <v>137</v>
      </c>
    </row>
    <row r="206" spans="1:12">
      <c r="A206" s="2">
        <f>A205+1</f>
        <v>384</v>
      </c>
      <c r="B206" s="3">
        <v>221.36</v>
      </c>
      <c r="C206" s="3">
        <v>216.24</v>
      </c>
      <c r="D206" s="3">
        <v>179.16</v>
      </c>
      <c r="E206" s="3">
        <v>188.38</v>
      </c>
      <c r="F206" s="4">
        <f t="shared" ref="F206:F271" si="62">AVERAGE(B206:C206)</f>
        <v>218.8</v>
      </c>
      <c r="G206" s="4">
        <f t="shared" ref="G206:G271" si="63">AVERAGE(D206:E206)</f>
        <v>183.77</v>
      </c>
      <c r="H206" s="5">
        <v>38137</v>
      </c>
      <c r="I206" s="5">
        <v>38144</v>
      </c>
      <c r="J206" s="12" t="str">
        <f>TEXT((H206-DATEVALUE("1/1/"&amp;TEXT(H206,"yy"))+1),"000")</f>
        <v>151</v>
      </c>
      <c r="K206" s="12" t="str">
        <f>TEXT((I206-DATEVALUE("1/1/"&amp;TEXT(I206,"yy"))+1),"000")</f>
        <v>158</v>
      </c>
      <c r="L206" t="str">
        <f>J206</f>
        <v>151</v>
      </c>
    </row>
    <row r="207" spans="1:12">
      <c r="A207" s="2">
        <f t="shared" ref="A207:A256" si="64">A206+1</f>
        <v>385</v>
      </c>
      <c r="D207" s="3">
        <v>178.5</v>
      </c>
      <c r="E207" s="3">
        <v>210.98</v>
      </c>
      <c r="G207" s="4">
        <f>AVERAGE(D207:E207)</f>
        <v>194.74</v>
      </c>
      <c r="I207" s="5">
        <v>38158</v>
      </c>
      <c r="K207" s="12" t="str">
        <f>TEXT((I207-DATEVALUE("1/1/"&amp;TEXT(I207,"yy"))+1),"000")</f>
        <v>172</v>
      </c>
      <c r="L207">
        <f>J207</f>
        <v>0</v>
      </c>
    </row>
    <row r="208" spans="1:12">
      <c r="A208" s="2">
        <f>A207+1</f>
        <v>386</v>
      </c>
      <c r="B208" s="3">
        <v>210.79</v>
      </c>
      <c r="C208" s="3">
        <v>217.07</v>
      </c>
      <c r="D208" s="3">
        <v>211.32</v>
      </c>
      <c r="E208" s="3">
        <v>220.1</v>
      </c>
      <c r="F208" s="4">
        <f t="shared" ref="F208:F211" si="65">AVERAGE(B208:C208)</f>
        <v>213.93</v>
      </c>
      <c r="G208" s="4">
        <f>AVERAGE(D208:E208)</f>
        <v>215.71</v>
      </c>
      <c r="H208" s="5">
        <v>38165</v>
      </c>
      <c r="I208" s="5">
        <v>38172</v>
      </c>
      <c r="J208" s="12" t="str">
        <f t="shared" ref="J208:J211" si="66">TEXT((H208-DATEVALUE("1/1/"&amp;TEXT(H208,"yy"))+1),"000")</f>
        <v>179</v>
      </c>
      <c r="K208" s="12" t="str">
        <f>TEXT((I208-DATEVALUE("1/1/"&amp;TEXT(I208,"yy"))+1),"000")</f>
        <v>186</v>
      </c>
      <c r="L208" t="str">
        <f>J208</f>
        <v>179</v>
      </c>
    </row>
    <row r="209" spans="1:12">
      <c r="A209" s="2">
        <f>A208+1</f>
        <v>387</v>
      </c>
      <c r="C209" s="3">
        <v>217.61</v>
      </c>
      <c r="D209" s="3">
        <v>200.51</v>
      </c>
      <c r="E209" s="3">
        <v>210.15</v>
      </c>
      <c r="F209" s="4">
        <f>AVERAGE(B209:C209)</f>
        <v>217.61</v>
      </c>
      <c r="G209" s="4">
        <f>AVERAGE(D209:E209)</f>
        <v>205.33</v>
      </c>
      <c r="H209" s="5">
        <v>38179</v>
      </c>
      <c r="I209" s="5">
        <v>38186</v>
      </c>
      <c r="J209" s="12" t="str">
        <f>TEXT((H209-DATEVALUE("1/1/"&amp;TEXT(H209,"yy"))+1),"000")</f>
        <v>193</v>
      </c>
      <c r="K209" s="12" t="str">
        <f>TEXT((I209-DATEVALUE("1/1/"&amp;TEXT(I209,"yy"))+1),"000")</f>
        <v>200</v>
      </c>
      <c r="L209" t="str">
        <f>J209</f>
        <v>193</v>
      </c>
    </row>
    <row r="210" spans="1:12">
      <c r="A210" s="2">
        <f>A209+1</f>
        <v>388</v>
      </c>
      <c r="B210" s="3">
        <v>225.41</v>
      </c>
      <c r="D210" s="3">
        <v>213.49</v>
      </c>
      <c r="F210" s="4">
        <f>AVERAGE(B210:C210)</f>
        <v>225.41</v>
      </c>
      <c r="G210" s="4">
        <f>AVERAGE(D210:E210)</f>
        <v>213.49</v>
      </c>
      <c r="H210" s="5">
        <v>38193</v>
      </c>
      <c r="I210" s="5">
        <v>38200</v>
      </c>
      <c r="J210" s="12" t="str">
        <f>TEXT((H210-DATEVALUE("1/1/"&amp;TEXT(H210,"yy"))+1),"000")</f>
        <v>207</v>
      </c>
      <c r="K210" s="12" t="str">
        <f>TEXT((I210-DATEVALUE("1/1/"&amp;TEXT(I210,"yy"))+1),"000")</f>
        <v>214</v>
      </c>
      <c r="L210" t="str">
        <f>J210</f>
        <v>207</v>
      </c>
    </row>
    <row r="211" spans="1:12">
      <c r="A211" s="2">
        <f>A210+1</f>
        <v>389</v>
      </c>
      <c r="B211" s="3">
        <v>202.99</v>
      </c>
      <c r="D211" s="3">
        <v>216.53</v>
      </c>
      <c r="F211" s="4">
        <f>AVERAGE(B211:C211)</f>
        <v>202.99</v>
      </c>
      <c r="G211" s="4">
        <f>AVERAGE(D211:E211)</f>
        <v>216.53</v>
      </c>
      <c r="H211" s="5">
        <v>38207</v>
      </c>
      <c r="I211" s="5">
        <v>38214</v>
      </c>
      <c r="J211" s="12" t="str">
        <f>TEXT((H211-DATEVALUE("1/1/"&amp;TEXT(H211,"yy"))+1),"000")</f>
        <v>221</v>
      </c>
      <c r="K211" s="12" t="str">
        <f>TEXT((I211-DATEVALUE("1/1/"&amp;TEXT(I211,"yy"))+1),"000")</f>
        <v>228</v>
      </c>
      <c r="L211" t="str">
        <f>J211</f>
        <v>221</v>
      </c>
    </row>
    <row r="212" spans="1:12">
      <c r="A212" s="2">
        <f>A211+1</f>
        <v>390</v>
      </c>
      <c r="L212">
        <f>J212</f>
        <v>0</v>
      </c>
    </row>
    <row r="213" spans="1:12">
      <c r="A213" s="2">
        <f>A212+1</f>
        <v>391</v>
      </c>
      <c r="D213" s="3">
        <v>210.9</v>
      </c>
      <c r="G213" s="4">
        <f t="shared" ref="G213:G235" si="67">AVERAGE(D213:E213)</f>
        <v>210.9</v>
      </c>
      <c r="I213" s="5">
        <v>38242</v>
      </c>
      <c r="K213" s="12" t="str">
        <f t="shared" ref="K213:K235" si="68">TEXT((I213-DATEVALUE("1/1/"&amp;TEXT(I213,"yy"))+1),"000")</f>
        <v>256</v>
      </c>
      <c r="L213">
        <f>J213</f>
        <v>0</v>
      </c>
    </row>
    <row r="214" spans="1:12">
      <c r="A214" s="2">
        <f>A213+1</f>
        <v>392</v>
      </c>
      <c r="B214" s="3">
        <v>196.71</v>
      </c>
      <c r="D214" s="3">
        <v>192.84</v>
      </c>
      <c r="F214" s="4">
        <f t="shared" ref="F214:F233" si="69">AVERAGE(B214:C214)</f>
        <v>196.71</v>
      </c>
      <c r="G214" s="4">
        <f>AVERAGE(D214:E214)</f>
        <v>192.84</v>
      </c>
      <c r="H214" s="5">
        <v>38249</v>
      </c>
      <c r="I214" s="5">
        <v>38256</v>
      </c>
      <c r="J214" s="12" t="str">
        <f t="shared" ref="J214:J233" si="70">TEXT((H214-DATEVALUE("1/1/"&amp;TEXT(H214,"yy"))+1),"000")</f>
        <v>263</v>
      </c>
      <c r="K214" s="12" t="str">
        <f>TEXT((I214-DATEVALUE("1/1/"&amp;TEXT(I214,"yy"))+1),"000")</f>
        <v>270</v>
      </c>
      <c r="L214" t="str">
        <f>J214</f>
        <v>263</v>
      </c>
    </row>
    <row r="215" spans="1:12">
      <c r="A215" s="2">
        <f>A214+1</f>
        <v>393</v>
      </c>
      <c r="B215" s="3">
        <v>198.79</v>
      </c>
      <c r="D215" s="3">
        <v>193.93</v>
      </c>
      <c r="F215" s="4">
        <f>AVERAGE(B215:C215)</f>
        <v>198.79</v>
      </c>
      <c r="G215" s="4">
        <f>AVERAGE(D215:E215)</f>
        <v>193.93</v>
      </c>
      <c r="H215" s="5">
        <v>38263</v>
      </c>
      <c r="I215" s="5">
        <v>38270</v>
      </c>
      <c r="J215" s="12" t="str">
        <f>TEXT((H215-DATEVALUE("1/1/"&amp;TEXT(H215,"yy"))+1),"000")</f>
        <v>277</v>
      </c>
      <c r="K215" s="12" t="str">
        <f>TEXT((I215-DATEVALUE("1/1/"&amp;TEXT(I215,"yy"))+1),"000")</f>
        <v>284</v>
      </c>
      <c r="L215" t="str">
        <f>J215</f>
        <v>277</v>
      </c>
    </row>
    <row r="216" spans="1:12">
      <c r="A216" s="2">
        <f>A215+1</f>
        <v>394</v>
      </c>
      <c r="B216" s="3">
        <v>187.32</v>
      </c>
      <c r="D216" s="3">
        <v>196.39</v>
      </c>
      <c r="F216" s="4">
        <f>AVERAGE(B216:C216)</f>
        <v>187.32</v>
      </c>
      <c r="G216" s="4">
        <f>AVERAGE(D216:E216)</f>
        <v>196.39</v>
      </c>
      <c r="H216" s="5">
        <v>38277</v>
      </c>
      <c r="I216" s="5">
        <v>38284</v>
      </c>
      <c r="J216" s="12" t="str">
        <f>TEXT((H216-DATEVALUE("1/1/"&amp;TEXT(H216,"yy"))+1),"000")</f>
        <v>291</v>
      </c>
      <c r="K216" s="12" t="str">
        <f>TEXT((I216-DATEVALUE("1/1/"&amp;TEXT(I216,"yy"))+1),"000")</f>
        <v>298</v>
      </c>
      <c r="L216" t="str">
        <f t="shared" ref="L216:L279" si="71">J216</f>
        <v>291</v>
      </c>
    </row>
    <row r="217" spans="1:12">
      <c r="A217" s="2">
        <f>A216+1</f>
        <v>395</v>
      </c>
      <c r="B217" s="3">
        <v>189.02</v>
      </c>
      <c r="D217" s="3">
        <v>196.42</v>
      </c>
      <c r="F217" s="4">
        <f>AVERAGE(B217:C217)</f>
        <v>189.02</v>
      </c>
      <c r="G217" s="4">
        <f>AVERAGE(D217:E217)</f>
        <v>196.42</v>
      </c>
      <c r="H217" s="5">
        <v>38291</v>
      </c>
      <c r="I217" s="5">
        <v>38298</v>
      </c>
      <c r="J217" s="12" t="str">
        <f>TEXT((H217-DATEVALUE("1/1/"&amp;TEXT(H217,"yy"))+1),"000")</f>
        <v>305</v>
      </c>
      <c r="K217" s="12" t="str">
        <f>TEXT((I217-DATEVALUE("1/1/"&amp;TEXT(I217,"yy"))+1),"000")</f>
        <v>312</v>
      </c>
      <c r="L217" t="str">
        <f>J217</f>
        <v>305</v>
      </c>
    </row>
    <row r="218" spans="1:12">
      <c r="A218" s="2">
        <f>A217+1</f>
        <v>396</v>
      </c>
      <c r="B218" s="3">
        <v>166.41</v>
      </c>
      <c r="D218" s="3">
        <v>162.83</v>
      </c>
      <c r="F218" s="4">
        <f>AVERAGE(B218:C218)</f>
        <v>166.41</v>
      </c>
      <c r="G218" s="4">
        <f>AVERAGE(D218:E218)</f>
        <v>162.83</v>
      </c>
      <c r="H218" s="5">
        <v>38305</v>
      </c>
      <c r="I218" s="5">
        <v>38312</v>
      </c>
      <c r="J218" s="12" t="str">
        <f>TEXT((H218-DATEVALUE("1/1/"&amp;TEXT(H218,"yy"))+1),"000")</f>
        <v>319</v>
      </c>
      <c r="K218" s="12" t="str">
        <f>TEXT((I218-DATEVALUE("1/1/"&amp;TEXT(I218,"yy"))+1),"000")</f>
        <v>326</v>
      </c>
      <c r="L218" t="str">
        <f>J218</f>
        <v>319</v>
      </c>
    </row>
    <row r="219" spans="1:12">
      <c r="A219" s="2">
        <f>A218+1</f>
        <v>397</v>
      </c>
      <c r="B219" s="3">
        <v>182.75</v>
      </c>
      <c r="D219" s="3">
        <v>173.26</v>
      </c>
      <c r="F219" s="4">
        <f>AVERAGE(B219:C219)</f>
        <v>182.75</v>
      </c>
      <c r="G219" s="4">
        <f>AVERAGE(D219:E219)</f>
        <v>173.26</v>
      </c>
      <c r="H219" s="5">
        <v>38319</v>
      </c>
      <c r="I219" s="5">
        <v>38326</v>
      </c>
      <c r="J219" s="12" t="str">
        <f>TEXT((H219-DATEVALUE("1/1/"&amp;TEXT(H219,"yy"))+1),"000")</f>
        <v>333</v>
      </c>
      <c r="K219" s="12" t="str">
        <f>TEXT((I219-DATEVALUE("1/1/"&amp;TEXT(I219,"yy"))+1),"000")</f>
        <v>340</v>
      </c>
      <c r="L219" t="str">
        <f>J219</f>
        <v>333</v>
      </c>
    </row>
    <row r="220" spans="1:12">
      <c r="A220" s="2">
        <f>A219+1</f>
        <v>398</v>
      </c>
      <c r="B220" s="3">
        <v>197.83</v>
      </c>
      <c r="D220" s="3">
        <v>212.64</v>
      </c>
      <c r="F220" s="4">
        <f>AVERAGE(B220:C220)</f>
        <v>197.83</v>
      </c>
      <c r="G220" s="4">
        <f>AVERAGE(D220:E220)</f>
        <v>212.64</v>
      </c>
      <c r="H220" s="5">
        <v>38333</v>
      </c>
      <c r="I220" s="5">
        <v>38340</v>
      </c>
      <c r="J220" s="12" t="str">
        <f>TEXT((H220-DATEVALUE("1/1/"&amp;TEXT(H220,"yy"))+1),"000")</f>
        <v>347</v>
      </c>
      <c r="K220" s="12" t="str">
        <f>TEXT((I220-DATEVALUE("1/1/"&amp;TEXT(I220,"yy"))+1),"000")</f>
        <v>354</v>
      </c>
      <c r="L220" t="str">
        <f>J220</f>
        <v>347</v>
      </c>
    </row>
    <row r="221" spans="1:12">
      <c r="A221" s="2">
        <f>A220+1</f>
        <v>399</v>
      </c>
      <c r="B221" s="3">
        <v>200.01</v>
      </c>
      <c r="D221" s="3">
        <v>205.05</v>
      </c>
      <c r="F221" s="4">
        <f>AVERAGE(B221:C221)</f>
        <v>200.01</v>
      </c>
      <c r="G221" s="4">
        <f>AVERAGE(D221:E221)</f>
        <v>205.05</v>
      </c>
      <c r="H221" s="5">
        <v>38347</v>
      </c>
      <c r="I221" s="5">
        <v>38354</v>
      </c>
      <c r="J221" s="12" t="str">
        <f>TEXT((H221-DATEVALUE("1/1/"&amp;TEXT(H221,"yy"))+1),"000")</f>
        <v>361</v>
      </c>
      <c r="K221" s="12" t="str">
        <f>TEXT((I221-DATEVALUE("1/1/"&amp;TEXT(I221,"yy"))+1),"000")</f>
        <v>002</v>
      </c>
      <c r="L221" t="str">
        <f>J221</f>
        <v>361</v>
      </c>
    </row>
    <row r="222" spans="1:12">
      <c r="A222" s="2">
        <f>A221+1</f>
        <v>400</v>
      </c>
      <c r="B222" s="3">
        <v>184.21</v>
      </c>
      <c r="D222" s="3">
        <v>190.18</v>
      </c>
      <c r="F222" s="4">
        <f>AVERAGE(B222:C222)</f>
        <v>184.21</v>
      </c>
      <c r="G222" s="4">
        <f>AVERAGE(D222:E222)</f>
        <v>190.18</v>
      </c>
      <c r="H222" s="5">
        <v>38361</v>
      </c>
      <c r="I222" s="5">
        <v>38368</v>
      </c>
      <c r="J222" s="12" t="str">
        <f>TEXT((H222-DATEVALUE("1/1/"&amp;TEXT(H222,"yy"))+1),"000")</f>
        <v>009</v>
      </c>
      <c r="K222" s="12" t="str">
        <f>TEXT((I222-DATEVALUE("1/1/"&amp;TEXT(I222,"yy"))+1),"000")</f>
        <v>016</v>
      </c>
      <c r="L222" t="str">
        <f>J222</f>
        <v>009</v>
      </c>
    </row>
    <row r="223" spans="1:12">
      <c r="A223" s="2">
        <f>A222+1</f>
        <v>401</v>
      </c>
      <c r="B223" s="3">
        <v>165.99</v>
      </c>
      <c r="D223" s="3">
        <v>209.72</v>
      </c>
      <c r="F223" s="4">
        <f>AVERAGE(B223:C223)</f>
        <v>165.99</v>
      </c>
      <c r="G223" s="4">
        <f>AVERAGE(D223:E223)</f>
        <v>209.72</v>
      </c>
      <c r="H223" s="5">
        <v>38375</v>
      </c>
      <c r="I223" s="5">
        <v>38382</v>
      </c>
      <c r="J223" s="12" t="str">
        <f>TEXT((H223-DATEVALUE("1/1/"&amp;TEXT(H223,"yy"))+1),"000")</f>
        <v>023</v>
      </c>
      <c r="K223" s="12" t="str">
        <f>TEXT((I223-DATEVALUE("1/1/"&amp;TEXT(I223,"yy"))+1),"000")</f>
        <v>030</v>
      </c>
      <c r="L223" t="str">
        <f>J223</f>
        <v>023</v>
      </c>
    </row>
    <row r="224" spans="1:12">
      <c r="A224" s="2">
        <f>A223+1</f>
        <v>402</v>
      </c>
      <c r="B224" s="3">
        <v>238.3</v>
      </c>
      <c r="C224" s="3">
        <v>220.48</v>
      </c>
      <c r="D224" s="3">
        <v>201.19</v>
      </c>
      <c r="F224" s="4">
        <f>AVERAGE(B224:C224)</f>
        <v>229.39</v>
      </c>
      <c r="G224" s="4">
        <f>AVERAGE(D224:E224)</f>
        <v>201.19</v>
      </c>
      <c r="H224" s="5">
        <v>38389</v>
      </c>
      <c r="I224" s="5">
        <v>38396</v>
      </c>
      <c r="J224" s="12" t="str">
        <f>TEXT((H224-DATEVALUE("1/1/"&amp;TEXT(H224,"yy"))+1),"000")</f>
        <v>037</v>
      </c>
      <c r="K224" s="12" t="str">
        <f>TEXT((I224-DATEVALUE("1/1/"&amp;TEXT(I224,"yy"))+1),"000")</f>
        <v>044</v>
      </c>
      <c r="L224" t="str">
        <f>J224</f>
        <v>037</v>
      </c>
    </row>
    <row r="225" spans="1:12">
      <c r="A225" s="2">
        <f>A224+1</f>
        <v>403</v>
      </c>
      <c r="B225" s="3">
        <v>210.55</v>
      </c>
      <c r="C225" s="3">
        <v>219.04</v>
      </c>
      <c r="D225" s="3">
        <v>207.4</v>
      </c>
      <c r="F225" s="4">
        <f>AVERAGE(B225:C225)</f>
        <v>214.795</v>
      </c>
      <c r="G225" s="4">
        <f>AVERAGE(D225:E225)</f>
        <v>207.4</v>
      </c>
      <c r="H225" s="5">
        <v>38403</v>
      </c>
      <c r="I225" s="5">
        <v>38410</v>
      </c>
      <c r="J225" s="12" t="str">
        <f>TEXT((H225-DATEVALUE("1/1/"&amp;TEXT(H225,"yy"))+1),"000")</f>
        <v>051</v>
      </c>
      <c r="K225" s="12" t="str">
        <f>TEXT((I225-DATEVALUE("1/1/"&amp;TEXT(I225,"yy"))+1),"000")</f>
        <v>058</v>
      </c>
      <c r="L225" t="str">
        <f>J225</f>
        <v>051</v>
      </c>
    </row>
    <row r="226" spans="1:12">
      <c r="A226" s="2">
        <f>A225+1</f>
        <v>404</v>
      </c>
      <c r="B226" s="3">
        <v>202.25</v>
      </c>
      <c r="D226" s="3">
        <v>200.07</v>
      </c>
      <c r="F226" s="4">
        <f>AVERAGE(B226:C226)</f>
        <v>202.25</v>
      </c>
      <c r="G226" s="4">
        <f>AVERAGE(D226:E226)</f>
        <v>200.07</v>
      </c>
      <c r="H226" s="5">
        <v>38417</v>
      </c>
      <c r="I226" s="5">
        <v>38424</v>
      </c>
      <c r="J226" s="12" t="str">
        <f>TEXT((H226-DATEVALUE("1/1/"&amp;TEXT(H226,"yy"))+1),"000")</f>
        <v>065</v>
      </c>
      <c r="K226" s="12" t="str">
        <f>TEXT((I226-DATEVALUE("1/1/"&amp;TEXT(I226,"yy"))+1),"000")</f>
        <v>072</v>
      </c>
      <c r="L226" t="str">
        <f>J226</f>
        <v>065</v>
      </c>
    </row>
    <row r="227" spans="1:12">
      <c r="A227" s="2">
        <f>A226+1</f>
        <v>405</v>
      </c>
      <c r="B227" s="3">
        <v>206.56</v>
      </c>
      <c r="D227" s="3">
        <v>232.16</v>
      </c>
      <c r="F227" s="4">
        <f>AVERAGE(B227:C227)</f>
        <v>206.56</v>
      </c>
      <c r="G227" s="4">
        <f>AVERAGE(D227:E227)</f>
        <v>232.16</v>
      </c>
      <c r="H227" s="5">
        <v>38431</v>
      </c>
      <c r="I227" s="5">
        <v>38438</v>
      </c>
      <c r="J227" s="12" t="str">
        <f>TEXT((H227-DATEVALUE("1/1/"&amp;TEXT(H227,"yy"))+1),"000")</f>
        <v>079</v>
      </c>
      <c r="K227" s="12" t="str">
        <f>TEXT((I227-DATEVALUE("1/1/"&amp;TEXT(I227,"yy"))+1),"000")</f>
        <v>086</v>
      </c>
      <c r="L227" t="str">
        <f>J227</f>
        <v>079</v>
      </c>
    </row>
    <row r="228" spans="1:12">
      <c r="A228" s="2">
        <f>A227+1</f>
        <v>406</v>
      </c>
      <c r="B228" s="3">
        <v>216.91</v>
      </c>
      <c r="D228" s="3">
        <v>196.65</v>
      </c>
      <c r="F228" s="4">
        <f>AVERAGE(B228:C228)</f>
        <v>216.91</v>
      </c>
      <c r="G228" s="4">
        <f>AVERAGE(D228:E228)</f>
        <v>196.65</v>
      </c>
      <c r="H228" s="5">
        <v>38445</v>
      </c>
      <c r="I228" s="5">
        <v>38452</v>
      </c>
      <c r="J228" s="12" t="str">
        <f>TEXT((H228-DATEVALUE("1/1/"&amp;TEXT(H228,"yy"))+1),"000")</f>
        <v>093</v>
      </c>
      <c r="K228" s="12" t="str">
        <f>TEXT((I228-DATEVALUE("1/1/"&amp;TEXT(I228,"yy"))+1),"000")</f>
        <v>100</v>
      </c>
      <c r="L228" t="str">
        <f>J228</f>
        <v>093</v>
      </c>
    </row>
    <row r="229" spans="1:12">
      <c r="A229" s="2">
        <f>A228+1</f>
        <v>407</v>
      </c>
      <c r="B229" s="3">
        <v>180.68</v>
      </c>
      <c r="C229" s="3">
        <v>179.21</v>
      </c>
      <c r="D229" s="3">
        <v>214.57</v>
      </c>
      <c r="E229" s="3">
        <v>210.58</v>
      </c>
      <c r="F229" s="4">
        <f>AVERAGE(B229:C229)</f>
        <v>179.945</v>
      </c>
      <c r="G229" s="4">
        <f>AVERAGE(D229:E229)</f>
        <v>212.575</v>
      </c>
      <c r="H229" s="5">
        <v>38459</v>
      </c>
      <c r="I229" s="5">
        <v>38466</v>
      </c>
      <c r="J229" s="12" t="str">
        <f>TEXT((H229-DATEVALUE("1/1/"&amp;TEXT(H229,"yy"))+1),"000")</f>
        <v>107</v>
      </c>
      <c r="K229" s="12" t="str">
        <f>TEXT((I229-DATEVALUE("1/1/"&amp;TEXT(I229,"yy"))+1),"000")</f>
        <v>114</v>
      </c>
      <c r="L229" t="str">
        <f>J229</f>
        <v>107</v>
      </c>
    </row>
    <row r="230" spans="1:12">
      <c r="A230" s="2">
        <f>A229+1</f>
        <v>408</v>
      </c>
      <c r="B230" s="3">
        <v>178.67</v>
      </c>
      <c r="C230" s="3">
        <v>222.75</v>
      </c>
      <c r="D230" s="3">
        <v>186.39</v>
      </c>
      <c r="E230" s="3">
        <v>194.42</v>
      </c>
      <c r="F230" s="4">
        <f>AVERAGE(B230:C230)</f>
        <v>200.71</v>
      </c>
      <c r="G230" s="4">
        <f>AVERAGE(D230:E230)</f>
        <v>190.405</v>
      </c>
      <c r="H230" s="5">
        <v>38473</v>
      </c>
      <c r="I230" s="5">
        <v>38480</v>
      </c>
      <c r="J230" s="12" t="str">
        <f>TEXT((H230-DATEVALUE("1/1/"&amp;TEXT(H230,"yy"))+1),"000")</f>
        <v>121</v>
      </c>
      <c r="K230" s="12" t="str">
        <f>TEXT((I230-DATEVALUE("1/1/"&amp;TEXT(I230,"yy"))+1),"000")</f>
        <v>128</v>
      </c>
      <c r="L230" t="str">
        <f>J230</f>
        <v>121</v>
      </c>
    </row>
    <row r="231" spans="1:12">
      <c r="A231" s="2">
        <f>A230+1</f>
        <v>409</v>
      </c>
      <c r="B231" s="3">
        <v>186.43</v>
      </c>
      <c r="C231" s="3">
        <v>212.4</v>
      </c>
      <c r="D231" s="3">
        <v>195.95</v>
      </c>
      <c r="E231" s="3">
        <v>225.78</v>
      </c>
      <c r="F231" s="4">
        <f>AVERAGE(B231:C231)</f>
        <v>199.415</v>
      </c>
      <c r="G231" s="4">
        <f>AVERAGE(D231:E231)</f>
        <v>210.865</v>
      </c>
      <c r="H231" s="5">
        <v>38487</v>
      </c>
      <c r="I231" s="5">
        <v>38494</v>
      </c>
      <c r="J231" s="12" t="str">
        <f>TEXT((H231-DATEVALUE("1/1/"&amp;TEXT(H231,"yy"))+1),"000")</f>
        <v>135</v>
      </c>
      <c r="K231" s="12" t="str">
        <f>TEXT((I231-DATEVALUE("1/1/"&amp;TEXT(I231,"yy"))+1),"000")</f>
        <v>142</v>
      </c>
      <c r="L231" t="str">
        <f>J231</f>
        <v>135</v>
      </c>
    </row>
    <row r="232" spans="1:12">
      <c r="A232" s="2">
        <f>A231+1</f>
        <v>410</v>
      </c>
      <c r="B232" s="3">
        <v>169.36</v>
      </c>
      <c r="C232" s="3">
        <v>165.97</v>
      </c>
      <c r="D232" s="3">
        <v>173.03</v>
      </c>
      <c r="E232" s="3">
        <v>183.21</v>
      </c>
      <c r="F232" s="4">
        <f>AVERAGE(B232:C232)</f>
        <v>167.665</v>
      </c>
      <c r="G232" s="4">
        <f>AVERAGE(D232:E232)</f>
        <v>178.12</v>
      </c>
      <c r="H232" s="5">
        <v>38501</v>
      </c>
      <c r="I232" s="5">
        <v>38508</v>
      </c>
      <c r="J232" s="12" t="str">
        <f>TEXT((H232-DATEVALUE("1/1/"&amp;TEXT(H232,"yy"))+1),"000")</f>
        <v>149</v>
      </c>
      <c r="K232" s="12" t="str">
        <f>TEXT((I232-DATEVALUE("1/1/"&amp;TEXT(I232,"yy"))+1),"000")</f>
        <v>156</v>
      </c>
      <c r="L232" t="str">
        <f>J232</f>
        <v>149</v>
      </c>
    </row>
    <row r="233" spans="1:12">
      <c r="A233" s="2">
        <f>A232+1</f>
        <v>411</v>
      </c>
      <c r="B233" s="3">
        <v>237.05</v>
      </c>
      <c r="C233" s="3">
        <v>247.87</v>
      </c>
      <c r="D233" s="3">
        <v>189.66</v>
      </c>
      <c r="E233" s="3">
        <v>188.69</v>
      </c>
      <c r="F233" s="4">
        <f>AVERAGE(B233:C233)</f>
        <v>242.46</v>
      </c>
      <c r="G233" s="4">
        <f>AVERAGE(D233:E233)</f>
        <v>189.175</v>
      </c>
      <c r="H233" s="5">
        <v>38515</v>
      </c>
      <c r="I233" s="5">
        <v>38522</v>
      </c>
      <c r="J233" s="12" t="str">
        <f>TEXT((H233-DATEVALUE("1/1/"&amp;TEXT(H233,"yy"))+1),"000")</f>
        <v>163</v>
      </c>
      <c r="K233" s="12" t="str">
        <f>TEXT((I233-DATEVALUE("1/1/"&amp;TEXT(I233,"yy"))+1),"000")</f>
        <v>170</v>
      </c>
      <c r="L233" t="str">
        <f>J233</f>
        <v>163</v>
      </c>
    </row>
    <row r="234" spans="1:12">
      <c r="A234" s="13">
        <f>A233+1</f>
        <v>412</v>
      </c>
      <c r="B234" s="14"/>
      <c r="D234" s="3">
        <v>190.61</v>
      </c>
      <c r="E234" s="3">
        <v>204.85</v>
      </c>
      <c r="G234" s="4">
        <f>AVERAGE(D234:E234)</f>
        <v>197.73</v>
      </c>
      <c r="I234" s="5">
        <v>38536</v>
      </c>
      <c r="K234" s="12" t="str">
        <f>TEXT((I234-DATEVALUE("1/1/"&amp;TEXT(I234,"yy"))+1),"000")</f>
        <v>184</v>
      </c>
      <c r="L234">
        <f>J234</f>
        <v>0</v>
      </c>
    </row>
    <row r="235" spans="1:12">
      <c r="A235" s="2">
        <f>A234+1</f>
        <v>413</v>
      </c>
      <c r="B235" s="3">
        <v>205.45</v>
      </c>
      <c r="D235" s="3">
        <v>191.85</v>
      </c>
      <c r="E235" s="3">
        <v>191.53</v>
      </c>
      <c r="F235" s="4">
        <f t="shared" ref="F235:F238" si="72">AVERAGE(B235:C235)</f>
        <v>205.45</v>
      </c>
      <c r="G235" s="4">
        <f>AVERAGE(D235:E235)</f>
        <v>191.69</v>
      </c>
      <c r="H235" s="5">
        <v>38543</v>
      </c>
      <c r="I235" s="5">
        <v>38550</v>
      </c>
      <c r="J235" s="12" t="str">
        <f t="shared" ref="J235:J238" si="73">TEXT((H235-DATEVALUE("1/1/"&amp;TEXT(H235,"yy"))+1),"000")</f>
        <v>191</v>
      </c>
      <c r="K235" s="12" t="str">
        <f>TEXT((I235-DATEVALUE("1/1/"&amp;TEXT(I235,"yy"))+1),"000")</f>
        <v>198</v>
      </c>
      <c r="L235" t="str">
        <f>J235</f>
        <v>191</v>
      </c>
    </row>
    <row r="236" spans="1:12">
      <c r="A236" s="2">
        <f>A235+1</f>
        <v>414</v>
      </c>
      <c r="B236" s="3">
        <v>192.78</v>
      </c>
      <c r="C236" s="3">
        <v>201.99</v>
      </c>
      <c r="F236" s="4">
        <f>AVERAGE(B236:C236)</f>
        <v>197.385</v>
      </c>
      <c r="H236" s="5">
        <v>38557</v>
      </c>
      <c r="J236" s="12" t="str">
        <f>TEXT((H236-DATEVALUE("1/1/"&amp;TEXT(H236,"yy"))+1),"000")</f>
        <v>205</v>
      </c>
      <c r="L236" t="str">
        <f>J236</f>
        <v>205</v>
      </c>
    </row>
    <row r="237" spans="1:12">
      <c r="A237" s="2">
        <f>A236+1</f>
        <v>415</v>
      </c>
      <c r="B237" s="3">
        <v>216.14</v>
      </c>
      <c r="C237" s="3">
        <v>217.34</v>
      </c>
      <c r="D237" s="3">
        <v>173.55</v>
      </c>
      <c r="E237" s="3">
        <v>172.09</v>
      </c>
      <c r="F237" s="4">
        <f>AVERAGE(B237:C237)</f>
        <v>216.74</v>
      </c>
      <c r="G237" s="4">
        <f t="shared" ref="G237:G245" si="74">AVERAGE(D237:E237)</f>
        <v>172.82</v>
      </c>
      <c r="H237" s="5">
        <v>38571</v>
      </c>
      <c r="I237" s="5">
        <v>38578</v>
      </c>
      <c r="J237" s="12" t="str">
        <f>TEXT((H237-DATEVALUE("1/1/"&amp;TEXT(H237,"yy"))+1),"000")</f>
        <v>219</v>
      </c>
      <c r="K237" s="12" t="str">
        <f t="shared" ref="K237:K245" si="75">TEXT((I237-DATEVALUE("1/1/"&amp;TEXT(I237,"yy"))+1),"000")</f>
        <v>226</v>
      </c>
      <c r="L237" t="str">
        <f>J237</f>
        <v>219</v>
      </c>
    </row>
    <row r="238" spans="1:12">
      <c r="A238" s="2">
        <f>A237+1</f>
        <v>416</v>
      </c>
      <c r="B238" s="3">
        <v>199.53</v>
      </c>
      <c r="C238" s="3">
        <v>184.6</v>
      </c>
      <c r="D238" s="3">
        <v>177.04</v>
      </c>
      <c r="E238" s="3">
        <v>184.56</v>
      </c>
      <c r="F238" s="4">
        <f>AVERAGE(B238:C238)</f>
        <v>192.065</v>
      </c>
      <c r="G238" s="4">
        <f>AVERAGE(D238:E238)</f>
        <v>180.8</v>
      </c>
      <c r="H238" s="5">
        <v>38585</v>
      </c>
      <c r="I238" s="5">
        <v>38592</v>
      </c>
      <c r="J238" s="12" t="str">
        <f>TEXT((H238-DATEVALUE("1/1/"&amp;TEXT(H238,"yy"))+1),"000")</f>
        <v>233</v>
      </c>
      <c r="K238" s="12" t="str">
        <f>TEXT((I238-DATEVALUE("1/1/"&amp;TEXT(I238,"yy"))+1),"000")</f>
        <v>240</v>
      </c>
      <c r="L238" t="str">
        <f>J238</f>
        <v>233</v>
      </c>
    </row>
    <row r="239" spans="1:12">
      <c r="A239" s="2">
        <f>A238+1</f>
        <v>417</v>
      </c>
      <c r="D239" s="3">
        <v>190.95</v>
      </c>
      <c r="E239" s="3">
        <v>169.13</v>
      </c>
      <c r="G239" s="4">
        <f>AVERAGE(D239:E239)</f>
        <v>180.04</v>
      </c>
      <c r="I239" s="5">
        <v>38606</v>
      </c>
      <c r="K239" s="12" t="str">
        <f>TEXT((I239-DATEVALUE("1/1/"&amp;TEXT(I239,"yy"))+1),"000")</f>
        <v>254</v>
      </c>
      <c r="L239">
        <f>J239</f>
        <v>0</v>
      </c>
    </row>
    <row r="240" spans="1:12">
      <c r="A240" s="2">
        <f>A239+1</f>
        <v>418</v>
      </c>
      <c r="B240" s="3">
        <v>212.23</v>
      </c>
      <c r="C240" s="3">
        <v>215.33</v>
      </c>
      <c r="D240" s="3">
        <v>204.6</v>
      </c>
      <c r="E240" s="3">
        <v>219.43</v>
      </c>
      <c r="F240" s="4">
        <v>213.78</v>
      </c>
      <c r="G240" s="4">
        <f>AVERAGE(D240:E240)</f>
        <v>212.015</v>
      </c>
      <c r="H240" s="5">
        <v>38613</v>
      </c>
      <c r="I240" s="5">
        <v>38620</v>
      </c>
      <c r="J240" s="12" t="str">
        <f>TEXT((H240-DATEVALUE("1/1/"&amp;TEXT(H240,"yy"))+1),"000")</f>
        <v>261</v>
      </c>
      <c r="K240" s="12" t="str">
        <f>TEXT((I240-DATEVALUE("1/1/"&amp;TEXT(I240,"yy"))+1),"000")</f>
        <v>268</v>
      </c>
      <c r="L240" t="str">
        <f>J240</f>
        <v>261</v>
      </c>
    </row>
    <row r="241" spans="1:12">
      <c r="A241" s="2">
        <f>A240+1</f>
        <v>419</v>
      </c>
      <c r="D241" s="3">
        <v>220.22</v>
      </c>
      <c r="E241" s="3">
        <v>193.03</v>
      </c>
      <c r="G241" s="4">
        <f>AVERAGE(D241:E241)</f>
        <v>206.625</v>
      </c>
      <c r="I241" s="5">
        <v>38634</v>
      </c>
      <c r="K241" s="12" t="str">
        <f>TEXT((I241-DATEVALUE("1/1/"&amp;TEXT(I241,"yy"))+1),"000")</f>
        <v>282</v>
      </c>
      <c r="L241">
        <f>J241</f>
        <v>0</v>
      </c>
    </row>
    <row r="242" spans="1:12">
      <c r="A242" s="2">
        <f>A241+1</f>
        <v>420</v>
      </c>
      <c r="B242" s="3">
        <v>180.19</v>
      </c>
      <c r="C242" s="3">
        <v>192.14</v>
      </c>
      <c r="D242" s="3">
        <v>140.33</v>
      </c>
      <c r="E242" s="3">
        <v>138.39</v>
      </c>
      <c r="F242" s="4">
        <f t="shared" ref="F242:F246" si="76">AVERAGE(B242:C242)</f>
        <v>186.165</v>
      </c>
      <c r="G242" s="4">
        <f>AVERAGE(D242:E242)</f>
        <v>139.36</v>
      </c>
      <c r="H242" s="5">
        <v>38641</v>
      </c>
      <c r="I242" s="5">
        <v>38648</v>
      </c>
      <c r="J242" s="12" t="str">
        <f t="shared" ref="J242:J246" si="77">TEXT((H242-DATEVALUE("1/1/"&amp;TEXT(H242,"yy"))+1),"000")</f>
        <v>289</v>
      </c>
      <c r="K242" s="12" t="str">
        <f>TEXT((I242-DATEVALUE("1/1/"&amp;TEXT(I242,"yy"))+1),"000")</f>
        <v>296</v>
      </c>
      <c r="L242" t="str">
        <f>J242</f>
        <v>289</v>
      </c>
    </row>
    <row r="243" spans="1:12">
      <c r="A243" s="2">
        <f>A242+1</f>
        <v>421</v>
      </c>
      <c r="B243" s="3">
        <v>156.65</v>
      </c>
      <c r="C243" s="3">
        <v>143.13</v>
      </c>
      <c r="D243" s="3">
        <v>169.41</v>
      </c>
      <c r="E243" s="3">
        <v>201.57</v>
      </c>
      <c r="F243" s="4">
        <f>AVERAGE(B243:C243)</f>
        <v>149.89</v>
      </c>
      <c r="G243" s="4">
        <f>AVERAGE(D243:E243)</f>
        <v>185.49</v>
      </c>
      <c r="H243" s="5">
        <v>38655</v>
      </c>
      <c r="I243" s="5">
        <v>38662</v>
      </c>
      <c r="J243" s="12" t="str">
        <f>TEXT((H243-DATEVALUE("1/1/"&amp;TEXT(H243,"yy"))+1),"000")</f>
        <v>303</v>
      </c>
      <c r="K243" s="12" t="str">
        <f>TEXT((I243-DATEVALUE("1/1/"&amp;TEXT(I243,"yy"))+1),"000")</f>
        <v>310</v>
      </c>
      <c r="L243" t="str">
        <f>J243</f>
        <v>303</v>
      </c>
    </row>
    <row r="244" spans="1:12">
      <c r="A244" s="2">
        <f>A243+1</f>
        <v>422</v>
      </c>
      <c r="B244" s="3">
        <v>154.54</v>
      </c>
      <c r="C244" s="3">
        <v>173.76</v>
      </c>
      <c r="D244" s="3">
        <v>142.63</v>
      </c>
      <c r="E244" s="3">
        <v>154.9</v>
      </c>
      <c r="F244" s="4">
        <f>AVERAGE(B244:C244)</f>
        <v>164.15</v>
      </c>
      <c r="G244" s="4">
        <f>AVERAGE(D244:E244)</f>
        <v>148.765</v>
      </c>
      <c r="H244" s="5">
        <v>38669</v>
      </c>
      <c r="I244" s="5">
        <v>38676</v>
      </c>
      <c r="J244" s="12" t="str">
        <f>TEXT((H244-DATEVALUE("1/1/"&amp;TEXT(H244,"yy"))+1),"000")</f>
        <v>317</v>
      </c>
      <c r="K244" s="12" t="str">
        <f>TEXT((I244-DATEVALUE("1/1/"&amp;TEXT(I244,"yy"))+1),"000")</f>
        <v>324</v>
      </c>
      <c r="L244" t="str">
        <f>J244</f>
        <v>317</v>
      </c>
    </row>
    <row r="245" spans="1:12">
      <c r="A245" s="2">
        <f>A244+1</f>
        <v>423</v>
      </c>
      <c r="B245" s="3">
        <v>152.6</v>
      </c>
      <c r="C245" s="3">
        <v>175.17</v>
      </c>
      <c r="D245" s="3">
        <v>183.4</v>
      </c>
      <c r="E245" s="3">
        <v>160.22</v>
      </c>
      <c r="F245" s="4">
        <f>AVERAGE(B245:C245)</f>
        <v>163.885</v>
      </c>
      <c r="G245" s="4">
        <f>AVERAGE(D245:E245)</f>
        <v>171.81</v>
      </c>
      <c r="H245" s="5">
        <v>38683</v>
      </c>
      <c r="I245" s="5">
        <v>38690</v>
      </c>
      <c r="J245" s="12" t="str">
        <f>TEXT((H245-DATEVALUE("1/1/"&amp;TEXT(H245,"yy"))+1),"000")</f>
        <v>331</v>
      </c>
      <c r="K245" s="12" t="str">
        <f>TEXT((I245-DATEVALUE("1/1/"&amp;TEXT(I245,"yy"))+1),"000")</f>
        <v>338</v>
      </c>
      <c r="L245" t="str">
        <f>J245</f>
        <v>331</v>
      </c>
    </row>
    <row r="246" spans="1:12">
      <c r="A246" s="2">
        <f>A245+1</f>
        <v>424</v>
      </c>
      <c r="B246" s="3">
        <v>165.97</v>
      </c>
      <c r="C246" s="3">
        <v>174.6</v>
      </c>
      <c r="F246" s="4">
        <f>AVERAGE(B246:C246)</f>
        <v>170.285</v>
      </c>
      <c r="H246" s="5">
        <v>38697</v>
      </c>
      <c r="J246" s="12" t="str">
        <f>TEXT((H246-DATEVALUE("1/1/"&amp;TEXT(H246,"yy"))+1),"000")</f>
        <v>345</v>
      </c>
      <c r="L246" t="str">
        <f>J246</f>
        <v>345</v>
      </c>
    </row>
    <row r="247" spans="1:12">
      <c r="A247" s="2">
        <f>A246+1</f>
        <v>425</v>
      </c>
      <c r="L247">
        <f>J247</f>
        <v>0</v>
      </c>
    </row>
    <row r="248" spans="1:12">
      <c r="A248" s="2">
        <f>A247+1</f>
        <v>426</v>
      </c>
      <c r="B248" s="3">
        <v>197.93</v>
      </c>
      <c r="C248" s="3">
        <v>179.28</v>
      </c>
      <c r="F248" s="4">
        <f t="shared" ref="F248:F271" si="78">AVERAGE(B248:C248)</f>
        <v>188.605</v>
      </c>
      <c r="H248" s="5">
        <v>38725</v>
      </c>
      <c r="J248" s="12" t="str">
        <f t="shared" ref="J248:J271" si="79">TEXT((H248-DATEVALUE("1/1/"&amp;TEXT(H248,"yy"))+1),"000")</f>
        <v>008</v>
      </c>
      <c r="L248" t="str">
        <f>J248</f>
        <v>008</v>
      </c>
    </row>
    <row r="249" spans="1:12">
      <c r="A249" s="2">
        <f>A248+1</f>
        <v>427</v>
      </c>
      <c r="B249" s="3">
        <v>138.68</v>
      </c>
      <c r="C249" s="3">
        <v>167.42</v>
      </c>
      <c r="D249" s="3">
        <v>197.01</v>
      </c>
      <c r="E249" s="3">
        <v>191.86</v>
      </c>
      <c r="F249" s="4">
        <f>AVERAGE(B249:C249)</f>
        <v>153.05</v>
      </c>
      <c r="G249" s="4">
        <f t="shared" ref="G249:G263" si="80">AVERAGE(D249:E249)</f>
        <v>194.435</v>
      </c>
      <c r="H249" s="5">
        <v>38739</v>
      </c>
      <c r="I249" s="5">
        <v>38746</v>
      </c>
      <c r="J249" s="12" t="str">
        <f>TEXT((H249-DATEVALUE("1/1/"&amp;TEXT(H249,"yy"))+1),"000")</f>
        <v>022</v>
      </c>
      <c r="K249" s="12" t="str">
        <f t="shared" ref="K249:K250" si="81">TEXT((I249-DATEVALUE("1/1/"&amp;TEXT(I249,"yy"))+1),"000")</f>
        <v>029</v>
      </c>
      <c r="L249" t="str">
        <f>J249</f>
        <v>022</v>
      </c>
    </row>
    <row r="250" spans="1:12">
      <c r="A250" s="2">
        <f>A249+1</f>
        <v>428</v>
      </c>
      <c r="B250" s="3">
        <v>235.01</v>
      </c>
      <c r="C250" s="3">
        <v>230.13</v>
      </c>
      <c r="D250" s="3">
        <v>203.91</v>
      </c>
      <c r="E250" s="3">
        <v>195.28</v>
      </c>
      <c r="F250" s="4">
        <f>AVERAGE(B250:C250)</f>
        <v>232.57</v>
      </c>
      <c r="G250" s="4">
        <f>AVERAGE(D250:E250)</f>
        <v>199.595</v>
      </c>
      <c r="H250" s="5">
        <v>38753</v>
      </c>
      <c r="I250" s="5">
        <v>38760</v>
      </c>
      <c r="J250" s="12" t="str">
        <f>TEXT((H250-DATEVALUE("1/1/"&amp;TEXT(H250,"yy"))+1),"000")</f>
        <v>036</v>
      </c>
      <c r="K250" s="12" t="str">
        <f>TEXT((I250-DATEVALUE("1/1/"&amp;TEXT(I250,"yy"))+1),"000")</f>
        <v>043</v>
      </c>
      <c r="L250" t="str">
        <f>J250</f>
        <v>036</v>
      </c>
    </row>
    <row r="251" spans="1:12">
      <c r="A251" s="2">
        <f>A250+1</f>
        <v>429</v>
      </c>
      <c r="B251" s="3">
        <v>190.22</v>
      </c>
      <c r="C251" s="3">
        <v>194.7</v>
      </c>
      <c r="F251" s="4">
        <f>AVERAGE(B251:C251)</f>
        <v>192.46</v>
      </c>
      <c r="H251" s="5">
        <v>38767</v>
      </c>
      <c r="J251" s="12" t="str">
        <f>TEXT((H251-DATEVALUE("1/1/"&amp;TEXT(H251,"yy"))+1),"000")</f>
        <v>050</v>
      </c>
      <c r="L251" t="str">
        <f>J251</f>
        <v>050</v>
      </c>
    </row>
    <row r="252" spans="1:12">
      <c r="A252" s="2">
        <f>A251+1</f>
        <v>430</v>
      </c>
      <c r="B252" s="3">
        <v>179.38</v>
      </c>
      <c r="C252" s="3">
        <v>177.03</v>
      </c>
      <c r="D252" s="3">
        <v>187.74</v>
      </c>
      <c r="E252" s="3">
        <v>200.73</v>
      </c>
      <c r="F252" s="4">
        <f>AVERAGE(B252:C252)</f>
        <v>178.205</v>
      </c>
      <c r="G252" s="4">
        <f t="shared" ref="G252:G263" si="82">AVERAGE(D252:E252)</f>
        <v>194.235</v>
      </c>
      <c r="H252" s="5">
        <v>38781</v>
      </c>
      <c r="I252" s="5">
        <v>38788</v>
      </c>
      <c r="J252" s="12" t="str">
        <f>TEXT((H252-DATEVALUE("1/1/"&amp;TEXT(H252,"yy"))+1),"000")</f>
        <v>064</v>
      </c>
      <c r="K252" s="12" t="str">
        <f t="shared" ref="K252:K263" si="83">TEXT((I252-DATEVALUE("1/1/"&amp;TEXT(I252,"yy"))+1),"000")</f>
        <v>071</v>
      </c>
      <c r="L252" t="str">
        <f>J252</f>
        <v>064</v>
      </c>
    </row>
    <row r="253" spans="1:12">
      <c r="A253" s="2">
        <f>A252+1</f>
        <v>431</v>
      </c>
      <c r="B253" s="3">
        <v>204.62</v>
      </c>
      <c r="C253" s="3">
        <v>184.86</v>
      </c>
      <c r="D253" s="3">
        <v>207.39</v>
      </c>
      <c r="E253" s="3">
        <v>189.36</v>
      </c>
      <c r="F253" s="4">
        <f>AVERAGE(B253:C253)</f>
        <v>194.74</v>
      </c>
      <c r="G253" s="4">
        <f>AVERAGE(D253:E253)</f>
        <v>198.375</v>
      </c>
      <c r="H253" s="5">
        <v>38795</v>
      </c>
      <c r="I253" s="5">
        <v>38802</v>
      </c>
      <c r="J253" s="12" t="str">
        <f>TEXT((H253-DATEVALUE("1/1/"&amp;TEXT(H253,"yy"))+1),"000")</f>
        <v>078</v>
      </c>
      <c r="K253" s="12" t="str">
        <f>TEXT((I253-DATEVALUE("1/1/"&amp;TEXT(I253,"yy"))+1),"000")</f>
        <v>085</v>
      </c>
      <c r="L253" t="str">
        <f>J253</f>
        <v>078</v>
      </c>
    </row>
    <row r="254" spans="1:12">
      <c r="A254" s="2">
        <f>A253+1</f>
        <v>432</v>
      </c>
      <c r="B254" s="3">
        <v>211.54</v>
      </c>
      <c r="C254" s="3">
        <v>218.23</v>
      </c>
      <c r="D254" s="3">
        <v>221.62</v>
      </c>
      <c r="E254" s="3">
        <v>204.97</v>
      </c>
      <c r="F254" s="4">
        <f>AVERAGE(B254:C254)</f>
        <v>214.885</v>
      </c>
      <c r="G254" s="4">
        <f>AVERAGE(D254:E254)</f>
        <v>213.295</v>
      </c>
      <c r="H254" s="5">
        <v>38809</v>
      </c>
      <c r="I254" s="5">
        <v>38816</v>
      </c>
      <c r="J254" s="12" t="str">
        <f>TEXT((H254-DATEVALUE("1/1/"&amp;TEXT(H254,"yy"))+1),"000")</f>
        <v>092</v>
      </c>
      <c r="K254" s="12" t="str">
        <f>TEXT((I254-DATEVALUE("1/1/"&amp;TEXT(I254,"yy"))+1),"000")</f>
        <v>099</v>
      </c>
      <c r="L254" t="str">
        <f>J254</f>
        <v>092</v>
      </c>
    </row>
    <row r="255" spans="1:12">
      <c r="A255" s="2">
        <f>A254+1</f>
        <v>433</v>
      </c>
      <c r="B255" s="3">
        <v>180.17</v>
      </c>
      <c r="C255" s="3">
        <v>202.35</v>
      </c>
      <c r="D255" s="3">
        <v>191.56</v>
      </c>
      <c r="E255" s="3">
        <v>206.81</v>
      </c>
      <c r="F255" s="4">
        <f>AVERAGE(B255:C255)</f>
        <v>191.26</v>
      </c>
      <c r="G255" s="4">
        <f>AVERAGE(D255:E255)</f>
        <v>199.185</v>
      </c>
      <c r="H255" s="5">
        <v>38823</v>
      </c>
      <c r="I255" s="5">
        <v>38830</v>
      </c>
      <c r="J255" s="12" t="str">
        <f>TEXT((H255-DATEVALUE("1/1/"&amp;TEXT(H255,"yy"))+1),"000")</f>
        <v>106</v>
      </c>
      <c r="K255" s="12" t="str">
        <f>TEXT((I255-DATEVALUE("1/1/"&amp;TEXT(I255,"yy"))+1),"000")</f>
        <v>113</v>
      </c>
      <c r="L255" t="str">
        <f>J255</f>
        <v>106</v>
      </c>
    </row>
    <row r="256" spans="1:12">
      <c r="A256" s="2">
        <f>A255+1</f>
        <v>434</v>
      </c>
      <c r="B256" s="3">
        <v>195.02</v>
      </c>
      <c r="C256" s="3">
        <v>213.87</v>
      </c>
      <c r="D256" s="3">
        <v>200.87</v>
      </c>
      <c r="E256" s="3">
        <v>216.14</v>
      </c>
      <c r="F256" s="4">
        <f>AVERAGE(B256:C256)</f>
        <v>204.445</v>
      </c>
      <c r="G256" s="4">
        <f>AVERAGE(D256:E256)</f>
        <v>208.505</v>
      </c>
      <c r="H256" s="5">
        <v>38837</v>
      </c>
      <c r="I256" s="5">
        <v>38844</v>
      </c>
      <c r="J256" s="12" t="str">
        <f>TEXT((H256-DATEVALUE("1/1/"&amp;TEXT(H256,"yy"))+1),"000")</f>
        <v>120</v>
      </c>
      <c r="K256" s="12" t="str">
        <f>TEXT((I256-DATEVALUE("1/1/"&amp;TEXT(I256,"yy"))+1),"000")</f>
        <v>127</v>
      </c>
      <c r="L256" t="str">
        <f>J256</f>
        <v>120</v>
      </c>
    </row>
    <row r="257" spans="1:12">
      <c r="A257" s="2">
        <v>435</v>
      </c>
      <c r="B257" s="3">
        <v>228.31</v>
      </c>
      <c r="C257" s="3">
        <v>228.11</v>
      </c>
      <c r="D257" s="3">
        <v>219.5</v>
      </c>
      <c r="E257" s="3">
        <v>210.83</v>
      </c>
      <c r="F257" s="4">
        <f>AVERAGE(B257:C257)</f>
        <v>228.21</v>
      </c>
      <c r="G257" s="4">
        <f>AVERAGE(D257:E257)</f>
        <v>215.165</v>
      </c>
      <c r="H257" s="5">
        <v>38851</v>
      </c>
      <c r="I257" s="5">
        <v>38858</v>
      </c>
      <c r="J257" s="12" t="str">
        <f>TEXT((H257-DATEVALUE("1/1/"&amp;TEXT(H257,"yy"))+1),"000")</f>
        <v>134</v>
      </c>
      <c r="K257" s="12" t="str">
        <f>TEXT((I257-DATEVALUE("1/1/"&amp;TEXT(I257,"yy"))+1),"000")</f>
        <v>141</v>
      </c>
      <c r="L257" t="str">
        <f>J257</f>
        <v>134</v>
      </c>
    </row>
    <row r="258" spans="1:12">
      <c r="A258" s="2">
        <v>436</v>
      </c>
      <c r="B258" s="3">
        <v>212.42</v>
      </c>
      <c r="C258" s="3">
        <v>212.73</v>
      </c>
      <c r="D258" s="3">
        <v>206.32</v>
      </c>
      <c r="E258" s="3">
        <v>213.79</v>
      </c>
      <c r="F258" s="4">
        <f>AVERAGE(B258:C258)</f>
        <v>212.575</v>
      </c>
      <c r="G258" s="4">
        <f>AVERAGE(D258:E258)</f>
        <v>210.055</v>
      </c>
      <c r="H258" s="5">
        <v>38865</v>
      </c>
      <c r="I258" s="5">
        <v>38872</v>
      </c>
      <c r="J258" s="12" t="str">
        <f>TEXT((H258-DATEVALUE("1/1/"&amp;TEXT(H258,"yy"))+1),"000")</f>
        <v>148</v>
      </c>
      <c r="K258" s="12" t="str">
        <f>TEXT((I258-DATEVALUE("1/1/"&amp;TEXT(I258,"yy"))+1),"000")</f>
        <v>155</v>
      </c>
      <c r="L258" t="str">
        <f>J258</f>
        <v>148</v>
      </c>
    </row>
    <row r="259" spans="1:12">
      <c r="A259" s="2">
        <v>437</v>
      </c>
      <c r="B259" s="3">
        <v>159.66</v>
      </c>
      <c r="C259" s="3">
        <v>185.57</v>
      </c>
      <c r="D259" s="3">
        <v>188.41</v>
      </c>
      <c r="E259" s="3">
        <v>217.82</v>
      </c>
      <c r="F259" s="4">
        <f>AVERAGE(B259:C259)</f>
        <v>172.615</v>
      </c>
      <c r="G259" s="4">
        <f>AVERAGE(D259:E259)</f>
        <v>203.115</v>
      </c>
      <c r="H259" s="5">
        <v>38879</v>
      </c>
      <c r="I259" s="5">
        <v>38886</v>
      </c>
      <c r="J259" s="12" t="str">
        <f>TEXT((H259-DATEVALUE("1/1/"&amp;TEXT(H259,"yy"))+1),"000")</f>
        <v>162</v>
      </c>
      <c r="K259" s="12" t="str">
        <f>TEXT((I259-DATEVALUE("1/1/"&amp;TEXT(I259,"yy"))+1),"000")</f>
        <v>169</v>
      </c>
      <c r="L259" t="str">
        <f>J259</f>
        <v>162</v>
      </c>
    </row>
    <row r="260" spans="1:12">
      <c r="A260" s="2">
        <v>438</v>
      </c>
      <c r="B260" s="3">
        <v>217.99</v>
      </c>
      <c r="C260" s="3">
        <v>230.14</v>
      </c>
      <c r="D260" s="3">
        <v>215.11</v>
      </c>
      <c r="E260" s="3">
        <v>224.11</v>
      </c>
      <c r="F260" s="4">
        <f>AVERAGE(B260:C260)</f>
        <v>224.065</v>
      </c>
      <c r="G260" s="4">
        <f>AVERAGE(D260:E260)</f>
        <v>219.61</v>
      </c>
      <c r="H260" s="5">
        <v>38893</v>
      </c>
      <c r="I260" s="5">
        <v>38899</v>
      </c>
      <c r="J260" s="12" t="str">
        <f>TEXT((H260-DATEVALUE("1/1/"&amp;TEXT(H260,"yy"))+1),"000")</f>
        <v>176</v>
      </c>
      <c r="K260" s="12" t="str">
        <f>TEXT((I260-DATEVALUE("1/1/"&amp;TEXT(I260,"yy"))+1),"000")</f>
        <v>182</v>
      </c>
      <c r="L260" t="str">
        <f>J260</f>
        <v>176</v>
      </c>
    </row>
    <row r="261" spans="1:12">
      <c r="A261" s="2">
        <v>439</v>
      </c>
      <c r="B261" s="3">
        <v>181.11</v>
      </c>
      <c r="C261" s="3">
        <v>215.07</v>
      </c>
      <c r="D261" s="3">
        <v>191.97</v>
      </c>
      <c r="E261" s="3">
        <v>221.55</v>
      </c>
      <c r="F261" s="4">
        <f>AVERAGE(B261:C261)</f>
        <v>198.09</v>
      </c>
      <c r="G261" s="4">
        <f>AVERAGE(D261:E261)</f>
        <v>206.76</v>
      </c>
      <c r="H261" s="5">
        <v>38907</v>
      </c>
      <c r="I261" s="5">
        <v>38914</v>
      </c>
      <c r="J261" s="12" t="str">
        <f>TEXT((H261-DATEVALUE("1/1/"&amp;TEXT(H261,"yy"))+1),"000")</f>
        <v>190</v>
      </c>
      <c r="K261" s="12" t="str">
        <f>TEXT((I261-DATEVALUE("1/1/"&amp;TEXT(I261,"yy"))+1),"000")</f>
        <v>197</v>
      </c>
      <c r="L261" t="str">
        <f>J261</f>
        <v>190</v>
      </c>
    </row>
    <row r="262" spans="1:12">
      <c r="A262" s="2">
        <v>440</v>
      </c>
      <c r="B262" s="3">
        <v>227.43</v>
      </c>
      <c r="C262" s="3">
        <v>218.48</v>
      </c>
      <c r="D262" s="3">
        <v>218.61</v>
      </c>
      <c r="E262" s="3">
        <v>227.86</v>
      </c>
      <c r="F262" s="4">
        <f>AVERAGE(B262:C262)</f>
        <v>222.955</v>
      </c>
      <c r="G262" s="4">
        <f>AVERAGE(D262:E262)</f>
        <v>223.235</v>
      </c>
      <c r="H262" s="5">
        <v>38921</v>
      </c>
      <c r="I262" s="5">
        <v>38928</v>
      </c>
      <c r="J262" s="12" t="str">
        <f>TEXT((H262-DATEVALUE("1/1/"&amp;TEXT(H262,"yy"))+1),"000")</f>
        <v>204</v>
      </c>
      <c r="K262" s="12" t="str">
        <f>TEXT((I262-DATEVALUE("1/1/"&amp;TEXT(I262,"yy"))+1),"000")</f>
        <v>211</v>
      </c>
      <c r="L262" t="str">
        <f>J262</f>
        <v>204</v>
      </c>
    </row>
    <row r="263" spans="1:12">
      <c r="A263" s="2">
        <v>441</v>
      </c>
      <c r="B263" s="3">
        <v>210.87</v>
      </c>
      <c r="C263" s="3">
        <v>214.26</v>
      </c>
      <c r="D263" s="3">
        <v>182.31</v>
      </c>
      <c r="E263" s="3">
        <v>176.53</v>
      </c>
      <c r="F263" s="4">
        <f>AVERAGE(B263:C263)</f>
        <v>212.565</v>
      </c>
      <c r="G263" s="4">
        <f>AVERAGE(D263:E263)</f>
        <v>179.42</v>
      </c>
      <c r="H263" s="5">
        <v>38935</v>
      </c>
      <c r="I263" s="5">
        <v>38942</v>
      </c>
      <c r="J263" s="12" t="str">
        <f>TEXT((H263-DATEVALUE("1/1/"&amp;TEXT(H263,"yy"))+1),"000")</f>
        <v>218</v>
      </c>
      <c r="K263" s="12" t="str">
        <f>TEXT((I263-DATEVALUE("1/1/"&amp;TEXT(I263,"yy"))+1),"000")</f>
        <v>225</v>
      </c>
      <c r="L263" t="str">
        <f>J263</f>
        <v>218</v>
      </c>
    </row>
    <row r="264" spans="1:12">
      <c r="A264" s="2">
        <v>442</v>
      </c>
      <c r="B264" s="3">
        <v>205.91</v>
      </c>
      <c r="C264" s="3">
        <v>215.14</v>
      </c>
      <c r="F264" s="4">
        <f>AVERAGE(B264:C264)</f>
        <v>210.525</v>
      </c>
      <c r="H264" s="5">
        <v>38949</v>
      </c>
      <c r="J264" s="12" t="str">
        <f>TEXT((H264-DATEVALUE("1/1/"&amp;TEXT(H264,"yy"))+1),"000")</f>
        <v>232</v>
      </c>
      <c r="L264" t="str">
        <f>J264</f>
        <v>232</v>
      </c>
    </row>
    <row r="265" spans="1:12">
      <c r="A265" s="2">
        <v>443</v>
      </c>
      <c r="B265" s="3">
        <v>218.94</v>
      </c>
      <c r="C265" s="3">
        <v>225.09</v>
      </c>
      <c r="D265" s="3">
        <v>226.69</v>
      </c>
      <c r="E265" s="3">
        <v>221.52</v>
      </c>
      <c r="F265" s="4">
        <f>AVERAGE(B265:C265)</f>
        <v>222.015</v>
      </c>
      <c r="G265" s="4">
        <f t="shared" ref="G265:G271" si="84">AVERAGE(D265:E265)</f>
        <v>224.105</v>
      </c>
      <c r="H265" s="5">
        <v>38963</v>
      </c>
      <c r="I265" s="5">
        <v>38970</v>
      </c>
      <c r="J265" s="12" t="str">
        <f>TEXT((H265-DATEVALUE("1/1/"&amp;TEXT(H265,"yy"))+1),"000")</f>
        <v>246</v>
      </c>
      <c r="K265" s="12" t="str">
        <f t="shared" ref="K265:K270" si="85">TEXT((I265-DATEVALUE("1/1/"&amp;TEXT(I265,"yy"))+1),"000")</f>
        <v>253</v>
      </c>
      <c r="L265" t="str">
        <f>J265</f>
        <v>246</v>
      </c>
    </row>
    <row r="266" spans="1:12">
      <c r="A266" s="2">
        <v>444</v>
      </c>
      <c r="B266" s="3">
        <v>217.29</v>
      </c>
      <c r="C266" s="3">
        <v>230.2</v>
      </c>
      <c r="D266" s="3">
        <v>256.25</v>
      </c>
      <c r="E266" s="3">
        <v>254.25</v>
      </c>
      <c r="F266" s="4">
        <f>AVERAGE(B266:C266)</f>
        <v>223.745</v>
      </c>
      <c r="G266" s="4">
        <f>AVERAGE(D266:E266)</f>
        <v>255.25</v>
      </c>
      <c r="H266" s="5">
        <v>38977</v>
      </c>
      <c r="I266" s="5">
        <v>38984</v>
      </c>
      <c r="J266" s="12" t="str">
        <f>TEXT((H266-DATEVALUE("1/1/"&amp;TEXT(H266,"yy"))+1),"000")</f>
        <v>260</v>
      </c>
      <c r="K266" s="12" t="str">
        <f>TEXT((I266-DATEVALUE("1/1/"&amp;TEXT(I266,"yy"))+1),"000")</f>
        <v>267</v>
      </c>
      <c r="L266" t="str">
        <f>J266</f>
        <v>260</v>
      </c>
    </row>
    <row r="267" spans="1:12">
      <c r="A267" s="2">
        <v>445</v>
      </c>
      <c r="B267" s="3">
        <v>207.38</v>
      </c>
      <c r="C267" s="3">
        <v>237.67</v>
      </c>
      <c r="D267" s="3">
        <v>147.3</v>
      </c>
      <c r="E267" s="3">
        <v>233.01</v>
      </c>
      <c r="F267" s="4">
        <f>AVERAGE(B267:C267)</f>
        <v>222.525</v>
      </c>
      <c r="G267" s="4">
        <f>AVERAGE(D267:E267)</f>
        <v>190.155</v>
      </c>
      <c r="H267" s="5">
        <v>38991</v>
      </c>
      <c r="I267" s="5">
        <v>38998</v>
      </c>
      <c r="J267" s="12" t="str">
        <f>TEXT((H267-DATEVALUE("1/1/"&amp;TEXT(H267,"yy"))+1),"000")</f>
        <v>274</v>
      </c>
      <c r="K267" s="12" t="str">
        <f>TEXT((I267-DATEVALUE("1/1/"&amp;TEXT(I267,"yy"))+1),"000")</f>
        <v>281</v>
      </c>
      <c r="L267" t="str">
        <f>J267</f>
        <v>274</v>
      </c>
    </row>
    <row r="268" spans="1:12">
      <c r="A268" s="2">
        <v>446</v>
      </c>
      <c r="B268" s="3">
        <v>203.88</v>
      </c>
      <c r="C268" s="3">
        <v>219.35</v>
      </c>
      <c r="D268" s="3">
        <v>183.45</v>
      </c>
      <c r="E268" s="3">
        <v>189.11</v>
      </c>
      <c r="F268" s="4">
        <f>AVERAGE(B268:C268)</f>
        <v>211.615</v>
      </c>
      <c r="G268" s="4">
        <f>AVERAGE(D268:E268)</f>
        <v>186.28</v>
      </c>
      <c r="H268" s="5">
        <v>39005</v>
      </c>
      <c r="I268" s="5">
        <v>39012</v>
      </c>
      <c r="J268" s="12" t="str">
        <f>TEXT((H268-DATEVALUE("1/1/"&amp;TEXT(H268,"yy"))+1),"000")</f>
        <v>288</v>
      </c>
      <c r="K268" s="12" t="str">
        <f>TEXT((I268-DATEVALUE("1/1/"&amp;TEXT(I268,"yy"))+1),"000")</f>
        <v>295</v>
      </c>
      <c r="L268" t="str">
        <f>J268</f>
        <v>288</v>
      </c>
    </row>
    <row r="269" spans="1:12">
      <c r="A269" s="2">
        <v>447</v>
      </c>
      <c r="B269" s="3">
        <v>218.29</v>
      </c>
      <c r="C269" s="3">
        <v>208.9</v>
      </c>
      <c r="D269" s="3">
        <v>193.15</v>
      </c>
      <c r="E269" s="3">
        <v>206.48</v>
      </c>
      <c r="F269" s="4">
        <f>AVERAGE(B269:C269)</f>
        <v>213.595</v>
      </c>
      <c r="G269" s="4">
        <f>AVERAGE(D269:E269)</f>
        <v>199.815</v>
      </c>
      <c r="H269" s="5">
        <v>39019</v>
      </c>
      <c r="I269" s="5">
        <v>39026</v>
      </c>
      <c r="J269" s="12" t="str">
        <f>TEXT((H269-DATEVALUE("1/1/"&amp;TEXT(H269,"yy"))+1),"000")</f>
        <v>302</v>
      </c>
      <c r="K269" s="12" t="str">
        <f>TEXT((I269-DATEVALUE("1/1/"&amp;TEXT(I269,"yy"))+1),"000")</f>
        <v>309</v>
      </c>
      <c r="L269" t="str">
        <f>J269</f>
        <v>302</v>
      </c>
    </row>
    <row r="270" spans="1:12">
      <c r="A270" s="2">
        <v>448</v>
      </c>
      <c r="B270" s="3">
        <v>222.53</v>
      </c>
      <c r="C270" s="3">
        <v>228.62</v>
      </c>
      <c r="D270" s="3">
        <v>164.93</v>
      </c>
      <c r="E270" s="3">
        <v>170.57</v>
      </c>
      <c r="F270" s="4">
        <f>AVERAGE(B270:C270)</f>
        <v>225.575</v>
      </c>
      <c r="G270" s="4">
        <f>AVERAGE(D270:E270)</f>
        <v>167.75</v>
      </c>
      <c r="H270" s="5">
        <v>39033</v>
      </c>
      <c r="I270" s="5">
        <v>39040</v>
      </c>
      <c r="J270" s="12" t="str">
        <f>TEXT((H270-DATEVALUE("1/1/"&amp;TEXT(H270,"yy"))+1),"000")</f>
        <v>316</v>
      </c>
      <c r="K270" s="12" t="str">
        <f>TEXT((I270-DATEVALUE("1/1/"&amp;TEXT(I270,"yy"))+1),"000")</f>
        <v>323</v>
      </c>
      <c r="L270" t="str">
        <f>J270</f>
        <v>316</v>
      </c>
    </row>
    <row r="271" spans="1:12">
      <c r="A271" s="2">
        <v>449</v>
      </c>
      <c r="B271" s="3">
        <v>212.01</v>
      </c>
      <c r="C271" s="3">
        <v>201.79</v>
      </c>
      <c r="D271" s="3">
        <v>163.14</v>
      </c>
      <c r="E271" s="3">
        <v>205.62</v>
      </c>
      <c r="F271" s="4">
        <f>AVERAGE(B271:C271)</f>
        <v>206.9</v>
      </c>
      <c r="G271" s="4">
        <f>AVERAGE(D271:E271)</f>
        <v>184.38</v>
      </c>
      <c r="H271" s="5">
        <v>39047</v>
      </c>
      <c r="J271" s="12" t="str">
        <f>TEXT((H271-DATEVALUE("1/1/"&amp;TEXT(H271,"yy"))+1),"000")</f>
        <v>330</v>
      </c>
      <c r="L271" t="str">
        <f>J271</f>
        <v>330</v>
      </c>
    </row>
    <row r="272" spans="1:12">
      <c r="A272" s="2">
        <v>450</v>
      </c>
      <c r="L272">
        <f>J272</f>
        <v>0</v>
      </c>
    </row>
    <row r="273" spans="1:12">
      <c r="A273" s="2">
        <v>451</v>
      </c>
      <c r="B273" s="3">
        <v>253.45</v>
      </c>
      <c r="C273" s="3">
        <v>265.48</v>
      </c>
      <c r="D273" s="3">
        <v>222.37</v>
      </c>
      <c r="E273" s="3">
        <v>218.38</v>
      </c>
      <c r="F273" s="4">
        <v>259.47</v>
      </c>
      <c r="G273" s="4">
        <v>220.38</v>
      </c>
      <c r="H273" s="5">
        <v>39075</v>
      </c>
      <c r="I273" s="5">
        <v>39082</v>
      </c>
      <c r="J273" s="12" t="str">
        <f t="shared" ref="J273:J276" si="86">TEXT((H273-DATEVALUE("1/1/"&amp;TEXT(H273,"yy"))+1),"000")</f>
        <v>358</v>
      </c>
      <c r="K273" s="12" t="str">
        <f t="shared" ref="K273:K275" si="87">TEXT((I273-DATEVALUE("1/1/"&amp;TEXT(I273,"yy"))+1),"000")</f>
        <v>365</v>
      </c>
      <c r="L273" t="str">
        <f>J273</f>
        <v>358</v>
      </c>
    </row>
    <row r="274" spans="1:12">
      <c r="A274" s="2">
        <v>452</v>
      </c>
      <c r="B274" s="3">
        <v>163.09</v>
      </c>
      <c r="C274" s="3">
        <v>198.69</v>
      </c>
      <c r="D274" s="3">
        <v>176.37</v>
      </c>
      <c r="E274" s="3">
        <v>169.46</v>
      </c>
      <c r="F274" s="4">
        <v>180.89</v>
      </c>
      <c r="G274" s="4">
        <v>172.92</v>
      </c>
      <c r="H274" s="5">
        <v>39089</v>
      </c>
      <c r="I274" s="5">
        <v>39096</v>
      </c>
      <c r="J274" s="12" t="str">
        <f>TEXT((H274-DATEVALUE("1/1/"&amp;TEXT(H274,"yy"))+1),"000")</f>
        <v>007</v>
      </c>
      <c r="K274" s="12" t="str">
        <f>TEXT((I274-DATEVALUE("1/1/"&amp;TEXT(I274,"yy"))+1),"000")</f>
        <v>014</v>
      </c>
      <c r="L274" t="str">
        <f>J274</f>
        <v>007</v>
      </c>
    </row>
    <row r="275" spans="1:12">
      <c r="A275" s="2">
        <v>453</v>
      </c>
      <c r="B275" s="3">
        <v>153.56</v>
      </c>
      <c r="C275" s="3">
        <v>152.35</v>
      </c>
      <c r="D275" s="3">
        <v>190</v>
      </c>
      <c r="E275" s="3">
        <v>201.26</v>
      </c>
      <c r="F275" s="4">
        <f>AVERAGE(B275:C275)</f>
        <v>152.955</v>
      </c>
      <c r="G275" s="4">
        <v>195.63</v>
      </c>
      <c r="H275" s="5">
        <v>39103</v>
      </c>
      <c r="I275" s="5">
        <v>39110</v>
      </c>
      <c r="J275" s="12" t="str">
        <f>TEXT((H275-DATEVALUE("1/1/"&amp;TEXT(H275,"yy"))+1),"000")</f>
        <v>021</v>
      </c>
      <c r="K275" s="12" t="str">
        <f>TEXT((I275-DATEVALUE("1/1/"&amp;TEXT(I275,"yy"))+1),"000")</f>
        <v>028</v>
      </c>
      <c r="L275" t="str">
        <f>J275</f>
        <v>021</v>
      </c>
    </row>
    <row r="276" spans="1:12">
      <c r="A276" s="2">
        <v>454</v>
      </c>
      <c r="B276" s="3">
        <v>199.32</v>
      </c>
      <c r="C276" s="3">
        <v>201.96</v>
      </c>
      <c r="F276" s="4">
        <v>200.64</v>
      </c>
      <c r="H276" s="5">
        <v>39117</v>
      </c>
      <c r="J276" s="12" t="str">
        <f>TEXT((H276-DATEVALUE("1/1/"&amp;TEXT(H276,"yy"))+1),"000")</f>
        <v>035</v>
      </c>
      <c r="L276" t="str">
        <f>J276</f>
        <v>035</v>
      </c>
    </row>
    <row r="277" spans="1:12">
      <c r="A277" s="2">
        <v>455</v>
      </c>
      <c r="D277" s="3">
        <v>233.78</v>
      </c>
      <c r="E277" s="3">
        <v>205.42</v>
      </c>
      <c r="G277" s="11">
        <v>219.6</v>
      </c>
      <c r="I277" s="5">
        <v>39138</v>
      </c>
      <c r="K277" s="12" t="str">
        <f t="shared" ref="K277:K287" si="88">TEXT((I277-DATEVALUE("1/1/"&amp;TEXT(I277,"yy"))+1),"000")</f>
        <v>056</v>
      </c>
      <c r="L277">
        <f>J277</f>
        <v>0</v>
      </c>
    </row>
    <row r="278" spans="1:12">
      <c r="A278" s="2">
        <v>456</v>
      </c>
      <c r="D278" s="3">
        <v>214.23</v>
      </c>
      <c r="E278" s="3">
        <v>212.58</v>
      </c>
      <c r="G278" s="4">
        <f t="shared" ref="G278:G287" si="89">AVERAGE(D278:E278)</f>
        <v>213.405</v>
      </c>
      <c r="I278" s="5">
        <v>39152</v>
      </c>
      <c r="K278" s="12" t="str">
        <f>TEXT((I278-DATEVALUE("1/1/"&amp;TEXT(I278,"yy"))+1),"000")</f>
        <v>070</v>
      </c>
      <c r="L278">
        <f>J278</f>
        <v>0</v>
      </c>
    </row>
    <row r="279" spans="1:12">
      <c r="A279" s="2">
        <v>457</v>
      </c>
      <c r="B279" s="3">
        <v>216.33</v>
      </c>
      <c r="C279" s="3">
        <v>229.97</v>
      </c>
      <c r="D279" s="3">
        <v>213.8</v>
      </c>
      <c r="E279" s="3">
        <v>218.19</v>
      </c>
      <c r="F279" s="4">
        <f>AVERAGE(B279:C279)</f>
        <v>223.15</v>
      </c>
      <c r="G279" s="4">
        <f>AVERAGE(D279:E279)</f>
        <v>215.995</v>
      </c>
      <c r="H279" s="5">
        <v>39159</v>
      </c>
      <c r="I279" s="5">
        <v>39166</v>
      </c>
      <c r="J279" s="12" t="str">
        <f>TEXT((H279-DATEVALUE("1/1/"&amp;TEXT(H279,"yy"))+1),"000")</f>
        <v>077</v>
      </c>
      <c r="K279" s="12" t="str">
        <f>TEXT((I279-DATEVALUE("1/1/"&amp;TEXT(I279,"yy"))+1),"000")</f>
        <v>084</v>
      </c>
      <c r="L279" t="str">
        <f>J279</f>
        <v>077</v>
      </c>
    </row>
    <row r="280" spans="1:12">
      <c r="A280" s="2">
        <v>458</v>
      </c>
      <c r="D280" s="3">
        <v>233.12</v>
      </c>
      <c r="E280" s="3">
        <v>224.74</v>
      </c>
      <c r="G280" s="4">
        <f>AVERAGE(D280:E280)</f>
        <v>228.93</v>
      </c>
      <c r="I280" s="5">
        <v>39180</v>
      </c>
      <c r="K280" s="12" t="str">
        <f>TEXT((I280-DATEVALUE("1/1/"&amp;TEXT(I280,"yy"))+1),"000")</f>
        <v>098</v>
      </c>
      <c r="L280">
        <f t="shared" ref="L280:L316" si="90">J280</f>
        <v>0</v>
      </c>
    </row>
    <row r="281" spans="1:12">
      <c r="A281" s="2">
        <v>459</v>
      </c>
      <c r="B281" s="3">
        <v>250.17</v>
      </c>
      <c r="C281" s="3">
        <v>243.53</v>
      </c>
      <c r="D281" s="3">
        <v>227.31</v>
      </c>
      <c r="E281" s="3">
        <v>235.57</v>
      </c>
      <c r="F281" s="4">
        <f t="shared" ref="F281:F286" si="91">AVERAGE(B281:C281)</f>
        <v>246.85</v>
      </c>
      <c r="G281" s="4">
        <f>AVERAGE(D281:E281)</f>
        <v>231.44</v>
      </c>
      <c r="H281" s="5">
        <v>39187</v>
      </c>
      <c r="I281" s="5">
        <v>39194</v>
      </c>
      <c r="J281" s="12" t="str">
        <f t="shared" ref="J281:J286" si="92">TEXT((H281-DATEVALUE("1/1/"&amp;TEXT(H281,"yy"))+1),"000")</f>
        <v>105</v>
      </c>
      <c r="K281" s="12" t="str">
        <f>TEXT((I281-DATEVALUE("1/1/"&amp;TEXT(I281,"yy"))+1),"000")</f>
        <v>112</v>
      </c>
      <c r="L281" t="str">
        <f>J281</f>
        <v>105</v>
      </c>
    </row>
    <row r="282" spans="1:12">
      <c r="A282" s="2">
        <v>460</v>
      </c>
      <c r="B282" s="3">
        <v>222.6</v>
      </c>
      <c r="C282" s="3">
        <v>226.37</v>
      </c>
      <c r="D282" s="3">
        <v>221.45</v>
      </c>
      <c r="E282" s="3">
        <v>205.4</v>
      </c>
      <c r="F282" s="4">
        <f>AVERAGE(B282:C282)</f>
        <v>224.485</v>
      </c>
      <c r="G282" s="4">
        <f>AVERAGE(D282:E282)</f>
        <v>213.425</v>
      </c>
      <c r="H282" s="5">
        <v>39201</v>
      </c>
      <c r="I282" s="5">
        <v>39208</v>
      </c>
      <c r="J282" s="12" t="str">
        <f>TEXT((H282-DATEVALUE("1/1/"&amp;TEXT(H282,"yy"))+1),"000")</f>
        <v>119</v>
      </c>
      <c r="K282" s="12" t="str">
        <f>TEXT((I282-DATEVALUE("1/1/"&amp;TEXT(I282,"yy"))+1),"000")</f>
        <v>126</v>
      </c>
      <c r="L282" t="str">
        <f>J282</f>
        <v>119</v>
      </c>
    </row>
    <row r="283" spans="1:12">
      <c r="A283" s="2">
        <v>461</v>
      </c>
      <c r="B283" s="3">
        <v>201.04</v>
      </c>
      <c r="C283" s="3">
        <v>213.67</v>
      </c>
      <c r="D283" s="3">
        <v>220.22</v>
      </c>
      <c r="E283" s="3">
        <v>206.04</v>
      </c>
      <c r="F283" s="4">
        <f>AVERAGE(B283:C283)</f>
        <v>207.355</v>
      </c>
      <c r="G283" s="4">
        <f>AVERAGE(D283:E283)</f>
        <v>213.13</v>
      </c>
      <c r="H283" s="5">
        <v>39215</v>
      </c>
      <c r="I283" s="5">
        <v>39222</v>
      </c>
      <c r="J283" s="12" t="str">
        <f>TEXT((H283-DATEVALUE("1/1/"&amp;TEXT(H283,"yy"))+1),"000")</f>
        <v>133</v>
      </c>
      <c r="K283" s="12" t="str">
        <f>TEXT((I283-DATEVALUE("1/1/"&amp;TEXT(I283,"yy"))+1),"000")</f>
        <v>140</v>
      </c>
      <c r="L283" t="str">
        <f>J283</f>
        <v>133</v>
      </c>
    </row>
    <row r="284" spans="1:12">
      <c r="A284" s="2">
        <v>462</v>
      </c>
      <c r="B284" s="3">
        <v>244.32</v>
      </c>
      <c r="C284" s="3">
        <v>251.26</v>
      </c>
      <c r="D284" s="3">
        <v>223.27</v>
      </c>
      <c r="E284" s="3">
        <v>224.68</v>
      </c>
      <c r="F284" s="4">
        <f>AVERAGE(B284:C284)</f>
        <v>247.79</v>
      </c>
      <c r="G284" s="4">
        <f>AVERAGE(D284:E284)</f>
        <v>223.975</v>
      </c>
      <c r="H284" s="5">
        <v>39229</v>
      </c>
      <c r="I284" s="5">
        <v>39236</v>
      </c>
      <c r="J284" s="12" t="str">
        <f>TEXT((H284-DATEVALUE("1/1/"&amp;TEXT(H284,"yy"))+1),"000")</f>
        <v>147</v>
      </c>
      <c r="K284" s="12" t="str">
        <f>TEXT((I284-DATEVALUE("1/1/"&amp;TEXT(I284,"yy"))+1),"000")</f>
        <v>154</v>
      </c>
      <c r="L284" t="str">
        <f>J284</f>
        <v>147</v>
      </c>
    </row>
    <row r="285" spans="1:12">
      <c r="A285" s="2">
        <v>463</v>
      </c>
      <c r="B285" s="3">
        <v>217.7</v>
      </c>
      <c r="C285" s="3">
        <v>225.21</v>
      </c>
      <c r="D285" s="3">
        <v>246.2</v>
      </c>
      <c r="E285" s="3">
        <v>245.47</v>
      </c>
      <c r="F285" s="4">
        <f>AVERAGE(B285:C285)</f>
        <v>221.455</v>
      </c>
      <c r="G285" s="4">
        <f>AVERAGE(D285:E285)</f>
        <v>245.835</v>
      </c>
      <c r="H285" s="5">
        <v>39243</v>
      </c>
      <c r="I285" s="5">
        <v>39250</v>
      </c>
      <c r="J285" s="12" t="str">
        <f>TEXT((H285-DATEVALUE("1/1/"&amp;TEXT(H285,"yy"))+1),"000")</f>
        <v>161</v>
      </c>
      <c r="K285" s="12" t="str">
        <f>TEXT((I285-DATEVALUE("1/1/"&amp;TEXT(I285,"yy"))+1),"000")</f>
        <v>168</v>
      </c>
      <c r="L285" t="str">
        <f>J285</f>
        <v>161</v>
      </c>
    </row>
    <row r="286" spans="1:12">
      <c r="A286" s="2">
        <v>464</v>
      </c>
      <c r="B286" s="3">
        <v>216.54</v>
      </c>
      <c r="C286" s="3">
        <v>219.57</v>
      </c>
      <c r="D286" s="3">
        <v>224.84</v>
      </c>
      <c r="E286" s="3">
        <v>245.04</v>
      </c>
      <c r="F286" s="4">
        <f>AVERAGE(B286:C286)</f>
        <v>218.055</v>
      </c>
      <c r="G286" s="4">
        <f>AVERAGE(D286:E286)</f>
        <v>234.94</v>
      </c>
      <c r="H286" s="5">
        <v>39257</v>
      </c>
      <c r="I286" s="5">
        <v>39264</v>
      </c>
      <c r="J286" s="12" t="str">
        <f>TEXT((H286-DATEVALUE("1/1/"&amp;TEXT(H286,"yy"))+1),"000")</f>
        <v>175</v>
      </c>
      <c r="K286" s="12" t="str">
        <f>TEXT((I286-DATEVALUE("1/1/"&amp;TEXT(I286,"yy"))+1),"000")</f>
        <v>182</v>
      </c>
      <c r="L286" t="str">
        <f>J286</f>
        <v>175</v>
      </c>
    </row>
    <row r="287" spans="1:12">
      <c r="A287" s="2">
        <v>465</v>
      </c>
      <c r="D287" s="3">
        <v>217.79</v>
      </c>
      <c r="E287" s="3">
        <v>213.92</v>
      </c>
      <c r="G287" s="4">
        <f>AVERAGE(D287:E287)</f>
        <v>215.855</v>
      </c>
      <c r="I287" s="5">
        <v>39278</v>
      </c>
      <c r="K287" s="12" t="str">
        <f>TEXT((I287-DATEVALUE("1/1/"&amp;TEXT(I287,"yy"))+1),"000")</f>
        <v>196</v>
      </c>
      <c r="L287">
        <f>J287</f>
        <v>0</v>
      </c>
    </row>
    <row r="288" spans="1:12">
      <c r="A288" s="2">
        <v>466</v>
      </c>
      <c r="B288" s="3">
        <v>231.72</v>
      </c>
      <c r="C288" s="3">
        <v>232.31</v>
      </c>
      <c r="F288" s="4">
        <f t="shared" ref="F288" si="93">AVERAGE(B288:C288)</f>
        <v>232.015</v>
      </c>
      <c r="H288" s="5">
        <v>39285</v>
      </c>
      <c r="J288" s="12" t="str">
        <f>TEXT((H288-DATEVALUE("1/1/"&amp;TEXT(H288,"yy"))+1),"000")</f>
        <v>203</v>
      </c>
      <c r="L288" t="str">
        <f>J288</f>
        <v>203</v>
      </c>
    </row>
    <row r="289" spans="1:12">
      <c r="A289" s="2">
        <v>467</v>
      </c>
      <c r="L289">
        <f>J289</f>
        <v>0</v>
      </c>
    </row>
    <row r="290" spans="1:12">
      <c r="A290" s="2">
        <v>468</v>
      </c>
      <c r="L290">
        <f>J290</f>
        <v>0</v>
      </c>
    </row>
    <row r="291" spans="1:12">
      <c r="A291" s="2">
        <v>469</v>
      </c>
      <c r="L291">
        <f>J291</f>
        <v>0</v>
      </c>
    </row>
    <row r="292" spans="1:12">
      <c r="A292" s="2">
        <v>470</v>
      </c>
      <c r="D292" s="3">
        <v>250.5</v>
      </c>
      <c r="E292" s="3">
        <v>253.9</v>
      </c>
      <c r="G292" s="4">
        <f t="shared" ref="G292" si="94">AVERAGE(D292:E292)</f>
        <v>252.2</v>
      </c>
      <c r="L292">
        <f>J292</f>
        <v>0</v>
      </c>
    </row>
    <row r="293" spans="1:12">
      <c r="A293" s="2">
        <v>471</v>
      </c>
      <c r="B293" s="3">
        <v>223.24</v>
      </c>
      <c r="C293" s="3">
        <v>226.44</v>
      </c>
      <c r="D293" s="3">
        <v>220.39</v>
      </c>
      <c r="E293" s="3">
        <v>257.04</v>
      </c>
      <c r="F293" s="4">
        <f t="shared" ref="F293:F301" si="95">AVERAGE(B293:C293)</f>
        <v>224.84</v>
      </c>
      <c r="G293" s="4">
        <f t="shared" ref="G293" si="96">AVERAGE(D293:E293)</f>
        <v>238.715</v>
      </c>
      <c r="H293" s="15">
        <v>39355</v>
      </c>
      <c r="I293" s="5">
        <v>39362</v>
      </c>
      <c r="J293" s="12" t="str">
        <f>TEXT((H293-DATEVALUE("1/1/"&amp;TEXT(H293,"yy"))+1),"000")</f>
        <v>273</v>
      </c>
      <c r="K293" s="12" t="str">
        <f t="shared" ref="K293:K297" si="97">TEXT((I293-DATEVALUE("1/1/"&amp;TEXT(I293,"yy"))+1),"000")</f>
        <v>280</v>
      </c>
      <c r="L293" t="str">
        <f>J293</f>
        <v>273</v>
      </c>
    </row>
    <row r="294" spans="1:12">
      <c r="A294" s="2">
        <v>472</v>
      </c>
      <c r="L294">
        <f>J294</f>
        <v>0</v>
      </c>
    </row>
    <row r="295" spans="1:12">
      <c r="A295" s="2">
        <v>473</v>
      </c>
      <c r="L295">
        <f>J295</f>
        <v>0</v>
      </c>
    </row>
    <row r="296" spans="1:12">
      <c r="A296" s="2">
        <v>474</v>
      </c>
      <c r="B296" s="3">
        <v>224.18</v>
      </c>
      <c r="C296" s="3">
        <v>206.03</v>
      </c>
      <c r="D296" s="3">
        <v>238.2</v>
      </c>
      <c r="E296" s="3">
        <v>228.69</v>
      </c>
      <c r="F296" s="4">
        <f t="shared" ref="F296:F301" si="98">AVERAGE(B296:C296)</f>
        <v>215.105</v>
      </c>
      <c r="G296" s="4">
        <f t="shared" ref="G296:G297" si="99">AVERAGE(D296:E296)</f>
        <v>233.445</v>
      </c>
      <c r="H296" s="5">
        <v>39397</v>
      </c>
      <c r="I296" s="5">
        <v>39404</v>
      </c>
      <c r="J296" s="12" t="str">
        <f t="shared" ref="J296:K297" si="100">TEXT((H296-DATEVALUE("1/1/"&amp;TEXT(H296,"yy"))+1),"000")</f>
        <v>315</v>
      </c>
      <c r="K296" s="12" t="str">
        <f t="shared" ref="K296:K300" si="101">TEXT((I296-DATEVALUE("1/1/"&amp;TEXT(I296,"yy"))+1),"000")</f>
        <v>322</v>
      </c>
      <c r="L296" t="str">
        <f>J296</f>
        <v>315</v>
      </c>
    </row>
    <row r="297" spans="1:12">
      <c r="A297" s="2">
        <v>475</v>
      </c>
      <c r="D297" s="3">
        <v>265.01</v>
      </c>
      <c r="E297" s="3">
        <v>228.55</v>
      </c>
      <c r="G297" s="4">
        <f>AVERAGE(D297:E297)</f>
        <v>246.78</v>
      </c>
      <c r="I297" s="5">
        <v>39418</v>
      </c>
      <c r="K297" s="12" t="str">
        <f>TEXT((I297-DATEVALUE("1/1/"&amp;TEXT(I297,"yy"))+1),"000")</f>
        <v>336</v>
      </c>
      <c r="L297">
        <f>J297</f>
        <v>0</v>
      </c>
    </row>
    <row r="298" spans="1:12">
      <c r="A298" s="2">
        <v>476</v>
      </c>
      <c r="B298" s="3">
        <v>215.83</v>
      </c>
      <c r="C298" s="3">
        <v>252.38</v>
      </c>
      <c r="F298" s="4">
        <f t="shared" ref="F298:F301" si="102">AVERAGE(B298:C298)</f>
        <v>234.105</v>
      </c>
      <c r="H298" s="5">
        <v>39425</v>
      </c>
      <c r="J298" s="12" t="str">
        <f t="shared" ref="J298" si="103">TEXT((H298-DATEVALUE("1/1/"&amp;TEXT(H298,"yy"))+1),"000")</f>
        <v>343</v>
      </c>
      <c r="L298" t="str">
        <f>J298</f>
        <v>343</v>
      </c>
    </row>
    <row r="299" spans="1:12">
      <c r="A299" s="2">
        <v>477</v>
      </c>
      <c r="L299">
        <f>J299</f>
        <v>0</v>
      </c>
    </row>
    <row r="300" spans="1:12">
      <c r="A300" s="2">
        <v>478</v>
      </c>
      <c r="B300" s="3">
        <v>254.12</v>
      </c>
      <c r="C300" s="3">
        <v>244.55</v>
      </c>
      <c r="D300" s="3">
        <v>162.28</v>
      </c>
      <c r="E300" s="3">
        <v>203.31</v>
      </c>
      <c r="F300" s="4">
        <f>AVERAGE(B300:C300)</f>
        <v>249.335</v>
      </c>
      <c r="G300" s="4">
        <f t="shared" ref="G300" si="104">AVERAGE(D300:E300)</f>
        <v>182.795</v>
      </c>
      <c r="H300" s="5">
        <v>39453</v>
      </c>
      <c r="I300" s="5">
        <v>39460</v>
      </c>
      <c r="J300" s="12" t="str">
        <f t="shared" ref="J300:J301" si="105">TEXT((H300-DATEVALUE("1/1/"&amp;TEXT(H300,"yy"))+1),"000")</f>
        <v>006</v>
      </c>
      <c r="K300" s="12" t="str">
        <f>TEXT((I300-DATEVALUE("1/1/"&amp;TEXT(I300,"yy"))+1),"000")</f>
        <v>013</v>
      </c>
      <c r="L300" t="str">
        <f>J300</f>
        <v>006</v>
      </c>
    </row>
    <row r="301" spans="1:12">
      <c r="A301" s="2">
        <v>479</v>
      </c>
      <c r="B301" s="3">
        <v>232.61</v>
      </c>
      <c r="C301" s="3">
        <v>246.7</v>
      </c>
      <c r="F301" s="4">
        <f>AVERAGE(B301:C301)</f>
        <v>239.655</v>
      </c>
      <c r="H301" s="5">
        <v>39467</v>
      </c>
      <c r="J301" s="12" t="str">
        <f>TEXT((H301-DATEVALUE("1/1/"&amp;TEXT(H301,"yy"))+1),"000")</f>
        <v>020</v>
      </c>
      <c r="L301" t="str">
        <f>J301</f>
        <v>020</v>
      </c>
    </row>
    <row r="302" spans="1:12">
      <c r="A302" s="2">
        <v>480</v>
      </c>
      <c r="L302">
        <f>J302</f>
        <v>0</v>
      </c>
    </row>
    <row r="303" spans="1:12">
      <c r="A303" s="2">
        <v>481</v>
      </c>
      <c r="L303">
        <f>J303</f>
        <v>0</v>
      </c>
    </row>
    <row r="304" spans="1:12">
      <c r="A304" s="2">
        <v>482</v>
      </c>
      <c r="D304" s="3">
        <v>258.26</v>
      </c>
      <c r="E304" s="3">
        <v>264.17</v>
      </c>
      <c r="G304" s="4">
        <f t="shared" ref="G304" si="106">AVERAGE(D304:E304)</f>
        <v>261.215</v>
      </c>
      <c r="I304" s="5">
        <v>39516</v>
      </c>
      <c r="K304" s="12" t="str">
        <f>TEXT((I304-DATEVALUE("1/1/"&amp;TEXT(I304,"yy"))+1),"000")</f>
        <v>069</v>
      </c>
      <c r="L304">
        <f>J304</f>
        <v>0</v>
      </c>
    </row>
    <row r="305" spans="1:12">
      <c r="A305" s="2">
        <v>483</v>
      </c>
      <c r="L305">
        <f>J305</f>
        <v>0</v>
      </c>
    </row>
    <row r="306" spans="1:12">
      <c r="A306" s="2">
        <v>484</v>
      </c>
      <c r="D306" s="3">
        <v>256.62</v>
      </c>
      <c r="E306" s="3">
        <v>248.05</v>
      </c>
      <c r="G306" s="4">
        <f t="shared" ref="G306:G325" si="107">AVERAGE(D306:E306)</f>
        <v>252.335</v>
      </c>
      <c r="I306" s="5">
        <v>39544</v>
      </c>
      <c r="K306" s="12" t="str">
        <f>TEXT((I306-DATEVALUE("1/1/"&amp;TEXT(I306,"yy"))+1),"000")</f>
        <v>097</v>
      </c>
      <c r="L306">
        <f>J306</f>
        <v>0</v>
      </c>
    </row>
    <row r="307" spans="1:12">
      <c r="A307" s="2">
        <v>485</v>
      </c>
      <c r="L307">
        <f>J307</f>
        <v>0</v>
      </c>
    </row>
    <row r="308" spans="1:12">
      <c r="A308" s="2">
        <v>486</v>
      </c>
      <c r="D308" s="3">
        <v>248.48</v>
      </c>
      <c r="E308" s="3">
        <v>249.11</v>
      </c>
      <c r="G308" s="4">
        <f t="shared" ref="G308:G310" si="108">AVERAGE(D308:E308)</f>
        <v>248.795</v>
      </c>
      <c r="I308" s="5">
        <v>39572</v>
      </c>
      <c r="K308" s="12" t="str">
        <f t="shared" ref="K308:K310" si="109">TEXT((I308-DATEVALUE("1/1/"&amp;TEXT(I308,"yy"))+1),"000")</f>
        <v>125</v>
      </c>
      <c r="L308">
        <f>J308</f>
        <v>0</v>
      </c>
    </row>
    <row r="309" spans="1:12">
      <c r="A309" s="2">
        <v>487</v>
      </c>
      <c r="B309" s="3">
        <v>235.37</v>
      </c>
      <c r="C309" s="3">
        <v>244.7</v>
      </c>
      <c r="D309" s="3">
        <v>236.61</v>
      </c>
      <c r="E309" s="3">
        <v>248.83</v>
      </c>
      <c r="F309" s="4">
        <f t="shared" ref="F309:F372" si="110">AVERAGE(B309:C309)</f>
        <v>240.035</v>
      </c>
      <c r="G309" s="4">
        <f>AVERAGE(D309:E309)</f>
        <v>242.72</v>
      </c>
      <c r="H309" s="5">
        <v>39579</v>
      </c>
      <c r="I309" s="5">
        <v>39586</v>
      </c>
      <c r="J309" s="12" t="str">
        <f t="shared" ref="J309:J316" si="111">TEXT((H309-DATEVALUE("1/1/"&amp;TEXT(H309,"yy"))+1),"000")</f>
        <v>132</v>
      </c>
      <c r="K309" s="12" t="str">
        <f>TEXT((I309-DATEVALUE("1/1/"&amp;TEXT(I309,"yy"))+1),"000")</f>
        <v>139</v>
      </c>
      <c r="L309" t="str">
        <f>J309</f>
        <v>132</v>
      </c>
    </row>
    <row r="310" spans="1:12">
      <c r="A310" s="2">
        <v>488</v>
      </c>
      <c r="B310" s="3">
        <v>249.12</v>
      </c>
      <c r="C310" s="3">
        <v>241.15</v>
      </c>
      <c r="D310" s="3">
        <v>253.77</v>
      </c>
      <c r="E310" s="3">
        <v>227.53</v>
      </c>
      <c r="F310" s="4">
        <f>AVERAGE(B310:C310)</f>
        <v>245.135</v>
      </c>
      <c r="G310" s="4">
        <f>AVERAGE(D310:E310)</f>
        <v>240.65</v>
      </c>
      <c r="H310" s="5">
        <v>39593</v>
      </c>
      <c r="I310" s="5">
        <v>39600</v>
      </c>
      <c r="J310" s="12" t="str">
        <f>TEXT((H310-DATEVALUE("1/1/"&amp;TEXT(H310,"yy"))+1),"000")</f>
        <v>146</v>
      </c>
      <c r="K310" s="12" t="str">
        <f>TEXT((I310-DATEVALUE("1/1/"&amp;TEXT(I310,"yy"))+1),"000")</f>
        <v>153</v>
      </c>
      <c r="L310" t="str">
        <f>J310</f>
        <v>146</v>
      </c>
    </row>
    <row r="311" spans="1:12">
      <c r="A311" s="2">
        <v>489</v>
      </c>
      <c r="B311" s="3">
        <v>247.98</v>
      </c>
      <c r="C311" s="3">
        <v>260.19</v>
      </c>
      <c r="F311" s="4">
        <f>AVERAGE(B311:C311)</f>
        <v>254.085</v>
      </c>
      <c r="H311" s="5">
        <v>39607</v>
      </c>
      <c r="J311" s="12" t="str">
        <f>TEXT((H311-DATEVALUE("1/1/"&amp;TEXT(H311,"yy"))+1),"000")</f>
        <v>160</v>
      </c>
      <c r="L311" t="str">
        <f>J311</f>
        <v>160</v>
      </c>
    </row>
    <row r="312" spans="1:12">
      <c r="A312" s="2">
        <v>490</v>
      </c>
      <c r="B312" s="3">
        <v>241.28</v>
      </c>
      <c r="C312" s="3">
        <v>247.61</v>
      </c>
      <c r="D312" s="3">
        <v>256.27</v>
      </c>
      <c r="E312" s="3">
        <v>267.47</v>
      </c>
      <c r="F312" s="4">
        <f>AVERAGE(B312:C312)</f>
        <v>244.445</v>
      </c>
      <c r="G312" s="4">
        <f t="shared" ref="G312:G315" si="112">AVERAGE(D312:E312)</f>
        <v>261.87</v>
      </c>
      <c r="H312" s="5">
        <v>39621</v>
      </c>
      <c r="I312" s="5">
        <v>39628</v>
      </c>
      <c r="J312" s="12" t="str">
        <f>TEXT((H312-DATEVALUE("1/1/"&amp;TEXT(H312,"yy"))+1),"000")</f>
        <v>174</v>
      </c>
      <c r="K312" s="12" t="str">
        <f>TEXT((I312-DATEVALUE("1/1/"&amp;TEXT(I312,"yy"))+1),"000")</f>
        <v>181</v>
      </c>
      <c r="L312" t="str">
        <f>J312</f>
        <v>174</v>
      </c>
    </row>
    <row r="313" spans="1:12">
      <c r="A313" s="2">
        <v>491</v>
      </c>
      <c r="B313" s="3">
        <v>271.23</v>
      </c>
      <c r="C313" s="3">
        <v>274.22</v>
      </c>
      <c r="D313" s="3">
        <v>255.86</v>
      </c>
      <c r="E313" s="3">
        <v>257.3</v>
      </c>
      <c r="F313" s="4">
        <f>AVERAGE(B313:C313)</f>
        <v>272.725</v>
      </c>
      <c r="G313" s="4">
        <f>AVERAGE(D313:E313)</f>
        <v>256.58</v>
      </c>
      <c r="H313" s="5">
        <v>39635</v>
      </c>
      <c r="I313" s="5">
        <v>39642</v>
      </c>
      <c r="J313" s="12" t="str">
        <f>TEXT((H313-DATEVALUE("1/1/"&amp;TEXT(H313,"yy"))+1),"000")</f>
        <v>188</v>
      </c>
      <c r="K313" s="12" t="str">
        <f>TEXT((I313-DATEVALUE("1/1/"&amp;TEXT(I313,"yy"))+1),"000")</f>
        <v>195</v>
      </c>
      <c r="L313" t="str">
        <f>J313</f>
        <v>188</v>
      </c>
    </row>
    <row r="314" spans="1:12">
      <c r="A314" s="2">
        <v>492</v>
      </c>
      <c r="B314" s="3">
        <v>266.49</v>
      </c>
      <c r="C314" s="3">
        <v>272.8</v>
      </c>
      <c r="D314" s="3">
        <v>244.92</v>
      </c>
      <c r="E314" s="3">
        <v>260.19</v>
      </c>
      <c r="F314" s="4">
        <f>AVERAGE(B314:C314)</f>
        <v>269.645</v>
      </c>
      <c r="G314" s="4">
        <f>AVERAGE(D314:E314)</f>
        <v>252.555</v>
      </c>
      <c r="H314" s="5">
        <v>39656</v>
      </c>
      <c r="J314" s="12" t="str">
        <f>TEXT((H314-DATEVALUE("1/1/"&amp;TEXT(H314,"yy"))+1),"000")</f>
        <v>209</v>
      </c>
      <c r="L314" t="str">
        <f>J314</f>
        <v>209</v>
      </c>
    </row>
    <row r="315" spans="1:12">
      <c r="A315" s="2">
        <v>493</v>
      </c>
      <c r="B315" s="3">
        <v>257.32</v>
      </c>
      <c r="C315" s="3">
        <v>261.45</v>
      </c>
      <c r="D315" s="3">
        <v>251.39</v>
      </c>
      <c r="E315" s="3">
        <v>251.2</v>
      </c>
      <c r="F315" s="4">
        <f>AVERAGE(B315:C315)</f>
        <v>259.385</v>
      </c>
      <c r="G315" s="4">
        <f>AVERAGE(D315:E315)</f>
        <v>251.295</v>
      </c>
      <c r="H315" s="5">
        <v>39663</v>
      </c>
      <c r="J315" s="12" t="str">
        <f>TEXT((H315-DATEVALUE("1/1/"&amp;TEXT(H315,"yy"))+1),"000")</f>
        <v>216</v>
      </c>
      <c r="L315" t="str">
        <f>J315</f>
        <v>216</v>
      </c>
    </row>
    <row r="316" spans="1:12">
      <c r="A316" s="2">
        <v>494</v>
      </c>
      <c r="B316" s="3">
        <v>254.35</v>
      </c>
      <c r="C316" s="3">
        <v>267.55</v>
      </c>
      <c r="F316" s="4">
        <f>AVERAGE(B316:C316)</f>
        <v>260.95</v>
      </c>
      <c r="H316" s="5">
        <v>39677</v>
      </c>
      <c r="J316" s="12" t="str">
        <f>TEXT((H316-DATEVALUE("1/1/"&amp;TEXT(H316,"yy"))+1),"000")</f>
        <v>230</v>
      </c>
      <c r="L316" t="str">
        <f>J316</f>
        <v>230</v>
      </c>
    </row>
    <row r="317" spans="1:9">
      <c r="A317" s="2">
        <v>495</v>
      </c>
      <c r="B317" s="3">
        <v>227.94</v>
      </c>
      <c r="C317" s="3">
        <v>250.74</v>
      </c>
      <c r="D317" s="3">
        <v>271.12</v>
      </c>
      <c r="E317" s="3">
        <v>282.05</v>
      </c>
      <c r="F317" s="4">
        <f>AVERAGE(B317:C317)</f>
        <v>239.34</v>
      </c>
      <c r="G317" s="4">
        <f t="shared" ref="G317:G325" si="113">AVERAGE(D317:E317)</f>
        <v>276.585</v>
      </c>
      <c r="H317" s="5">
        <v>39691</v>
      </c>
      <c r="I317" s="5">
        <v>39698</v>
      </c>
    </row>
    <row r="318" spans="1:9">
      <c r="A318" s="2">
        <v>496</v>
      </c>
      <c r="D318" s="3">
        <v>176.57</v>
      </c>
      <c r="E318" s="3">
        <v>197.87</v>
      </c>
      <c r="G318" s="4">
        <f>AVERAGE(D318:E318)</f>
        <v>187.22</v>
      </c>
      <c r="I318" s="5">
        <v>39712</v>
      </c>
    </row>
    <row r="319" spans="1:8">
      <c r="A319" s="2">
        <v>497</v>
      </c>
      <c r="B319" s="3">
        <v>234.8</v>
      </c>
      <c r="C319" s="3">
        <v>228.93</v>
      </c>
      <c r="F319" s="4">
        <f t="shared" ref="F319:F324" si="114">AVERAGE(B319:C319)</f>
        <v>231.865</v>
      </c>
      <c r="H319" s="5">
        <v>39719</v>
      </c>
    </row>
    <row r="320" spans="1:9">
      <c r="A320" s="2">
        <v>498</v>
      </c>
      <c r="B320" s="3">
        <v>207.75</v>
      </c>
      <c r="C320" s="3">
        <v>238.96</v>
      </c>
      <c r="D320" s="3">
        <v>203.27</v>
      </c>
      <c r="E320" s="3">
        <v>200.85</v>
      </c>
      <c r="F320" s="4">
        <f>AVERAGE(B320:C320)</f>
        <v>223.355</v>
      </c>
      <c r="G320" s="4">
        <f t="shared" ref="G320:G325" si="115">AVERAGE(D320:E320)</f>
        <v>202.06</v>
      </c>
      <c r="H320" s="5">
        <v>39733</v>
      </c>
      <c r="I320" s="5">
        <v>39740</v>
      </c>
    </row>
    <row r="321" spans="1:9">
      <c r="A321" s="2">
        <v>499</v>
      </c>
      <c r="B321" s="3">
        <v>224.54</v>
      </c>
      <c r="C321" s="3">
        <v>232.04</v>
      </c>
      <c r="D321" s="3">
        <v>210.75</v>
      </c>
      <c r="E321" s="3">
        <v>248.58</v>
      </c>
      <c r="F321" s="4">
        <f>AVERAGE(B321:C321)</f>
        <v>228.29</v>
      </c>
      <c r="G321" s="4">
        <f>AVERAGE(D321:E321)</f>
        <v>229.665</v>
      </c>
      <c r="I321" s="5">
        <v>39754</v>
      </c>
    </row>
    <row r="322" spans="1:7">
      <c r="A322" s="2">
        <v>500</v>
      </c>
      <c r="B322" s="3">
        <v>254.31</v>
      </c>
      <c r="C322" s="3">
        <v>260.41</v>
      </c>
      <c r="D322" s="3">
        <v>238.57</v>
      </c>
      <c r="E322" s="3">
        <v>234.37</v>
      </c>
      <c r="F322" s="4">
        <f>AVERAGE(B322:C322)</f>
        <v>257.36</v>
      </c>
      <c r="G322" s="4">
        <f>AVERAGE(D322:E322)</f>
        <v>236.47</v>
      </c>
    </row>
    <row r="323" spans="1:7">
      <c r="A323" s="2">
        <v>501</v>
      </c>
      <c r="B323" s="3">
        <v>215.81</v>
      </c>
      <c r="C323" s="3">
        <v>209.22</v>
      </c>
      <c r="D323" s="3">
        <v>232.2</v>
      </c>
      <c r="E323" s="3">
        <v>237.02</v>
      </c>
      <c r="F323" s="4">
        <f>AVERAGE(B323:C323)</f>
        <v>212.515</v>
      </c>
      <c r="G323" s="4">
        <f>AVERAGE(D323:E323)</f>
        <v>234.61</v>
      </c>
    </row>
    <row r="324" spans="1:9">
      <c r="A324" s="2">
        <v>502</v>
      </c>
      <c r="B324" s="3">
        <v>233.21</v>
      </c>
      <c r="C324" s="3">
        <v>209.41</v>
      </c>
      <c r="D324" s="3">
        <v>233.8</v>
      </c>
      <c r="E324" s="3">
        <v>241.94</v>
      </c>
      <c r="F324" s="4">
        <f>AVERAGE(B324:C324)</f>
        <v>221.31</v>
      </c>
      <c r="G324" s="4">
        <f>AVERAGE(D324:E324)</f>
        <v>237.87</v>
      </c>
      <c r="H324" s="5">
        <v>39789</v>
      </c>
      <c r="I324" s="5">
        <v>39796</v>
      </c>
    </row>
    <row r="325" spans="1:9">
      <c r="A325" s="2">
        <v>503</v>
      </c>
      <c r="D325" s="3">
        <v>247.32</v>
      </c>
      <c r="E325" s="3">
        <v>251.82</v>
      </c>
      <c r="G325" s="4">
        <f>AVERAGE(D325:E325)</f>
        <v>249.57</v>
      </c>
      <c r="H325" s="5">
        <v>39803</v>
      </c>
      <c r="I325" s="5">
        <v>40175</v>
      </c>
    </row>
    <row r="326" spans="1:9">
      <c r="A326" s="2">
        <v>504</v>
      </c>
      <c r="B326" s="3">
        <v>244.16</v>
      </c>
      <c r="C326" s="3">
        <v>252.8</v>
      </c>
      <c r="F326" s="4">
        <f t="shared" ref="F326:F330" si="116">AVERAGE(B326:C326)</f>
        <v>248.48</v>
      </c>
      <c r="H326" s="5">
        <v>39817</v>
      </c>
      <c r="I326" s="5">
        <v>39824</v>
      </c>
    </row>
    <row r="327" spans="1:9">
      <c r="A327" s="2">
        <v>505</v>
      </c>
      <c r="B327" s="3">
        <v>230.48</v>
      </c>
      <c r="C327" s="3">
        <v>232.72</v>
      </c>
      <c r="F327" s="4">
        <f>AVERAGE(B327:C327)</f>
        <v>231.6</v>
      </c>
      <c r="H327" s="5">
        <v>39831</v>
      </c>
      <c r="I327" s="5">
        <v>39838</v>
      </c>
    </row>
    <row r="328" spans="1:8">
      <c r="A328" s="2">
        <v>506</v>
      </c>
      <c r="B328" s="3">
        <v>247.97</v>
      </c>
      <c r="C328" s="3">
        <v>263.41</v>
      </c>
      <c r="F328" s="4">
        <f>AVERAGE(B328:C328)</f>
        <v>255.69</v>
      </c>
      <c r="H328" s="5">
        <v>39845</v>
      </c>
    </row>
    <row r="329" spans="1:7">
      <c r="A329" s="2">
        <v>507</v>
      </c>
      <c r="B329" s="3">
        <v>260.01</v>
      </c>
      <c r="C329" s="3">
        <v>254.16</v>
      </c>
      <c r="D329" s="3">
        <v>252.23</v>
      </c>
      <c r="E329" s="3">
        <v>287.34</v>
      </c>
      <c r="F329" s="4">
        <f>AVERAGE(B329:C329)</f>
        <v>257.085</v>
      </c>
      <c r="G329" s="4">
        <f t="shared" ref="G329" si="117">AVERAGE(D329:E329)</f>
        <v>269.785</v>
      </c>
    </row>
    <row r="330" spans="1:7">
      <c r="A330" s="2">
        <v>508</v>
      </c>
      <c r="B330" s="3">
        <v>272.24</v>
      </c>
      <c r="C330" s="3">
        <v>275.87</v>
      </c>
      <c r="D330" s="3">
        <v>274.28</v>
      </c>
      <c r="F330" s="4">
        <f>AVERAGE(B330:C330)</f>
        <v>274.055</v>
      </c>
      <c r="G330" s="4">
        <v>274.28</v>
      </c>
    </row>
    <row r="332" spans="1:6">
      <c r="A332" s="2">
        <v>538</v>
      </c>
      <c r="B332" s="3">
        <v>240.67</v>
      </c>
      <c r="F332" s="4">
        <f t="shared" ref="F332:F353" si="118">AVERAGE(B332:C332)</f>
        <v>240.67</v>
      </c>
    </row>
    <row r="333" spans="1:7">
      <c r="A333" s="2">
        <v>539</v>
      </c>
      <c r="B333" s="3">
        <v>235.29</v>
      </c>
      <c r="C333" s="3">
        <v>239.56</v>
      </c>
      <c r="D333" s="3">
        <v>235.26</v>
      </c>
      <c r="F333" s="4">
        <f>AVERAGE(B333:C333)</f>
        <v>237.425</v>
      </c>
      <c r="G333" s="4">
        <f t="shared" ref="G333:G355" si="119">AVERAGE(D333:E333)</f>
        <v>235.26</v>
      </c>
    </row>
    <row r="334" spans="1:7">
      <c r="A334" s="2">
        <v>540</v>
      </c>
      <c r="B334" s="3">
        <v>254.29</v>
      </c>
      <c r="C334" s="3">
        <v>249.84</v>
      </c>
      <c r="D334" s="3">
        <v>241.49</v>
      </c>
      <c r="E334" s="3">
        <v>233.2</v>
      </c>
      <c r="F334" s="4">
        <f>AVERAGE(B334:C334)</f>
        <v>252.065</v>
      </c>
      <c r="G334" s="4">
        <f>AVERAGE(D334:E334)</f>
        <v>237.345</v>
      </c>
    </row>
    <row r="335" spans="1:7">
      <c r="A335" s="2">
        <v>541</v>
      </c>
      <c r="B335" s="3">
        <v>260.79</v>
      </c>
      <c r="C335" s="3">
        <v>256.74</v>
      </c>
      <c r="D335" s="3">
        <v>239.88</v>
      </c>
      <c r="E335" s="3">
        <v>233.92</v>
      </c>
      <c r="F335" s="4">
        <f>AVERAGE(B335:C335)</f>
        <v>258.765</v>
      </c>
      <c r="G335" s="4">
        <f>AVERAGE(D335:E335)</f>
        <v>236.9</v>
      </c>
    </row>
    <row r="336" spans="1:6">
      <c r="A336" s="2">
        <v>544</v>
      </c>
      <c r="B336" s="3">
        <v>227.65</v>
      </c>
      <c r="C336" s="3">
        <v>239.68</v>
      </c>
      <c r="F336" s="4">
        <f>AVERAGE(B336:C336)</f>
        <v>233.665</v>
      </c>
    </row>
    <row r="337" spans="1:7">
      <c r="A337" s="2">
        <v>545</v>
      </c>
      <c r="B337" s="3">
        <v>218.58</v>
      </c>
      <c r="C337" s="3">
        <v>220.61</v>
      </c>
      <c r="D337" s="3">
        <v>215.3</v>
      </c>
      <c r="E337" s="3">
        <v>226.48</v>
      </c>
      <c r="F337" s="4">
        <f>AVERAGE(B337:C337)</f>
        <v>219.595</v>
      </c>
      <c r="G337" s="4">
        <f t="shared" ref="G337:G340" si="120">AVERAGE(D337:E337)</f>
        <v>220.89</v>
      </c>
    </row>
    <row r="338" spans="1:7">
      <c r="A338" s="2">
        <v>546</v>
      </c>
      <c r="B338" s="3">
        <v>204.08</v>
      </c>
      <c r="C338" s="3">
        <v>192.57</v>
      </c>
      <c r="D338" s="3">
        <v>209.84</v>
      </c>
      <c r="E338" s="3">
        <v>221.18</v>
      </c>
      <c r="F338" s="4">
        <f>AVERAGE(B338:C338)</f>
        <v>198.325</v>
      </c>
      <c r="G338" s="4">
        <f>AVERAGE(D338:E338)</f>
        <v>215.51</v>
      </c>
    </row>
    <row r="339" spans="1:7">
      <c r="A339" s="2">
        <v>547</v>
      </c>
      <c r="B339" s="3">
        <v>164.45</v>
      </c>
      <c r="C339" s="3">
        <v>173.64</v>
      </c>
      <c r="D339" s="3">
        <v>202.69</v>
      </c>
      <c r="E339" s="3">
        <v>204.77</v>
      </c>
      <c r="F339" s="4">
        <f>AVERAGE(B339:C339)</f>
        <v>169.045</v>
      </c>
      <c r="G339" s="4">
        <f>AVERAGE(D339:E339)</f>
        <v>203.73</v>
      </c>
    </row>
    <row r="340" spans="1:7">
      <c r="A340" s="2">
        <v>548</v>
      </c>
      <c r="B340" s="3">
        <v>219.73</v>
      </c>
      <c r="C340" s="3">
        <v>225.26</v>
      </c>
      <c r="D340" s="3">
        <v>213.28</v>
      </c>
      <c r="E340" s="3">
        <v>214.13</v>
      </c>
      <c r="F340" s="4">
        <f>AVERAGE(B340:C340)</f>
        <v>222.495</v>
      </c>
      <c r="G340" s="4">
        <f>AVERAGE(D340:E340)</f>
        <v>213.705</v>
      </c>
    </row>
    <row r="341" spans="1:6">
      <c r="A341" s="2">
        <v>549</v>
      </c>
      <c r="B341" s="3">
        <v>228.42</v>
      </c>
      <c r="C341" s="3">
        <v>215.82</v>
      </c>
      <c r="F341" s="4">
        <f>AVERAGE(B341:C341)</f>
        <v>222.12</v>
      </c>
    </row>
    <row r="342" spans="1:7">
      <c r="A342" s="2">
        <v>550</v>
      </c>
      <c r="B342" s="3">
        <v>230.51</v>
      </c>
      <c r="C342" s="3">
        <v>224.55</v>
      </c>
      <c r="D342" s="3">
        <v>213.7</v>
      </c>
      <c r="E342" s="3">
        <v>236.86</v>
      </c>
      <c r="F342" s="4">
        <f>AVERAGE(B342:C342)</f>
        <v>227.53</v>
      </c>
      <c r="G342" s="4">
        <f t="shared" ref="G342:G355" si="121">AVERAGE(D342:E342)</f>
        <v>225.28</v>
      </c>
    </row>
    <row r="343" spans="1:7">
      <c r="A343" s="2">
        <v>551</v>
      </c>
      <c r="B343" s="3">
        <v>244.05</v>
      </c>
      <c r="C343" s="3">
        <v>241.18</v>
      </c>
      <c r="D343" s="3">
        <v>229.35</v>
      </c>
      <c r="E343" s="3">
        <v>228.97</v>
      </c>
      <c r="F343" s="4">
        <f>AVERAGE(B343:C343)</f>
        <v>242.615</v>
      </c>
      <c r="G343" s="4">
        <f>AVERAGE(D343:E343)</f>
        <v>229.16</v>
      </c>
    </row>
    <row r="344" spans="1:7">
      <c r="A344" s="2">
        <v>552</v>
      </c>
      <c r="B344" s="3">
        <v>227.6</v>
      </c>
      <c r="C344" s="3">
        <v>226.97</v>
      </c>
      <c r="D344" s="3">
        <v>239.3</v>
      </c>
      <c r="E344" s="3">
        <v>222.9</v>
      </c>
      <c r="F344" s="4">
        <f>AVERAGE(B344:C344)</f>
        <v>227.285</v>
      </c>
      <c r="G344" s="4">
        <f>AVERAGE(D344:E344)</f>
        <v>231.1</v>
      </c>
    </row>
    <row r="345" spans="1:7">
      <c r="A345" s="2">
        <v>553</v>
      </c>
      <c r="B345" s="3">
        <v>233.15</v>
      </c>
      <c r="C345" s="3">
        <v>227.08</v>
      </c>
      <c r="D345" s="3">
        <v>236.92</v>
      </c>
      <c r="E345" s="3">
        <v>238.46</v>
      </c>
      <c r="F345" s="4">
        <f>AVERAGE(B345:C345)</f>
        <v>230.115</v>
      </c>
      <c r="G345" s="4">
        <f>AVERAGE(D345:E345)</f>
        <v>237.69</v>
      </c>
    </row>
    <row r="346" spans="1:7">
      <c r="A346" s="2">
        <v>554</v>
      </c>
      <c r="B346" s="3">
        <v>258.9</v>
      </c>
      <c r="C346" s="3">
        <v>249.75</v>
      </c>
      <c r="D346" s="3">
        <v>254.65</v>
      </c>
      <c r="E346" s="3">
        <v>248.24</v>
      </c>
      <c r="F346" s="4">
        <f>AVERAGE(B346:C346)</f>
        <v>254.325</v>
      </c>
      <c r="G346" s="4">
        <f>AVERAGE(D346:E346)</f>
        <v>251.445</v>
      </c>
    </row>
    <row r="347" spans="1:7">
      <c r="A347" s="2">
        <v>555</v>
      </c>
      <c r="B347" s="3">
        <v>274.44</v>
      </c>
      <c r="C347" s="3">
        <v>297.82</v>
      </c>
      <c r="D347" s="3">
        <v>266.47</v>
      </c>
      <c r="E347" s="3">
        <v>262.92</v>
      </c>
      <c r="F347" s="4">
        <f>AVERAGE(B347:C347)</f>
        <v>286.13</v>
      </c>
      <c r="G347" s="4">
        <f>AVERAGE(D347:E347)</f>
        <v>264.695</v>
      </c>
    </row>
    <row r="348" spans="1:7">
      <c r="A348" s="2">
        <v>556</v>
      </c>
      <c r="B348" s="3">
        <v>259.87</v>
      </c>
      <c r="C348" s="3">
        <v>234.25</v>
      </c>
      <c r="D348" s="3">
        <v>251.62</v>
      </c>
      <c r="E348" s="3">
        <v>245.17</v>
      </c>
      <c r="F348" s="4">
        <f>AVERAGE(B348:C348)</f>
        <v>247.06</v>
      </c>
      <c r="G348" s="4">
        <f>AVERAGE(D348:E348)</f>
        <v>248.395</v>
      </c>
    </row>
    <row r="349" spans="1:7">
      <c r="A349" s="2">
        <v>557</v>
      </c>
      <c r="B349" s="3">
        <v>268.11</v>
      </c>
      <c r="C349" s="3">
        <v>255.53</v>
      </c>
      <c r="D349" s="3">
        <v>216.71</v>
      </c>
      <c r="E349" s="3">
        <v>210.97</v>
      </c>
      <c r="F349" s="4">
        <f>AVERAGE(B349:C349)</f>
        <v>261.82</v>
      </c>
      <c r="G349" s="4">
        <f>AVERAGE(D349:E349)</f>
        <v>213.84</v>
      </c>
    </row>
    <row r="350" spans="1:7">
      <c r="A350" s="2">
        <v>558</v>
      </c>
      <c r="B350" s="3">
        <v>270.9</v>
      </c>
      <c r="C350" s="3">
        <v>256.21</v>
      </c>
      <c r="D350" s="3">
        <v>245.9</v>
      </c>
      <c r="E350" s="3">
        <v>245.65</v>
      </c>
      <c r="F350" s="4">
        <f>AVERAGE(B350:C350)</f>
        <v>263.555</v>
      </c>
      <c r="G350" s="4">
        <f>AVERAGE(D350:E350)</f>
        <v>245.775</v>
      </c>
    </row>
    <row r="351" spans="1:7">
      <c r="A351" s="2">
        <v>559</v>
      </c>
      <c r="B351" s="3">
        <v>260.73</v>
      </c>
      <c r="C351" s="3">
        <v>260.09</v>
      </c>
      <c r="D351" s="3">
        <v>247.21</v>
      </c>
      <c r="E351" s="3">
        <v>247.27</v>
      </c>
      <c r="F351" s="4">
        <f>AVERAGE(B351:C351)</f>
        <v>260.41</v>
      </c>
      <c r="G351" s="4">
        <f>AVERAGE(D351:E351)</f>
        <v>247.24</v>
      </c>
    </row>
    <row r="352" spans="1:7">
      <c r="A352" s="2">
        <v>560</v>
      </c>
      <c r="B352" s="3">
        <v>257.02</v>
      </c>
      <c r="C352" s="3">
        <v>249.32</v>
      </c>
      <c r="D352" s="3">
        <v>254.62</v>
      </c>
      <c r="E352" s="3">
        <v>252.39</v>
      </c>
      <c r="F352" s="4">
        <f>AVERAGE(B352:C352)</f>
        <v>253.17</v>
      </c>
      <c r="G352" s="4">
        <f>AVERAGE(D352:E352)</f>
        <v>253.505</v>
      </c>
    </row>
    <row r="353" spans="1:7">
      <c r="A353" s="2">
        <v>563</v>
      </c>
      <c r="B353" s="3">
        <v>269.08</v>
      </c>
      <c r="D353" s="3">
        <v>256.26</v>
      </c>
      <c r="F353" s="4">
        <f>AVERAGE(B353:C353)</f>
        <v>269.08</v>
      </c>
      <c r="G353" s="4">
        <f>AVERAGE(D353:E353)</f>
        <v>256.26</v>
      </c>
    </row>
    <row r="354" spans="1:7">
      <c r="A354" s="2">
        <v>564</v>
      </c>
      <c r="D354" s="3">
        <v>254.85</v>
      </c>
      <c r="G354" s="4">
        <f>AVERAGE(D354:E354)</f>
        <v>254.85</v>
      </c>
    </row>
    <row r="355" spans="1:7">
      <c r="A355" s="2">
        <v>565</v>
      </c>
      <c r="B355" s="3">
        <v>276.66</v>
      </c>
      <c r="C355" s="3">
        <v>285.17</v>
      </c>
      <c r="D355" s="3">
        <v>276.29</v>
      </c>
      <c r="E355" s="3">
        <v>256.79</v>
      </c>
      <c r="F355" s="4">
        <f t="shared" ref="F355:F360" si="122">AVERAGE(B355:C355)</f>
        <v>280.915</v>
      </c>
      <c r="G355" s="4">
        <f>AVERAGE(D355:E355)</f>
        <v>266.54</v>
      </c>
    </row>
    <row r="356" spans="1:6">
      <c r="A356" s="2">
        <v>566</v>
      </c>
      <c r="B356" s="3">
        <v>266.28</v>
      </c>
      <c r="C356" s="3">
        <v>270.66</v>
      </c>
      <c r="F356" s="4">
        <f>AVERAGE(B356:C356)</f>
        <v>268.47</v>
      </c>
    </row>
    <row r="357" spans="1:6">
      <c r="A357" s="2">
        <v>567</v>
      </c>
      <c r="B357" s="3">
        <v>275.78</v>
      </c>
      <c r="C357" s="3">
        <v>271.27</v>
      </c>
      <c r="F357" s="4">
        <f>AVERAGE(B357:C357)</f>
        <v>273.525</v>
      </c>
    </row>
    <row r="358" spans="1:6">
      <c r="A358" s="2">
        <v>568</v>
      </c>
      <c r="B358" s="3">
        <v>274.87</v>
      </c>
      <c r="F358" s="4">
        <f>AVERAGE(B358:C358)</f>
        <v>274.87</v>
      </c>
    </row>
    <row r="359" spans="1:7">
      <c r="A359" s="2">
        <v>569</v>
      </c>
      <c r="B359" s="3">
        <v>270.86</v>
      </c>
      <c r="C359" s="3">
        <v>270.37</v>
      </c>
      <c r="D359" s="3">
        <v>250.94</v>
      </c>
      <c r="F359" s="4">
        <f>AVERAGE(B359:C359)</f>
        <v>270.615</v>
      </c>
      <c r="G359" s="4">
        <v>250.94</v>
      </c>
    </row>
    <row r="360" spans="1:7">
      <c r="A360" s="2">
        <v>570</v>
      </c>
      <c r="B360" s="3">
        <v>273.78</v>
      </c>
      <c r="C360" s="3">
        <v>271</v>
      </c>
      <c r="D360" s="3">
        <v>253.84</v>
      </c>
      <c r="E360" s="3">
        <v>245.6</v>
      </c>
      <c r="F360" s="4">
        <f>AVERAGE(B360:C360)</f>
        <v>272.39</v>
      </c>
      <c r="G360" s="4">
        <f t="shared" ref="G360" si="123">AVERAGE(D360:E360)</f>
        <v>249.72</v>
      </c>
    </row>
    <row r="361" spans="1:7">
      <c r="A361" s="2">
        <v>573</v>
      </c>
      <c r="D361" s="3">
        <v>209.47</v>
      </c>
      <c r="E361" s="3">
        <v>217.89</v>
      </c>
      <c r="G361" s="4">
        <v>213.68</v>
      </c>
    </row>
    <row r="362" spans="1:7">
      <c r="A362" s="2">
        <v>574</v>
      </c>
      <c r="D362" s="3">
        <v>221.82</v>
      </c>
      <c r="E362" s="3">
        <v>238.25</v>
      </c>
      <c r="G362" s="4">
        <v>230.04</v>
      </c>
    </row>
    <row r="363" spans="1:7">
      <c r="A363" s="2">
        <v>575</v>
      </c>
      <c r="B363" s="3">
        <v>232.34</v>
      </c>
      <c r="C363" s="3">
        <v>242.16</v>
      </c>
      <c r="D363" s="3">
        <v>236.19</v>
      </c>
      <c r="E363" s="3">
        <v>239.24</v>
      </c>
      <c r="F363" s="4">
        <f t="shared" ref="F363:F372" si="124">AVERAGE(B363:C363)</f>
        <v>237.25</v>
      </c>
      <c r="G363" s="4">
        <f t="shared" ref="G363:G373" si="125">AVERAGE(D363:E363)</f>
        <v>237.715</v>
      </c>
    </row>
    <row r="364" spans="1:6">
      <c r="A364" s="2">
        <v>576</v>
      </c>
      <c r="B364" s="3">
        <v>228.5</v>
      </c>
      <c r="C364" s="3">
        <v>242.97</v>
      </c>
      <c r="F364" s="4">
        <f>AVERAGE(B364:C364)</f>
        <v>235.735</v>
      </c>
    </row>
    <row r="365" spans="1:7">
      <c r="A365" s="2">
        <v>577</v>
      </c>
      <c r="B365" s="3">
        <v>218.08</v>
      </c>
      <c r="C365" s="3">
        <v>240.18</v>
      </c>
      <c r="D365" s="3">
        <v>207.07</v>
      </c>
      <c r="E365" s="3">
        <v>215.11</v>
      </c>
      <c r="F365" s="4">
        <f>AVERAGE(B365:C365)</f>
        <v>229.13</v>
      </c>
      <c r="G365" s="4">
        <f t="shared" ref="G365:G369" si="126">AVERAGE(D365:E365)</f>
        <v>211.09</v>
      </c>
    </row>
    <row r="366" spans="1:7">
      <c r="A366" s="2">
        <v>578</v>
      </c>
      <c r="B366" s="3">
        <v>234.24</v>
      </c>
      <c r="C366" s="3">
        <v>225.44</v>
      </c>
      <c r="D366" s="3">
        <v>197.11</v>
      </c>
      <c r="E366" s="3">
        <v>206.2</v>
      </c>
      <c r="F366" s="4">
        <f>AVERAGE(B366:C366)</f>
        <v>229.84</v>
      </c>
      <c r="G366" s="4">
        <f>AVERAGE(D366:E366)</f>
        <v>201.655</v>
      </c>
    </row>
    <row r="367" spans="1:7">
      <c r="A367" s="2">
        <v>579</v>
      </c>
      <c r="B367" s="3">
        <v>238.1</v>
      </c>
      <c r="C367" s="3">
        <v>244.84</v>
      </c>
      <c r="D367" s="3">
        <v>244.81</v>
      </c>
      <c r="E367" s="3">
        <v>247.32</v>
      </c>
      <c r="F367" s="4">
        <f>AVERAGE(B367:C367)</f>
        <v>241.47</v>
      </c>
      <c r="G367" s="4">
        <f>AVERAGE(D367:E367)</f>
        <v>246.065</v>
      </c>
    </row>
    <row r="368" spans="1:7">
      <c r="A368" s="2">
        <v>580</v>
      </c>
      <c r="B368" s="3">
        <v>245.66</v>
      </c>
      <c r="C368" s="3">
        <v>251.84</v>
      </c>
      <c r="D368" s="3">
        <v>234.05</v>
      </c>
      <c r="E368" s="3">
        <v>241.8</v>
      </c>
      <c r="F368" s="4">
        <f>AVERAGE(B368:C368)</f>
        <v>248.75</v>
      </c>
      <c r="G368" s="4">
        <f>AVERAGE(D368:E368)</f>
        <v>237.925</v>
      </c>
    </row>
    <row r="369" spans="1:7">
      <c r="A369" s="2">
        <v>581</v>
      </c>
      <c r="B369" s="3">
        <v>251.65</v>
      </c>
      <c r="C369" s="3">
        <v>254.5</v>
      </c>
      <c r="D369" s="3">
        <v>241</v>
      </c>
      <c r="E369" s="3">
        <v>257.83</v>
      </c>
      <c r="F369" s="4">
        <f>AVERAGE(B369:C369)</f>
        <v>253.075</v>
      </c>
      <c r="G369" s="4">
        <f>AVERAGE(D369:E369)</f>
        <v>249.415</v>
      </c>
    </row>
    <row r="370" spans="1:6">
      <c r="A370" s="2">
        <v>582</v>
      </c>
      <c r="B370" s="3">
        <v>255.67</v>
      </c>
      <c r="C370" s="3">
        <v>257.55</v>
      </c>
      <c r="F370" s="4">
        <f>AVERAGE(B370:C370)</f>
        <v>256.61</v>
      </c>
    </row>
    <row r="371" spans="1:7">
      <c r="A371" s="2">
        <v>583</v>
      </c>
      <c r="B371" s="3">
        <v>253.1</v>
      </c>
      <c r="C371" s="3">
        <v>266.48</v>
      </c>
      <c r="D371" s="3">
        <v>237.85</v>
      </c>
      <c r="E371" s="3">
        <v>249.84</v>
      </c>
      <c r="F371" s="4">
        <f>AVERAGE(B371:C371)</f>
        <v>259.79</v>
      </c>
      <c r="G371" s="4">
        <f>AVERAGE(D371:E371)</f>
        <v>243.845</v>
      </c>
    </row>
    <row r="372" spans="1:6">
      <c r="A372" s="2">
        <v>584</v>
      </c>
      <c r="B372" s="3">
        <v>232.81</v>
      </c>
      <c r="C372" s="3">
        <v>240.57</v>
      </c>
      <c r="F372" s="4">
        <f>AVERAGE(B372:C372)</f>
        <v>236.69</v>
      </c>
    </row>
    <row r="373" spans="1:7">
      <c r="A373" s="2">
        <v>585</v>
      </c>
      <c r="B373" s="3">
        <v>251.24</v>
      </c>
      <c r="C373" s="3">
        <v>240.39</v>
      </c>
      <c r="D373" s="3">
        <v>252.4</v>
      </c>
      <c r="E373" s="3">
        <v>244.46</v>
      </c>
      <c r="F373" s="4">
        <f t="shared" ref="F373:F378" si="127">AVERAGE(B373:C373)</f>
        <v>245.815</v>
      </c>
      <c r="G373" s="4">
        <f>AVERAGE(D373:E373)</f>
        <v>248.43</v>
      </c>
    </row>
    <row r="374" spans="1:6">
      <c r="A374" s="2">
        <v>586</v>
      </c>
      <c r="B374" s="3">
        <v>250.17</v>
      </c>
      <c r="C374" s="3">
        <v>251.4</v>
      </c>
      <c r="F374" s="4">
        <f>AVERAGE(B374:C374)</f>
        <v>250.785</v>
      </c>
    </row>
    <row r="375" spans="1:6">
      <c r="A375" s="2">
        <v>587</v>
      </c>
      <c r="B375" s="3">
        <v>264.6</v>
      </c>
      <c r="C375" s="3">
        <v>276.9</v>
      </c>
      <c r="F375" s="4">
        <f>AVERAGE(B375:C375)</f>
        <v>270.75</v>
      </c>
    </row>
    <row r="376" spans="1:7">
      <c r="A376" s="2">
        <v>588</v>
      </c>
      <c r="B376" s="3">
        <v>260.55</v>
      </c>
      <c r="C376" s="3">
        <v>267.54</v>
      </c>
      <c r="D376" s="3">
        <v>251.15</v>
      </c>
      <c r="E376" s="3">
        <v>257.72</v>
      </c>
      <c r="F376" s="4">
        <f>AVERAGE(B376:C376)</f>
        <v>264.045</v>
      </c>
      <c r="G376" s="4">
        <f t="shared" ref="G376" si="128">AVERAGE(D376:E376)</f>
        <v>254.435</v>
      </c>
    </row>
    <row r="377" spans="1:6">
      <c r="A377" s="2">
        <v>589</v>
      </c>
      <c r="B377" s="3">
        <v>272.09</v>
      </c>
      <c r="C377" s="3">
        <v>266.7</v>
      </c>
      <c r="F377" s="4">
        <f>AVERAGE(B377:C377)</f>
        <v>269.395</v>
      </c>
    </row>
    <row r="378" spans="1:7">
      <c r="A378" s="2">
        <v>590</v>
      </c>
      <c r="B378" s="3">
        <v>270.09</v>
      </c>
      <c r="C378" s="3">
        <v>259.78</v>
      </c>
      <c r="D378" s="3">
        <v>256.27</v>
      </c>
      <c r="E378" s="3">
        <v>257.95</v>
      </c>
      <c r="F378" s="4">
        <f>AVERAGE(B378:C378)</f>
        <v>264.935</v>
      </c>
      <c r="G378" s="4">
        <f t="shared" ref="G378" si="129">AVERAGE(D378:E378)</f>
        <v>257.11</v>
      </c>
    </row>
    <row r="380" spans="1:6">
      <c r="A380" s="2">
        <v>593</v>
      </c>
      <c r="B380" s="3">
        <v>279.16</v>
      </c>
      <c r="C380" s="3">
        <v>284.63</v>
      </c>
      <c r="F380" s="4">
        <f>AVERAGE(B380:C380)</f>
        <v>281.895</v>
      </c>
    </row>
    <row r="381" spans="1:7">
      <c r="A381" s="2">
        <v>594</v>
      </c>
      <c r="B381" s="3">
        <v>285.93</v>
      </c>
      <c r="C381" s="3">
        <v>285.56</v>
      </c>
      <c r="D381" s="3">
        <v>279.27</v>
      </c>
      <c r="E381" s="3">
        <v>264.61</v>
      </c>
      <c r="F381" s="4">
        <f>AVERAGE(B381:C381)</f>
        <v>285.745</v>
      </c>
      <c r="G381" s="4">
        <f>AVERAGE(D381:E381)</f>
        <v>271.94</v>
      </c>
    </row>
    <row r="382" spans="1:7">
      <c r="A382" s="2">
        <v>595</v>
      </c>
      <c r="B382" s="3">
        <v>275.85</v>
      </c>
      <c r="C382" s="3">
        <v>282.44</v>
      </c>
      <c r="D382" s="3">
        <v>265.36</v>
      </c>
      <c r="E382" s="3">
        <v>262.93</v>
      </c>
      <c r="F382" s="4">
        <f>AVERAGE(B382:C382)</f>
        <v>279.145</v>
      </c>
      <c r="G382" s="4">
        <f>AVERAGE(D382:E382)</f>
        <v>264.145</v>
      </c>
    </row>
    <row r="384" spans="1:5">
      <c r="A384" s="2">
        <v>597</v>
      </c>
      <c r="D384" s="3">
        <v>290.89</v>
      </c>
      <c r="E384" s="3">
        <v>269.77</v>
      </c>
    </row>
    <row r="386" spans="1:3">
      <c r="A386" s="2">
        <v>599</v>
      </c>
      <c r="B386" s="3">
        <v>260.64</v>
      </c>
      <c r="C386" s="3">
        <v>256.21</v>
      </c>
    </row>
    <row r="387" spans="1:5">
      <c r="A387" s="2">
        <v>600</v>
      </c>
      <c r="B387" s="3">
        <v>190.05</v>
      </c>
      <c r="C387" s="3">
        <v>302.12</v>
      </c>
      <c r="D387" s="3">
        <v>232.39</v>
      </c>
      <c r="E387" s="3">
        <v>220.15</v>
      </c>
    </row>
    <row r="389" spans="1:5">
      <c r="A389" s="2">
        <v>605</v>
      </c>
      <c r="B389" s="3">
        <v>271.54</v>
      </c>
      <c r="C389" s="3">
        <v>253.51</v>
      </c>
      <c r="D389" s="3">
        <v>270.3</v>
      </c>
      <c r="E389" s="3">
        <v>285.47</v>
      </c>
    </row>
    <row r="391" spans="1:4">
      <c r="A391" s="2">
        <v>613</v>
      </c>
      <c r="C391" s="3">
        <v>299.03</v>
      </c>
      <c r="D391" s="3">
        <v>288.02</v>
      </c>
    </row>
    <row r="392" spans="1:3">
      <c r="A392" s="2">
        <v>614</v>
      </c>
      <c r="B392" s="3">
        <v>301.22</v>
      </c>
      <c r="C392" s="3">
        <v>297.91</v>
      </c>
    </row>
    <row r="394" spans="1:3">
      <c r="A394" s="2">
        <v>616</v>
      </c>
      <c r="B394" s="3">
        <v>269.05</v>
      </c>
      <c r="C394" s="3">
        <v>268.17</v>
      </c>
    </row>
    <row r="395" spans="1:5">
      <c r="A395" s="2">
        <v>617</v>
      </c>
      <c r="D395" s="3">
        <v>302.63</v>
      </c>
      <c r="E395" s="3">
        <v>291.66</v>
      </c>
    </row>
    <row r="396" spans="1:5">
      <c r="A396" s="2">
        <v>618</v>
      </c>
      <c r="D396" s="3">
        <v>293.71</v>
      </c>
      <c r="E396" s="3">
        <v>294.21</v>
      </c>
    </row>
    <row r="398" spans="1:5">
      <c r="A398" s="2">
        <v>655</v>
      </c>
      <c r="D398" s="3">
        <v>224.13</v>
      </c>
      <c r="E398" s="3">
        <v>157.86</v>
      </c>
    </row>
    <row r="399" spans="1:5">
      <c r="A399" s="2">
        <v>656</v>
      </c>
      <c r="D399" s="3">
        <v>258.9</v>
      </c>
      <c r="E399" s="3">
        <v>261.58</v>
      </c>
    </row>
    <row r="400" spans="1:5">
      <c r="A400" s="2">
        <v>657</v>
      </c>
      <c r="B400" s="3">
        <v>200.98</v>
      </c>
      <c r="C400" s="3">
        <v>157.15</v>
      </c>
      <c r="D400" s="3">
        <v>240.56</v>
      </c>
      <c r="E400" s="3">
        <v>248.54</v>
      </c>
    </row>
    <row r="401" spans="1:5">
      <c r="A401" s="2">
        <v>658</v>
      </c>
      <c r="B401" s="3">
        <v>203.71</v>
      </c>
      <c r="C401" s="3">
        <v>220.55</v>
      </c>
      <c r="D401" s="3">
        <v>223.78</v>
      </c>
      <c r="E401" s="3">
        <v>227.27</v>
      </c>
    </row>
    <row r="402" spans="1:5">
      <c r="A402" s="2">
        <v>659</v>
      </c>
      <c r="D402" s="3">
        <v>250.06</v>
      </c>
      <c r="E402" s="3">
        <v>255.76</v>
      </c>
    </row>
    <row r="403" spans="1:5">
      <c r="A403" s="2">
        <v>660</v>
      </c>
      <c r="B403" s="3">
        <v>226.47</v>
      </c>
      <c r="C403" s="3">
        <v>238.61</v>
      </c>
      <c r="D403" s="3">
        <v>268.58</v>
      </c>
      <c r="E403" s="3">
        <v>263.71</v>
      </c>
    </row>
    <row r="405" spans="1:5">
      <c r="A405" s="2">
        <v>663</v>
      </c>
      <c r="D405" s="3">
        <v>289.48</v>
      </c>
      <c r="E405" s="3">
        <v>286.77</v>
      </c>
    </row>
    <row r="406" spans="1:5">
      <c r="A406" s="2">
        <v>664</v>
      </c>
      <c r="B406" s="3">
        <v>280.36</v>
      </c>
      <c r="C406" s="3">
        <v>258.46</v>
      </c>
      <c r="D406" s="3">
        <v>286.66</v>
      </c>
      <c r="E406" s="3">
        <v>265.88</v>
      </c>
    </row>
    <row r="408" spans="1:3">
      <c r="A408" s="2">
        <v>669</v>
      </c>
      <c r="B408" s="3">
        <v>283.62</v>
      </c>
      <c r="C408" s="3">
        <v>290.23</v>
      </c>
    </row>
    <row r="410" spans="1:5">
      <c r="A410" s="2">
        <v>679</v>
      </c>
      <c r="D410" s="3">
        <v>278.6</v>
      </c>
      <c r="E410" s="3">
        <v>283.57</v>
      </c>
    </row>
    <row r="411" spans="1:5">
      <c r="A411" s="2">
        <v>680</v>
      </c>
      <c r="B411" s="3">
        <v>306.58</v>
      </c>
      <c r="C411" s="3">
        <v>304.98</v>
      </c>
      <c r="D411" s="3">
        <v>242.26</v>
      </c>
      <c r="E411" s="3">
        <v>229.5</v>
      </c>
    </row>
    <row r="412" spans="1:5">
      <c r="A412" s="2">
        <v>681</v>
      </c>
      <c r="B412" s="3">
        <v>238.21</v>
      </c>
      <c r="C412" s="3">
        <v>229.29</v>
      </c>
      <c r="D412" s="3">
        <v>215.21</v>
      </c>
      <c r="E412" s="3">
        <v>240.33</v>
      </c>
    </row>
    <row r="413" spans="1:5">
      <c r="A413" s="2">
        <v>682</v>
      </c>
      <c r="D413" s="3">
        <v>247.55</v>
      </c>
      <c r="E413" s="3">
        <v>267.88</v>
      </c>
    </row>
    <row r="414" spans="1:3">
      <c r="A414" s="2">
        <v>683</v>
      </c>
      <c r="B414" s="3">
        <v>266.29</v>
      </c>
      <c r="C414" s="3">
        <v>266.97</v>
      </c>
    </row>
    <row r="416" spans="1:3">
      <c r="A416" s="2">
        <v>684</v>
      </c>
      <c r="B416" s="3">
        <v>253.57</v>
      </c>
      <c r="C416" s="3">
        <v>233.09</v>
      </c>
    </row>
    <row r="418" spans="1:5">
      <c r="A418" s="2">
        <v>687</v>
      </c>
      <c r="D418" s="3">
        <v>288.52</v>
      </c>
      <c r="E418" s="3">
        <v>282.83</v>
      </c>
    </row>
    <row r="420" spans="1:3">
      <c r="A420" s="2">
        <v>691</v>
      </c>
      <c r="B420" s="3">
        <v>297.67</v>
      </c>
      <c r="C420" s="3">
        <v>303.97</v>
      </c>
    </row>
  </sheetData>
  <printOptions gridLines="1"/>
  <pageMargins left="0.25" right="0.25" top="0.25" bottom="0.25" header="0.5" footer="0.5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B1" sqref="I:I H118 K120 H:H J118 J:J L119 J121 I120 H119 H119 H118 K120 L119 E120 E117 H118 1:1048576"/>
    </sheetView>
  </sheetViews>
  <sheetFormatPr defaultColWidth="9" defaultRowHeight="12.75"/>
  <sheetData/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2.7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Southern Maine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Chart2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Services</dc:creator>
  <cp:lastModifiedBy>kenneth weber</cp:lastModifiedBy>
  <dcterms:created xsi:type="dcterms:W3CDTF">2016-11-11T18:29:24Z</dcterms:created>
  <dcterms:modified xsi:type="dcterms:W3CDTF">2016-11-11T20:27:36Z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
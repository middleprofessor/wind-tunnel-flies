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walker/Documents/Github/wind-tunnel-flies/data/wind tunnel/"/>
    </mc:Choice>
  </mc:AlternateContent>
  <xr:revisionPtr revIDLastSave="0" documentId="8_{416ACBC5-8437-F844-8937-D4EE3CB772E1}" xr6:coauthVersionLast="47" xr6:coauthVersionMax="47" xr10:uidLastSave="{00000000-0000-0000-0000-000000000000}"/>
  <bookViews>
    <workbookView xWindow="120" yWindow="600" windowWidth="17300" windowHeight="16680" activeTab="2" xr2:uid="{69C9B0F7-584F-D440-BA33-3E13485E7BA7}"/>
  </bookViews>
  <sheets>
    <sheet name="Input Form" sheetId="4" r:id="rId1"/>
    <sheet name="Output Form" sheetId="5" r:id="rId2"/>
    <sheet name="Calculations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1" l="1"/>
  <c r="K2" i="1"/>
  <c r="L2" i="1"/>
  <c r="M2" i="1"/>
  <c r="M3" i="1" s="1"/>
  <c r="Q2" i="1"/>
  <c r="R2" i="1"/>
  <c r="S2" i="1"/>
  <c r="S4" i="1" s="1"/>
  <c r="T2" i="1"/>
  <c r="T4" i="1" s="1"/>
  <c r="U2" i="1"/>
  <c r="U4" i="1" s="1"/>
  <c r="V2" i="1"/>
  <c r="W2" i="1"/>
  <c r="X2" i="1"/>
  <c r="X4" i="1" s="1"/>
  <c r="Y2" i="1"/>
  <c r="Z2" i="1"/>
  <c r="Z3" i="1" s="1"/>
  <c r="AA2" i="1"/>
  <c r="AA4" i="1" s="1"/>
  <c r="AB2" i="1"/>
  <c r="AC2" i="1"/>
  <c r="AD2" i="1"/>
  <c r="AF2" i="1"/>
  <c r="AG2" i="1"/>
  <c r="AG4" i="1" s="1"/>
  <c r="AH2" i="1"/>
  <c r="AI2" i="1"/>
  <c r="AJ2" i="1"/>
  <c r="AJ4" i="1" s="1"/>
  <c r="AK2" i="1"/>
  <c r="AY2" i="1"/>
  <c r="P2" i="1"/>
  <c r="AM2" i="1"/>
  <c r="AW2" i="1"/>
  <c r="AW4" i="1" s="1"/>
  <c r="N2" i="1"/>
  <c r="O2" i="1"/>
  <c r="O3" i="1" s="1"/>
  <c r="AL2" i="1"/>
  <c r="AL3" i="1" s="1"/>
  <c r="AN2" i="1"/>
  <c r="AO2" i="1"/>
  <c r="AP2" i="1"/>
  <c r="AQ2" i="1"/>
  <c r="AR2" i="1"/>
  <c r="AR4" i="1" s="1"/>
  <c r="AS2" i="1"/>
  <c r="AS4" i="1" s="1"/>
  <c r="AT2" i="1"/>
  <c r="AU2" i="1"/>
  <c r="AU3" i="1" s="1"/>
  <c r="AV2" i="1"/>
  <c r="AX2" i="1"/>
  <c r="AX3" i="1" s="1"/>
  <c r="L5" i="1"/>
  <c r="M5" i="1"/>
  <c r="J2" i="1"/>
  <c r="K4" i="1" s="1"/>
  <c r="AE4" i="1"/>
  <c r="Q4" i="1"/>
  <c r="R4" i="1"/>
  <c r="Y4" i="1"/>
  <c r="Z4" i="1"/>
  <c r="AH4" i="1"/>
  <c r="AI4" i="1"/>
  <c r="AP4" i="1"/>
  <c r="AQ4" i="1"/>
  <c r="AX4" i="1"/>
  <c r="I10" i="1"/>
  <c r="G2" i="1"/>
  <c r="H2" i="1"/>
  <c r="I2" i="1"/>
  <c r="A2" i="1"/>
  <c r="AF3" i="1"/>
  <c r="AG3" i="1"/>
  <c r="AI3" i="1"/>
  <c r="AM3" i="1"/>
  <c r="AO3" i="1"/>
  <c r="AP3" i="1"/>
  <c r="AQ3" i="1"/>
  <c r="AT3" i="1"/>
  <c r="AW3" i="1"/>
  <c r="AC3" i="1"/>
  <c r="X3" i="1"/>
  <c r="W3" i="1"/>
  <c r="K3" i="1"/>
  <c r="L3" i="1"/>
  <c r="P3" i="1"/>
  <c r="Q3" i="1"/>
  <c r="R3" i="1"/>
  <c r="S3" i="1"/>
  <c r="U3" i="1"/>
  <c r="V3" i="1"/>
  <c r="AD3" i="1"/>
  <c r="AE3" i="1"/>
  <c r="AR3" i="1"/>
  <c r="AS3" i="1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8" i="4"/>
  <c r="C7" i="5"/>
  <c r="C2" i="5"/>
  <c r="AV4" i="1" l="1"/>
  <c r="AV3" i="1"/>
  <c r="AV11" i="1"/>
  <c r="AN3" i="1"/>
  <c r="AN4" i="1"/>
  <c r="AK4" i="1"/>
  <c r="AK11" i="1"/>
  <c r="AB4" i="1"/>
  <c r="AB3" i="1"/>
  <c r="Y11" i="1"/>
  <c r="B2" i="1"/>
  <c r="C3" i="5" s="1"/>
  <c r="N11" i="1"/>
  <c r="AH11" i="1"/>
  <c r="AK3" i="1"/>
  <c r="I6" i="1"/>
  <c r="T3" i="1"/>
  <c r="M6" i="1"/>
  <c r="N5" i="1"/>
  <c r="AN11" i="1"/>
  <c r="AC11" i="1"/>
  <c r="AJ3" i="1"/>
  <c r="AH3" i="1"/>
  <c r="AL11" i="1"/>
  <c r="AO4" i="1"/>
  <c r="P4" i="1"/>
  <c r="S11" i="1"/>
  <c r="O4" i="1"/>
  <c r="Y3" i="1"/>
  <c r="AU4" i="1"/>
  <c r="AM4" i="1"/>
  <c r="AD4" i="1"/>
  <c r="V4" i="1"/>
  <c r="N4" i="1"/>
  <c r="AA3" i="1"/>
  <c r="AT4" i="1"/>
  <c r="AL4" i="1"/>
  <c r="AC4" i="1"/>
  <c r="M4" i="1"/>
  <c r="M11" i="1"/>
  <c r="AF4" i="1"/>
  <c r="N3" i="1"/>
  <c r="I4" i="1" s="1"/>
  <c r="D2" i="1" s="1"/>
  <c r="C9" i="5" s="1"/>
  <c r="L4" i="1"/>
  <c r="AA11" i="1"/>
  <c r="W4" i="1"/>
  <c r="C6" i="5"/>
  <c r="I5" i="1" l="1"/>
  <c r="F2" i="1" s="1"/>
  <c r="C11" i="5" s="1"/>
  <c r="C12" i="5" s="1"/>
  <c r="N6" i="1"/>
  <c r="O5" i="1"/>
  <c r="N7" i="1"/>
  <c r="L11" i="1"/>
  <c r="AO11" i="1"/>
  <c r="AD11" i="1"/>
  <c r="C5" i="5"/>
  <c r="AM11" i="1"/>
  <c r="AI11" i="1"/>
  <c r="P11" i="1"/>
  <c r="AF11" i="1"/>
  <c r="O11" i="1"/>
  <c r="K6" i="1"/>
  <c r="L7" i="1" s="1"/>
  <c r="R11" i="1"/>
  <c r="AX11" i="1"/>
  <c r="AY11" i="1"/>
  <c r="Q11" i="1"/>
  <c r="V11" i="1"/>
  <c r="AE11" i="1"/>
  <c r="U11" i="1"/>
  <c r="AJ11" i="1"/>
  <c r="AG11" i="1"/>
  <c r="W11" i="1"/>
  <c r="K11" i="1"/>
  <c r="AP11" i="1"/>
  <c r="T11" i="1"/>
  <c r="X11" i="1"/>
  <c r="AS11" i="1"/>
  <c r="Z11" i="1"/>
  <c r="AQ11" i="1"/>
  <c r="AW11" i="1"/>
  <c r="AR11" i="1"/>
  <c r="L6" i="1"/>
  <c r="M7" i="1" s="1"/>
  <c r="AU11" i="1"/>
  <c r="AB11" i="1"/>
  <c r="AT11" i="1"/>
  <c r="L8" i="1" l="1"/>
  <c r="L10" i="1"/>
  <c r="L9" i="1"/>
  <c r="O6" i="1"/>
  <c r="P5" i="1"/>
  <c r="M10" i="1"/>
  <c r="M8" i="1"/>
  <c r="M9" i="1"/>
  <c r="N9" i="1"/>
  <c r="N10" i="1"/>
  <c r="N8" i="1"/>
  <c r="Q5" i="1" l="1"/>
  <c r="P6" i="1"/>
  <c r="O7" i="1"/>
  <c r="O9" i="1" l="1"/>
  <c r="O10" i="1"/>
  <c r="O8" i="1"/>
  <c r="Q6" i="1"/>
  <c r="R5" i="1"/>
  <c r="P7" i="1"/>
  <c r="P10" i="1" l="1"/>
  <c r="P9" i="1"/>
  <c r="P8" i="1"/>
  <c r="Q7" i="1"/>
  <c r="R6" i="1"/>
  <c r="S5" i="1"/>
  <c r="T5" i="1" l="1"/>
  <c r="S6" i="1"/>
  <c r="Q8" i="1"/>
  <c r="Q10" i="1"/>
  <c r="Q9" i="1"/>
  <c r="S7" i="1"/>
  <c r="R7" i="1"/>
  <c r="R10" i="1" l="1"/>
  <c r="R8" i="1"/>
  <c r="R9" i="1"/>
  <c r="T6" i="1"/>
  <c r="U5" i="1"/>
  <c r="S10" i="1"/>
  <c r="S8" i="1"/>
  <c r="S9" i="1"/>
  <c r="T7" i="1" l="1"/>
  <c r="U6" i="1"/>
  <c r="V5" i="1"/>
  <c r="W5" i="1" l="1"/>
  <c r="V6" i="1"/>
  <c r="V7" i="1"/>
  <c r="T10" i="1"/>
  <c r="T8" i="1"/>
  <c r="T9" i="1"/>
  <c r="U7" i="1"/>
  <c r="U8" i="1" l="1"/>
  <c r="U10" i="1"/>
  <c r="U9" i="1"/>
  <c r="V9" i="1"/>
  <c r="V10" i="1"/>
  <c r="V8" i="1"/>
  <c r="W6" i="1"/>
  <c r="W7" i="1" s="1"/>
  <c r="X5" i="1"/>
  <c r="W10" i="1" l="1"/>
  <c r="W9" i="1"/>
  <c r="W8" i="1"/>
  <c r="X6" i="1"/>
  <c r="Y5" i="1"/>
  <c r="Y6" i="1" l="1"/>
  <c r="Z5" i="1"/>
  <c r="Y7" i="1"/>
  <c r="X7" i="1"/>
  <c r="X10" i="1" l="1"/>
  <c r="X9" i="1"/>
  <c r="X8" i="1"/>
  <c r="Y8" i="1"/>
  <c r="Y9" i="1"/>
  <c r="Y10" i="1"/>
  <c r="Z6" i="1"/>
  <c r="AA5" i="1"/>
  <c r="AA6" i="1" l="1"/>
  <c r="AB5" i="1"/>
  <c r="AA7" i="1"/>
  <c r="Z7" i="1"/>
  <c r="Z8" i="1" l="1"/>
  <c r="Z10" i="1"/>
  <c r="Z9" i="1"/>
  <c r="AA10" i="1"/>
  <c r="AA8" i="1"/>
  <c r="AA9" i="1"/>
  <c r="AB6" i="1"/>
  <c r="AC5" i="1"/>
  <c r="AC6" i="1" l="1"/>
  <c r="AD5" i="1"/>
  <c r="AB7" i="1"/>
  <c r="AB8" i="1" l="1"/>
  <c r="AB10" i="1"/>
  <c r="AB9" i="1"/>
  <c r="AE5" i="1"/>
  <c r="AD6" i="1"/>
  <c r="AD7" i="1"/>
  <c r="AC7" i="1"/>
  <c r="AC8" i="1" l="1"/>
  <c r="AC9" i="1"/>
  <c r="AC10" i="1"/>
  <c r="AD8" i="1"/>
  <c r="AD9" i="1"/>
  <c r="AD10" i="1"/>
  <c r="AE6" i="1"/>
  <c r="AF5" i="1"/>
  <c r="AE7" i="1" l="1"/>
  <c r="AG5" i="1"/>
  <c r="AF6" i="1"/>
  <c r="AG6" i="1" l="1"/>
  <c r="AH5" i="1"/>
  <c r="AE8" i="1"/>
  <c r="AE10" i="1"/>
  <c r="AE9" i="1"/>
  <c r="AF7" i="1"/>
  <c r="AF9" i="1" l="1"/>
  <c r="AF8" i="1"/>
  <c r="AF10" i="1"/>
  <c r="AH6" i="1"/>
  <c r="AI5" i="1"/>
  <c r="AH7" i="1"/>
  <c r="AG7" i="1"/>
  <c r="AG8" i="1" l="1"/>
  <c r="AG10" i="1"/>
  <c r="AG9" i="1"/>
  <c r="AI7" i="1"/>
  <c r="AH10" i="1"/>
  <c r="AH8" i="1"/>
  <c r="AH9" i="1"/>
  <c r="AJ5" i="1"/>
  <c r="AI6" i="1"/>
  <c r="AJ6" i="1" l="1"/>
  <c r="AK5" i="1"/>
  <c r="AI10" i="1"/>
  <c r="AI8" i="1"/>
  <c r="AI9" i="1"/>
  <c r="AJ7" i="1" l="1"/>
  <c r="AK6" i="1"/>
  <c r="AL5" i="1"/>
  <c r="AL6" i="1" l="1"/>
  <c r="AM5" i="1"/>
  <c r="AJ10" i="1"/>
  <c r="AJ9" i="1"/>
  <c r="AJ8" i="1"/>
  <c r="AK7" i="1"/>
  <c r="AN5" i="1" l="1"/>
  <c r="AM6" i="1"/>
  <c r="AM7" i="1"/>
  <c r="AK8" i="1"/>
  <c r="AK10" i="1"/>
  <c r="AK9" i="1"/>
  <c r="AL7" i="1"/>
  <c r="AM8" i="1" l="1"/>
  <c r="AM9" i="1"/>
  <c r="AM10" i="1"/>
  <c r="AN6" i="1"/>
  <c r="AO5" i="1"/>
  <c r="AL10" i="1"/>
  <c r="AL9" i="1"/>
  <c r="AL8" i="1"/>
  <c r="AO6" i="1" l="1"/>
  <c r="AP5" i="1"/>
  <c r="AO7" i="1"/>
  <c r="AN7" i="1"/>
  <c r="AO9" i="1" l="1"/>
  <c r="AO10" i="1"/>
  <c r="AO8" i="1"/>
  <c r="AP6" i="1"/>
  <c r="AQ5" i="1"/>
  <c r="AP7" i="1"/>
  <c r="AN10" i="1"/>
  <c r="AN8" i="1"/>
  <c r="AN9" i="1"/>
  <c r="AP10" i="1" l="1"/>
  <c r="AP9" i="1"/>
  <c r="AP8" i="1"/>
  <c r="AR5" i="1"/>
  <c r="AQ6" i="1"/>
  <c r="AQ7" i="1" s="1"/>
  <c r="AQ8" i="1" l="1"/>
  <c r="AQ9" i="1"/>
  <c r="AQ10" i="1"/>
  <c r="AR6" i="1"/>
  <c r="AS5" i="1"/>
  <c r="AS6" i="1" l="1"/>
  <c r="AT5" i="1"/>
  <c r="AS7" i="1"/>
  <c r="AR7" i="1"/>
  <c r="AR8" i="1" l="1"/>
  <c r="AR9" i="1"/>
  <c r="AR10" i="1"/>
  <c r="AS9" i="1"/>
  <c r="AS10" i="1"/>
  <c r="AS8" i="1"/>
  <c r="AT6" i="1"/>
  <c r="AU5" i="1"/>
  <c r="AV5" i="1" l="1"/>
  <c r="AU6" i="1"/>
  <c r="AU7" i="1"/>
  <c r="AT7" i="1"/>
  <c r="AT10" i="1" l="1"/>
  <c r="AT8" i="1"/>
  <c r="AT9" i="1"/>
  <c r="AU10" i="1"/>
  <c r="AU8" i="1"/>
  <c r="AU9" i="1"/>
  <c r="AV6" i="1"/>
  <c r="AW5" i="1"/>
  <c r="AV7" i="1" l="1"/>
  <c r="AW6" i="1"/>
  <c r="AX5" i="1"/>
  <c r="AX6" i="1" l="1"/>
  <c r="AY5" i="1"/>
  <c r="AY6" i="1" s="1"/>
  <c r="AX7" i="1"/>
  <c r="AV8" i="1"/>
  <c r="AV9" i="1"/>
  <c r="AV10" i="1"/>
  <c r="AW7" i="1"/>
  <c r="AW10" i="1" l="1"/>
  <c r="AW9" i="1"/>
  <c r="AW8" i="1"/>
  <c r="AX8" i="1"/>
  <c r="AX9" i="1"/>
  <c r="AX10" i="1" s="1"/>
  <c r="AY7" i="1"/>
  <c r="AY9" i="1" l="1"/>
  <c r="I8" i="1" s="1"/>
  <c r="C2" i="1" s="1"/>
  <c r="C10" i="5" s="1"/>
  <c r="AY10" i="1"/>
  <c r="I9" i="1" s="1"/>
  <c r="E2" i="1" s="1"/>
  <c r="C13" i="5" s="1"/>
  <c r="C14" i="5" s="1"/>
  <c r="AY8" i="1"/>
  <c r="I7" i="1" s="1"/>
</calcChain>
</file>

<file path=xl/sharedStrings.xml><?xml version="1.0" encoding="utf-8"?>
<sst xmlns="http://schemas.openxmlformats.org/spreadsheetml/2006/main" count="36" uniqueCount="36">
  <si>
    <t>FILENAME</t>
  </si>
  <si>
    <t>Generation</t>
  </si>
  <si>
    <t>Line</t>
  </si>
  <si>
    <t>Sample #</t>
  </si>
  <si>
    <t>Flowrate</t>
  </si>
  <si>
    <t>MED_COMP</t>
  </si>
  <si>
    <t>MEAN_COMP</t>
  </si>
  <si>
    <t>MED_CM</t>
  </si>
  <si>
    <t>MEAN_CM</t>
  </si>
  <si>
    <t>frak</t>
  </si>
  <si>
    <t>medcomp</t>
  </si>
  <si>
    <t>median</t>
  </si>
  <si>
    <t>compsum</t>
  </si>
  <si>
    <t>vsum</t>
  </si>
  <si>
    <t>sum</t>
  </si>
  <si>
    <t>DATE</t>
  </si>
  <si>
    <t xml:space="preserve">DATE: </t>
  </si>
  <si>
    <t>CFM:</t>
  </si>
  <si>
    <t>DRC</t>
  </si>
  <si>
    <t>LINE:</t>
  </si>
  <si>
    <t>SAMPLE:</t>
  </si>
  <si>
    <t>GEN:</t>
  </si>
  <si>
    <t>AA1</t>
  </si>
  <si>
    <t>INITS:</t>
  </si>
  <si>
    <t>DATE:</t>
  </si>
  <si>
    <t>FILENAME:</t>
  </si>
  <si>
    <t>MEAN BIN =</t>
  </si>
  <si>
    <t>MEDIAN BIN =</t>
  </si>
  <si>
    <t>MEAN SPEED (IN/SEC) =</t>
  </si>
  <si>
    <t>MEDIAN SPEED (IN/SEC) =</t>
  </si>
  <si>
    <t>TOTAL FLIES =</t>
  </si>
  <si>
    <t>lpmin</t>
  </si>
  <si>
    <t>FLOWRATE (Cu.Ft./Min.) =</t>
  </si>
  <si>
    <t>(L/Min.) =</t>
  </si>
  <si>
    <t>MEDIAN SPEED (CM/SEC) =</t>
  </si>
  <si>
    <t>MEAN SPEED (CM/SEC)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</si>
</sst>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mm/dd/yy"/>
  </numFmts>
  <fonts count="6" x14ac:knownFonts="1">
    <font>
      <sz val="10"/>
      <name val="Arial"/>
    </font>
    <font>
      <b/>
      <sz val="14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0" xfId="0" applyFont="1"/>
    <xf numFmtId="0" fontId="3" fillId="0" borderId="0" xfId="0" applyFont="1" applyAlignment="1"/>
    <xf numFmtId="0" fontId="0" fillId="0" borderId="0" xfId="0" applyAlignment="1"/>
    <xf numFmtId="165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3" fillId="0" borderId="0" xfId="0" applyFont="1" applyAlignment="1">
      <alignment horizontal="right"/>
    </xf>
    <xf numFmtId="165" fontId="1" fillId="0" borderId="0" xfId="0" applyNumberFormat="1" applyFont="1"/>
    <xf numFmtId="0" fontId="0" fillId="0" borderId="0" xfId="0" applyFill="1" applyBorder="1" applyAlignment="1">
      <alignment horizontal="center"/>
    </xf>
    <xf numFmtId="0" fontId="0" fillId="0" borderId="0" xfId="0" applyFill="1"/>
    <xf numFmtId="0" fontId="0" fillId="0" borderId="0" xfId="0" applyAlignment="1">
      <alignment horizontal="right"/>
    </xf>
    <xf numFmtId="0" fontId="0" fillId="0" borderId="0" xfId="0" applyNumberFormat="1" applyAlignment="1">
      <alignment horizontal="center"/>
    </xf>
    <xf numFmtId="0" fontId="4" fillId="0" borderId="0" xfId="0" applyFont="1" applyAlignment="1">
      <alignment horizontal="right"/>
    </xf>
    <xf numFmtId="165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2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Distribution By Compartment</a:t>
            </a:r>
          </a:p>
        </c:rich>
      </c:tx>
      <c:layout>
        <c:manualLayout>
          <c:xMode val="edge"/>
          <c:yMode val="edge"/>
          <c:x val="0.1883000091167763"/>
          <c:y val="3.14009661835748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75654654949668"/>
          <c:y val="0.18612573310680941"/>
          <c:w val="0.84190748969533902"/>
          <c:h val="0.602542627515264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Calculations!$K$1:$AY$1</c:f>
              <c:numCache>
                <c:formatCode>General</c:formatCode>
                <c:ptCount val="41"/>
                <c:pt idx="0">
                  <c:v>40</c:v>
                </c:pt>
                <c:pt idx="1">
                  <c:v>39</c:v>
                </c:pt>
                <c:pt idx="2">
                  <c:v>38</c:v>
                </c:pt>
                <c:pt idx="3">
                  <c:v>37</c:v>
                </c:pt>
                <c:pt idx="4">
                  <c:v>36</c:v>
                </c:pt>
                <c:pt idx="5">
                  <c:v>35</c:v>
                </c:pt>
                <c:pt idx="6">
                  <c:v>34</c:v>
                </c:pt>
                <c:pt idx="7">
                  <c:v>33</c:v>
                </c:pt>
                <c:pt idx="8">
                  <c:v>32</c:v>
                </c:pt>
                <c:pt idx="9">
                  <c:v>31</c:v>
                </c:pt>
                <c:pt idx="10">
                  <c:v>30</c:v>
                </c:pt>
                <c:pt idx="11">
                  <c:v>29</c:v>
                </c:pt>
                <c:pt idx="12">
                  <c:v>28</c:v>
                </c:pt>
                <c:pt idx="13">
                  <c:v>27</c:v>
                </c:pt>
                <c:pt idx="14">
                  <c:v>26</c:v>
                </c:pt>
                <c:pt idx="15">
                  <c:v>25</c:v>
                </c:pt>
                <c:pt idx="16">
                  <c:v>24</c:v>
                </c:pt>
                <c:pt idx="17">
                  <c:v>23</c:v>
                </c:pt>
                <c:pt idx="18">
                  <c:v>22</c:v>
                </c:pt>
                <c:pt idx="19">
                  <c:v>21</c:v>
                </c:pt>
                <c:pt idx="20">
                  <c:v>20</c:v>
                </c:pt>
                <c:pt idx="21">
                  <c:v>19</c:v>
                </c:pt>
                <c:pt idx="22">
                  <c:v>18</c:v>
                </c:pt>
                <c:pt idx="23">
                  <c:v>17</c:v>
                </c:pt>
                <c:pt idx="24">
                  <c:v>16</c:v>
                </c:pt>
                <c:pt idx="25">
                  <c:v>15</c:v>
                </c:pt>
                <c:pt idx="26">
                  <c:v>14</c:v>
                </c:pt>
                <c:pt idx="27">
                  <c:v>13</c:v>
                </c:pt>
                <c:pt idx="28">
                  <c:v>12</c:v>
                </c:pt>
                <c:pt idx="29">
                  <c:v>11</c:v>
                </c:pt>
                <c:pt idx="30">
                  <c:v>10</c:v>
                </c:pt>
                <c:pt idx="31">
                  <c:v>9</c:v>
                </c:pt>
                <c:pt idx="32">
                  <c:v>8</c:v>
                </c:pt>
                <c:pt idx="33">
                  <c:v>7</c:v>
                </c:pt>
                <c:pt idx="34">
                  <c:v>6</c:v>
                </c:pt>
                <c:pt idx="35">
                  <c:v>5</c:v>
                </c:pt>
                <c:pt idx="36">
                  <c:v>4</c:v>
                </c:pt>
                <c:pt idx="37">
                  <c:v>3</c:v>
                </c:pt>
                <c:pt idx="38">
                  <c:v>2</c:v>
                </c:pt>
                <c:pt idx="39">
                  <c:v>1</c:v>
                </c:pt>
                <c:pt idx="40">
                  <c:v>0</c:v>
                </c:pt>
              </c:numCache>
            </c:numRef>
          </c:cat>
          <c:val>
            <c:numRef>
              <c:f>Calculations!$K$11:$AY$11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0.63897763578274758</c:v>
                </c:pt>
                <c:pt idx="30">
                  <c:v>0.31948881789137379</c:v>
                </c:pt>
                <c:pt idx="31">
                  <c:v>0.31948881789137379</c:v>
                </c:pt>
                <c:pt idx="32">
                  <c:v>0.95846645367412142</c:v>
                </c:pt>
                <c:pt idx="33">
                  <c:v>0.31948881789137379</c:v>
                </c:pt>
                <c:pt idx="34">
                  <c:v>2.2364217252396164</c:v>
                </c:pt>
                <c:pt idx="35">
                  <c:v>1.2779552715654952</c:v>
                </c:pt>
                <c:pt idx="36">
                  <c:v>4.7923322683706067</c:v>
                </c:pt>
                <c:pt idx="37">
                  <c:v>1.9169329073482428</c:v>
                </c:pt>
                <c:pt idx="38">
                  <c:v>4.7923322683706067</c:v>
                </c:pt>
                <c:pt idx="39">
                  <c:v>71.884984025559106</c:v>
                </c:pt>
                <c:pt idx="40">
                  <c:v>10.543130990415335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B-9844-8B16-B80D2987F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958471744"/>
        <c:axId val="1"/>
      </c:barChart>
      <c:catAx>
        <c:axId val="1958471744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COMPARTMENT</a:t>
                </a:r>
              </a:p>
            </c:rich>
          </c:tx>
          <c:layout>
            <c:manualLayout>
              <c:xMode val="edge"/>
              <c:yMode val="edge"/>
              <c:x val="0.42047570379113941"/>
              <c:y val="0.886475458683606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  <c:max val="3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Total</a:t>
                </a:r>
              </a:p>
            </c:rich>
          </c:tx>
          <c:layout>
            <c:manualLayout>
              <c:xMode val="edge"/>
              <c:yMode val="edge"/>
              <c:x val="2.9250457038391225E-2"/>
              <c:y val="0.408213574752431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8471744"/>
        <c:crosses val="max"/>
        <c:crossBetween val="between"/>
        <c:majorUnit val="5"/>
        <c:minorUnit val="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3" vertic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17</xdr:row>
      <xdr:rowOff>101600</xdr:rowOff>
    </xdr:from>
    <xdr:to>
      <xdr:col>3</xdr:col>
      <xdr:colOff>368300</xdr:colOff>
      <xdr:row>42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93EE1E0A-49AE-9CEF-A4B3-7FD9F845A4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42F46-78B2-4B42-A8D5-CEE1144C2782}">
  <dimension ref="A1:J48"/>
  <sheetViews>
    <sheetView zoomScale="75" workbookViewId="0">
      <selection activeCell="D6" sqref="D6"/>
    </sheetView>
  </sheetViews>
  <sheetFormatPr baseColWidth="10" defaultRowHeight="13" x14ac:dyDescent="0.15"/>
  <cols>
    <col min="1" max="1" width="12" style="18" bestFit="1" customWidth="1"/>
    <col min="2" max="2" width="2.5" customWidth="1"/>
    <col min="3" max="3" width="15.6640625" style="2" bestFit="1" customWidth="1"/>
    <col min="4" max="4" width="14.83203125" bestFit="1" customWidth="1"/>
    <col min="5" max="5" width="4" customWidth="1"/>
    <col min="6" max="6" width="11.33203125" bestFit="1" customWidth="1"/>
    <col min="7" max="7" width="2.33203125" bestFit="1" customWidth="1"/>
    <col min="8" max="8" width="14" style="2" customWidth="1"/>
    <col min="9" max="256" width="8.83203125" customWidth="1"/>
  </cols>
  <sheetData>
    <row r="1" spans="1:10" ht="20" x14ac:dyDescent="0.2">
      <c r="A1" s="21" t="s">
        <v>16</v>
      </c>
      <c r="B1" s="16"/>
      <c r="C1" s="19">
        <v>42578</v>
      </c>
      <c r="F1" s="21" t="s">
        <v>23</v>
      </c>
      <c r="H1" s="20" t="s">
        <v>18</v>
      </c>
    </row>
    <row r="3" spans="1:10" ht="20" x14ac:dyDescent="0.2">
      <c r="A3"/>
      <c r="C3" s="21" t="s">
        <v>19</v>
      </c>
      <c r="D3" s="20" t="s">
        <v>22</v>
      </c>
      <c r="E3" s="23"/>
      <c r="H3"/>
      <c r="J3" s="2"/>
    </row>
    <row r="4" spans="1:10" ht="20" x14ac:dyDescent="0.2">
      <c r="A4"/>
      <c r="C4" s="21" t="s">
        <v>21</v>
      </c>
      <c r="D4" s="20">
        <v>657</v>
      </c>
      <c r="E4" s="23"/>
      <c r="H4"/>
      <c r="J4" s="2"/>
    </row>
    <row r="5" spans="1:10" ht="20" x14ac:dyDescent="0.2">
      <c r="A5"/>
      <c r="C5" s="21" t="s">
        <v>20</v>
      </c>
      <c r="D5" s="20">
        <v>1</v>
      </c>
      <c r="E5" s="23"/>
      <c r="H5"/>
      <c r="J5" s="2"/>
    </row>
    <row r="6" spans="1:10" ht="20" x14ac:dyDescent="0.2">
      <c r="A6"/>
      <c r="C6" s="21" t="s">
        <v>17</v>
      </c>
      <c r="D6" s="20">
        <v>11</v>
      </c>
      <c r="E6" s="23"/>
      <c r="H6"/>
      <c r="J6" s="2"/>
    </row>
    <row r="7" spans="1:10" x14ac:dyDescent="0.15">
      <c r="E7" s="24"/>
    </row>
    <row r="8" spans="1:10" ht="20" x14ac:dyDescent="0.2">
      <c r="A8" s="17">
        <v>40</v>
      </c>
      <c r="B8" s="16" t="str">
        <f>"-"</f>
        <v>-</v>
      </c>
      <c r="C8" s="20">
        <v>0</v>
      </c>
    </row>
    <row r="9" spans="1:10" ht="20" x14ac:dyDescent="0.2">
      <c r="A9" s="17">
        <v>39</v>
      </c>
      <c r="B9" s="16" t="str">
        <f t="shared" ref="B9:B27" si="0">"-"</f>
        <v>-</v>
      </c>
      <c r="C9" s="20">
        <v>0</v>
      </c>
    </row>
    <row r="10" spans="1:10" ht="20" x14ac:dyDescent="0.2">
      <c r="A10" s="17">
        <v>38</v>
      </c>
      <c r="B10" s="16" t="str">
        <f t="shared" si="0"/>
        <v>-</v>
      </c>
      <c r="C10" s="20">
        <v>0</v>
      </c>
    </row>
    <row r="11" spans="1:10" ht="20" x14ac:dyDescent="0.2">
      <c r="A11" s="17">
        <v>37</v>
      </c>
      <c r="B11" s="16" t="str">
        <f t="shared" si="0"/>
        <v>-</v>
      </c>
      <c r="C11" s="20">
        <v>0</v>
      </c>
    </row>
    <row r="12" spans="1:10" ht="20" x14ac:dyDescent="0.2">
      <c r="A12" s="17">
        <v>36</v>
      </c>
      <c r="B12" s="16" t="str">
        <f t="shared" si="0"/>
        <v>-</v>
      </c>
      <c r="C12" s="20">
        <v>0</v>
      </c>
    </row>
    <row r="13" spans="1:10" ht="20" x14ac:dyDescent="0.2">
      <c r="A13" s="17">
        <v>35</v>
      </c>
      <c r="B13" s="16" t="str">
        <f t="shared" si="0"/>
        <v>-</v>
      </c>
      <c r="C13" s="20">
        <v>0</v>
      </c>
    </row>
    <row r="14" spans="1:10" ht="20" x14ac:dyDescent="0.2">
      <c r="A14" s="17">
        <v>34</v>
      </c>
      <c r="B14" s="16" t="str">
        <f t="shared" si="0"/>
        <v>-</v>
      </c>
      <c r="C14" s="20">
        <v>0</v>
      </c>
    </row>
    <row r="15" spans="1:10" ht="20" x14ac:dyDescent="0.2">
      <c r="A15" s="17">
        <v>33</v>
      </c>
      <c r="B15" s="16" t="str">
        <f t="shared" si="0"/>
        <v>-</v>
      </c>
      <c r="C15" s="20">
        <v>0</v>
      </c>
    </row>
    <row r="16" spans="1:10" ht="20" x14ac:dyDescent="0.2">
      <c r="A16" s="17">
        <v>32</v>
      </c>
      <c r="B16" s="16" t="str">
        <f t="shared" si="0"/>
        <v>-</v>
      </c>
      <c r="C16" s="20">
        <v>0</v>
      </c>
    </row>
    <row r="17" spans="1:3" ht="20" x14ac:dyDescent="0.2">
      <c r="A17" s="17">
        <v>31</v>
      </c>
      <c r="B17" s="16" t="str">
        <f t="shared" si="0"/>
        <v>-</v>
      </c>
      <c r="C17" s="20">
        <v>0</v>
      </c>
    </row>
    <row r="18" spans="1:3" ht="20" x14ac:dyDescent="0.2">
      <c r="A18" s="17">
        <v>30</v>
      </c>
      <c r="B18" s="16" t="str">
        <f t="shared" si="0"/>
        <v>-</v>
      </c>
      <c r="C18" s="20">
        <v>0</v>
      </c>
    </row>
    <row r="19" spans="1:3" ht="20" x14ac:dyDescent="0.2">
      <c r="A19" s="17">
        <v>29</v>
      </c>
      <c r="B19" s="16" t="str">
        <f t="shared" si="0"/>
        <v>-</v>
      </c>
      <c r="C19" s="20">
        <v>0</v>
      </c>
    </row>
    <row r="20" spans="1:3" ht="20" x14ac:dyDescent="0.2">
      <c r="A20" s="17">
        <v>28</v>
      </c>
      <c r="B20" s="16" t="str">
        <f t="shared" si="0"/>
        <v>-</v>
      </c>
      <c r="C20" s="20">
        <v>0</v>
      </c>
    </row>
    <row r="21" spans="1:3" ht="20" x14ac:dyDescent="0.2">
      <c r="A21" s="17">
        <v>27</v>
      </c>
      <c r="B21" s="16" t="str">
        <f t="shared" si="0"/>
        <v>-</v>
      </c>
      <c r="C21" s="20">
        <v>0</v>
      </c>
    </row>
    <row r="22" spans="1:3" ht="20" x14ac:dyDescent="0.2">
      <c r="A22" s="17">
        <v>26</v>
      </c>
      <c r="B22" s="16" t="str">
        <f t="shared" si="0"/>
        <v>-</v>
      </c>
      <c r="C22" s="20">
        <v>0</v>
      </c>
    </row>
    <row r="23" spans="1:3" ht="20" x14ac:dyDescent="0.2">
      <c r="A23" s="17">
        <v>25</v>
      </c>
      <c r="B23" s="16" t="str">
        <f t="shared" si="0"/>
        <v>-</v>
      </c>
      <c r="C23" s="20">
        <v>0</v>
      </c>
    </row>
    <row r="24" spans="1:3" ht="20" x14ac:dyDescent="0.2">
      <c r="A24" s="17">
        <v>24</v>
      </c>
      <c r="B24" s="16" t="str">
        <f t="shared" si="0"/>
        <v>-</v>
      </c>
      <c r="C24" s="20">
        <v>0</v>
      </c>
    </row>
    <row r="25" spans="1:3" ht="20" x14ac:dyDescent="0.2">
      <c r="A25" s="17">
        <v>23</v>
      </c>
      <c r="B25" s="16" t="str">
        <f t="shared" si="0"/>
        <v>-</v>
      </c>
      <c r="C25" s="20">
        <v>0</v>
      </c>
    </row>
    <row r="26" spans="1:3" ht="20" x14ac:dyDescent="0.2">
      <c r="A26" s="17">
        <v>22</v>
      </c>
      <c r="B26" s="16" t="str">
        <f t="shared" si="0"/>
        <v>-</v>
      </c>
      <c r="C26" s="20">
        <v>0</v>
      </c>
    </row>
    <row r="27" spans="1:3" ht="20" x14ac:dyDescent="0.2">
      <c r="A27" s="17">
        <v>21</v>
      </c>
      <c r="B27" s="16" t="str">
        <f t="shared" si="0"/>
        <v>-</v>
      </c>
      <c r="C27" s="20">
        <v>0</v>
      </c>
    </row>
    <row r="28" spans="1:3" ht="20" x14ac:dyDescent="0.2">
      <c r="A28" s="16">
        <v>20</v>
      </c>
      <c r="B28" s="16" t="str">
        <f>"-"</f>
        <v>-</v>
      </c>
      <c r="C28" s="20">
        <v>0</v>
      </c>
    </row>
    <row r="29" spans="1:3" ht="20" x14ac:dyDescent="0.2">
      <c r="A29" s="16">
        <v>19</v>
      </c>
      <c r="B29" s="16" t="str">
        <f t="shared" ref="B29:B48" si="1">"-"</f>
        <v>-</v>
      </c>
      <c r="C29" s="20">
        <v>0</v>
      </c>
    </row>
    <row r="30" spans="1:3" ht="20" x14ac:dyDescent="0.2">
      <c r="A30" s="16">
        <v>18</v>
      </c>
      <c r="B30" s="16" t="str">
        <f t="shared" si="1"/>
        <v>-</v>
      </c>
      <c r="C30" s="20">
        <v>0</v>
      </c>
    </row>
    <row r="31" spans="1:3" ht="20" x14ac:dyDescent="0.2">
      <c r="A31" s="16">
        <v>17</v>
      </c>
      <c r="B31" s="16" t="str">
        <f t="shared" si="1"/>
        <v>-</v>
      </c>
      <c r="C31" s="20">
        <v>0</v>
      </c>
    </row>
    <row r="32" spans="1:3" ht="20" x14ac:dyDescent="0.2">
      <c r="A32" s="16">
        <v>16</v>
      </c>
      <c r="B32" s="16" t="str">
        <f t="shared" si="1"/>
        <v>-</v>
      </c>
      <c r="C32" s="20">
        <v>0</v>
      </c>
    </row>
    <row r="33" spans="1:3" ht="20" x14ac:dyDescent="0.2">
      <c r="A33" s="16">
        <v>15</v>
      </c>
      <c r="B33" s="16" t="str">
        <f t="shared" si="1"/>
        <v>-</v>
      </c>
      <c r="C33" s="20">
        <v>0</v>
      </c>
    </row>
    <row r="34" spans="1:3" ht="20" x14ac:dyDescent="0.2">
      <c r="A34" s="16">
        <v>14</v>
      </c>
      <c r="B34" s="16" t="str">
        <f t="shared" si="1"/>
        <v>-</v>
      </c>
      <c r="C34" s="20">
        <v>0</v>
      </c>
    </row>
    <row r="35" spans="1:3" ht="20" x14ac:dyDescent="0.2">
      <c r="A35" s="16">
        <v>13</v>
      </c>
      <c r="B35" s="16" t="str">
        <f t="shared" si="1"/>
        <v>-</v>
      </c>
      <c r="C35" s="20">
        <v>0</v>
      </c>
    </row>
    <row r="36" spans="1:3" ht="20" x14ac:dyDescent="0.2">
      <c r="A36" s="16">
        <v>12</v>
      </c>
      <c r="B36" s="16" t="str">
        <f t="shared" si="1"/>
        <v>-</v>
      </c>
      <c r="C36" s="20">
        <v>0</v>
      </c>
    </row>
    <row r="37" spans="1:3" ht="20" x14ac:dyDescent="0.2">
      <c r="A37" s="16">
        <v>11</v>
      </c>
      <c r="B37" s="16" t="str">
        <f t="shared" si="1"/>
        <v>-</v>
      </c>
      <c r="C37" s="20">
        <v>2</v>
      </c>
    </row>
    <row r="38" spans="1:3" ht="20" x14ac:dyDescent="0.2">
      <c r="A38" s="16">
        <v>10</v>
      </c>
      <c r="B38" s="16" t="str">
        <f t="shared" si="1"/>
        <v>-</v>
      </c>
      <c r="C38" s="20">
        <v>1</v>
      </c>
    </row>
    <row r="39" spans="1:3" ht="20" x14ac:dyDescent="0.2">
      <c r="A39" s="16">
        <v>9</v>
      </c>
      <c r="B39" s="16" t="str">
        <f t="shared" si="1"/>
        <v>-</v>
      </c>
      <c r="C39" s="20">
        <v>1</v>
      </c>
    </row>
    <row r="40" spans="1:3" ht="20" x14ac:dyDescent="0.2">
      <c r="A40" s="16">
        <v>8</v>
      </c>
      <c r="B40" s="16" t="str">
        <f t="shared" si="1"/>
        <v>-</v>
      </c>
      <c r="C40" s="20">
        <v>3</v>
      </c>
    </row>
    <row r="41" spans="1:3" ht="20" x14ac:dyDescent="0.2">
      <c r="A41" s="16">
        <v>7</v>
      </c>
      <c r="B41" s="16" t="str">
        <f t="shared" si="1"/>
        <v>-</v>
      </c>
      <c r="C41" s="20">
        <v>1</v>
      </c>
    </row>
    <row r="42" spans="1:3" ht="20" x14ac:dyDescent="0.2">
      <c r="A42" s="16">
        <v>6</v>
      </c>
      <c r="B42" s="16" t="str">
        <f t="shared" si="1"/>
        <v>-</v>
      </c>
      <c r="C42" s="20">
        <v>7</v>
      </c>
    </row>
    <row r="43" spans="1:3" ht="20" x14ac:dyDescent="0.2">
      <c r="A43" s="16">
        <v>5</v>
      </c>
      <c r="B43" s="16" t="str">
        <f t="shared" si="1"/>
        <v>-</v>
      </c>
      <c r="C43" s="20">
        <v>4</v>
      </c>
    </row>
    <row r="44" spans="1:3" ht="20" x14ac:dyDescent="0.2">
      <c r="A44" s="16">
        <v>4</v>
      </c>
      <c r="B44" s="16" t="str">
        <f t="shared" si="1"/>
        <v>-</v>
      </c>
      <c r="C44" s="20">
        <v>15</v>
      </c>
    </row>
    <row r="45" spans="1:3" ht="20" x14ac:dyDescent="0.2">
      <c r="A45" s="16">
        <v>3</v>
      </c>
      <c r="B45" s="16" t="str">
        <f t="shared" si="1"/>
        <v>-</v>
      </c>
      <c r="C45" s="20">
        <v>6</v>
      </c>
    </row>
    <row r="46" spans="1:3" ht="20" x14ac:dyDescent="0.2">
      <c r="A46" s="16">
        <v>2</v>
      </c>
      <c r="B46" s="16" t="str">
        <f t="shared" si="1"/>
        <v>-</v>
      </c>
      <c r="C46" s="20">
        <v>15</v>
      </c>
    </row>
    <row r="47" spans="1:3" ht="20" x14ac:dyDescent="0.2">
      <c r="A47" s="16">
        <v>1</v>
      </c>
      <c r="B47" s="16" t="str">
        <f t="shared" si="1"/>
        <v>-</v>
      </c>
      <c r="C47" s="20">
        <v>225</v>
      </c>
    </row>
    <row r="48" spans="1:3" ht="20" x14ac:dyDescent="0.2">
      <c r="A48" s="16">
        <v>0</v>
      </c>
      <c r="B48" s="16" t="str">
        <f t="shared" si="1"/>
        <v>-</v>
      </c>
      <c r="C48" s="20">
        <v>33</v>
      </c>
    </row>
  </sheetData>
  <phoneticPr fontId="0" type="noConversion"/>
  <pageMargins left="0.75" right="0.75" top="1" bottom="1" header="0.5" footer="0.5"/>
  <pageSetup orientation="portrait" horizontalDpi="4294967293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EB93C-CCAF-264D-AE3F-D7AF20C53602}">
  <dimension ref="B2:C14"/>
  <sheetViews>
    <sheetView zoomScale="75" workbookViewId="0">
      <selection activeCell="C7" sqref="C7"/>
    </sheetView>
  </sheetViews>
  <sheetFormatPr baseColWidth="10" defaultRowHeight="13" x14ac:dyDescent="0.15"/>
  <cols>
    <col min="1" max="1" width="4.5" customWidth="1"/>
    <col min="2" max="2" width="45.6640625" style="25" bestFit="1" customWidth="1"/>
    <col min="3" max="3" width="25.5" style="2" bestFit="1" customWidth="1"/>
    <col min="4" max="256" width="8.83203125" customWidth="1"/>
  </cols>
  <sheetData>
    <row r="2" spans="2:3" ht="23" x14ac:dyDescent="0.25">
      <c r="B2" s="27" t="s">
        <v>24</v>
      </c>
      <c r="C2" s="28">
        <f>Calculations!A2</f>
        <v>42578</v>
      </c>
    </row>
    <row r="3" spans="2:3" ht="23" x14ac:dyDescent="0.25">
      <c r="B3" s="27" t="s">
        <v>25</v>
      </c>
      <c r="C3" s="29" t="str">
        <f>Calculations!B2</f>
        <v>AA1-657-1.DAT</v>
      </c>
    </row>
    <row r="4" spans="2:3" ht="23" x14ac:dyDescent="0.25">
      <c r="B4" s="30"/>
      <c r="C4" s="29"/>
    </row>
    <row r="5" spans="2:3" ht="23" x14ac:dyDescent="0.25">
      <c r="B5" s="30" t="s">
        <v>30</v>
      </c>
      <c r="C5" s="29">
        <f>Calculations!I6</f>
        <v>313</v>
      </c>
    </row>
    <row r="6" spans="2:3" ht="23" x14ac:dyDescent="0.25">
      <c r="B6" s="30" t="s">
        <v>32</v>
      </c>
      <c r="C6" s="29">
        <f>Calculations!J2</f>
        <v>11</v>
      </c>
    </row>
    <row r="7" spans="2:3" ht="23" x14ac:dyDescent="0.25">
      <c r="B7" s="30" t="s">
        <v>33</v>
      </c>
      <c r="C7" s="29">
        <f>Calculations!I10</f>
        <v>311.3</v>
      </c>
    </row>
    <row r="8" spans="2:3" ht="23" x14ac:dyDescent="0.25">
      <c r="B8" s="30"/>
      <c r="C8" s="29"/>
    </row>
    <row r="9" spans="2:3" ht="23" x14ac:dyDescent="0.25">
      <c r="B9" s="30" t="s">
        <v>26</v>
      </c>
      <c r="C9" s="31">
        <f>Calculations!D2</f>
        <v>1.4920127795527156</v>
      </c>
    </row>
    <row r="10" spans="2:3" ht="23" x14ac:dyDescent="0.25">
      <c r="B10" s="30" t="s">
        <v>27</v>
      </c>
      <c r="C10" s="31">
        <f>Calculations!C2</f>
        <v>0.95111111111111102</v>
      </c>
    </row>
    <row r="11" spans="2:3" ht="23" x14ac:dyDescent="0.25">
      <c r="B11" s="30" t="s">
        <v>28</v>
      </c>
      <c r="C11" s="31">
        <f>Calculations!F2</f>
        <v>2.6747571884984023</v>
      </c>
    </row>
    <row r="12" spans="2:3" ht="23" x14ac:dyDescent="0.25">
      <c r="B12" s="30" t="s">
        <v>35</v>
      </c>
      <c r="C12" s="31">
        <f>C11*2.54</f>
        <v>6.7938832587859421</v>
      </c>
    </row>
    <row r="13" spans="2:3" ht="23" x14ac:dyDescent="0.25">
      <c r="B13" s="30" t="s">
        <v>29</v>
      </c>
      <c r="C13" s="31">
        <f>Calculations!E2</f>
        <v>-0.21887555555555593</v>
      </c>
    </row>
    <row r="14" spans="2:3" ht="23" x14ac:dyDescent="0.25">
      <c r="B14" s="30" t="s">
        <v>34</v>
      </c>
      <c r="C14" s="31">
        <f>C13*2.54</f>
        <v>-0.55594391111111208</v>
      </c>
    </row>
  </sheetData>
  <phoneticPr fontId="0" type="noConversion"/>
  <pageMargins left="0.75" right="0.75" top="1" bottom="1" header="0.5" footer="0.5"/>
  <pageSetup orientation="portrait" horizontalDpi="4294967293" verticalDpi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DC6C-581B-E54D-95A0-95A73BC6ADC0}">
  <dimension ref="A1:AY11"/>
  <sheetViews>
    <sheetView tabSelected="1" zoomScale="75" workbookViewId="0">
      <pane ySplit="1" topLeftCell="A2" activePane="bottomLeft" state="frozen"/>
      <selection pane="bottomLeft" activeCell="C2" sqref="C2"/>
    </sheetView>
  </sheetViews>
  <sheetFormatPr baseColWidth="10" defaultRowHeight="13" x14ac:dyDescent="0.15"/>
  <cols>
    <col min="1" max="1" width="12.33203125" customWidth="1"/>
    <col min="2" max="2" width="20" bestFit="1" customWidth="1"/>
    <col min="3" max="3" width="19.1640625" bestFit="1" customWidth="1"/>
    <col min="4" max="4" width="19.83203125" bestFit="1" customWidth="1"/>
    <col min="5" max="6" width="19.1640625" bestFit="1" customWidth="1"/>
    <col min="7" max="7" width="4.5" style="5" bestFit="1" customWidth="1"/>
    <col min="8" max="8" width="10" style="5" bestFit="1" customWidth="1"/>
    <col min="9" max="9" width="8.83203125" style="5" bestFit="1" customWidth="1"/>
    <col min="10" max="10" width="9.33203125" style="2" bestFit="1" customWidth="1"/>
    <col min="11" max="51" width="3.6640625" style="2" customWidth="1"/>
    <col min="52" max="256" width="8.83203125" customWidth="1"/>
  </cols>
  <sheetData>
    <row r="1" spans="1:51" ht="18" x14ac:dyDescent="0.2">
      <c r="A1" s="6" t="s">
        <v>15</v>
      </c>
      <c r="B1" s="6" t="s">
        <v>0</v>
      </c>
      <c r="C1" s="7" t="s">
        <v>5</v>
      </c>
      <c r="D1" s="7" t="s">
        <v>6</v>
      </c>
      <c r="E1" s="7" t="s">
        <v>7</v>
      </c>
      <c r="F1" s="7" t="s">
        <v>8</v>
      </c>
      <c r="G1" s="4" t="s">
        <v>2</v>
      </c>
      <c r="H1" s="4" t="s">
        <v>1</v>
      </c>
      <c r="I1" s="4" t="s">
        <v>3</v>
      </c>
      <c r="J1" s="1" t="s">
        <v>4</v>
      </c>
      <c r="K1" s="1">
        <v>40</v>
      </c>
      <c r="L1" s="1">
        <v>39</v>
      </c>
      <c r="M1" s="1">
        <v>38</v>
      </c>
      <c r="N1" s="1">
        <v>37</v>
      </c>
      <c r="O1" s="1">
        <v>36</v>
      </c>
      <c r="P1" s="1">
        <v>35</v>
      </c>
      <c r="Q1" s="1">
        <v>34</v>
      </c>
      <c r="R1" s="1">
        <v>33</v>
      </c>
      <c r="S1" s="1">
        <v>32</v>
      </c>
      <c r="T1" s="1">
        <v>31</v>
      </c>
      <c r="U1" s="1">
        <v>30</v>
      </c>
      <c r="V1" s="1">
        <v>29</v>
      </c>
      <c r="W1" s="1">
        <v>28</v>
      </c>
      <c r="X1" s="1">
        <v>27</v>
      </c>
      <c r="Y1" s="1">
        <v>26</v>
      </c>
      <c r="Z1" s="1">
        <v>25</v>
      </c>
      <c r="AA1" s="1">
        <v>24</v>
      </c>
      <c r="AB1" s="1">
        <v>23</v>
      </c>
      <c r="AC1" s="1">
        <v>22</v>
      </c>
      <c r="AD1" s="1">
        <v>21</v>
      </c>
      <c r="AE1" s="1">
        <v>20</v>
      </c>
      <c r="AF1" s="1">
        <v>19</v>
      </c>
      <c r="AG1" s="1">
        <v>18</v>
      </c>
      <c r="AH1" s="1">
        <v>17</v>
      </c>
      <c r="AI1" s="1">
        <v>16</v>
      </c>
      <c r="AJ1" s="1">
        <v>15</v>
      </c>
      <c r="AK1" s="1">
        <v>14</v>
      </c>
      <c r="AL1" s="1">
        <v>13</v>
      </c>
      <c r="AM1" s="1">
        <v>12</v>
      </c>
      <c r="AN1" s="1">
        <v>11</v>
      </c>
      <c r="AO1" s="1">
        <v>10</v>
      </c>
      <c r="AP1" s="1">
        <v>9</v>
      </c>
      <c r="AQ1" s="1">
        <v>8</v>
      </c>
      <c r="AR1" s="1">
        <v>7</v>
      </c>
      <c r="AS1" s="1">
        <v>6</v>
      </c>
      <c r="AT1" s="1">
        <v>5</v>
      </c>
      <c r="AU1" s="1">
        <v>4</v>
      </c>
      <c r="AV1" s="1">
        <v>3</v>
      </c>
      <c r="AW1" s="1">
        <v>2</v>
      </c>
      <c r="AX1" s="1">
        <v>1</v>
      </c>
      <c r="AY1" s="1">
        <v>0</v>
      </c>
    </row>
    <row r="2" spans="1:51" ht="18" x14ac:dyDescent="0.2">
      <c r="A2" s="22">
        <f>'Input Form'!C1</f>
        <v>42578</v>
      </c>
      <c r="B2" s="6" t="str">
        <f>CONCATENATE(G2,"-",H2,"-",I2,".DAT")</f>
        <v>AA1-657-1.DAT</v>
      </c>
      <c r="C2" s="7">
        <f>I8</f>
        <v>0.95111111111111102</v>
      </c>
      <c r="D2" s="7">
        <f>I4/I6</f>
        <v>1.4920127795527156</v>
      </c>
      <c r="E2" s="7">
        <f>I9</f>
        <v>-0.21887555555555593</v>
      </c>
      <c r="F2" s="7">
        <f>I5/I6</f>
        <v>2.6747571884984023</v>
      </c>
      <c r="G2" s="3" t="str">
        <f>'Input Form'!D3</f>
        <v>AA1</v>
      </c>
      <c r="H2" s="3">
        <f>'Input Form'!D4</f>
        <v>657</v>
      </c>
      <c r="I2" s="3">
        <f>'Input Form'!D5</f>
        <v>1</v>
      </c>
      <c r="J2" s="3">
        <f>VALUE('Input Form'!D6)</f>
        <v>11</v>
      </c>
      <c r="K2" s="3">
        <f>'Input Form'!C8</f>
        <v>0</v>
      </c>
      <c r="L2" s="3">
        <f>'Input Form'!C9</f>
        <v>0</v>
      </c>
      <c r="M2" s="3">
        <f>'Input Form'!C10</f>
        <v>0</v>
      </c>
      <c r="N2" s="3">
        <f>'Input Form'!C11</f>
        <v>0</v>
      </c>
      <c r="O2" s="3">
        <f>'Input Form'!C12</f>
        <v>0</v>
      </c>
      <c r="P2" s="3">
        <f>'Input Form'!C13</f>
        <v>0</v>
      </c>
      <c r="Q2" s="3">
        <f>'Input Form'!C14</f>
        <v>0</v>
      </c>
      <c r="R2" s="3">
        <f>'Input Form'!C15</f>
        <v>0</v>
      </c>
      <c r="S2" s="3">
        <f>'Input Form'!C16</f>
        <v>0</v>
      </c>
      <c r="T2" s="3">
        <f>'Input Form'!C17</f>
        <v>0</v>
      </c>
      <c r="U2" s="3">
        <f>'Input Form'!C18</f>
        <v>0</v>
      </c>
      <c r="V2" s="3">
        <f>'Input Form'!C19</f>
        <v>0</v>
      </c>
      <c r="W2" s="3">
        <f>'Input Form'!C20</f>
        <v>0</v>
      </c>
      <c r="X2" s="3">
        <f>'Input Form'!C21</f>
        <v>0</v>
      </c>
      <c r="Y2" s="3">
        <f>'Input Form'!C22</f>
        <v>0</v>
      </c>
      <c r="Z2" s="3">
        <f>'Input Form'!C23</f>
        <v>0</v>
      </c>
      <c r="AA2" s="3">
        <f>'Input Form'!C24</f>
        <v>0</v>
      </c>
      <c r="AB2" s="3">
        <f>'Input Form'!C25</f>
        <v>0</v>
      </c>
      <c r="AC2" s="3">
        <f>'Input Form'!C26</f>
        <v>0</v>
      </c>
      <c r="AD2" s="3">
        <f>'Input Form'!C27</f>
        <v>0</v>
      </c>
      <c r="AE2" s="3">
        <f>'Input Form'!C28</f>
        <v>0</v>
      </c>
      <c r="AF2" s="3">
        <f>'Input Form'!C29</f>
        <v>0</v>
      </c>
      <c r="AG2" s="3">
        <f>'Input Form'!C30</f>
        <v>0</v>
      </c>
      <c r="AH2" s="3">
        <f>'Input Form'!C31</f>
        <v>0</v>
      </c>
      <c r="AI2" s="3">
        <f>'Input Form'!C32</f>
        <v>0</v>
      </c>
      <c r="AJ2" s="3">
        <f>'Input Form'!C33</f>
        <v>0</v>
      </c>
      <c r="AK2" s="3">
        <f>'Input Form'!C34</f>
        <v>0</v>
      </c>
      <c r="AL2" s="3">
        <f>'Input Form'!C35</f>
        <v>0</v>
      </c>
      <c r="AM2" s="3">
        <f>'Input Form'!C36</f>
        <v>0</v>
      </c>
      <c r="AN2" s="3">
        <f>'Input Form'!C37</f>
        <v>2</v>
      </c>
      <c r="AO2" s="3">
        <f>'Input Form'!C38</f>
        <v>1</v>
      </c>
      <c r="AP2" s="3">
        <f>'Input Form'!C39</f>
        <v>1</v>
      </c>
      <c r="AQ2" s="3">
        <f>'Input Form'!C40</f>
        <v>3</v>
      </c>
      <c r="AR2" s="3">
        <f>'Input Form'!C41</f>
        <v>1</v>
      </c>
      <c r="AS2" s="3">
        <f>'Input Form'!C42</f>
        <v>7</v>
      </c>
      <c r="AT2" s="3">
        <f>'Input Form'!C43</f>
        <v>4</v>
      </c>
      <c r="AU2" s="3">
        <f>'Input Form'!C44</f>
        <v>15</v>
      </c>
      <c r="AV2" s="3">
        <f>'Input Form'!C45</f>
        <v>6</v>
      </c>
      <c r="AW2" s="3">
        <f>'Input Form'!C46</f>
        <v>15</v>
      </c>
      <c r="AX2" s="3">
        <f>'Input Form'!C47</f>
        <v>225</v>
      </c>
      <c r="AY2" s="3">
        <f>'Input Form'!C48</f>
        <v>33</v>
      </c>
    </row>
    <row r="3" spans="1:51" x14ac:dyDescent="0.15">
      <c r="K3" s="2">
        <f>K1*K2</f>
        <v>0</v>
      </c>
      <c r="L3" s="2">
        <f t="shared" ref="L3:AX3" si="0">L1*L2</f>
        <v>0</v>
      </c>
      <c r="M3" s="2">
        <f t="shared" si="0"/>
        <v>0</v>
      </c>
      <c r="N3" s="2">
        <f t="shared" si="0"/>
        <v>0</v>
      </c>
      <c r="O3" s="2">
        <f t="shared" si="0"/>
        <v>0</v>
      </c>
      <c r="P3" s="2">
        <f t="shared" si="0"/>
        <v>0</v>
      </c>
      <c r="Q3" s="2">
        <f t="shared" si="0"/>
        <v>0</v>
      </c>
      <c r="R3" s="2">
        <f t="shared" si="0"/>
        <v>0</v>
      </c>
      <c r="S3" s="2">
        <f t="shared" si="0"/>
        <v>0</v>
      </c>
      <c r="T3" s="2">
        <f t="shared" si="0"/>
        <v>0</v>
      </c>
      <c r="U3" s="2">
        <f t="shared" si="0"/>
        <v>0</v>
      </c>
      <c r="V3" s="2">
        <f t="shared" si="0"/>
        <v>0</v>
      </c>
      <c r="W3" s="2">
        <f t="shared" si="0"/>
        <v>0</v>
      </c>
      <c r="X3" s="2">
        <f t="shared" si="0"/>
        <v>0</v>
      </c>
      <c r="Y3" s="2">
        <f t="shared" si="0"/>
        <v>0</v>
      </c>
      <c r="Z3" s="2">
        <f t="shared" si="0"/>
        <v>0</v>
      </c>
      <c r="AA3" s="2">
        <f t="shared" si="0"/>
        <v>0</v>
      </c>
      <c r="AB3" s="2">
        <f t="shared" si="0"/>
        <v>0</v>
      </c>
      <c r="AC3" s="2">
        <f t="shared" si="0"/>
        <v>0</v>
      </c>
      <c r="AD3" s="2">
        <f t="shared" si="0"/>
        <v>0</v>
      </c>
      <c r="AE3" s="2">
        <f t="shared" si="0"/>
        <v>0</v>
      </c>
      <c r="AF3" s="2">
        <f t="shared" si="0"/>
        <v>0</v>
      </c>
      <c r="AG3" s="2">
        <f t="shared" si="0"/>
        <v>0</v>
      </c>
      <c r="AH3" s="2">
        <f t="shared" si="0"/>
        <v>0</v>
      </c>
      <c r="AI3" s="2">
        <f t="shared" si="0"/>
        <v>0</v>
      </c>
      <c r="AJ3" s="2">
        <f t="shared" si="0"/>
        <v>0</v>
      </c>
      <c r="AK3" s="2">
        <f t="shared" si="0"/>
        <v>0</v>
      </c>
      <c r="AL3" s="2">
        <f t="shared" si="0"/>
        <v>0</v>
      </c>
      <c r="AM3" s="2">
        <f t="shared" si="0"/>
        <v>0</v>
      </c>
      <c r="AN3" s="2">
        <f t="shared" si="0"/>
        <v>22</v>
      </c>
      <c r="AO3" s="2">
        <f t="shared" si="0"/>
        <v>10</v>
      </c>
      <c r="AP3" s="2">
        <f t="shared" si="0"/>
        <v>9</v>
      </c>
      <c r="AQ3" s="2">
        <f t="shared" si="0"/>
        <v>24</v>
      </c>
      <c r="AR3" s="2">
        <f t="shared" si="0"/>
        <v>7</v>
      </c>
      <c r="AS3" s="2">
        <f t="shared" si="0"/>
        <v>42</v>
      </c>
      <c r="AT3" s="2">
        <f t="shared" si="0"/>
        <v>20</v>
      </c>
      <c r="AU3" s="2">
        <f t="shared" si="0"/>
        <v>60</v>
      </c>
      <c r="AV3" s="2">
        <f t="shared" si="0"/>
        <v>18</v>
      </c>
      <c r="AW3" s="2">
        <f t="shared" si="0"/>
        <v>30</v>
      </c>
      <c r="AX3" s="2">
        <f t="shared" si="0"/>
        <v>225</v>
      </c>
    </row>
    <row r="4" spans="1:51" x14ac:dyDescent="0.15">
      <c r="H4" s="8" t="s">
        <v>12</v>
      </c>
      <c r="I4" s="9">
        <f>SUM(K3:AX3)</f>
        <v>467</v>
      </c>
      <c r="K4" s="2">
        <f>L1*K2*0.407*$J$2</f>
        <v>0</v>
      </c>
      <c r="L4" s="2">
        <f t="shared" ref="L4:AX4" si="1">M1*L2*0.407*$J$2</f>
        <v>0</v>
      </c>
      <c r="M4" s="2">
        <f t="shared" si="1"/>
        <v>0</v>
      </c>
      <c r="N4" s="2">
        <f t="shared" si="1"/>
        <v>0</v>
      </c>
      <c r="O4" s="2">
        <f t="shared" si="1"/>
        <v>0</v>
      </c>
      <c r="P4" s="2">
        <f t="shared" si="1"/>
        <v>0</v>
      </c>
      <c r="Q4" s="2">
        <f t="shared" si="1"/>
        <v>0</v>
      </c>
      <c r="R4" s="2">
        <f t="shared" si="1"/>
        <v>0</v>
      </c>
      <c r="S4" s="2">
        <f t="shared" si="1"/>
        <v>0</v>
      </c>
      <c r="T4" s="2">
        <f t="shared" si="1"/>
        <v>0</v>
      </c>
      <c r="U4" s="2">
        <f t="shared" si="1"/>
        <v>0</v>
      </c>
      <c r="V4" s="2">
        <f t="shared" si="1"/>
        <v>0</v>
      </c>
      <c r="W4" s="2">
        <f t="shared" si="1"/>
        <v>0</v>
      </c>
      <c r="X4" s="2">
        <f t="shared" si="1"/>
        <v>0</v>
      </c>
      <c r="Y4" s="2">
        <f t="shared" si="1"/>
        <v>0</v>
      </c>
      <c r="Z4" s="2">
        <f t="shared" si="1"/>
        <v>0</v>
      </c>
      <c r="AA4" s="2">
        <f t="shared" si="1"/>
        <v>0</v>
      </c>
      <c r="AB4" s="2">
        <f t="shared" si="1"/>
        <v>0</v>
      </c>
      <c r="AC4" s="2">
        <f t="shared" si="1"/>
        <v>0</v>
      </c>
      <c r="AD4" s="2">
        <f t="shared" si="1"/>
        <v>0</v>
      </c>
      <c r="AE4" s="2">
        <f t="shared" si="1"/>
        <v>0</v>
      </c>
      <c r="AF4" s="2">
        <f t="shared" si="1"/>
        <v>0</v>
      </c>
      <c r="AG4" s="2">
        <f t="shared" si="1"/>
        <v>0</v>
      </c>
      <c r="AH4" s="2">
        <f t="shared" si="1"/>
        <v>0</v>
      </c>
      <c r="AI4" s="2">
        <f t="shared" si="1"/>
        <v>0</v>
      </c>
      <c r="AJ4" s="2">
        <f t="shared" si="1"/>
        <v>0</v>
      </c>
      <c r="AK4" s="2">
        <f t="shared" si="1"/>
        <v>0</v>
      </c>
      <c r="AL4" s="2">
        <f t="shared" si="1"/>
        <v>0</v>
      </c>
      <c r="AM4" s="2">
        <f t="shared" si="1"/>
        <v>0</v>
      </c>
      <c r="AN4" s="2">
        <f t="shared" si="1"/>
        <v>89.539999999999992</v>
      </c>
      <c r="AO4" s="2">
        <f t="shared" si="1"/>
        <v>40.292999999999999</v>
      </c>
      <c r="AP4" s="2">
        <f t="shared" si="1"/>
        <v>35.815999999999995</v>
      </c>
      <c r="AQ4" s="2">
        <f t="shared" si="1"/>
        <v>94.016999999999982</v>
      </c>
      <c r="AR4" s="2">
        <f t="shared" si="1"/>
        <v>26.861999999999998</v>
      </c>
      <c r="AS4" s="2">
        <f t="shared" si="1"/>
        <v>156.69499999999999</v>
      </c>
      <c r="AT4" s="2">
        <f t="shared" si="1"/>
        <v>71.631999999999991</v>
      </c>
      <c r="AU4" s="2">
        <f t="shared" si="1"/>
        <v>201.46499999999997</v>
      </c>
      <c r="AV4" s="2">
        <f t="shared" si="1"/>
        <v>53.723999999999997</v>
      </c>
      <c r="AW4" s="2">
        <f t="shared" si="1"/>
        <v>67.155000000000001</v>
      </c>
      <c r="AX4" s="2">
        <f t="shared" si="1"/>
        <v>0</v>
      </c>
    </row>
    <row r="5" spans="1:51" x14ac:dyDescent="0.15">
      <c r="H5" s="10" t="s">
        <v>13</v>
      </c>
      <c r="I5" s="11">
        <f>SUM(K4:AX4)</f>
        <v>837.19899999999996</v>
      </c>
      <c r="K5" s="2">
        <v>0</v>
      </c>
      <c r="L5" s="2">
        <f>K5+L2</f>
        <v>0</v>
      </c>
      <c r="M5" s="2">
        <f t="shared" ref="M5:AY5" si="2">L5+M2</f>
        <v>0</v>
      </c>
      <c r="N5" s="2">
        <f t="shared" si="2"/>
        <v>0</v>
      </c>
      <c r="O5" s="2">
        <f t="shared" si="2"/>
        <v>0</v>
      </c>
      <c r="P5" s="2">
        <f t="shared" si="2"/>
        <v>0</v>
      </c>
      <c r="Q5" s="2">
        <f t="shared" si="2"/>
        <v>0</v>
      </c>
      <c r="R5" s="2">
        <f t="shared" si="2"/>
        <v>0</v>
      </c>
      <c r="S5" s="2">
        <f t="shared" si="2"/>
        <v>0</v>
      </c>
      <c r="T5" s="2">
        <f t="shared" si="2"/>
        <v>0</v>
      </c>
      <c r="U5" s="2">
        <f t="shared" si="2"/>
        <v>0</v>
      </c>
      <c r="V5" s="2">
        <f t="shared" si="2"/>
        <v>0</v>
      </c>
      <c r="W5" s="2">
        <f t="shared" si="2"/>
        <v>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  <c r="AB5" s="2">
        <f t="shared" si="2"/>
        <v>0</v>
      </c>
      <c r="AC5" s="2">
        <f t="shared" si="2"/>
        <v>0</v>
      </c>
      <c r="AD5" s="2">
        <f t="shared" si="2"/>
        <v>0</v>
      </c>
      <c r="AE5" s="2">
        <f t="shared" si="2"/>
        <v>0</v>
      </c>
      <c r="AF5" s="2">
        <f t="shared" si="2"/>
        <v>0</v>
      </c>
      <c r="AG5" s="2">
        <f t="shared" si="2"/>
        <v>0</v>
      </c>
      <c r="AH5" s="2">
        <f t="shared" si="2"/>
        <v>0</v>
      </c>
      <c r="AI5" s="2">
        <f t="shared" si="2"/>
        <v>0</v>
      </c>
      <c r="AJ5" s="2">
        <f t="shared" si="2"/>
        <v>0</v>
      </c>
      <c r="AK5" s="2">
        <f t="shared" si="2"/>
        <v>0</v>
      </c>
      <c r="AL5" s="2">
        <f t="shared" si="2"/>
        <v>0</v>
      </c>
      <c r="AM5" s="2">
        <f t="shared" si="2"/>
        <v>0</v>
      </c>
      <c r="AN5" s="2">
        <f t="shared" si="2"/>
        <v>2</v>
      </c>
      <c r="AO5" s="2">
        <f t="shared" si="2"/>
        <v>3</v>
      </c>
      <c r="AP5" s="2">
        <f t="shared" si="2"/>
        <v>4</v>
      </c>
      <c r="AQ5" s="2">
        <f t="shared" si="2"/>
        <v>7</v>
      </c>
      <c r="AR5" s="2">
        <f t="shared" si="2"/>
        <v>8</v>
      </c>
      <c r="AS5" s="2">
        <f t="shared" si="2"/>
        <v>15</v>
      </c>
      <c r="AT5" s="2">
        <f t="shared" si="2"/>
        <v>19</v>
      </c>
      <c r="AU5" s="2">
        <f t="shared" si="2"/>
        <v>34</v>
      </c>
      <c r="AV5" s="2">
        <f t="shared" si="2"/>
        <v>40</v>
      </c>
      <c r="AW5" s="2">
        <f t="shared" si="2"/>
        <v>55</v>
      </c>
      <c r="AX5" s="2">
        <f t="shared" si="2"/>
        <v>280</v>
      </c>
      <c r="AY5" s="2">
        <f t="shared" si="2"/>
        <v>313</v>
      </c>
    </row>
    <row r="6" spans="1:51" x14ac:dyDescent="0.15">
      <c r="H6" s="10" t="s">
        <v>14</v>
      </c>
      <c r="I6" s="11">
        <f>SUM(K2:AY2)</f>
        <v>313</v>
      </c>
      <c r="K6" s="2">
        <f t="shared" ref="K6:AY6" si="3">IF(K5&lt;($I$6/2),1,0)</f>
        <v>1</v>
      </c>
      <c r="L6" s="2">
        <f t="shared" si="3"/>
        <v>1</v>
      </c>
      <c r="M6" s="2">
        <f t="shared" si="3"/>
        <v>1</v>
      </c>
      <c r="N6" s="2">
        <f t="shared" si="3"/>
        <v>1</v>
      </c>
      <c r="O6" s="2">
        <f t="shared" si="3"/>
        <v>1</v>
      </c>
      <c r="P6" s="2">
        <f t="shared" si="3"/>
        <v>1</v>
      </c>
      <c r="Q6" s="2">
        <f t="shared" si="3"/>
        <v>1</v>
      </c>
      <c r="R6" s="2">
        <f t="shared" si="3"/>
        <v>1</v>
      </c>
      <c r="S6" s="2">
        <f t="shared" si="3"/>
        <v>1</v>
      </c>
      <c r="T6" s="2">
        <f t="shared" si="3"/>
        <v>1</v>
      </c>
      <c r="U6" s="2">
        <f t="shared" si="3"/>
        <v>1</v>
      </c>
      <c r="V6" s="2">
        <f t="shared" si="3"/>
        <v>1</v>
      </c>
      <c r="W6" s="2">
        <f t="shared" si="3"/>
        <v>1</v>
      </c>
      <c r="X6" s="2">
        <f t="shared" si="3"/>
        <v>1</v>
      </c>
      <c r="Y6" s="2">
        <f t="shared" si="3"/>
        <v>1</v>
      </c>
      <c r="Z6" s="2">
        <f t="shared" si="3"/>
        <v>1</v>
      </c>
      <c r="AA6" s="2">
        <f t="shared" si="3"/>
        <v>1</v>
      </c>
      <c r="AB6" s="2">
        <f t="shared" si="3"/>
        <v>1</v>
      </c>
      <c r="AC6" s="2">
        <f t="shared" si="3"/>
        <v>1</v>
      </c>
      <c r="AD6" s="2">
        <f t="shared" si="3"/>
        <v>1</v>
      </c>
      <c r="AE6" s="2">
        <f t="shared" si="3"/>
        <v>1</v>
      </c>
      <c r="AF6" s="2">
        <f t="shared" si="3"/>
        <v>1</v>
      </c>
      <c r="AG6" s="2">
        <f t="shared" si="3"/>
        <v>1</v>
      </c>
      <c r="AH6" s="2">
        <f t="shared" si="3"/>
        <v>1</v>
      </c>
      <c r="AI6" s="2">
        <f t="shared" si="3"/>
        <v>1</v>
      </c>
      <c r="AJ6" s="2">
        <f t="shared" si="3"/>
        <v>1</v>
      </c>
      <c r="AK6" s="2">
        <f t="shared" si="3"/>
        <v>1</v>
      </c>
      <c r="AL6" s="2">
        <f t="shared" si="3"/>
        <v>1</v>
      </c>
      <c r="AM6" s="2">
        <f t="shared" si="3"/>
        <v>1</v>
      </c>
      <c r="AN6" s="2">
        <f t="shared" si="3"/>
        <v>1</v>
      </c>
      <c r="AO6" s="2">
        <f t="shared" si="3"/>
        <v>1</v>
      </c>
      <c r="AP6" s="2">
        <f t="shared" si="3"/>
        <v>1</v>
      </c>
      <c r="AQ6" s="2">
        <f t="shared" si="3"/>
        <v>1</v>
      </c>
      <c r="AR6" s="2">
        <f t="shared" si="3"/>
        <v>1</v>
      </c>
      <c r="AS6" s="2">
        <f t="shared" si="3"/>
        <v>1</v>
      </c>
      <c r="AT6" s="2">
        <f t="shared" si="3"/>
        <v>1</v>
      </c>
      <c r="AU6" s="2">
        <f t="shared" si="3"/>
        <v>1</v>
      </c>
      <c r="AV6" s="2">
        <f t="shared" si="3"/>
        <v>1</v>
      </c>
      <c r="AW6" s="2">
        <f t="shared" si="3"/>
        <v>1</v>
      </c>
      <c r="AX6" s="2">
        <f t="shared" si="3"/>
        <v>0</v>
      </c>
      <c r="AY6" s="2">
        <f t="shared" si="3"/>
        <v>0</v>
      </c>
    </row>
    <row r="7" spans="1:51" x14ac:dyDescent="0.15">
      <c r="H7" s="12" t="s">
        <v>9</v>
      </c>
      <c r="I7" s="13">
        <f>SUM(L8:AY8)</f>
        <v>0.45111111111111113</v>
      </c>
      <c r="L7" s="2">
        <f>IF(AND(K6=1,L6=0),1,0)</f>
        <v>0</v>
      </c>
      <c r="M7" s="2">
        <f t="shared" ref="M7:AY7" si="4">IF(AND(L6=1,M6=0),1,0)</f>
        <v>0</v>
      </c>
      <c r="N7" s="2">
        <f t="shared" si="4"/>
        <v>0</v>
      </c>
      <c r="O7" s="2">
        <f t="shared" si="4"/>
        <v>0</v>
      </c>
      <c r="P7" s="2">
        <f t="shared" si="4"/>
        <v>0</v>
      </c>
      <c r="Q7" s="2">
        <f t="shared" si="4"/>
        <v>0</v>
      </c>
      <c r="R7" s="2">
        <f t="shared" si="4"/>
        <v>0</v>
      </c>
      <c r="S7" s="2">
        <f t="shared" si="4"/>
        <v>0</v>
      </c>
      <c r="T7" s="2">
        <f t="shared" si="4"/>
        <v>0</v>
      </c>
      <c r="U7" s="2">
        <f t="shared" si="4"/>
        <v>0</v>
      </c>
      <c r="V7" s="2">
        <f t="shared" si="4"/>
        <v>0</v>
      </c>
      <c r="W7" s="2">
        <f t="shared" si="4"/>
        <v>0</v>
      </c>
      <c r="X7" s="2">
        <f t="shared" si="4"/>
        <v>0</v>
      </c>
      <c r="Y7" s="2">
        <f t="shared" si="4"/>
        <v>0</v>
      </c>
      <c r="Z7" s="2">
        <f t="shared" si="4"/>
        <v>0</v>
      </c>
      <c r="AA7" s="2">
        <f t="shared" si="4"/>
        <v>0</v>
      </c>
      <c r="AB7" s="2">
        <f t="shared" si="4"/>
        <v>0</v>
      </c>
      <c r="AC7" s="2">
        <f t="shared" si="4"/>
        <v>0</v>
      </c>
      <c r="AD7" s="2">
        <f t="shared" si="4"/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2">
        <f t="shared" si="4"/>
        <v>0</v>
      </c>
      <c r="AI7" s="2">
        <f t="shared" si="4"/>
        <v>0</v>
      </c>
      <c r="AJ7" s="2">
        <f t="shared" si="4"/>
        <v>0</v>
      </c>
      <c r="AK7" s="2">
        <f t="shared" si="4"/>
        <v>0</v>
      </c>
      <c r="AL7" s="2">
        <f t="shared" si="4"/>
        <v>0</v>
      </c>
      <c r="AM7" s="2">
        <f t="shared" si="4"/>
        <v>0</v>
      </c>
      <c r="AN7" s="2">
        <f t="shared" si="4"/>
        <v>0</v>
      </c>
      <c r="AO7" s="2">
        <f t="shared" si="4"/>
        <v>0</v>
      </c>
      <c r="AP7" s="2">
        <f t="shared" si="4"/>
        <v>0</v>
      </c>
      <c r="AQ7" s="2">
        <f t="shared" si="4"/>
        <v>0</v>
      </c>
      <c r="AR7" s="2">
        <f t="shared" si="4"/>
        <v>0</v>
      </c>
      <c r="AS7" s="2">
        <f t="shared" si="4"/>
        <v>0</v>
      </c>
      <c r="AT7" s="2">
        <f t="shared" si="4"/>
        <v>0</v>
      </c>
      <c r="AU7" s="2">
        <f t="shared" si="4"/>
        <v>0</v>
      </c>
      <c r="AV7" s="2">
        <f t="shared" si="4"/>
        <v>0</v>
      </c>
      <c r="AW7" s="2">
        <f t="shared" si="4"/>
        <v>0</v>
      </c>
      <c r="AX7" s="2">
        <f t="shared" si="4"/>
        <v>1</v>
      </c>
      <c r="AY7" s="2">
        <f t="shared" si="4"/>
        <v>0</v>
      </c>
    </row>
    <row r="8" spans="1:51" x14ac:dyDescent="0.15">
      <c r="H8" s="12" t="s">
        <v>10</v>
      </c>
      <c r="I8" s="13">
        <f>SUM(L9:AY9)</f>
        <v>0.95111111111111102</v>
      </c>
      <c r="L8" s="2" t="str">
        <f t="shared" ref="L8:AY8" si="5">IF(L7,($I$6/2-K5)/L2,"")</f>
        <v/>
      </c>
      <c r="M8" s="2" t="str">
        <f t="shared" si="5"/>
        <v/>
      </c>
      <c r="N8" s="2" t="str">
        <f t="shared" si="5"/>
        <v/>
      </c>
      <c r="O8" s="2" t="str">
        <f t="shared" si="5"/>
        <v/>
      </c>
      <c r="P8" s="2" t="str">
        <f t="shared" si="5"/>
        <v/>
      </c>
      <c r="Q8" s="2" t="str">
        <f t="shared" si="5"/>
        <v/>
      </c>
      <c r="R8" s="2" t="str">
        <f t="shared" si="5"/>
        <v/>
      </c>
      <c r="S8" s="2" t="str">
        <f t="shared" si="5"/>
        <v/>
      </c>
      <c r="T8" s="2" t="str">
        <f t="shared" si="5"/>
        <v/>
      </c>
      <c r="U8" s="2" t="str">
        <f t="shared" si="5"/>
        <v/>
      </c>
      <c r="V8" s="2" t="str">
        <f t="shared" si="5"/>
        <v/>
      </c>
      <c r="W8" s="2" t="str">
        <f t="shared" si="5"/>
        <v/>
      </c>
      <c r="X8" s="2" t="str">
        <f t="shared" si="5"/>
        <v/>
      </c>
      <c r="Y8" s="2" t="str">
        <f t="shared" si="5"/>
        <v/>
      </c>
      <c r="Z8" s="2" t="str">
        <f t="shared" si="5"/>
        <v/>
      </c>
      <c r="AA8" s="2" t="str">
        <f t="shared" si="5"/>
        <v/>
      </c>
      <c r="AB8" s="2" t="str">
        <f t="shared" si="5"/>
        <v/>
      </c>
      <c r="AC8" s="2" t="str">
        <f t="shared" si="5"/>
        <v/>
      </c>
      <c r="AD8" s="2" t="str">
        <f t="shared" si="5"/>
        <v/>
      </c>
      <c r="AE8" s="2" t="str">
        <f t="shared" si="5"/>
        <v/>
      </c>
      <c r="AF8" s="2" t="str">
        <f t="shared" si="5"/>
        <v/>
      </c>
      <c r="AG8" s="2" t="str">
        <f t="shared" si="5"/>
        <v/>
      </c>
      <c r="AH8" s="2" t="str">
        <f t="shared" si="5"/>
        <v/>
      </c>
      <c r="AI8" s="2" t="str">
        <f t="shared" si="5"/>
        <v/>
      </c>
      <c r="AJ8" s="2" t="str">
        <f t="shared" si="5"/>
        <v/>
      </c>
      <c r="AK8" s="2" t="str">
        <f t="shared" si="5"/>
        <v/>
      </c>
      <c r="AL8" s="2" t="str">
        <f t="shared" si="5"/>
        <v/>
      </c>
      <c r="AM8" s="2" t="str">
        <f t="shared" si="5"/>
        <v/>
      </c>
      <c r="AN8" s="2" t="str">
        <f t="shared" si="5"/>
        <v/>
      </c>
      <c r="AO8" s="2" t="str">
        <f t="shared" si="5"/>
        <v/>
      </c>
      <c r="AP8" s="2" t="str">
        <f t="shared" si="5"/>
        <v/>
      </c>
      <c r="AQ8" s="2" t="str">
        <f t="shared" si="5"/>
        <v/>
      </c>
      <c r="AR8" s="2" t="str">
        <f t="shared" si="5"/>
        <v/>
      </c>
      <c r="AS8" s="2" t="str">
        <f t="shared" si="5"/>
        <v/>
      </c>
      <c r="AT8" s="2" t="str">
        <f t="shared" si="5"/>
        <v/>
      </c>
      <c r="AU8" s="2" t="str">
        <f t="shared" si="5"/>
        <v/>
      </c>
      <c r="AV8" s="2" t="str">
        <f t="shared" si="5"/>
        <v/>
      </c>
      <c r="AW8" s="2" t="str">
        <f t="shared" si="5"/>
        <v/>
      </c>
      <c r="AX8" s="2">
        <f t="shared" si="5"/>
        <v>0.45111111111111113</v>
      </c>
      <c r="AY8" s="2" t="str">
        <f t="shared" si="5"/>
        <v/>
      </c>
    </row>
    <row r="9" spans="1:51" x14ac:dyDescent="0.15">
      <c r="H9" s="14" t="s">
        <v>11</v>
      </c>
      <c r="I9" s="15">
        <f>SUM(L10:AY10)</f>
        <v>-0.21887555555555593</v>
      </c>
      <c r="L9" s="2" t="str">
        <f t="shared" ref="L9:AE9" si="6">IF(L7,L1+L8-0.5,"")</f>
        <v/>
      </c>
      <c r="M9" s="2" t="str">
        <f t="shared" si="6"/>
        <v/>
      </c>
      <c r="N9" s="2" t="str">
        <f t="shared" si="6"/>
        <v/>
      </c>
      <c r="O9" s="2" t="str">
        <f t="shared" si="6"/>
        <v/>
      </c>
      <c r="P9" s="2" t="str">
        <f t="shared" si="6"/>
        <v/>
      </c>
      <c r="Q9" s="2" t="str">
        <f t="shared" si="6"/>
        <v/>
      </c>
      <c r="R9" s="2" t="str">
        <f t="shared" si="6"/>
        <v/>
      </c>
      <c r="S9" s="2" t="str">
        <f t="shared" si="6"/>
        <v/>
      </c>
      <c r="T9" s="2" t="str">
        <f t="shared" si="6"/>
        <v/>
      </c>
      <c r="U9" s="2" t="str">
        <f t="shared" si="6"/>
        <v/>
      </c>
      <c r="V9" s="2" t="str">
        <f t="shared" si="6"/>
        <v/>
      </c>
      <c r="W9" s="2" t="str">
        <f t="shared" si="6"/>
        <v/>
      </c>
      <c r="X9" s="2" t="str">
        <f t="shared" si="6"/>
        <v/>
      </c>
      <c r="Y9" s="2" t="str">
        <f t="shared" si="6"/>
        <v/>
      </c>
      <c r="Z9" s="2" t="str">
        <f t="shared" si="6"/>
        <v/>
      </c>
      <c r="AA9" s="2" t="str">
        <f t="shared" si="6"/>
        <v/>
      </c>
      <c r="AB9" s="2" t="str">
        <f t="shared" si="6"/>
        <v/>
      </c>
      <c r="AC9" s="2" t="str">
        <f t="shared" si="6"/>
        <v/>
      </c>
      <c r="AD9" s="2" t="str">
        <f t="shared" si="6"/>
        <v/>
      </c>
      <c r="AE9" s="2" t="str">
        <f t="shared" si="6"/>
        <v/>
      </c>
      <c r="AF9" s="2" t="str">
        <f>IF(AF7,AF1+AF8-0.5,"")</f>
        <v/>
      </c>
      <c r="AG9" s="2" t="str">
        <f t="shared" ref="AG9:AY9" si="7">IF(AG7,AG1+AG8-0.5,"")</f>
        <v/>
      </c>
      <c r="AH9" s="2" t="str">
        <f t="shared" si="7"/>
        <v/>
      </c>
      <c r="AI9" s="2" t="str">
        <f t="shared" si="7"/>
        <v/>
      </c>
      <c r="AJ9" s="2" t="str">
        <f t="shared" si="7"/>
        <v/>
      </c>
      <c r="AK9" s="2" t="str">
        <f t="shared" si="7"/>
        <v/>
      </c>
      <c r="AL9" s="2" t="str">
        <f t="shared" si="7"/>
        <v/>
      </c>
      <c r="AM9" s="2" t="str">
        <f t="shared" si="7"/>
        <v/>
      </c>
      <c r="AN9" s="2" t="str">
        <f t="shared" si="7"/>
        <v/>
      </c>
      <c r="AO9" s="2" t="str">
        <f t="shared" si="7"/>
        <v/>
      </c>
      <c r="AP9" s="2" t="str">
        <f t="shared" si="7"/>
        <v/>
      </c>
      <c r="AQ9" s="2" t="str">
        <f t="shared" si="7"/>
        <v/>
      </c>
      <c r="AR9" s="2" t="str">
        <f t="shared" si="7"/>
        <v/>
      </c>
      <c r="AS9" s="2" t="str">
        <f t="shared" si="7"/>
        <v/>
      </c>
      <c r="AT9" s="2" t="str">
        <f t="shared" si="7"/>
        <v/>
      </c>
      <c r="AU9" s="2" t="str">
        <f t="shared" si="7"/>
        <v/>
      </c>
      <c r="AV9" s="2" t="str">
        <f t="shared" si="7"/>
        <v/>
      </c>
      <c r="AW9" s="2" t="str">
        <f t="shared" si="7"/>
        <v/>
      </c>
      <c r="AX9" s="2">
        <f t="shared" si="7"/>
        <v>0.95111111111111102</v>
      </c>
      <c r="AY9" s="2" t="str">
        <f t="shared" si="7"/>
        <v/>
      </c>
    </row>
    <row r="10" spans="1:51" x14ac:dyDescent="0.15">
      <c r="H10" s="5" t="s">
        <v>31</v>
      </c>
      <c r="I10" s="26">
        <f>28.3*J2</f>
        <v>311.3</v>
      </c>
      <c r="L10" s="2" t="str">
        <f t="shared" ref="L10:AE10" si="8">IF(L7,(L9-1)*0.407*$J$2,"")</f>
        <v/>
      </c>
      <c r="M10" s="2" t="str">
        <f t="shared" si="8"/>
        <v/>
      </c>
      <c r="N10" s="2" t="str">
        <f t="shared" si="8"/>
        <v/>
      </c>
      <c r="O10" s="2" t="str">
        <f t="shared" si="8"/>
        <v/>
      </c>
      <c r="P10" s="2" t="str">
        <f t="shared" si="8"/>
        <v/>
      </c>
      <c r="Q10" s="2" t="str">
        <f t="shared" si="8"/>
        <v/>
      </c>
      <c r="R10" s="2" t="str">
        <f t="shared" si="8"/>
        <v/>
      </c>
      <c r="S10" s="2" t="str">
        <f t="shared" si="8"/>
        <v/>
      </c>
      <c r="T10" s="2" t="str">
        <f t="shared" si="8"/>
        <v/>
      </c>
      <c r="U10" s="2" t="str">
        <f t="shared" si="8"/>
        <v/>
      </c>
      <c r="V10" s="2" t="str">
        <f t="shared" si="8"/>
        <v/>
      </c>
      <c r="W10" s="2" t="str">
        <f t="shared" si="8"/>
        <v/>
      </c>
      <c r="X10" s="2" t="str">
        <f t="shared" si="8"/>
        <v/>
      </c>
      <c r="Y10" s="2" t="str">
        <f t="shared" si="8"/>
        <v/>
      </c>
      <c r="Z10" s="2" t="str">
        <f t="shared" si="8"/>
        <v/>
      </c>
      <c r="AA10" s="2" t="str">
        <f t="shared" si="8"/>
        <v/>
      </c>
      <c r="AB10" s="2" t="str">
        <f t="shared" si="8"/>
        <v/>
      </c>
      <c r="AC10" s="2" t="str">
        <f t="shared" si="8"/>
        <v/>
      </c>
      <c r="AD10" s="2" t="str">
        <f t="shared" si="8"/>
        <v/>
      </c>
      <c r="AE10" s="2" t="str">
        <f t="shared" si="8"/>
        <v/>
      </c>
      <c r="AF10" s="2" t="str">
        <f>IF(AF7,(AF9-1)*0.407*$J$2,"")</f>
        <v/>
      </c>
      <c r="AG10" s="2" t="str">
        <f t="shared" ref="AG10:AY10" si="9">IF(AG7,(AG9-1)*0.407*$J$2,"")</f>
        <v/>
      </c>
      <c r="AH10" s="2" t="str">
        <f t="shared" si="9"/>
        <v/>
      </c>
      <c r="AI10" s="2" t="str">
        <f t="shared" si="9"/>
        <v/>
      </c>
      <c r="AJ10" s="2" t="str">
        <f t="shared" si="9"/>
        <v/>
      </c>
      <c r="AK10" s="2" t="str">
        <f t="shared" si="9"/>
        <v/>
      </c>
      <c r="AL10" s="2" t="str">
        <f t="shared" si="9"/>
        <v/>
      </c>
      <c r="AM10" s="2" t="str">
        <f t="shared" si="9"/>
        <v/>
      </c>
      <c r="AN10" s="2" t="str">
        <f t="shared" si="9"/>
        <v/>
      </c>
      <c r="AO10" s="2" t="str">
        <f t="shared" si="9"/>
        <v/>
      </c>
      <c r="AP10" s="2" t="str">
        <f t="shared" si="9"/>
        <v/>
      </c>
      <c r="AQ10" s="2" t="str">
        <f t="shared" si="9"/>
        <v/>
      </c>
      <c r="AR10" s="2" t="str">
        <f t="shared" si="9"/>
        <v/>
      </c>
      <c r="AS10" s="2" t="str">
        <f t="shared" si="9"/>
        <v/>
      </c>
      <c r="AT10" s="2" t="str">
        <f t="shared" si="9"/>
        <v/>
      </c>
      <c r="AU10" s="2" t="str">
        <f t="shared" si="9"/>
        <v/>
      </c>
      <c r="AV10" s="2" t="str">
        <f t="shared" si="9"/>
        <v/>
      </c>
      <c r="AW10" s="2" t="str">
        <f t="shared" si="9"/>
        <v/>
      </c>
      <c r="AX10" s="2">
        <f t="shared" si="9"/>
        <v>-0.21887555555555593</v>
      </c>
      <c r="AY10" s="2" t="str">
        <f t="shared" si="9"/>
        <v/>
      </c>
    </row>
    <row r="11" spans="1:51" x14ac:dyDescent="0.15">
      <c r="K11" s="2">
        <f>100*(K2/$I$6)</f>
        <v>0</v>
      </c>
      <c r="L11" s="2">
        <f t="shared" ref="L11:AY11" si="10">100*(L2/$I$6)</f>
        <v>0</v>
      </c>
      <c r="M11" s="2">
        <f t="shared" si="10"/>
        <v>0</v>
      </c>
      <c r="N11" s="2">
        <f t="shared" si="10"/>
        <v>0</v>
      </c>
      <c r="O11" s="2">
        <f t="shared" si="10"/>
        <v>0</v>
      </c>
      <c r="P11" s="2">
        <f t="shared" si="10"/>
        <v>0</v>
      </c>
      <c r="Q11" s="2">
        <f t="shared" si="10"/>
        <v>0</v>
      </c>
      <c r="R11" s="2">
        <f t="shared" si="10"/>
        <v>0</v>
      </c>
      <c r="S11" s="2">
        <f t="shared" si="10"/>
        <v>0</v>
      </c>
      <c r="T11" s="2">
        <f t="shared" si="10"/>
        <v>0</v>
      </c>
      <c r="U11" s="2">
        <f t="shared" si="10"/>
        <v>0</v>
      </c>
      <c r="V11" s="2">
        <f t="shared" si="10"/>
        <v>0</v>
      </c>
      <c r="W11" s="2">
        <f t="shared" si="10"/>
        <v>0</v>
      </c>
      <c r="X11" s="2">
        <f t="shared" si="10"/>
        <v>0</v>
      </c>
      <c r="Y11" s="2">
        <f t="shared" si="10"/>
        <v>0</v>
      </c>
      <c r="Z11" s="2">
        <f t="shared" si="10"/>
        <v>0</v>
      </c>
      <c r="AA11" s="2">
        <f t="shared" si="10"/>
        <v>0</v>
      </c>
      <c r="AB11" s="2">
        <f t="shared" si="10"/>
        <v>0</v>
      </c>
      <c r="AC11" s="2">
        <f t="shared" si="10"/>
        <v>0</v>
      </c>
      <c r="AD11" s="2">
        <f t="shared" si="10"/>
        <v>0</v>
      </c>
      <c r="AE11" s="2">
        <f t="shared" si="10"/>
        <v>0</v>
      </c>
      <c r="AF11" s="2">
        <f t="shared" si="10"/>
        <v>0</v>
      </c>
      <c r="AG11" s="2">
        <f t="shared" si="10"/>
        <v>0</v>
      </c>
      <c r="AH11" s="2">
        <f t="shared" si="10"/>
        <v>0</v>
      </c>
      <c r="AI11" s="2">
        <f t="shared" si="10"/>
        <v>0</v>
      </c>
      <c r="AJ11" s="2">
        <f t="shared" si="10"/>
        <v>0</v>
      </c>
      <c r="AK11" s="2">
        <f t="shared" si="10"/>
        <v>0</v>
      </c>
      <c r="AL11" s="2">
        <f t="shared" si="10"/>
        <v>0</v>
      </c>
      <c r="AM11" s="2">
        <f t="shared" si="10"/>
        <v>0</v>
      </c>
      <c r="AN11" s="2">
        <f t="shared" si="10"/>
        <v>0.63897763578274758</v>
      </c>
      <c r="AO11" s="2">
        <f t="shared" si="10"/>
        <v>0.31948881789137379</v>
      </c>
      <c r="AP11" s="2">
        <f t="shared" si="10"/>
        <v>0.31948881789137379</v>
      </c>
      <c r="AQ11" s="2">
        <f t="shared" si="10"/>
        <v>0.95846645367412142</v>
      </c>
      <c r="AR11" s="2">
        <f t="shared" si="10"/>
        <v>0.31948881789137379</v>
      </c>
      <c r="AS11" s="2">
        <f t="shared" si="10"/>
        <v>2.2364217252396164</v>
      </c>
      <c r="AT11" s="2">
        <f t="shared" si="10"/>
        <v>1.2779552715654952</v>
      </c>
      <c r="AU11" s="2">
        <f t="shared" si="10"/>
        <v>4.7923322683706067</v>
      </c>
      <c r="AV11" s="2">
        <f t="shared" si="10"/>
        <v>1.9169329073482428</v>
      </c>
      <c r="AW11" s="2">
        <f t="shared" si="10"/>
        <v>4.7923322683706067</v>
      </c>
      <c r="AX11" s="2">
        <f t="shared" si="10"/>
        <v>71.884984025559106</v>
      </c>
      <c r="AY11" s="2">
        <f t="shared" si="10"/>
        <v>10.543130990415335</v>
      </c>
    </row>
  </sheetData>
  <phoneticPr fontId="0" type="noConversion"/>
  <pageMargins left="0.75" right="0.75" top="1" bottom="1" header="0.5" footer="0.5"/>
  <pageSetup orientation="portrait" horizontalDpi="4294967293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Form</vt:lpstr>
      <vt:lpstr>Output Form</vt:lpstr>
      <vt:lpstr>Calculations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</dc:creator>
  <cp:lastModifiedBy>Jeffrey A Walker</cp:lastModifiedBy>
  <cp:lastPrinted>2016-11-11T23:44:57Z</cp:lastPrinted>
  <dcterms:created xsi:type="dcterms:W3CDTF">2013-06-08T16:43:50Z</dcterms:created>
  <dcterms:modified xsi:type="dcterms:W3CDTF">2026-09-18T19:59:16Z</dcterms:modified>
</cp:coreProperties>
</file>